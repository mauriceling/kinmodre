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e4ccbab5d3bbef26/Desktop/SCI3051-N - Final Year Project/cdlFN26/"/>
    </mc:Choice>
  </mc:AlternateContent>
  <xr:revisionPtr revIDLastSave="792" documentId="13_ncr:9_{47CBC463-E64C-4846-BA8B-6D72D494B61E}" xr6:coauthVersionLast="47" xr6:coauthVersionMax="47" xr10:uidLastSave="{085E3372-CFAB-4AEA-8472-C6516B123CB8}"/>
  <bookViews>
    <workbookView xWindow="-98" yWindow="-98" windowWidth="21795" windowHeight="12975" xr2:uid="{0C5A46DB-761D-44D4-BB54-2F82A579D982}"/>
  </bookViews>
  <sheets>
    <sheet name="Information" sheetId="2" r:id="rId1"/>
    <sheet name="Peptides" sheetId="1" r:id="rId2"/>
    <sheet name="EC number" sheetId="7" r:id="rId3"/>
    <sheet name="Metabolites" sheetId="4" r:id="rId4"/>
    <sheet name="Enzymes" sheetId="5" r:id="rId5"/>
    <sheet name="Reactions" sheetId="6" r:id="rId6"/>
  </sheets>
  <definedNames>
    <definedName name="_xlnm._FilterDatabase" localSheetId="2" hidden="1">'EC number'!$A$1:$H$4314</definedName>
    <definedName name="_xlnm._FilterDatabase" localSheetId="3" hidden="1">Metabolites!$A$1:$D$881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7" i="4" l="1"/>
  <c r="C106" i="4"/>
  <c r="C105" i="4"/>
  <c r="C104" i="4"/>
  <c r="C103" i="4"/>
  <c r="C102" i="4"/>
  <c r="C101" i="4"/>
  <c r="C100" i="4"/>
  <c r="C99" i="4"/>
  <c r="C98" i="4"/>
  <c r="C97" i="4"/>
  <c r="C96" i="4"/>
  <c r="C95" i="4"/>
  <c r="C94" i="4"/>
  <c r="C93" i="4"/>
  <c r="C92" i="4"/>
  <c r="C91" i="4"/>
  <c r="C90" i="4"/>
  <c r="C89" i="4"/>
  <c r="C88" i="4"/>
  <c r="C87" i="4"/>
  <c r="C86" i="4"/>
  <c r="C85" i="4"/>
  <c r="C84" i="4"/>
  <c r="C83" i="4"/>
  <c r="C82" i="4"/>
  <c r="C81" i="4"/>
  <c r="C80" i="4"/>
  <c r="C79" i="4"/>
  <c r="C78" i="4"/>
  <c r="C77" i="4"/>
  <c r="C76" i="4"/>
  <c r="C75" i="4"/>
  <c r="C74" i="4"/>
  <c r="C73" i="4"/>
  <c r="C72" i="4"/>
  <c r="C71" i="4"/>
  <c r="C70" i="4"/>
  <c r="C69" i="4"/>
  <c r="C68" i="4"/>
  <c r="C67" i="4"/>
  <c r="C66" i="4"/>
  <c r="C65" i="4"/>
  <c r="C64" i="4"/>
  <c r="C63" i="4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5" i="4"/>
  <c r="C4" i="4"/>
  <c r="C3" i="4"/>
  <c r="C2" i="4"/>
  <c r="N3" i="5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26" i="5"/>
  <c r="N27" i="5"/>
  <c r="N28" i="5"/>
  <c r="N29" i="5"/>
  <c r="N30" i="5"/>
  <c r="N31" i="5"/>
  <c r="N32" i="5"/>
  <c r="N33" i="5"/>
  <c r="N34" i="5"/>
  <c r="N35" i="5"/>
  <c r="N36" i="5"/>
  <c r="N37" i="5"/>
  <c r="N38" i="5"/>
  <c r="N39" i="5"/>
  <c r="N40" i="5"/>
  <c r="N41" i="5"/>
  <c r="N42" i="5"/>
  <c r="N43" i="5"/>
  <c r="N44" i="5"/>
  <c r="N45" i="5"/>
  <c r="N46" i="5"/>
  <c r="N47" i="5"/>
  <c r="N48" i="5"/>
  <c r="N49" i="5"/>
  <c r="N50" i="5"/>
  <c r="N51" i="5"/>
  <c r="N52" i="5"/>
  <c r="N53" i="5"/>
  <c r="N54" i="5"/>
  <c r="N55" i="5"/>
  <c r="N56" i="5"/>
  <c r="N57" i="5"/>
  <c r="N58" i="5"/>
  <c r="N59" i="5"/>
  <c r="N60" i="5"/>
  <c r="N61" i="5"/>
  <c r="N62" i="5"/>
  <c r="N63" i="5"/>
  <c r="N64" i="5"/>
  <c r="N65" i="5"/>
  <c r="N66" i="5"/>
  <c r="N67" i="5"/>
  <c r="N68" i="5"/>
  <c r="N69" i="5"/>
  <c r="N70" i="5"/>
  <c r="N71" i="5"/>
  <c r="N72" i="5"/>
  <c r="N73" i="5"/>
  <c r="N74" i="5"/>
  <c r="N75" i="5"/>
  <c r="N76" i="5"/>
  <c r="N77" i="5"/>
  <c r="N78" i="5"/>
  <c r="N79" i="5"/>
  <c r="N80" i="5"/>
  <c r="N81" i="5"/>
  <c r="N82" i="5"/>
  <c r="N83" i="5"/>
  <c r="N84" i="5"/>
  <c r="N85" i="5"/>
  <c r="N86" i="5"/>
  <c r="N87" i="5"/>
  <c r="N88" i="5"/>
  <c r="N89" i="5"/>
  <c r="N90" i="5"/>
  <c r="N91" i="5"/>
  <c r="N92" i="5"/>
  <c r="N93" i="5"/>
  <c r="N94" i="5"/>
  <c r="N95" i="5"/>
  <c r="N96" i="5"/>
  <c r="N97" i="5"/>
  <c r="N98" i="5"/>
  <c r="N99" i="5"/>
  <c r="N100" i="5"/>
  <c r="N101" i="5"/>
  <c r="N102" i="5"/>
  <c r="N103" i="5"/>
  <c r="N104" i="5"/>
  <c r="N105" i="5"/>
  <c r="N106" i="5"/>
  <c r="N107" i="5"/>
  <c r="N108" i="5"/>
  <c r="N109" i="5"/>
  <c r="N110" i="5"/>
  <c r="N111" i="5"/>
  <c r="N112" i="5"/>
  <c r="N113" i="5"/>
  <c r="N114" i="5"/>
  <c r="N115" i="5"/>
  <c r="N116" i="5"/>
  <c r="N117" i="5"/>
  <c r="N118" i="5"/>
  <c r="N119" i="5"/>
  <c r="N120" i="5"/>
  <c r="N121" i="5"/>
  <c r="N122" i="5"/>
  <c r="N123" i="5"/>
  <c r="N124" i="5"/>
  <c r="N125" i="5"/>
  <c r="N126" i="5"/>
  <c r="N127" i="5"/>
  <c r="N128" i="5"/>
  <c r="N129" i="5"/>
  <c r="N130" i="5"/>
  <c r="N131" i="5"/>
  <c r="N132" i="5"/>
  <c r="N133" i="5"/>
  <c r="N134" i="5"/>
  <c r="N135" i="5"/>
  <c r="N136" i="5"/>
  <c r="N137" i="5"/>
  <c r="N138" i="5"/>
  <c r="N139" i="5"/>
  <c r="N140" i="5"/>
  <c r="N141" i="5"/>
  <c r="N142" i="5"/>
  <c r="N143" i="5"/>
  <c r="N144" i="5"/>
  <c r="N145" i="5"/>
  <c r="N146" i="5"/>
  <c r="N147" i="5"/>
  <c r="N148" i="5"/>
  <c r="N149" i="5"/>
  <c r="N150" i="5"/>
  <c r="N151" i="5"/>
  <c r="N152" i="5"/>
  <c r="N153" i="5"/>
  <c r="N154" i="5"/>
  <c r="N155" i="5"/>
  <c r="N156" i="5"/>
  <c r="N157" i="5"/>
  <c r="N158" i="5"/>
  <c r="N159" i="5"/>
  <c r="N160" i="5"/>
  <c r="N161" i="5"/>
  <c r="N162" i="5"/>
  <c r="N163" i="5"/>
  <c r="N164" i="5"/>
  <c r="N165" i="5"/>
  <c r="N166" i="5"/>
  <c r="N167" i="5"/>
  <c r="N168" i="5"/>
  <c r="N169" i="5"/>
  <c r="N170" i="5"/>
  <c r="N171" i="5"/>
  <c r="N172" i="5"/>
  <c r="N173" i="5"/>
  <c r="N174" i="5"/>
  <c r="N175" i="5"/>
  <c r="N176" i="5"/>
  <c r="N177" i="5"/>
  <c r="N178" i="5"/>
  <c r="N179" i="5"/>
  <c r="N180" i="5"/>
  <c r="N181" i="5"/>
  <c r="N182" i="5"/>
  <c r="N183" i="5"/>
  <c r="N184" i="5"/>
  <c r="N185" i="5"/>
  <c r="N186" i="5"/>
  <c r="N187" i="5"/>
  <c r="N188" i="5"/>
  <c r="N189" i="5"/>
  <c r="N190" i="5"/>
  <c r="N191" i="5"/>
  <c r="N192" i="5"/>
  <c r="N193" i="5"/>
  <c r="N194" i="5"/>
  <c r="N195" i="5"/>
  <c r="N196" i="5"/>
  <c r="N197" i="5"/>
  <c r="N198" i="5"/>
  <c r="N199" i="5"/>
  <c r="N200" i="5"/>
  <c r="N201" i="5"/>
  <c r="N202" i="5"/>
  <c r="N203" i="5"/>
  <c r="N204" i="5"/>
  <c r="N205" i="5"/>
  <c r="N206" i="5"/>
  <c r="N207" i="5"/>
  <c r="N208" i="5"/>
  <c r="N209" i="5"/>
  <c r="N210" i="5"/>
  <c r="N211" i="5"/>
  <c r="N212" i="5"/>
  <c r="N213" i="5"/>
  <c r="N214" i="5"/>
  <c r="N215" i="5"/>
  <c r="N216" i="5"/>
  <c r="N217" i="5"/>
  <c r="N218" i="5"/>
  <c r="N219" i="5"/>
  <c r="N220" i="5"/>
  <c r="N221" i="5"/>
  <c r="N222" i="5"/>
  <c r="N223" i="5"/>
  <c r="N224" i="5"/>
  <c r="N225" i="5"/>
  <c r="N226" i="5"/>
  <c r="N227" i="5"/>
  <c r="N228" i="5"/>
  <c r="N229" i="5"/>
  <c r="N230" i="5"/>
  <c r="N231" i="5"/>
  <c r="N232" i="5"/>
  <c r="N233" i="5"/>
  <c r="N234" i="5"/>
  <c r="N235" i="5"/>
  <c r="N236" i="5"/>
  <c r="N237" i="5"/>
  <c r="N238" i="5"/>
  <c r="N239" i="5"/>
  <c r="N240" i="5"/>
  <c r="N241" i="5"/>
  <c r="N242" i="5"/>
  <c r="N243" i="5"/>
  <c r="N244" i="5"/>
  <c r="N245" i="5"/>
  <c r="N246" i="5"/>
  <c r="N247" i="5"/>
  <c r="N248" i="5"/>
  <c r="N249" i="5"/>
  <c r="N250" i="5"/>
  <c r="N251" i="5"/>
  <c r="N252" i="5"/>
  <c r="N253" i="5"/>
  <c r="N254" i="5"/>
  <c r="N255" i="5"/>
  <c r="N256" i="5"/>
  <c r="N257" i="5"/>
  <c r="N258" i="5"/>
  <c r="N259" i="5"/>
  <c r="N260" i="5"/>
  <c r="N261" i="5"/>
  <c r="N262" i="5"/>
  <c r="N263" i="5"/>
  <c r="N264" i="5"/>
  <c r="N265" i="5"/>
  <c r="N266" i="5"/>
  <c r="N267" i="5"/>
  <c r="N268" i="5"/>
  <c r="N269" i="5"/>
  <c r="N270" i="5"/>
  <c r="N271" i="5"/>
  <c r="N272" i="5"/>
  <c r="N273" i="5"/>
  <c r="N274" i="5"/>
  <c r="N275" i="5"/>
  <c r="N276" i="5"/>
  <c r="N277" i="5"/>
  <c r="N278" i="5"/>
  <c r="N279" i="5"/>
  <c r="N280" i="5"/>
  <c r="N281" i="5"/>
  <c r="N282" i="5"/>
  <c r="N283" i="5"/>
  <c r="N284" i="5"/>
  <c r="N285" i="5"/>
  <c r="N286" i="5"/>
  <c r="N287" i="5"/>
  <c r="N288" i="5"/>
  <c r="N289" i="5"/>
  <c r="N290" i="5"/>
  <c r="N291" i="5"/>
  <c r="N292" i="5"/>
  <c r="N293" i="5"/>
  <c r="N294" i="5"/>
  <c r="N295" i="5"/>
  <c r="N296" i="5"/>
  <c r="N297" i="5"/>
  <c r="N298" i="5"/>
  <c r="N299" i="5"/>
  <c r="N300" i="5"/>
  <c r="N301" i="5"/>
  <c r="N302" i="5"/>
  <c r="N303" i="5"/>
  <c r="N304" i="5"/>
  <c r="N305" i="5"/>
  <c r="N306" i="5"/>
  <c r="N307" i="5"/>
  <c r="N308" i="5"/>
  <c r="N309" i="5"/>
  <c r="N310" i="5"/>
  <c r="N311" i="5"/>
  <c r="N312" i="5"/>
  <c r="N313" i="5"/>
  <c r="N314" i="5"/>
  <c r="N315" i="5"/>
  <c r="N316" i="5"/>
  <c r="N317" i="5"/>
  <c r="N318" i="5"/>
  <c r="N319" i="5"/>
  <c r="N320" i="5"/>
  <c r="N321" i="5"/>
  <c r="N322" i="5"/>
  <c r="N323" i="5"/>
  <c r="N324" i="5"/>
  <c r="N325" i="5"/>
  <c r="N326" i="5"/>
  <c r="N327" i="5"/>
  <c r="N328" i="5"/>
  <c r="N329" i="5"/>
  <c r="N330" i="5"/>
  <c r="N331" i="5"/>
  <c r="N332" i="5"/>
  <c r="N333" i="5"/>
  <c r="N334" i="5"/>
  <c r="N335" i="5"/>
  <c r="N336" i="5"/>
  <c r="N337" i="5"/>
  <c r="N338" i="5"/>
  <c r="N339" i="5"/>
  <c r="N340" i="5"/>
  <c r="N341" i="5"/>
  <c r="N342" i="5"/>
  <c r="N343" i="5"/>
  <c r="N344" i="5"/>
  <c r="N345" i="5"/>
  <c r="N346" i="5"/>
  <c r="N347" i="5"/>
  <c r="N348" i="5"/>
  <c r="N349" i="5"/>
  <c r="N350" i="5"/>
  <c r="N351" i="5"/>
  <c r="N352" i="5"/>
  <c r="N353" i="5"/>
  <c r="N354" i="5"/>
  <c r="N355" i="5"/>
  <c r="N356" i="5"/>
  <c r="N357" i="5"/>
  <c r="N358" i="5"/>
  <c r="N359" i="5"/>
  <c r="N360" i="5"/>
  <c r="N361" i="5"/>
  <c r="N362" i="5"/>
  <c r="N363" i="5"/>
  <c r="N364" i="5"/>
  <c r="N365" i="5"/>
  <c r="N366" i="5"/>
  <c r="N367" i="5"/>
  <c r="N368" i="5"/>
  <c r="N369" i="5"/>
  <c r="N370" i="5"/>
  <c r="N371" i="5"/>
  <c r="N372" i="5"/>
  <c r="N373" i="5"/>
  <c r="N374" i="5"/>
  <c r="N375" i="5"/>
  <c r="N376" i="5"/>
  <c r="N377" i="5"/>
  <c r="N378" i="5"/>
  <c r="N379" i="5"/>
  <c r="N380" i="5"/>
  <c r="N381" i="5"/>
  <c r="N382" i="5"/>
  <c r="N383" i="5"/>
  <c r="N384" i="5"/>
  <c r="N385" i="5"/>
  <c r="N386" i="5"/>
  <c r="N387" i="5"/>
  <c r="N2" i="5"/>
  <c r="L2" i="5"/>
  <c r="J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J92" i="5"/>
  <c r="J93" i="5"/>
  <c r="J94" i="5"/>
  <c r="J95" i="5"/>
  <c r="J96" i="5"/>
  <c r="J97" i="5"/>
  <c r="J98" i="5"/>
  <c r="J99" i="5"/>
  <c r="J100" i="5"/>
  <c r="J101" i="5"/>
  <c r="J102" i="5"/>
  <c r="J103" i="5"/>
  <c r="J104" i="5"/>
  <c r="J105" i="5"/>
  <c r="J106" i="5"/>
  <c r="J107" i="5"/>
  <c r="J108" i="5"/>
  <c r="J109" i="5"/>
  <c r="J110" i="5"/>
  <c r="J111" i="5"/>
  <c r="J112" i="5"/>
  <c r="J113" i="5"/>
  <c r="J114" i="5"/>
  <c r="J115" i="5"/>
  <c r="J116" i="5"/>
  <c r="J117" i="5"/>
  <c r="J118" i="5"/>
  <c r="J119" i="5"/>
  <c r="J120" i="5"/>
  <c r="J121" i="5"/>
  <c r="J122" i="5"/>
  <c r="J123" i="5"/>
  <c r="J124" i="5"/>
  <c r="J125" i="5"/>
  <c r="J126" i="5"/>
  <c r="J127" i="5"/>
  <c r="J128" i="5"/>
  <c r="J129" i="5"/>
  <c r="J130" i="5"/>
  <c r="J131" i="5"/>
  <c r="J132" i="5"/>
  <c r="J133" i="5"/>
  <c r="J134" i="5"/>
  <c r="J135" i="5"/>
  <c r="J136" i="5"/>
  <c r="J137" i="5"/>
  <c r="J138" i="5"/>
  <c r="J139" i="5"/>
  <c r="J140" i="5"/>
  <c r="J141" i="5"/>
  <c r="J142" i="5"/>
  <c r="J143" i="5"/>
  <c r="J144" i="5"/>
  <c r="J145" i="5"/>
  <c r="J146" i="5"/>
  <c r="J147" i="5"/>
  <c r="J148" i="5"/>
  <c r="J149" i="5"/>
  <c r="J150" i="5"/>
  <c r="J151" i="5"/>
  <c r="J152" i="5"/>
  <c r="J153" i="5"/>
  <c r="J154" i="5"/>
  <c r="J155" i="5"/>
  <c r="J156" i="5"/>
  <c r="J157" i="5"/>
  <c r="J158" i="5"/>
  <c r="J159" i="5"/>
  <c r="J160" i="5"/>
  <c r="J161" i="5"/>
  <c r="J162" i="5"/>
  <c r="J163" i="5"/>
  <c r="J164" i="5"/>
  <c r="J165" i="5"/>
  <c r="J166" i="5"/>
  <c r="J167" i="5"/>
  <c r="J168" i="5"/>
  <c r="J169" i="5"/>
  <c r="J170" i="5"/>
  <c r="J171" i="5"/>
  <c r="J172" i="5"/>
  <c r="J173" i="5"/>
  <c r="J174" i="5"/>
  <c r="J175" i="5"/>
  <c r="J176" i="5"/>
  <c r="J177" i="5"/>
  <c r="J178" i="5"/>
  <c r="J179" i="5"/>
  <c r="J180" i="5"/>
  <c r="J181" i="5"/>
  <c r="J182" i="5"/>
  <c r="J183" i="5"/>
  <c r="J184" i="5"/>
  <c r="J185" i="5"/>
  <c r="J186" i="5"/>
  <c r="J187" i="5"/>
  <c r="J188" i="5"/>
  <c r="J189" i="5"/>
  <c r="J190" i="5"/>
  <c r="J191" i="5"/>
  <c r="J192" i="5"/>
  <c r="J193" i="5"/>
  <c r="J194" i="5"/>
  <c r="J195" i="5"/>
  <c r="J196" i="5"/>
  <c r="J197" i="5"/>
  <c r="J198" i="5"/>
  <c r="J199" i="5"/>
  <c r="J200" i="5"/>
  <c r="J201" i="5"/>
  <c r="J202" i="5"/>
  <c r="J203" i="5"/>
  <c r="J204" i="5"/>
  <c r="J205" i="5"/>
  <c r="J206" i="5"/>
  <c r="J207" i="5"/>
  <c r="J208" i="5"/>
  <c r="J209" i="5"/>
  <c r="J210" i="5"/>
  <c r="J211" i="5"/>
  <c r="J212" i="5"/>
  <c r="J213" i="5"/>
  <c r="J214" i="5"/>
  <c r="J215" i="5"/>
  <c r="J216" i="5"/>
  <c r="J217" i="5"/>
  <c r="J218" i="5"/>
  <c r="J219" i="5"/>
  <c r="J220" i="5"/>
  <c r="J221" i="5"/>
  <c r="J222" i="5"/>
  <c r="J223" i="5"/>
  <c r="J224" i="5"/>
  <c r="J225" i="5"/>
  <c r="J226" i="5"/>
  <c r="J227" i="5"/>
  <c r="J228" i="5"/>
  <c r="J229" i="5"/>
  <c r="J230" i="5"/>
  <c r="J231" i="5"/>
  <c r="J232" i="5"/>
  <c r="J233" i="5"/>
  <c r="J234" i="5"/>
  <c r="J235" i="5"/>
  <c r="J236" i="5"/>
  <c r="J237" i="5"/>
  <c r="J238" i="5"/>
  <c r="J239" i="5"/>
  <c r="J240" i="5"/>
  <c r="J241" i="5"/>
  <c r="J242" i="5"/>
  <c r="J243" i="5"/>
  <c r="J244" i="5"/>
  <c r="J245" i="5"/>
  <c r="J246" i="5"/>
  <c r="J247" i="5"/>
  <c r="J248" i="5"/>
  <c r="J249" i="5"/>
  <c r="J250" i="5"/>
  <c r="J251" i="5"/>
  <c r="J252" i="5"/>
  <c r="J253" i="5"/>
  <c r="J254" i="5"/>
  <c r="J255" i="5"/>
  <c r="J256" i="5"/>
  <c r="J257" i="5"/>
  <c r="J258" i="5"/>
  <c r="J259" i="5"/>
  <c r="J260" i="5"/>
  <c r="J261" i="5"/>
  <c r="J262" i="5"/>
  <c r="J263" i="5"/>
  <c r="J264" i="5"/>
  <c r="J265" i="5"/>
  <c r="J266" i="5"/>
  <c r="J267" i="5"/>
  <c r="J268" i="5"/>
  <c r="J269" i="5"/>
  <c r="J270" i="5"/>
  <c r="J271" i="5"/>
  <c r="J272" i="5"/>
  <c r="J273" i="5"/>
  <c r="J274" i="5"/>
  <c r="J275" i="5"/>
  <c r="J276" i="5"/>
  <c r="J277" i="5"/>
  <c r="J278" i="5"/>
  <c r="J279" i="5"/>
  <c r="J280" i="5"/>
  <c r="J281" i="5"/>
  <c r="J282" i="5"/>
  <c r="J283" i="5"/>
  <c r="J284" i="5"/>
  <c r="J285" i="5"/>
  <c r="J286" i="5"/>
  <c r="J287" i="5"/>
  <c r="J288" i="5"/>
  <c r="J289" i="5"/>
  <c r="J290" i="5"/>
  <c r="J291" i="5"/>
  <c r="J292" i="5"/>
  <c r="J293" i="5"/>
  <c r="J294" i="5"/>
  <c r="J295" i="5"/>
  <c r="J296" i="5"/>
  <c r="J297" i="5"/>
  <c r="J298" i="5"/>
  <c r="J299" i="5"/>
  <c r="J300" i="5"/>
  <c r="J301" i="5"/>
  <c r="J302" i="5"/>
  <c r="J303" i="5"/>
  <c r="J304" i="5"/>
  <c r="J305" i="5"/>
  <c r="J306" i="5"/>
  <c r="J307" i="5"/>
  <c r="J308" i="5"/>
  <c r="J309" i="5"/>
  <c r="J310" i="5"/>
  <c r="J311" i="5"/>
  <c r="J312" i="5"/>
  <c r="J313" i="5"/>
  <c r="J314" i="5"/>
  <c r="J315" i="5"/>
  <c r="J316" i="5"/>
  <c r="J317" i="5"/>
  <c r="J318" i="5"/>
  <c r="J319" i="5"/>
  <c r="J320" i="5"/>
  <c r="J321" i="5"/>
  <c r="J322" i="5"/>
  <c r="J323" i="5"/>
  <c r="J324" i="5"/>
  <c r="J325" i="5"/>
  <c r="J326" i="5"/>
  <c r="J327" i="5"/>
  <c r="J328" i="5"/>
  <c r="J329" i="5"/>
  <c r="J330" i="5"/>
  <c r="J331" i="5"/>
  <c r="J332" i="5"/>
  <c r="J333" i="5"/>
  <c r="J334" i="5"/>
  <c r="J335" i="5"/>
  <c r="J336" i="5"/>
  <c r="J337" i="5"/>
  <c r="J338" i="5"/>
  <c r="J339" i="5"/>
  <c r="J340" i="5"/>
  <c r="J341" i="5"/>
  <c r="J342" i="5"/>
  <c r="J343" i="5"/>
  <c r="J344" i="5"/>
  <c r="J345" i="5"/>
  <c r="J346" i="5"/>
  <c r="J347" i="5"/>
  <c r="J348" i="5"/>
  <c r="J349" i="5"/>
  <c r="J350" i="5"/>
  <c r="J351" i="5"/>
  <c r="J352" i="5"/>
  <c r="J353" i="5"/>
  <c r="J354" i="5"/>
  <c r="J355" i="5"/>
  <c r="J356" i="5"/>
  <c r="J357" i="5"/>
  <c r="J358" i="5"/>
  <c r="J359" i="5"/>
  <c r="J360" i="5"/>
  <c r="J361" i="5"/>
  <c r="J362" i="5"/>
  <c r="J363" i="5"/>
  <c r="J364" i="5"/>
  <c r="J365" i="5"/>
  <c r="J366" i="5"/>
  <c r="J367" i="5"/>
  <c r="J368" i="5"/>
  <c r="J369" i="5"/>
  <c r="J370" i="5"/>
  <c r="J371" i="5"/>
  <c r="J372" i="5"/>
  <c r="J373" i="5"/>
  <c r="J374" i="5"/>
  <c r="J375" i="5"/>
  <c r="J376" i="5"/>
  <c r="J377" i="5"/>
  <c r="J378" i="5"/>
  <c r="J379" i="5"/>
  <c r="J380" i="5"/>
  <c r="J381" i="5"/>
  <c r="J382" i="5"/>
  <c r="J383" i="5"/>
  <c r="J384" i="5"/>
  <c r="J385" i="5"/>
  <c r="J386" i="5"/>
  <c r="J387" i="5"/>
  <c r="J2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I99" i="5"/>
  <c r="I100" i="5"/>
  <c r="I101" i="5"/>
  <c r="I102" i="5"/>
  <c r="I103" i="5"/>
  <c r="I104" i="5"/>
  <c r="I105" i="5"/>
  <c r="I106" i="5"/>
  <c r="I107" i="5"/>
  <c r="I108" i="5"/>
  <c r="I109" i="5"/>
  <c r="I110" i="5"/>
  <c r="I111" i="5"/>
  <c r="I112" i="5"/>
  <c r="I113" i="5"/>
  <c r="I114" i="5"/>
  <c r="I115" i="5"/>
  <c r="I116" i="5"/>
  <c r="I117" i="5"/>
  <c r="I118" i="5"/>
  <c r="I119" i="5"/>
  <c r="I120" i="5"/>
  <c r="I121" i="5"/>
  <c r="I122" i="5"/>
  <c r="I123" i="5"/>
  <c r="I124" i="5"/>
  <c r="I125" i="5"/>
  <c r="I126" i="5"/>
  <c r="I127" i="5"/>
  <c r="I128" i="5"/>
  <c r="I129" i="5"/>
  <c r="I130" i="5"/>
  <c r="I131" i="5"/>
  <c r="I132" i="5"/>
  <c r="I133" i="5"/>
  <c r="I134" i="5"/>
  <c r="I135" i="5"/>
  <c r="I136" i="5"/>
  <c r="I137" i="5"/>
  <c r="I138" i="5"/>
  <c r="I139" i="5"/>
  <c r="I140" i="5"/>
  <c r="I141" i="5"/>
  <c r="I142" i="5"/>
  <c r="I143" i="5"/>
  <c r="I144" i="5"/>
  <c r="I145" i="5"/>
  <c r="I146" i="5"/>
  <c r="I147" i="5"/>
  <c r="I148" i="5"/>
  <c r="I149" i="5"/>
  <c r="I150" i="5"/>
  <c r="I151" i="5"/>
  <c r="I152" i="5"/>
  <c r="I153" i="5"/>
  <c r="I154" i="5"/>
  <c r="I155" i="5"/>
  <c r="I156" i="5"/>
  <c r="I157" i="5"/>
  <c r="I158" i="5"/>
  <c r="I159" i="5"/>
  <c r="I160" i="5"/>
  <c r="I161" i="5"/>
  <c r="I162" i="5"/>
  <c r="I163" i="5"/>
  <c r="I164" i="5"/>
  <c r="I165" i="5"/>
  <c r="I166" i="5"/>
  <c r="I167" i="5"/>
  <c r="I168" i="5"/>
  <c r="I169" i="5"/>
  <c r="I170" i="5"/>
  <c r="I171" i="5"/>
  <c r="I172" i="5"/>
  <c r="I173" i="5"/>
  <c r="I174" i="5"/>
  <c r="I175" i="5"/>
  <c r="I176" i="5"/>
  <c r="I177" i="5"/>
  <c r="I178" i="5"/>
  <c r="I179" i="5"/>
  <c r="I180" i="5"/>
  <c r="I181" i="5"/>
  <c r="I182" i="5"/>
  <c r="I183" i="5"/>
  <c r="I184" i="5"/>
  <c r="I185" i="5"/>
  <c r="I186" i="5"/>
  <c r="I187" i="5"/>
  <c r="I188" i="5"/>
  <c r="I189" i="5"/>
  <c r="I190" i="5"/>
  <c r="I191" i="5"/>
  <c r="I192" i="5"/>
  <c r="I193" i="5"/>
  <c r="I194" i="5"/>
  <c r="I195" i="5"/>
  <c r="I196" i="5"/>
  <c r="I197" i="5"/>
  <c r="I198" i="5"/>
  <c r="I199" i="5"/>
  <c r="I200" i="5"/>
  <c r="I201" i="5"/>
  <c r="I202" i="5"/>
  <c r="I203" i="5"/>
  <c r="I204" i="5"/>
  <c r="I205" i="5"/>
  <c r="I206" i="5"/>
  <c r="I207" i="5"/>
  <c r="I208" i="5"/>
  <c r="I209" i="5"/>
  <c r="I210" i="5"/>
  <c r="I211" i="5"/>
  <c r="I212" i="5"/>
  <c r="I213" i="5"/>
  <c r="I214" i="5"/>
  <c r="I215" i="5"/>
  <c r="I216" i="5"/>
  <c r="I217" i="5"/>
  <c r="I218" i="5"/>
  <c r="I219" i="5"/>
  <c r="I220" i="5"/>
  <c r="I221" i="5"/>
  <c r="I222" i="5"/>
  <c r="I223" i="5"/>
  <c r="I224" i="5"/>
  <c r="I225" i="5"/>
  <c r="I226" i="5"/>
  <c r="I227" i="5"/>
  <c r="I228" i="5"/>
  <c r="I229" i="5"/>
  <c r="I230" i="5"/>
  <c r="I231" i="5"/>
  <c r="I232" i="5"/>
  <c r="I233" i="5"/>
  <c r="I234" i="5"/>
  <c r="I235" i="5"/>
  <c r="I236" i="5"/>
  <c r="I237" i="5"/>
  <c r="I238" i="5"/>
  <c r="I239" i="5"/>
  <c r="I240" i="5"/>
  <c r="I241" i="5"/>
  <c r="I242" i="5"/>
  <c r="I243" i="5"/>
  <c r="I244" i="5"/>
  <c r="I245" i="5"/>
  <c r="I246" i="5"/>
  <c r="I247" i="5"/>
  <c r="I248" i="5"/>
  <c r="I249" i="5"/>
  <c r="I250" i="5"/>
  <c r="I251" i="5"/>
  <c r="I252" i="5"/>
  <c r="I253" i="5"/>
  <c r="I254" i="5"/>
  <c r="I255" i="5"/>
  <c r="I256" i="5"/>
  <c r="I257" i="5"/>
  <c r="I258" i="5"/>
  <c r="I259" i="5"/>
  <c r="I260" i="5"/>
  <c r="I261" i="5"/>
  <c r="I262" i="5"/>
  <c r="I263" i="5"/>
  <c r="I264" i="5"/>
  <c r="I265" i="5"/>
  <c r="I266" i="5"/>
  <c r="I267" i="5"/>
  <c r="I268" i="5"/>
  <c r="I269" i="5"/>
  <c r="I270" i="5"/>
  <c r="I271" i="5"/>
  <c r="I272" i="5"/>
  <c r="I273" i="5"/>
  <c r="I274" i="5"/>
  <c r="I275" i="5"/>
  <c r="I276" i="5"/>
  <c r="I277" i="5"/>
  <c r="I278" i="5"/>
  <c r="I279" i="5"/>
  <c r="I280" i="5"/>
  <c r="I281" i="5"/>
  <c r="I282" i="5"/>
  <c r="I283" i="5"/>
  <c r="I284" i="5"/>
  <c r="I285" i="5"/>
  <c r="I286" i="5"/>
  <c r="I287" i="5"/>
  <c r="I288" i="5"/>
  <c r="I289" i="5"/>
  <c r="I290" i="5"/>
  <c r="I291" i="5"/>
  <c r="I292" i="5"/>
  <c r="I293" i="5"/>
  <c r="I294" i="5"/>
  <c r="I295" i="5"/>
  <c r="I296" i="5"/>
  <c r="I297" i="5"/>
  <c r="I298" i="5"/>
  <c r="I299" i="5"/>
  <c r="I300" i="5"/>
  <c r="I301" i="5"/>
  <c r="I302" i="5"/>
  <c r="I303" i="5"/>
  <c r="I304" i="5"/>
  <c r="I305" i="5"/>
  <c r="I306" i="5"/>
  <c r="I307" i="5"/>
  <c r="I308" i="5"/>
  <c r="I309" i="5"/>
  <c r="I310" i="5"/>
  <c r="I311" i="5"/>
  <c r="I312" i="5"/>
  <c r="I313" i="5"/>
  <c r="I314" i="5"/>
  <c r="I315" i="5"/>
  <c r="I316" i="5"/>
  <c r="I317" i="5"/>
  <c r="I318" i="5"/>
  <c r="I319" i="5"/>
  <c r="I320" i="5"/>
  <c r="I321" i="5"/>
  <c r="I322" i="5"/>
  <c r="I323" i="5"/>
  <c r="I324" i="5"/>
  <c r="I325" i="5"/>
  <c r="I326" i="5"/>
  <c r="I327" i="5"/>
  <c r="I328" i="5"/>
  <c r="I329" i="5"/>
  <c r="I330" i="5"/>
  <c r="I331" i="5"/>
  <c r="I332" i="5"/>
  <c r="I333" i="5"/>
  <c r="I334" i="5"/>
  <c r="I335" i="5"/>
  <c r="I336" i="5"/>
  <c r="I337" i="5"/>
  <c r="I338" i="5"/>
  <c r="I339" i="5"/>
  <c r="I340" i="5"/>
  <c r="I341" i="5"/>
  <c r="I342" i="5"/>
  <c r="I343" i="5"/>
  <c r="I344" i="5"/>
  <c r="I345" i="5"/>
  <c r="I346" i="5"/>
  <c r="I347" i="5"/>
  <c r="I348" i="5"/>
  <c r="I349" i="5"/>
  <c r="I350" i="5"/>
  <c r="I351" i="5"/>
  <c r="I352" i="5"/>
  <c r="I353" i="5"/>
  <c r="I354" i="5"/>
  <c r="I355" i="5"/>
  <c r="I356" i="5"/>
  <c r="I357" i="5"/>
  <c r="I358" i="5"/>
  <c r="I359" i="5"/>
  <c r="I360" i="5"/>
  <c r="I361" i="5"/>
  <c r="I362" i="5"/>
  <c r="I363" i="5"/>
  <c r="I364" i="5"/>
  <c r="I365" i="5"/>
  <c r="I366" i="5"/>
  <c r="I367" i="5"/>
  <c r="I368" i="5"/>
  <c r="I369" i="5"/>
  <c r="I370" i="5"/>
  <c r="I371" i="5"/>
  <c r="I372" i="5"/>
  <c r="I373" i="5"/>
  <c r="I374" i="5"/>
  <c r="I375" i="5"/>
  <c r="I376" i="5"/>
  <c r="I377" i="5"/>
  <c r="I378" i="5"/>
  <c r="I379" i="5"/>
  <c r="I380" i="5"/>
  <c r="I381" i="5"/>
  <c r="I382" i="5"/>
  <c r="I383" i="5"/>
  <c r="I384" i="5"/>
  <c r="I385" i="5"/>
  <c r="I386" i="5"/>
  <c r="I387" i="5"/>
  <c r="I2" i="5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46" i="5"/>
  <c r="H247" i="5"/>
  <c r="H248" i="5"/>
  <c r="H249" i="5"/>
  <c r="H250" i="5"/>
  <c r="H251" i="5"/>
  <c r="H252" i="5"/>
  <c r="H253" i="5"/>
  <c r="H254" i="5"/>
  <c r="H255" i="5"/>
  <c r="H256" i="5"/>
  <c r="H257" i="5"/>
  <c r="H258" i="5"/>
  <c r="H259" i="5"/>
  <c r="H260" i="5"/>
  <c r="H261" i="5"/>
  <c r="H262" i="5"/>
  <c r="H263" i="5"/>
  <c r="H264" i="5"/>
  <c r="H265" i="5"/>
  <c r="H266" i="5"/>
  <c r="H267" i="5"/>
  <c r="H268" i="5"/>
  <c r="H269" i="5"/>
  <c r="H270" i="5"/>
  <c r="H271" i="5"/>
  <c r="H272" i="5"/>
  <c r="H273" i="5"/>
  <c r="H274" i="5"/>
  <c r="H275" i="5"/>
  <c r="H276" i="5"/>
  <c r="H277" i="5"/>
  <c r="H278" i="5"/>
  <c r="H279" i="5"/>
  <c r="H280" i="5"/>
  <c r="H281" i="5"/>
  <c r="H282" i="5"/>
  <c r="H283" i="5"/>
  <c r="H284" i="5"/>
  <c r="H285" i="5"/>
  <c r="H286" i="5"/>
  <c r="H287" i="5"/>
  <c r="H288" i="5"/>
  <c r="H289" i="5"/>
  <c r="H290" i="5"/>
  <c r="H291" i="5"/>
  <c r="H292" i="5"/>
  <c r="H293" i="5"/>
  <c r="H294" i="5"/>
  <c r="H295" i="5"/>
  <c r="H296" i="5"/>
  <c r="H297" i="5"/>
  <c r="H298" i="5"/>
  <c r="H299" i="5"/>
  <c r="H300" i="5"/>
  <c r="H301" i="5"/>
  <c r="H302" i="5"/>
  <c r="H303" i="5"/>
  <c r="H304" i="5"/>
  <c r="H305" i="5"/>
  <c r="H306" i="5"/>
  <c r="H307" i="5"/>
  <c r="H308" i="5"/>
  <c r="H309" i="5"/>
  <c r="H310" i="5"/>
  <c r="H311" i="5"/>
  <c r="H312" i="5"/>
  <c r="H313" i="5"/>
  <c r="H314" i="5"/>
  <c r="H315" i="5"/>
  <c r="H316" i="5"/>
  <c r="H317" i="5"/>
  <c r="H318" i="5"/>
  <c r="H319" i="5"/>
  <c r="H320" i="5"/>
  <c r="H321" i="5"/>
  <c r="H322" i="5"/>
  <c r="H323" i="5"/>
  <c r="H324" i="5"/>
  <c r="H325" i="5"/>
  <c r="H326" i="5"/>
  <c r="H327" i="5"/>
  <c r="H328" i="5"/>
  <c r="H329" i="5"/>
  <c r="H330" i="5"/>
  <c r="H331" i="5"/>
  <c r="H332" i="5"/>
  <c r="H333" i="5"/>
  <c r="H334" i="5"/>
  <c r="H335" i="5"/>
  <c r="H336" i="5"/>
  <c r="H337" i="5"/>
  <c r="H338" i="5"/>
  <c r="H339" i="5"/>
  <c r="H340" i="5"/>
  <c r="H341" i="5"/>
  <c r="H342" i="5"/>
  <c r="H343" i="5"/>
  <c r="H344" i="5"/>
  <c r="H345" i="5"/>
  <c r="H346" i="5"/>
  <c r="H347" i="5"/>
  <c r="H348" i="5"/>
  <c r="H349" i="5"/>
  <c r="H350" i="5"/>
  <c r="H351" i="5"/>
  <c r="H352" i="5"/>
  <c r="H353" i="5"/>
  <c r="H354" i="5"/>
  <c r="H355" i="5"/>
  <c r="H356" i="5"/>
  <c r="H357" i="5"/>
  <c r="H358" i="5"/>
  <c r="H359" i="5"/>
  <c r="H360" i="5"/>
  <c r="H361" i="5"/>
  <c r="H362" i="5"/>
  <c r="H363" i="5"/>
  <c r="H364" i="5"/>
  <c r="H365" i="5"/>
  <c r="H366" i="5"/>
  <c r="H367" i="5"/>
  <c r="H368" i="5"/>
  <c r="H369" i="5"/>
  <c r="H370" i="5"/>
  <c r="H371" i="5"/>
  <c r="H372" i="5"/>
  <c r="H373" i="5"/>
  <c r="H374" i="5"/>
  <c r="H375" i="5"/>
  <c r="H376" i="5"/>
  <c r="H377" i="5"/>
  <c r="H378" i="5"/>
  <c r="H379" i="5"/>
  <c r="H380" i="5"/>
  <c r="H381" i="5"/>
  <c r="H382" i="5"/>
  <c r="H383" i="5"/>
  <c r="H384" i="5"/>
  <c r="H385" i="5"/>
  <c r="H386" i="5"/>
  <c r="H387" i="5"/>
  <c r="H2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G181" i="5"/>
  <c r="G182" i="5"/>
  <c r="G183" i="5"/>
  <c r="G184" i="5"/>
  <c r="G185" i="5"/>
  <c r="G186" i="5"/>
  <c r="G187" i="5"/>
  <c r="G188" i="5"/>
  <c r="G189" i="5"/>
  <c r="G190" i="5"/>
  <c r="G191" i="5"/>
  <c r="G192" i="5"/>
  <c r="G193" i="5"/>
  <c r="G194" i="5"/>
  <c r="G195" i="5"/>
  <c r="G196" i="5"/>
  <c r="G197" i="5"/>
  <c r="G198" i="5"/>
  <c r="G199" i="5"/>
  <c r="G200" i="5"/>
  <c r="G201" i="5"/>
  <c r="G202" i="5"/>
  <c r="G203" i="5"/>
  <c r="G204" i="5"/>
  <c r="G205" i="5"/>
  <c r="G206" i="5"/>
  <c r="G207" i="5"/>
  <c r="G208" i="5"/>
  <c r="G209" i="5"/>
  <c r="G210" i="5"/>
  <c r="G211" i="5"/>
  <c r="G212" i="5"/>
  <c r="G213" i="5"/>
  <c r="G214" i="5"/>
  <c r="G215" i="5"/>
  <c r="G216" i="5"/>
  <c r="G217" i="5"/>
  <c r="G218" i="5"/>
  <c r="G219" i="5"/>
  <c r="G220" i="5"/>
  <c r="G221" i="5"/>
  <c r="G222" i="5"/>
  <c r="G223" i="5"/>
  <c r="G224" i="5"/>
  <c r="G225" i="5"/>
  <c r="G226" i="5"/>
  <c r="G227" i="5"/>
  <c r="G228" i="5"/>
  <c r="G229" i="5"/>
  <c r="G230" i="5"/>
  <c r="G231" i="5"/>
  <c r="G232" i="5"/>
  <c r="G233" i="5"/>
  <c r="G234" i="5"/>
  <c r="G235" i="5"/>
  <c r="G236" i="5"/>
  <c r="G237" i="5"/>
  <c r="G238" i="5"/>
  <c r="G239" i="5"/>
  <c r="G240" i="5"/>
  <c r="G241" i="5"/>
  <c r="G242" i="5"/>
  <c r="G243" i="5"/>
  <c r="G244" i="5"/>
  <c r="G245" i="5"/>
  <c r="G246" i="5"/>
  <c r="G247" i="5"/>
  <c r="G248" i="5"/>
  <c r="G249" i="5"/>
  <c r="G250" i="5"/>
  <c r="G251" i="5"/>
  <c r="G252" i="5"/>
  <c r="G253" i="5"/>
  <c r="G254" i="5"/>
  <c r="G255" i="5"/>
  <c r="G256" i="5"/>
  <c r="G257" i="5"/>
  <c r="G258" i="5"/>
  <c r="G259" i="5"/>
  <c r="G260" i="5"/>
  <c r="G261" i="5"/>
  <c r="G262" i="5"/>
  <c r="G263" i="5"/>
  <c r="G264" i="5"/>
  <c r="G265" i="5"/>
  <c r="G266" i="5"/>
  <c r="G267" i="5"/>
  <c r="G268" i="5"/>
  <c r="G269" i="5"/>
  <c r="G270" i="5"/>
  <c r="G271" i="5"/>
  <c r="G272" i="5"/>
  <c r="G273" i="5"/>
  <c r="G274" i="5"/>
  <c r="G275" i="5"/>
  <c r="G276" i="5"/>
  <c r="G277" i="5"/>
  <c r="G278" i="5"/>
  <c r="G279" i="5"/>
  <c r="G280" i="5"/>
  <c r="G281" i="5"/>
  <c r="G282" i="5"/>
  <c r="G283" i="5"/>
  <c r="G284" i="5"/>
  <c r="G285" i="5"/>
  <c r="G286" i="5"/>
  <c r="G287" i="5"/>
  <c r="G288" i="5"/>
  <c r="G289" i="5"/>
  <c r="G290" i="5"/>
  <c r="G291" i="5"/>
  <c r="G292" i="5"/>
  <c r="G293" i="5"/>
  <c r="G294" i="5"/>
  <c r="G295" i="5"/>
  <c r="G296" i="5"/>
  <c r="G297" i="5"/>
  <c r="G298" i="5"/>
  <c r="G299" i="5"/>
  <c r="G300" i="5"/>
  <c r="G301" i="5"/>
  <c r="G302" i="5"/>
  <c r="G303" i="5"/>
  <c r="G304" i="5"/>
  <c r="G305" i="5"/>
  <c r="G306" i="5"/>
  <c r="G307" i="5"/>
  <c r="G308" i="5"/>
  <c r="G309" i="5"/>
  <c r="G310" i="5"/>
  <c r="G311" i="5"/>
  <c r="G312" i="5"/>
  <c r="G313" i="5"/>
  <c r="G314" i="5"/>
  <c r="G315" i="5"/>
  <c r="G316" i="5"/>
  <c r="G317" i="5"/>
  <c r="G318" i="5"/>
  <c r="G319" i="5"/>
  <c r="G320" i="5"/>
  <c r="G321" i="5"/>
  <c r="G322" i="5"/>
  <c r="G323" i="5"/>
  <c r="G324" i="5"/>
  <c r="G325" i="5"/>
  <c r="G326" i="5"/>
  <c r="G327" i="5"/>
  <c r="G328" i="5"/>
  <c r="G329" i="5"/>
  <c r="G330" i="5"/>
  <c r="G331" i="5"/>
  <c r="G332" i="5"/>
  <c r="G333" i="5"/>
  <c r="G334" i="5"/>
  <c r="G335" i="5"/>
  <c r="G336" i="5"/>
  <c r="G337" i="5"/>
  <c r="G338" i="5"/>
  <c r="G339" i="5"/>
  <c r="G340" i="5"/>
  <c r="G341" i="5"/>
  <c r="G342" i="5"/>
  <c r="G343" i="5"/>
  <c r="G344" i="5"/>
  <c r="G345" i="5"/>
  <c r="G346" i="5"/>
  <c r="G347" i="5"/>
  <c r="G348" i="5"/>
  <c r="G349" i="5"/>
  <c r="G350" i="5"/>
  <c r="G351" i="5"/>
  <c r="G352" i="5"/>
  <c r="G353" i="5"/>
  <c r="G354" i="5"/>
  <c r="G355" i="5"/>
  <c r="G356" i="5"/>
  <c r="G357" i="5"/>
  <c r="G358" i="5"/>
  <c r="G359" i="5"/>
  <c r="G360" i="5"/>
  <c r="G361" i="5"/>
  <c r="G362" i="5"/>
  <c r="G363" i="5"/>
  <c r="G364" i="5"/>
  <c r="G365" i="5"/>
  <c r="G366" i="5"/>
  <c r="G367" i="5"/>
  <c r="G368" i="5"/>
  <c r="G369" i="5"/>
  <c r="G370" i="5"/>
  <c r="G371" i="5"/>
  <c r="G372" i="5"/>
  <c r="G373" i="5"/>
  <c r="G374" i="5"/>
  <c r="G375" i="5"/>
  <c r="G376" i="5"/>
  <c r="G377" i="5"/>
  <c r="G378" i="5"/>
  <c r="G379" i="5"/>
  <c r="G380" i="5"/>
  <c r="G381" i="5"/>
  <c r="G382" i="5"/>
  <c r="G383" i="5"/>
  <c r="G384" i="5"/>
  <c r="G385" i="5"/>
  <c r="G386" i="5"/>
  <c r="G387" i="5"/>
  <c r="G2" i="5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67" i="5"/>
  <c r="F168" i="5"/>
  <c r="F169" i="5"/>
  <c r="F170" i="5"/>
  <c r="F171" i="5"/>
  <c r="F172" i="5"/>
  <c r="F173" i="5"/>
  <c r="F174" i="5"/>
  <c r="F175" i="5"/>
  <c r="F176" i="5"/>
  <c r="F177" i="5"/>
  <c r="F178" i="5"/>
  <c r="F179" i="5"/>
  <c r="F180" i="5"/>
  <c r="F181" i="5"/>
  <c r="F182" i="5"/>
  <c r="F183" i="5"/>
  <c r="F184" i="5"/>
  <c r="F185" i="5"/>
  <c r="F186" i="5"/>
  <c r="F187" i="5"/>
  <c r="F188" i="5"/>
  <c r="F189" i="5"/>
  <c r="F190" i="5"/>
  <c r="F191" i="5"/>
  <c r="F192" i="5"/>
  <c r="F193" i="5"/>
  <c r="F194" i="5"/>
  <c r="F195" i="5"/>
  <c r="F196" i="5"/>
  <c r="F197" i="5"/>
  <c r="F198" i="5"/>
  <c r="F199" i="5"/>
  <c r="F200" i="5"/>
  <c r="F201" i="5"/>
  <c r="F202" i="5"/>
  <c r="F203" i="5"/>
  <c r="F204" i="5"/>
  <c r="F205" i="5"/>
  <c r="F206" i="5"/>
  <c r="F207" i="5"/>
  <c r="F208" i="5"/>
  <c r="F209" i="5"/>
  <c r="F210" i="5"/>
  <c r="F211" i="5"/>
  <c r="F212" i="5"/>
  <c r="F213" i="5"/>
  <c r="F214" i="5"/>
  <c r="F215" i="5"/>
  <c r="F216" i="5"/>
  <c r="F217" i="5"/>
  <c r="F218" i="5"/>
  <c r="F219" i="5"/>
  <c r="F220" i="5"/>
  <c r="F221" i="5"/>
  <c r="F222" i="5"/>
  <c r="F223" i="5"/>
  <c r="F224" i="5"/>
  <c r="F225" i="5"/>
  <c r="F226" i="5"/>
  <c r="F227" i="5"/>
  <c r="F228" i="5"/>
  <c r="F229" i="5"/>
  <c r="F230" i="5"/>
  <c r="F231" i="5"/>
  <c r="F232" i="5"/>
  <c r="F233" i="5"/>
  <c r="F234" i="5"/>
  <c r="F235" i="5"/>
  <c r="F236" i="5"/>
  <c r="F237" i="5"/>
  <c r="F238" i="5"/>
  <c r="F239" i="5"/>
  <c r="F240" i="5"/>
  <c r="F241" i="5"/>
  <c r="F242" i="5"/>
  <c r="F243" i="5"/>
  <c r="F244" i="5"/>
  <c r="F245" i="5"/>
  <c r="F246" i="5"/>
  <c r="F247" i="5"/>
  <c r="F248" i="5"/>
  <c r="F249" i="5"/>
  <c r="F250" i="5"/>
  <c r="F251" i="5"/>
  <c r="F252" i="5"/>
  <c r="F253" i="5"/>
  <c r="F254" i="5"/>
  <c r="F255" i="5"/>
  <c r="F256" i="5"/>
  <c r="F257" i="5"/>
  <c r="F258" i="5"/>
  <c r="F259" i="5"/>
  <c r="F260" i="5"/>
  <c r="F261" i="5"/>
  <c r="F262" i="5"/>
  <c r="F263" i="5"/>
  <c r="F264" i="5"/>
  <c r="F265" i="5"/>
  <c r="F266" i="5"/>
  <c r="F267" i="5"/>
  <c r="F268" i="5"/>
  <c r="F269" i="5"/>
  <c r="F270" i="5"/>
  <c r="F271" i="5"/>
  <c r="F272" i="5"/>
  <c r="F273" i="5"/>
  <c r="F274" i="5"/>
  <c r="F275" i="5"/>
  <c r="F276" i="5"/>
  <c r="F277" i="5"/>
  <c r="F278" i="5"/>
  <c r="F279" i="5"/>
  <c r="F280" i="5"/>
  <c r="F281" i="5"/>
  <c r="F282" i="5"/>
  <c r="F283" i="5"/>
  <c r="F284" i="5"/>
  <c r="F285" i="5"/>
  <c r="F286" i="5"/>
  <c r="F287" i="5"/>
  <c r="F288" i="5"/>
  <c r="F289" i="5"/>
  <c r="F290" i="5"/>
  <c r="F291" i="5"/>
  <c r="F292" i="5"/>
  <c r="F293" i="5"/>
  <c r="F294" i="5"/>
  <c r="F295" i="5"/>
  <c r="F296" i="5"/>
  <c r="F297" i="5"/>
  <c r="F298" i="5"/>
  <c r="F299" i="5"/>
  <c r="F300" i="5"/>
  <c r="F301" i="5"/>
  <c r="F302" i="5"/>
  <c r="F303" i="5"/>
  <c r="F304" i="5"/>
  <c r="F305" i="5"/>
  <c r="F306" i="5"/>
  <c r="F307" i="5"/>
  <c r="F308" i="5"/>
  <c r="F309" i="5"/>
  <c r="F310" i="5"/>
  <c r="F311" i="5"/>
  <c r="F312" i="5"/>
  <c r="F313" i="5"/>
  <c r="F314" i="5"/>
  <c r="F315" i="5"/>
  <c r="F316" i="5"/>
  <c r="F317" i="5"/>
  <c r="F318" i="5"/>
  <c r="F319" i="5"/>
  <c r="F320" i="5"/>
  <c r="F321" i="5"/>
  <c r="F322" i="5"/>
  <c r="F323" i="5"/>
  <c r="F324" i="5"/>
  <c r="F325" i="5"/>
  <c r="F326" i="5"/>
  <c r="F327" i="5"/>
  <c r="F328" i="5"/>
  <c r="F329" i="5"/>
  <c r="F330" i="5"/>
  <c r="F331" i="5"/>
  <c r="F332" i="5"/>
  <c r="F333" i="5"/>
  <c r="F334" i="5"/>
  <c r="F335" i="5"/>
  <c r="F336" i="5"/>
  <c r="F337" i="5"/>
  <c r="F338" i="5"/>
  <c r="F339" i="5"/>
  <c r="F340" i="5"/>
  <c r="F341" i="5"/>
  <c r="F342" i="5"/>
  <c r="F343" i="5"/>
  <c r="F344" i="5"/>
  <c r="F345" i="5"/>
  <c r="F346" i="5"/>
  <c r="F347" i="5"/>
  <c r="F348" i="5"/>
  <c r="F349" i="5"/>
  <c r="F350" i="5"/>
  <c r="F351" i="5"/>
  <c r="F352" i="5"/>
  <c r="F353" i="5"/>
  <c r="F354" i="5"/>
  <c r="F355" i="5"/>
  <c r="F356" i="5"/>
  <c r="F357" i="5"/>
  <c r="F358" i="5"/>
  <c r="F359" i="5"/>
  <c r="F360" i="5"/>
  <c r="F361" i="5"/>
  <c r="F362" i="5"/>
  <c r="F363" i="5"/>
  <c r="F364" i="5"/>
  <c r="F365" i="5"/>
  <c r="F366" i="5"/>
  <c r="F367" i="5"/>
  <c r="F368" i="5"/>
  <c r="F369" i="5"/>
  <c r="F370" i="5"/>
  <c r="F371" i="5"/>
  <c r="F372" i="5"/>
  <c r="F373" i="5"/>
  <c r="F374" i="5"/>
  <c r="F375" i="5"/>
  <c r="F376" i="5"/>
  <c r="F377" i="5"/>
  <c r="F378" i="5"/>
  <c r="F379" i="5"/>
  <c r="F380" i="5"/>
  <c r="F381" i="5"/>
  <c r="F382" i="5"/>
  <c r="F383" i="5"/>
  <c r="F384" i="5"/>
  <c r="F385" i="5"/>
  <c r="F386" i="5"/>
  <c r="F387" i="5"/>
  <c r="F2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71" i="5"/>
  <c r="E172" i="5"/>
  <c r="E173" i="5"/>
  <c r="E174" i="5"/>
  <c r="E175" i="5"/>
  <c r="E176" i="5"/>
  <c r="E177" i="5"/>
  <c r="E178" i="5"/>
  <c r="E179" i="5"/>
  <c r="E180" i="5"/>
  <c r="E181" i="5"/>
  <c r="E182" i="5"/>
  <c r="E183" i="5"/>
  <c r="E184" i="5"/>
  <c r="E185" i="5"/>
  <c r="E186" i="5"/>
  <c r="E187" i="5"/>
  <c r="E188" i="5"/>
  <c r="E189" i="5"/>
  <c r="E190" i="5"/>
  <c r="E191" i="5"/>
  <c r="E192" i="5"/>
  <c r="E193" i="5"/>
  <c r="E194" i="5"/>
  <c r="E195" i="5"/>
  <c r="E196" i="5"/>
  <c r="E197" i="5"/>
  <c r="E198" i="5"/>
  <c r="E199" i="5"/>
  <c r="E200" i="5"/>
  <c r="E201" i="5"/>
  <c r="E202" i="5"/>
  <c r="E203" i="5"/>
  <c r="E204" i="5"/>
  <c r="E205" i="5"/>
  <c r="E206" i="5"/>
  <c r="E207" i="5"/>
  <c r="E208" i="5"/>
  <c r="E209" i="5"/>
  <c r="E210" i="5"/>
  <c r="E211" i="5"/>
  <c r="E212" i="5"/>
  <c r="E213" i="5"/>
  <c r="E214" i="5"/>
  <c r="E215" i="5"/>
  <c r="E216" i="5"/>
  <c r="E217" i="5"/>
  <c r="E218" i="5"/>
  <c r="E219" i="5"/>
  <c r="E220" i="5"/>
  <c r="E221" i="5"/>
  <c r="E222" i="5"/>
  <c r="E223" i="5"/>
  <c r="E224" i="5"/>
  <c r="E225" i="5"/>
  <c r="E226" i="5"/>
  <c r="E227" i="5"/>
  <c r="E228" i="5"/>
  <c r="E229" i="5"/>
  <c r="E230" i="5"/>
  <c r="E231" i="5"/>
  <c r="E232" i="5"/>
  <c r="E233" i="5"/>
  <c r="E234" i="5"/>
  <c r="E235" i="5"/>
  <c r="E236" i="5"/>
  <c r="E237" i="5"/>
  <c r="E238" i="5"/>
  <c r="E239" i="5"/>
  <c r="E240" i="5"/>
  <c r="E241" i="5"/>
  <c r="E242" i="5"/>
  <c r="E243" i="5"/>
  <c r="E244" i="5"/>
  <c r="E245" i="5"/>
  <c r="E246" i="5"/>
  <c r="E247" i="5"/>
  <c r="E248" i="5"/>
  <c r="E249" i="5"/>
  <c r="E250" i="5"/>
  <c r="E251" i="5"/>
  <c r="E252" i="5"/>
  <c r="E253" i="5"/>
  <c r="E254" i="5"/>
  <c r="E255" i="5"/>
  <c r="E256" i="5"/>
  <c r="E257" i="5"/>
  <c r="E258" i="5"/>
  <c r="E259" i="5"/>
  <c r="E260" i="5"/>
  <c r="E261" i="5"/>
  <c r="E262" i="5"/>
  <c r="E263" i="5"/>
  <c r="E264" i="5"/>
  <c r="E265" i="5"/>
  <c r="E266" i="5"/>
  <c r="E267" i="5"/>
  <c r="E268" i="5"/>
  <c r="E269" i="5"/>
  <c r="E270" i="5"/>
  <c r="E271" i="5"/>
  <c r="E272" i="5"/>
  <c r="E273" i="5"/>
  <c r="E274" i="5"/>
  <c r="E275" i="5"/>
  <c r="E276" i="5"/>
  <c r="E277" i="5"/>
  <c r="E278" i="5"/>
  <c r="E279" i="5"/>
  <c r="E280" i="5"/>
  <c r="E281" i="5"/>
  <c r="E282" i="5"/>
  <c r="E283" i="5"/>
  <c r="E284" i="5"/>
  <c r="E285" i="5"/>
  <c r="E286" i="5"/>
  <c r="E287" i="5"/>
  <c r="E288" i="5"/>
  <c r="E289" i="5"/>
  <c r="E290" i="5"/>
  <c r="E291" i="5"/>
  <c r="E292" i="5"/>
  <c r="E293" i="5"/>
  <c r="E294" i="5"/>
  <c r="E295" i="5"/>
  <c r="E296" i="5"/>
  <c r="E297" i="5"/>
  <c r="E298" i="5"/>
  <c r="E299" i="5"/>
  <c r="E300" i="5"/>
  <c r="E301" i="5"/>
  <c r="E302" i="5"/>
  <c r="E303" i="5"/>
  <c r="E304" i="5"/>
  <c r="E305" i="5"/>
  <c r="E306" i="5"/>
  <c r="E307" i="5"/>
  <c r="E308" i="5"/>
  <c r="E309" i="5"/>
  <c r="E310" i="5"/>
  <c r="E311" i="5"/>
  <c r="E312" i="5"/>
  <c r="E313" i="5"/>
  <c r="E314" i="5"/>
  <c r="E315" i="5"/>
  <c r="E316" i="5"/>
  <c r="E317" i="5"/>
  <c r="E318" i="5"/>
  <c r="E319" i="5"/>
  <c r="E320" i="5"/>
  <c r="E321" i="5"/>
  <c r="E322" i="5"/>
  <c r="E323" i="5"/>
  <c r="E324" i="5"/>
  <c r="E325" i="5"/>
  <c r="E326" i="5"/>
  <c r="E327" i="5"/>
  <c r="E328" i="5"/>
  <c r="E329" i="5"/>
  <c r="E330" i="5"/>
  <c r="E331" i="5"/>
  <c r="E332" i="5"/>
  <c r="E333" i="5"/>
  <c r="E334" i="5"/>
  <c r="E335" i="5"/>
  <c r="E336" i="5"/>
  <c r="E337" i="5"/>
  <c r="E338" i="5"/>
  <c r="E339" i="5"/>
  <c r="E340" i="5"/>
  <c r="E341" i="5"/>
  <c r="E342" i="5"/>
  <c r="E343" i="5"/>
  <c r="E344" i="5"/>
  <c r="E345" i="5"/>
  <c r="E346" i="5"/>
  <c r="E347" i="5"/>
  <c r="E348" i="5"/>
  <c r="E349" i="5"/>
  <c r="E350" i="5"/>
  <c r="E351" i="5"/>
  <c r="E352" i="5"/>
  <c r="E353" i="5"/>
  <c r="E354" i="5"/>
  <c r="E355" i="5"/>
  <c r="E356" i="5"/>
  <c r="E357" i="5"/>
  <c r="E358" i="5"/>
  <c r="E359" i="5"/>
  <c r="E360" i="5"/>
  <c r="E361" i="5"/>
  <c r="E362" i="5"/>
  <c r="E363" i="5"/>
  <c r="E364" i="5"/>
  <c r="E365" i="5"/>
  <c r="E366" i="5"/>
  <c r="E367" i="5"/>
  <c r="E368" i="5"/>
  <c r="E369" i="5"/>
  <c r="E370" i="5"/>
  <c r="E371" i="5"/>
  <c r="E372" i="5"/>
  <c r="E373" i="5"/>
  <c r="E374" i="5"/>
  <c r="E375" i="5"/>
  <c r="E376" i="5"/>
  <c r="E377" i="5"/>
  <c r="E378" i="5"/>
  <c r="E379" i="5"/>
  <c r="E380" i="5"/>
  <c r="E381" i="5"/>
  <c r="E382" i="5"/>
  <c r="E383" i="5"/>
  <c r="E384" i="5"/>
  <c r="E385" i="5"/>
  <c r="E386" i="5"/>
  <c r="E387" i="5"/>
  <c r="E2" i="5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275" i="4"/>
  <c r="D276" i="4"/>
  <c r="D277" i="4"/>
  <c r="D278" i="4"/>
  <c r="D279" i="4"/>
  <c r="D280" i="4"/>
  <c r="D281" i="4"/>
  <c r="D282" i="4"/>
  <c r="D283" i="4"/>
  <c r="D284" i="4"/>
  <c r="D285" i="4"/>
  <c r="D286" i="4"/>
  <c r="D287" i="4"/>
  <c r="D288" i="4"/>
  <c r="D289" i="4"/>
  <c r="D290" i="4"/>
  <c r="D291" i="4"/>
  <c r="D292" i="4"/>
  <c r="D293" i="4"/>
  <c r="D294" i="4"/>
  <c r="D295" i="4"/>
  <c r="D296" i="4"/>
  <c r="D297" i="4"/>
  <c r="D298" i="4"/>
  <c r="D299" i="4"/>
  <c r="D300" i="4"/>
  <c r="D301" i="4"/>
  <c r="D302" i="4"/>
  <c r="D303" i="4"/>
  <c r="D304" i="4"/>
  <c r="D305" i="4"/>
  <c r="D306" i="4"/>
  <c r="D307" i="4"/>
  <c r="D308" i="4"/>
  <c r="D309" i="4"/>
  <c r="D310" i="4"/>
  <c r="D311" i="4"/>
  <c r="D312" i="4"/>
  <c r="D313" i="4"/>
  <c r="D314" i="4"/>
  <c r="D315" i="4"/>
  <c r="D316" i="4"/>
  <c r="D317" i="4"/>
  <c r="D318" i="4"/>
  <c r="D319" i="4"/>
  <c r="D320" i="4"/>
  <c r="D321" i="4"/>
  <c r="D322" i="4"/>
  <c r="D323" i="4"/>
  <c r="D324" i="4"/>
  <c r="D325" i="4"/>
  <c r="D326" i="4"/>
  <c r="D327" i="4"/>
  <c r="D328" i="4"/>
  <c r="D329" i="4"/>
  <c r="D330" i="4"/>
  <c r="D331" i="4"/>
  <c r="D332" i="4"/>
  <c r="D333" i="4"/>
  <c r="D334" i="4"/>
  <c r="D335" i="4"/>
  <c r="D336" i="4"/>
  <c r="D337" i="4"/>
  <c r="D338" i="4"/>
  <c r="D339" i="4"/>
  <c r="D340" i="4"/>
  <c r="D341" i="4"/>
  <c r="D342" i="4"/>
  <c r="D343" i="4"/>
  <c r="D344" i="4"/>
  <c r="D345" i="4"/>
  <c r="D346" i="4"/>
  <c r="D347" i="4"/>
  <c r="D348" i="4"/>
  <c r="D349" i="4"/>
  <c r="D350" i="4"/>
  <c r="D351" i="4"/>
  <c r="D352" i="4"/>
  <c r="D353" i="4"/>
  <c r="D354" i="4"/>
  <c r="D355" i="4"/>
  <c r="D356" i="4"/>
  <c r="D357" i="4"/>
  <c r="D358" i="4"/>
  <c r="D359" i="4"/>
  <c r="D360" i="4"/>
  <c r="D361" i="4"/>
  <c r="D362" i="4"/>
  <c r="D363" i="4"/>
  <c r="D364" i="4"/>
  <c r="D365" i="4"/>
  <c r="D366" i="4"/>
  <c r="D367" i="4"/>
  <c r="D368" i="4"/>
  <c r="D369" i="4"/>
  <c r="D370" i="4"/>
  <c r="D371" i="4"/>
  <c r="D372" i="4"/>
  <c r="D373" i="4"/>
  <c r="D374" i="4"/>
  <c r="D375" i="4"/>
  <c r="D376" i="4"/>
  <c r="D377" i="4"/>
  <c r="D378" i="4"/>
  <c r="D379" i="4"/>
  <c r="D380" i="4"/>
  <c r="D381" i="4"/>
  <c r="D382" i="4"/>
  <c r="D383" i="4"/>
  <c r="D384" i="4"/>
  <c r="D385" i="4"/>
  <c r="D386" i="4"/>
  <c r="D387" i="4"/>
  <c r="D388" i="4"/>
  <c r="D389" i="4"/>
  <c r="D390" i="4"/>
  <c r="D391" i="4"/>
  <c r="D392" i="4"/>
  <c r="D393" i="4"/>
  <c r="D394" i="4"/>
  <c r="D395" i="4"/>
  <c r="D396" i="4"/>
  <c r="D397" i="4"/>
  <c r="D398" i="4"/>
  <c r="D399" i="4"/>
  <c r="D400" i="4"/>
  <c r="D401" i="4"/>
  <c r="D402" i="4"/>
  <c r="D403" i="4"/>
  <c r="D404" i="4"/>
  <c r="D405" i="4"/>
  <c r="D406" i="4"/>
  <c r="D407" i="4"/>
  <c r="D408" i="4"/>
  <c r="D409" i="4"/>
  <c r="D410" i="4"/>
  <c r="D411" i="4"/>
  <c r="D412" i="4"/>
  <c r="D413" i="4"/>
  <c r="D414" i="4"/>
  <c r="D415" i="4"/>
  <c r="D416" i="4"/>
  <c r="D417" i="4"/>
  <c r="D418" i="4"/>
  <c r="D419" i="4"/>
  <c r="D420" i="4"/>
  <c r="D421" i="4"/>
  <c r="D422" i="4"/>
  <c r="D423" i="4"/>
  <c r="D424" i="4"/>
  <c r="D425" i="4"/>
  <c r="D426" i="4"/>
  <c r="D427" i="4"/>
  <c r="D428" i="4"/>
  <c r="D429" i="4"/>
  <c r="D430" i="4"/>
  <c r="D431" i="4"/>
  <c r="D432" i="4"/>
  <c r="D433" i="4"/>
  <c r="D434" i="4"/>
  <c r="D435" i="4"/>
  <c r="D436" i="4"/>
  <c r="D437" i="4"/>
  <c r="D438" i="4"/>
  <c r="D439" i="4"/>
  <c r="D440" i="4"/>
  <c r="D441" i="4"/>
  <c r="D442" i="4"/>
  <c r="D443" i="4"/>
  <c r="D444" i="4"/>
  <c r="D445" i="4"/>
  <c r="D446" i="4"/>
  <c r="D447" i="4"/>
  <c r="D448" i="4"/>
  <c r="D449" i="4"/>
  <c r="D450" i="4"/>
  <c r="D451" i="4"/>
  <c r="D452" i="4"/>
  <c r="D453" i="4"/>
  <c r="D454" i="4"/>
  <c r="D455" i="4"/>
  <c r="D456" i="4"/>
  <c r="D457" i="4"/>
  <c r="D458" i="4"/>
  <c r="D459" i="4"/>
  <c r="D460" i="4"/>
  <c r="D461" i="4"/>
  <c r="D462" i="4"/>
  <c r="D463" i="4"/>
  <c r="D464" i="4"/>
  <c r="D465" i="4"/>
  <c r="D466" i="4"/>
  <c r="D467" i="4"/>
  <c r="D468" i="4"/>
  <c r="D469" i="4"/>
  <c r="D470" i="4"/>
  <c r="D471" i="4"/>
  <c r="D472" i="4"/>
  <c r="D473" i="4"/>
  <c r="D474" i="4"/>
  <c r="D475" i="4"/>
  <c r="D476" i="4"/>
  <c r="D477" i="4"/>
  <c r="D478" i="4"/>
  <c r="D479" i="4"/>
  <c r="D480" i="4"/>
  <c r="D481" i="4"/>
  <c r="D482" i="4"/>
  <c r="D483" i="4"/>
  <c r="D484" i="4"/>
  <c r="D485" i="4"/>
  <c r="D486" i="4"/>
  <c r="D487" i="4"/>
  <c r="D488" i="4"/>
  <c r="D489" i="4"/>
  <c r="D490" i="4"/>
  <c r="D491" i="4"/>
  <c r="D492" i="4"/>
  <c r="D493" i="4"/>
  <c r="D494" i="4"/>
  <c r="D495" i="4"/>
  <c r="D496" i="4"/>
  <c r="D497" i="4"/>
  <c r="D498" i="4"/>
  <c r="D499" i="4"/>
  <c r="D500" i="4"/>
  <c r="D501" i="4"/>
  <c r="D502" i="4"/>
  <c r="D503" i="4"/>
  <c r="D504" i="4"/>
  <c r="D505" i="4"/>
  <c r="D506" i="4"/>
  <c r="D507" i="4"/>
  <c r="D508" i="4"/>
  <c r="D509" i="4"/>
  <c r="D510" i="4"/>
  <c r="D511" i="4"/>
  <c r="D512" i="4"/>
  <c r="D513" i="4"/>
  <c r="D514" i="4"/>
  <c r="D515" i="4"/>
  <c r="D516" i="4"/>
  <c r="D517" i="4"/>
  <c r="D518" i="4"/>
  <c r="D519" i="4"/>
  <c r="D520" i="4"/>
  <c r="D521" i="4"/>
  <c r="D522" i="4"/>
  <c r="D523" i="4"/>
  <c r="D524" i="4"/>
  <c r="D525" i="4"/>
  <c r="D526" i="4"/>
  <c r="D527" i="4"/>
  <c r="D528" i="4"/>
  <c r="D529" i="4"/>
  <c r="D530" i="4"/>
  <c r="D531" i="4"/>
  <c r="D532" i="4"/>
  <c r="D533" i="4"/>
  <c r="D534" i="4"/>
  <c r="D535" i="4"/>
  <c r="D536" i="4"/>
  <c r="D537" i="4"/>
  <c r="D538" i="4"/>
  <c r="D539" i="4"/>
  <c r="D540" i="4"/>
  <c r="D541" i="4"/>
  <c r="D542" i="4"/>
  <c r="D543" i="4"/>
  <c r="D544" i="4"/>
  <c r="D545" i="4"/>
  <c r="D546" i="4"/>
  <c r="D547" i="4"/>
  <c r="D548" i="4"/>
  <c r="D549" i="4"/>
  <c r="D550" i="4"/>
  <c r="D551" i="4"/>
  <c r="D552" i="4"/>
  <c r="D553" i="4"/>
  <c r="D554" i="4"/>
  <c r="D555" i="4"/>
  <c r="D556" i="4"/>
  <c r="D557" i="4"/>
  <c r="D558" i="4"/>
  <c r="D559" i="4"/>
  <c r="D560" i="4"/>
  <c r="D561" i="4"/>
  <c r="D562" i="4"/>
  <c r="D563" i="4"/>
  <c r="D564" i="4"/>
  <c r="D565" i="4"/>
  <c r="D566" i="4"/>
  <c r="D567" i="4"/>
  <c r="D568" i="4"/>
  <c r="D569" i="4"/>
  <c r="D570" i="4"/>
  <c r="D571" i="4"/>
  <c r="D572" i="4"/>
  <c r="D573" i="4"/>
  <c r="D574" i="4"/>
  <c r="D575" i="4"/>
  <c r="D576" i="4"/>
  <c r="D577" i="4"/>
  <c r="D578" i="4"/>
  <c r="D579" i="4"/>
  <c r="D580" i="4"/>
  <c r="D581" i="4"/>
  <c r="D582" i="4"/>
  <c r="D583" i="4"/>
  <c r="D584" i="4"/>
  <c r="D585" i="4"/>
  <c r="D586" i="4"/>
  <c r="D587" i="4"/>
  <c r="D588" i="4"/>
  <c r="D589" i="4"/>
  <c r="D590" i="4"/>
  <c r="D591" i="4"/>
  <c r="D592" i="4"/>
  <c r="D593" i="4"/>
  <c r="D594" i="4"/>
  <c r="D595" i="4"/>
  <c r="D596" i="4"/>
  <c r="D597" i="4"/>
  <c r="D598" i="4"/>
  <c r="D599" i="4"/>
  <c r="D600" i="4"/>
  <c r="D601" i="4"/>
  <c r="D602" i="4"/>
  <c r="D603" i="4"/>
  <c r="D604" i="4"/>
  <c r="D605" i="4"/>
  <c r="D606" i="4"/>
  <c r="D607" i="4"/>
  <c r="D608" i="4"/>
  <c r="D609" i="4"/>
  <c r="D610" i="4"/>
  <c r="D611" i="4"/>
  <c r="D612" i="4"/>
  <c r="D613" i="4"/>
  <c r="D614" i="4"/>
  <c r="D615" i="4"/>
  <c r="D616" i="4"/>
  <c r="D617" i="4"/>
  <c r="D618" i="4"/>
  <c r="D619" i="4"/>
  <c r="D620" i="4"/>
  <c r="D621" i="4"/>
  <c r="D622" i="4"/>
  <c r="D623" i="4"/>
  <c r="D624" i="4"/>
  <c r="D625" i="4"/>
  <c r="D626" i="4"/>
  <c r="D627" i="4"/>
  <c r="D628" i="4"/>
  <c r="D629" i="4"/>
  <c r="D630" i="4"/>
  <c r="D631" i="4"/>
  <c r="D632" i="4"/>
  <c r="D633" i="4"/>
  <c r="D634" i="4"/>
  <c r="D635" i="4"/>
  <c r="D636" i="4"/>
  <c r="D637" i="4"/>
  <c r="D638" i="4"/>
  <c r="D639" i="4"/>
  <c r="D640" i="4"/>
  <c r="D641" i="4"/>
  <c r="D642" i="4"/>
  <c r="D643" i="4"/>
  <c r="D644" i="4"/>
  <c r="D645" i="4"/>
  <c r="D646" i="4"/>
  <c r="D647" i="4"/>
  <c r="D648" i="4"/>
  <c r="D649" i="4"/>
  <c r="D650" i="4"/>
  <c r="D651" i="4"/>
  <c r="D652" i="4"/>
  <c r="D653" i="4"/>
  <c r="D654" i="4"/>
  <c r="D655" i="4"/>
  <c r="D656" i="4"/>
  <c r="D657" i="4"/>
  <c r="D658" i="4"/>
  <c r="D659" i="4"/>
  <c r="D660" i="4"/>
  <c r="D661" i="4"/>
  <c r="D662" i="4"/>
  <c r="D663" i="4"/>
  <c r="D664" i="4"/>
  <c r="D665" i="4"/>
  <c r="D666" i="4"/>
  <c r="D667" i="4"/>
  <c r="D668" i="4"/>
  <c r="D669" i="4"/>
  <c r="D670" i="4"/>
  <c r="D671" i="4"/>
  <c r="D672" i="4"/>
  <c r="D673" i="4"/>
  <c r="D674" i="4"/>
  <c r="D675" i="4"/>
  <c r="D676" i="4"/>
  <c r="D677" i="4"/>
  <c r="D678" i="4"/>
  <c r="D679" i="4"/>
  <c r="D680" i="4"/>
  <c r="D681" i="4"/>
  <c r="D682" i="4"/>
  <c r="D683" i="4"/>
  <c r="D684" i="4"/>
  <c r="D685" i="4"/>
  <c r="D686" i="4"/>
  <c r="D687" i="4"/>
  <c r="D688" i="4"/>
  <c r="D689" i="4"/>
  <c r="D690" i="4"/>
  <c r="D691" i="4"/>
  <c r="D692" i="4"/>
  <c r="D693" i="4"/>
  <c r="D694" i="4"/>
  <c r="D695" i="4"/>
  <c r="D696" i="4"/>
  <c r="D697" i="4"/>
  <c r="D698" i="4"/>
  <c r="D699" i="4"/>
  <c r="D700" i="4"/>
  <c r="D701" i="4"/>
  <c r="D702" i="4"/>
  <c r="D703" i="4"/>
  <c r="D704" i="4"/>
  <c r="D705" i="4"/>
  <c r="D706" i="4"/>
  <c r="D707" i="4"/>
  <c r="D708" i="4"/>
  <c r="D709" i="4"/>
  <c r="D710" i="4"/>
  <c r="D711" i="4"/>
  <c r="D712" i="4"/>
  <c r="D713" i="4"/>
  <c r="D714" i="4"/>
  <c r="D715" i="4"/>
  <c r="D716" i="4"/>
  <c r="D717" i="4"/>
  <c r="D718" i="4"/>
  <c r="D719" i="4"/>
  <c r="D720" i="4"/>
  <c r="D721" i="4"/>
  <c r="D722" i="4"/>
  <c r="D723" i="4"/>
  <c r="D724" i="4"/>
  <c r="D725" i="4"/>
  <c r="D726" i="4"/>
  <c r="D727" i="4"/>
  <c r="D728" i="4"/>
  <c r="D729" i="4"/>
  <c r="D730" i="4"/>
  <c r="D731" i="4"/>
  <c r="D732" i="4"/>
  <c r="D733" i="4"/>
  <c r="D734" i="4"/>
  <c r="D735" i="4"/>
  <c r="D736" i="4"/>
  <c r="D737" i="4"/>
  <c r="D738" i="4"/>
  <c r="D739" i="4"/>
  <c r="D740" i="4"/>
  <c r="D741" i="4"/>
  <c r="D742" i="4"/>
  <c r="D743" i="4"/>
  <c r="D744" i="4"/>
  <c r="D745" i="4"/>
  <c r="D746" i="4"/>
  <c r="D747" i="4"/>
  <c r="D748" i="4"/>
  <c r="D749" i="4"/>
  <c r="D750" i="4"/>
  <c r="D751" i="4"/>
  <c r="D752" i="4"/>
  <c r="D753" i="4"/>
  <c r="D754" i="4"/>
  <c r="D755" i="4"/>
  <c r="D756" i="4"/>
  <c r="D757" i="4"/>
  <c r="D758" i="4"/>
  <c r="D759" i="4"/>
  <c r="D760" i="4"/>
  <c r="D761" i="4"/>
  <c r="D762" i="4"/>
  <c r="D763" i="4"/>
  <c r="D764" i="4"/>
  <c r="D765" i="4"/>
  <c r="D766" i="4"/>
  <c r="D767" i="4"/>
  <c r="D768" i="4"/>
  <c r="D769" i="4"/>
  <c r="D770" i="4"/>
  <c r="D771" i="4"/>
  <c r="D772" i="4"/>
  <c r="D773" i="4"/>
  <c r="D774" i="4"/>
  <c r="D775" i="4"/>
  <c r="D776" i="4"/>
  <c r="D777" i="4"/>
  <c r="D778" i="4"/>
  <c r="D779" i="4"/>
  <c r="D780" i="4"/>
  <c r="D781" i="4"/>
  <c r="D782" i="4"/>
  <c r="D783" i="4"/>
  <c r="D784" i="4"/>
  <c r="D785" i="4"/>
  <c r="D786" i="4"/>
  <c r="D787" i="4"/>
  <c r="D788" i="4"/>
  <c r="D789" i="4"/>
  <c r="D790" i="4"/>
  <c r="D791" i="4"/>
  <c r="D792" i="4"/>
  <c r="D793" i="4"/>
  <c r="D794" i="4"/>
  <c r="D795" i="4"/>
  <c r="D796" i="4"/>
  <c r="D797" i="4"/>
  <c r="D798" i="4"/>
  <c r="D799" i="4"/>
  <c r="D800" i="4"/>
  <c r="D801" i="4"/>
  <c r="D802" i="4"/>
  <c r="D803" i="4"/>
  <c r="D804" i="4"/>
  <c r="D805" i="4"/>
  <c r="D806" i="4"/>
  <c r="D807" i="4"/>
  <c r="D808" i="4"/>
  <c r="D809" i="4"/>
  <c r="D810" i="4"/>
  <c r="D811" i="4"/>
  <c r="D812" i="4"/>
  <c r="D813" i="4"/>
  <c r="D814" i="4"/>
  <c r="D815" i="4"/>
  <c r="D816" i="4"/>
  <c r="D817" i="4"/>
  <c r="D818" i="4"/>
  <c r="D819" i="4"/>
  <c r="D820" i="4"/>
  <c r="D821" i="4"/>
  <c r="D822" i="4"/>
  <c r="D823" i="4"/>
  <c r="D824" i="4"/>
  <c r="D825" i="4"/>
  <c r="D826" i="4"/>
  <c r="D827" i="4"/>
  <c r="D828" i="4"/>
  <c r="D829" i="4"/>
  <c r="D830" i="4"/>
  <c r="D831" i="4"/>
  <c r="D832" i="4"/>
  <c r="D833" i="4"/>
  <c r="D834" i="4"/>
  <c r="D835" i="4"/>
  <c r="D836" i="4"/>
  <c r="D837" i="4"/>
  <c r="D838" i="4"/>
  <c r="D839" i="4"/>
  <c r="D840" i="4"/>
  <c r="D841" i="4"/>
  <c r="D842" i="4"/>
  <c r="D843" i="4"/>
  <c r="D844" i="4"/>
  <c r="D845" i="4"/>
  <c r="D846" i="4"/>
  <c r="D847" i="4"/>
  <c r="D848" i="4"/>
  <c r="D849" i="4"/>
  <c r="D850" i="4"/>
  <c r="D851" i="4"/>
  <c r="D852" i="4"/>
  <c r="D853" i="4"/>
  <c r="D854" i="4"/>
  <c r="D855" i="4"/>
  <c r="D856" i="4"/>
  <c r="D857" i="4"/>
  <c r="D858" i="4"/>
  <c r="D859" i="4"/>
  <c r="D860" i="4"/>
  <c r="D861" i="4"/>
  <c r="D862" i="4"/>
  <c r="D863" i="4"/>
  <c r="D864" i="4"/>
  <c r="D865" i="4"/>
  <c r="D866" i="4"/>
  <c r="D867" i="4"/>
  <c r="D868" i="4"/>
  <c r="D869" i="4"/>
  <c r="D870" i="4"/>
  <c r="D871" i="4"/>
  <c r="D872" i="4"/>
  <c r="D873" i="4"/>
  <c r="D874" i="4"/>
  <c r="D875" i="4"/>
  <c r="D876" i="4"/>
  <c r="D877" i="4"/>
  <c r="D878" i="4"/>
  <c r="D879" i="4"/>
  <c r="D880" i="4"/>
  <c r="D881" i="4"/>
  <c r="D2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C250" i="4"/>
  <c r="C251" i="4"/>
  <c r="C252" i="4"/>
  <c r="C253" i="4"/>
  <c r="C254" i="4"/>
  <c r="C255" i="4"/>
  <c r="C256" i="4"/>
  <c r="C257" i="4"/>
  <c r="C258" i="4"/>
  <c r="C259" i="4"/>
  <c r="C260" i="4"/>
  <c r="C261" i="4"/>
  <c r="C262" i="4"/>
  <c r="C263" i="4"/>
  <c r="C264" i="4"/>
  <c r="C265" i="4"/>
  <c r="C266" i="4"/>
  <c r="C267" i="4"/>
  <c r="C268" i="4"/>
  <c r="C269" i="4"/>
  <c r="C270" i="4"/>
  <c r="C271" i="4"/>
  <c r="C272" i="4"/>
  <c r="C273" i="4"/>
  <c r="C274" i="4"/>
  <c r="C275" i="4"/>
  <c r="C276" i="4"/>
  <c r="C277" i="4"/>
  <c r="C278" i="4"/>
  <c r="C279" i="4"/>
  <c r="C280" i="4"/>
  <c r="C281" i="4"/>
  <c r="C282" i="4"/>
  <c r="C283" i="4"/>
  <c r="C284" i="4"/>
  <c r="C285" i="4"/>
  <c r="C286" i="4"/>
  <c r="C287" i="4"/>
  <c r="C288" i="4"/>
  <c r="C289" i="4"/>
  <c r="C290" i="4"/>
  <c r="C291" i="4"/>
  <c r="C292" i="4"/>
  <c r="C293" i="4"/>
  <c r="C294" i="4"/>
  <c r="C295" i="4"/>
  <c r="C296" i="4"/>
  <c r="C297" i="4"/>
  <c r="C298" i="4"/>
  <c r="C299" i="4"/>
  <c r="C300" i="4"/>
  <c r="C301" i="4"/>
  <c r="C302" i="4"/>
  <c r="C303" i="4"/>
  <c r="C304" i="4"/>
  <c r="C305" i="4"/>
  <c r="C306" i="4"/>
  <c r="C307" i="4"/>
  <c r="C308" i="4"/>
  <c r="C309" i="4"/>
  <c r="C310" i="4"/>
  <c r="C311" i="4"/>
  <c r="C312" i="4"/>
  <c r="C313" i="4"/>
  <c r="C314" i="4"/>
  <c r="C315" i="4"/>
  <c r="C316" i="4"/>
  <c r="C317" i="4"/>
  <c r="C318" i="4"/>
  <c r="C319" i="4"/>
  <c r="C320" i="4"/>
  <c r="C321" i="4"/>
  <c r="C322" i="4"/>
  <c r="C323" i="4"/>
  <c r="C324" i="4"/>
  <c r="C325" i="4"/>
  <c r="C326" i="4"/>
  <c r="C327" i="4"/>
  <c r="C328" i="4"/>
  <c r="C329" i="4"/>
  <c r="C330" i="4"/>
  <c r="C331" i="4"/>
  <c r="C332" i="4"/>
  <c r="C333" i="4"/>
  <c r="C334" i="4"/>
  <c r="C335" i="4"/>
  <c r="C336" i="4"/>
  <c r="C337" i="4"/>
  <c r="C338" i="4"/>
  <c r="C339" i="4"/>
  <c r="C340" i="4"/>
  <c r="C341" i="4"/>
  <c r="C342" i="4"/>
  <c r="C343" i="4"/>
  <c r="C344" i="4"/>
  <c r="C345" i="4"/>
  <c r="C346" i="4"/>
  <c r="C347" i="4"/>
  <c r="C348" i="4"/>
  <c r="C349" i="4"/>
  <c r="C350" i="4"/>
  <c r="C351" i="4"/>
  <c r="C352" i="4"/>
  <c r="C353" i="4"/>
  <c r="C354" i="4"/>
  <c r="C355" i="4"/>
  <c r="C356" i="4"/>
  <c r="C357" i="4"/>
  <c r="C358" i="4"/>
  <c r="C359" i="4"/>
  <c r="C360" i="4"/>
  <c r="C361" i="4"/>
  <c r="C362" i="4"/>
  <c r="C363" i="4"/>
  <c r="C364" i="4"/>
  <c r="C365" i="4"/>
  <c r="C366" i="4"/>
  <c r="C367" i="4"/>
  <c r="C368" i="4"/>
  <c r="C369" i="4"/>
  <c r="C370" i="4"/>
  <c r="C371" i="4"/>
  <c r="C372" i="4"/>
  <c r="C373" i="4"/>
  <c r="C374" i="4"/>
  <c r="C375" i="4"/>
  <c r="C376" i="4"/>
  <c r="C377" i="4"/>
  <c r="C378" i="4"/>
  <c r="C379" i="4"/>
  <c r="C380" i="4"/>
  <c r="C381" i="4"/>
  <c r="C382" i="4"/>
  <c r="C383" i="4"/>
  <c r="C384" i="4"/>
  <c r="C385" i="4"/>
  <c r="C386" i="4"/>
  <c r="C387" i="4"/>
  <c r="C388" i="4"/>
  <c r="C389" i="4"/>
  <c r="C390" i="4"/>
  <c r="C391" i="4"/>
  <c r="C392" i="4"/>
  <c r="C393" i="4"/>
  <c r="C394" i="4"/>
  <c r="C395" i="4"/>
  <c r="C396" i="4"/>
  <c r="C397" i="4"/>
  <c r="C398" i="4"/>
  <c r="C399" i="4"/>
  <c r="C400" i="4"/>
  <c r="C401" i="4"/>
  <c r="C402" i="4"/>
  <c r="C403" i="4"/>
  <c r="C404" i="4"/>
  <c r="C405" i="4"/>
  <c r="C406" i="4"/>
  <c r="C407" i="4"/>
  <c r="C408" i="4"/>
  <c r="C409" i="4"/>
  <c r="C410" i="4"/>
  <c r="C411" i="4"/>
  <c r="C412" i="4"/>
  <c r="C413" i="4"/>
  <c r="C414" i="4"/>
  <c r="C415" i="4"/>
  <c r="C416" i="4"/>
  <c r="C417" i="4"/>
  <c r="C418" i="4"/>
  <c r="C419" i="4"/>
  <c r="C420" i="4"/>
  <c r="C421" i="4"/>
  <c r="C422" i="4"/>
  <c r="C423" i="4"/>
  <c r="C424" i="4"/>
  <c r="C425" i="4"/>
  <c r="C426" i="4"/>
  <c r="C427" i="4"/>
  <c r="C428" i="4"/>
  <c r="C429" i="4"/>
  <c r="C430" i="4"/>
  <c r="C431" i="4"/>
  <c r="C432" i="4"/>
  <c r="C433" i="4"/>
  <c r="C434" i="4"/>
  <c r="C435" i="4"/>
  <c r="C436" i="4"/>
  <c r="C437" i="4"/>
  <c r="C438" i="4"/>
  <c r="C439" i="4"/>
  <c r="C440" i="4"/>
  <c r="C441" i="4"/>
  <c r="C442" i="4"/>
  <c r="C443" i="4"/>
  <c r="C444" i="4"/>
  <c r="C445" i="4"/>
  <c r="C446" i="4"/>
  <c r="C447" i="4"/>
  <c r="C448" i="4"/>
  <c r="C449" i="4"/>
  <c r="C450" i="4"/>
  <c r="C451" i="4"/>
  <c r="C452" i="4"/>
  <c r="C453" i="4"/>
  <c r="C454" i="4"/>
  <c r="C455" i="4"/>
  <c r="C456" i="4"/>
  <c r="C457" i="4"/>
  <c r="C458" i="4"/>
  <c r="C459" i="4"/>
  <c r="C460" i="4"/>
  <c r="C461" i="4"/>
  <c r="C462" i="4"/>
  <c r="C463" i="4"/>
  <c r="C464" i="4"/>
  <c r="C465" i="4"/>
  <c r="C466" i="4"/>
  <c r="C467" i="4"/>
  <c r="C468" i="4"/>
  <c r="C469" i="4"/>
  <c r="C470" i="4"/>
  <c r="C471" i="4"/>
  <c r="C472" i="4"/>
  <c r="C473" i="4"/>
  <c r="C474" i="4"/>
  <c r="C475" i="4"/>
  <c r="C476" i="4"/>
  <c r="C477" i="4"/>
  <c r="C478" i="4"/>
  <c r="C479" i="4"/>
  <c r="C480" i="4"/>
  <c r="C481" i="4"/>
  <c r="C482" i="4"/>
  <c r="C483" i="4"/>
  <c r="C484" i="4"/>
  <c r="C485" i="4"/>
  <c r="C486" i="4"/>
  <c r="C487" i="4"/>
  <c r="C488" i="4"/>
  <c r="C489" i="4"/>
  <c r="C490" i="4"/>
  <c r="C491" i="4"/>
  <c r="C492" i="4"/>
  <c r="C493" i="4"/>
  <c r="C494" i="4"/>
  <c r="C495" i="4"/>
  <c r="C496" i="4"/>
  <c r="C497" i="4"/>
  <c r="C498" i="4"/>
  <c r="C499" i="4"/>
  <c r="C500" i="4"/>
  <c r="C501" i="4"/>
  <c r="C502" i="4"/>
  <c r="C503" i="4"/>
  <c r="C504" i="4"/>
  <c r="C505" i="4"/>
  <c r="C506" i="4"/>
  <c r="C507" i="4"/>
  <c r="C508" i="4"/>
  <c r="C509" i="4"/>
  <c r="C510" i="4"/>
  <c r="C511" i="4"/>
  <c r="C512" i="4"/>
  <c r="C513" i="4"/>
  <c r="C514" i="4"/>
  <c r="C515" i="4"/>
  <c r="C516" i="4"/>
  <c r="C517" i="4"/>
  <c r="C518" i="4"/>
  <c r="C519" i="4"/>
  <c r="C520" i="4"/>
  <c r="C521" i="4"/>
  <c r="C522" i="4"/>
  <c r="C523" i="4"/>
  <c r="C524" i="4"/>
  <c r="C525" i="4"/>
  <c r="C526" i="4"/>
  <c r="C527" i="4"/>
  <c r="C528" i="4"/>
  <c r="C529" i="4"/>
  <c r="C530" i="4"/>
  <c r="C531" i="4"/>
  <c r="C532" i="4"/>
  <c r="C533" i="4"/>
  <c r="C534" i="4"/>
  <c r="C535" i="4"/>
  <c r="C536" i="4"/>
  <c r="C537" i="4"/>
  <c r="C538" i="4"/>
  <c r="C539" i="4"/>
  <c r="C540" i="4"/>
  <c r="C541" i="4"/>
  <c r="C542" i="4"/>
  <c r="C543" i="4"/>
  <c r="C544" i="4"/>
  <c r="C545" i="4"/>
  <c r="C546" i="4"/>
  <c r="C547" i="4"/>
  <c r="C548" i="4"/>
  <c r="C549" i="4"/>
  <c r="C550" i="4"/>
  <c r="C551" i="4"/>
  <c r="C552" i="4"/>
  <c r="C553" i="4"/>
  <c r="C554" i="4"/>
  <c r="C555" i="4"/>
  <c r="C556" i="4"/>
  <c r="C557" i="4"/>
  <c r="C558" i="4"/>
  <c r="C559" i="4"/>
  <c r="C560" i="4"/>
  <c r="C561" i="4"/>
  <c r="C562" i="4"/>
  <c r="C563" i="4"/>
  <c r="C564" i="4"/>
  <c r="C565" i="4"/>
  <c r="C566" i="4"/>
  <c r="C567" i="4"/>
  <c r="C568" i="4"/>
  <c r="C569" i="4"/>
  <c r="C570" i="4"/>
  <c r="C571" i="4"/>
  <c r="C572" i="4"/>
  <c r="C573" i="4"/>
  <c r="C574" i="4"/>
  <c r="C575" i="4"/>
  <c r="C576" i="4"/>
  <c r="C577" i="4"/>
  <c r="C578" i="4"/>
  <c r="C579" i="4"/>
  <c r="C580" i="4"/>
  <c r="C581" i="4"/>
  <c r="C582" i="4"/>
  <c r="C583" i="4"/>
  <c r="C584" i="4"/>
  <c r="C585" i="4"/>
  <c r="C586" i="4"/>
  <c r="C587" i="4"/>
  <c r="C588" i="4"/>
  <c r="C589" i="4"/>
  <c r="C590" i="4"/>
  <c r="C591" i="4"/>
  <c r="C592" i="4"/>
  <c r="C593" i="4"/>
  <c r="C594" i="4"/>
  <c r="C595" i="4"/>
  <c r="C596" i="4"/>
  <c r="C597" i="4"/>
  <c r="C598" i="4"/>
  <c r="C599" i="4"/>
  <c r="C600" i="4"/>
  <c r="C601" i="4"/>
  <c r="C602" i="4"/>
  <c r="C603" i="4"/>
  <c r="C604" i="4"/>
  <c r="C605" i="4"/>
  <c r="C606" i="4"/>
  <c r="C607" i="4"/>
  <c r="C608" i="4"/>
  <c r="C609" i="4"/>
  <c r="C610" i="4"/>
  <c r="C611" i="4"/>
  <c r="C612" i="4"/>
  <c r="C613" i="4"/>
  <c r="C614" i="4"/>
  <c r="C615" i="4"/>
  <c r="C616" i="4"/>
  <c r="C617" i="4"/>
  <c r="C618" i="4"/>
  <c r="C619" i="4"/>
  <c r="C620" i="4"/>
  <c r="C621" i="4"/>
  <c r="C622" i="4"/>
  <c r="C623" i="4"/>
  <c r="C624" i="4"/>
  <c r="C625" i="4"/>
  <c r="C626" i="4"/>
  <c r="C627" i="4"/>
  <c r="C628" i="4"/>
  <c r="C629" i="4"/>
  <c r="C630" i="4"/>
  <c r="C631" i="4"/>
  <c r="C632" i="4"/>
  <c r="C633" i="4"/>
  <c r="C634" i="4"/>
  <c r="C635" i="4"/>
  <c r="C636" i="4"/>
  <c r="C637" i="4"/>
  <c r="C638" i="4"/>
  <c r="C639" i="4"/>
  <c r="C640" i="4"/>
  <c r="C641" i="4"/>
  <c r="C642" i="4"/>
  <c r="C643" i="4"/>
  <c r="C644" i="4"/>
  <c r="C645" i="4"/>
  <c r="C646" i="4"/>
  <c r="C647" i="4"/>
  <c r="C648" i="4"/>
  <c r="C649" i="4"/>
  <c r="C650" i="4"/>
  <c r="C651" i="4"/>
  <c r="C652" i="4"/>
  <c r="C653" i="4"/>
  <c r="C654" i="4"/>
  <c r="C655" i="4"/>
  <c r="C656" i="4"/>
  <c r="C657" i="4"/>
  <c r="C658" i="4"/>
  <c r="C659" i="4"/>
  <c r="C660" i="4"/>
  <c r="C661" i="4"/>
  <c r="C662" i="4"/>
  <c r="C663" i="4"/>
  <c r="C664" i="4"/>
  <c r="C665" i="4"/>
  <c r="C666" i="4"/>
  <c r="C667" i="4"/>
  <c r="C668" i="4"/>
  <c r="C669" i="4"/>
  <c r="C670" i="4"/>
  <c r="C671" i="4"/>
  <c r="C672" i="4"/>
  <c r="C673" i="4"/>
  <c r="C674" i="4"/>
  <c r="C675" i="4"/>
  <c r="C676" i="4"/>
  <c r="C677" i="4"/>
  <c r="C678" i="4"/>
  <c r="C679" i="4"/>
  <c r="C680" i="4"/>
  <c r="C681" i="4"/>
  <c r="C682" i="4"/>
  <c r="C683" i="4"/>
  <c r="C684" i="4"/>
  <c r="C685" i="4"/>
  <c r="C686" i="4"/>
  <c r="C687" i="4"/>
  <c r="C688" i="4"/>
  <c r="C689" i="4"/>
  <c r="C690" i="4"/>
  <c r="C691" i="4"/>
  <c r="C692" i="4"/>
  <c r="C693" i="4"/>
  <c r="C694" i="4"/>
  <c r="C695" i="4"/>
  <c r="C696" i="4"/>
  <c r="C697" i="4"/>
  <c r="C698" i="4"/>
  <c r="C699" i="4"/>
  <c r="C700" i="4"/>
  <c r="C701" i="4"/>
  <c r="C702" i="4"/>
  <c r="C703" i="4"/>
  <c r="C704" i="4"/>
  <c r="C705" i="4"/>
  <c r="C706" i="4"/>
  <c r="C707" i="4"/>
  <c r="C708" i="4"/>
  <c r="C709" i="4"/>
  <c r="C710" i="4"/>
  <c r="C711" i="4"/>
  <c r="C712" i="4"/>
  <c r="C713" i="4"/>
  <c r="C714" i="4"/>
  <c r="C715" i="4"/>
  <c r="C716" i="4"/>
  <c r="C717" i="4"/>
  <c r="C718" i="4"/>
  <c r="C719" i="4"/>
  <c r="C720" i="4"/>
  <c r="C721" i="4"/>
  <c r="C722" i="4"/>
  <c r="C723" i="4"/>
  <c r="C724" i="4"/>
  <c r="C725" i="4"/>
  <c r="C726" i="4"/>
  <c r="C727" i="4"/>
  <c r="C728" i="4"/>
  <c r="C729" i="4"/>
  <c r="C730" i="4"/>
  <c r="C731" i="4"/>
  <c r="C732" i="4"/>
  <c r="C733" i="4"/>
  <c r="C734" i="4"/>
  <c r="C735" i="4"/>
  <c r="C736" i="4"/>
  <c r="C737" i="4"/>
  <c r="C738" i="4"/>
  <c r="C739" i="4"/>
  <c r="C740" i="4"/>
  <c r="C741" i="4"/>
  <c r="C742" i="4"/>
  <c r="C743" i="4"/>
  <c r="C744" i="4"/>
  <c r="C745" i="4"/>
  <c r="C746" i="4"/>
  <c r="C747" i="4"/>
  <c r="C748" i="4"/>
  <c r="C749" i="4"/>
  <c r="C750" i="4"/>
  <c r="C751" i="4"/>
  <c r="C752" i="4"/>
  <c r="C753" i="4"/>
  <c r="C754" i="4"/>
  <c r="C755" i="4"/>
  <c r="C756" i="4"/>
  <c r="C757" i="4"/>
  <c r="C758" i="4"/>
  <c r="C759" i="4"/>
  <c r="C760" i="4"/>
  <c r="C761" i="4"/>
  <c r="C762" i="4"/>
  <c r="C763" i="4"/>
  <c r="C764" i="4"/>
  <c r="C765" i="4"/>
  <c r="C766" i="4"/>
  <c r="C767" i="4"/>
  <c r="C768" i="4"/>
  <c r="C769" i="4"/>
  <c r="C770" i="4"/>
  <c r="C771" i="4"/>
  <c r="C772" i="4"/>
  <c r="C773" i="4"/>
  <c r="C774" i="4"/>
  <c r="C775" i="4"/>
  <c r="C776" i="4"/>
  <c r="C777" i="4"/>
  <c r="C778" i="4"/>
  <c r="C779" i="4"/>
  <c r="C780" i="4"/>
  <c r="C781" i="4"/>
  <c r="C782" i="4"/>
  <c r="C783" i="4"/>
  <c r="C784" i="4"/>
  <c r="C785" i="4"/>
  <c r="C786" i="4"/>
  <c r="C787" i="4"/>
  <c r="C788" i="4"/>
  <c r="C789" i="4"/>
  <c r="C790" i="4"/>
  <c r="C791" i="4"/>
  <c r="C792" i="4"/>
  <c r="C793" i="4"/>
  <c r="C794" i="4"/>
  <c r="C795" i="4"/>
  <c r="C796" i="4"/>
  <c r="C797" i="4"/>
  <c r="C798" i="4"/>
  <c r="C799" i="4"/>
  <c r="C800" i="4"/>
  <c r="C801" i="4"/>
  <c r="C802" i="4"/>
  <c r="C803" i="4"/>
  <c r="C804" i="4"/>
  <c r="C805" i="4"/>
  <c r="C806" i="4"/>
  <c r="C807" i="4"/>
  <c r="C808" i="4"/>
  <c r="C809" i="4"/>
  <c r="C810" i="4"/>
  <c r="C811" i="4"/>
  <c r="C812" i="4"/>
  <c r="C813" i="4"/>
  <c r="C814" i="4"/>
  <c r="C815" i="4"/>
  <c r="C816" i="4"/>
  <c r="C817" i="4"/>
  <c r="C818" i="4"/>
  <c r="C819" i="4"/>
  <c r="C820" i="4"/>
  <c r="C821" i="4"/>
  <c r="C822" i="4"/>
  <c r="C823" i="4"/>
  <c r="C824" i="4"/>
  <c r="C825" i="4"/>
  <c r="C826" i="4"/>
  <c r="C827" i="4"/>
  <c r="C828" i="4"/>
  <c r="C829" i="4"/>
  <c r="C830" i="4"/>
  <c r="C831" i="4"/>
  <c r="C832" i="4"/>
  <c r="C833" i="4"/>
  <c r="C834" i="4"/>
  <c r="C835" i="4"/>
  <c r="C836" i="4"/>
  <c r="C837" i="4"/>
  <c r="C838" i="4"/>
  <c r="C839" i="4"/>
  <c r="C840" i="4"/>
  <c r="C841" i="4"/>
  <c r="C842" i="4"/>
  <c r="C843" i="4"/>
  <c r="C844" i="4"/>
  <c r="C845" i="4"/>
  <c r="C846" i="4"/>
  <c r="C847" i="4"/>
  <c r="C848" i="4"/>
  <c r="C849" i="4"/>
  <c r="C850" i="4"/>
  <c r="C851" i="4"/>
  <c r="C852" i="4"/>
  <c r="C853" i="4"/>
  <c r="C854" i="4"/>
  <c r="C855" i="4"/>
  <c r="C856" i="4"/>
  <c r="C857" i="4"/>
  <c r="C858" i="4"/>
  <c r="C859" i="4"/>
  <c r="C860" i="4"/>
  <c r="C861" i="4"/>
  <c r="C862" i="4"/>
  <c r="C863" i="4"/>
  <c r="C864" i="4"/>
  <c r="C865" i="4"/>
  <c r="C866" i="4"/>
  <c r="C867" i="4"/>
  <c r="C868" i="4"/>
  <c r="C869" i="4"/>
  <c r="C870" i="4"/>
  <c r="C871" i="4"/>
  <c r="C872" i="4"/>
  <c r="C873" i="4"/>
  <c r="C874" i="4"/>
  <c r="C875" i="4"/>
  <c r="C876" i="4"/>
  <c r="C877" i="4"/>
  <c r="C878" i="4"/>
  <c r="C879" i="4"/>
  <c r="C880" i="4"/>
  <c r="C881" i="4"/>
  <c r="C218" i="4"/>
  <c r="C217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132" i="4"/>
  <c r="C131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15" i="4"/>
  <c r="C114" i="4"/>
  <c r="C113" i="4"/>
  <c r="C112" i="4"/>
  <c r="C111" i="4"/>
  <c r="C110" i="4"/>
  <c r="C109" i="4"/>
  <c r="C108" i="4"/>
  <c r="E1127" i="6" l="1"/>
  <c r="J1127" i="6" s="1"/>
  <c r="K1127" i="6" s="1"/>
  <c r="E1126" i="6"/>
  <c r="J1126" i="6" s="1"/>
  <c r="K1126" i="6" s="1"/>
  <c r="E1125" i="6"/>
  <c r="J1125" i="6" s="1"/>
  <c r="K1125" i="6" s="1"/>
  <c r="E1124" i="6"/>
  <c r="J1124" i="6" s="1"/>
  <c r="K1124" i="6" s="1"/>
  <c r="E1123" i="6"/>
  <c r="J1123" i="6" s="1"/>
  <c r="K1123" i="6" s="1"/>
  <c r="E1122" i="6"/>
  <c r="J1122" i="6" s="1"/>
  <c r="K1122" i="6" s="1"/>
  <c r="E1121" i="6"/>
  <c r="J1121" i="6" s="1"/>
  <c r="K1121" i="6" s="1"/>
  <c r="E1120" i="6"/>
  <c r="J1120" i="6" s="1"/>
  <c r="K1120" i="6" s="1"/>
  <c r="E1119" i="6"/>
  <c r="J1119" i="6" s="1"/>
  <c r="K1119" i="6" s="1"/>
  <c r="E1118" i="6"/>
  <c r="J1118" i="6" s="1"/>
  <c r="K1118" i="6" s="1"/>
  <c r="E1117" i="6"/>
  <c r="J1117" i="6" s="1"/>
  <c r="K1117" i="6" s="1"/>
  <c r="E1116" i="6"/>
  <c r="J1116" i="6" s="1"/>
  <c r="K1116" i="6" s="1"/>
  <c r="E1115" i="6"/>
  <c r="J1115" i="6" s="1"/>
  <c r="K1115" i="6" s="1"/>
  <c r="E1114" i="6"/>
  <c r="J1114" i="6" s="1"/>
  <c r="K1114" i="6" s="1"/>
  <c r="E1113" i="6"/>
  <c r="J1113" i="6" s="1"/>
  <c r="K1113" i="6" s="1"/>
  <c r="E1112" i="6"/>
  <c r="J1112" i="6" s="1"/>
  <c r="K1112" i="6" s="1"/>
  <c r="E1111" i="6"/>
  <c r="J1111" i="6" s="1"/>
  <c r="K1111" i="6" s="1"/>
  <c r="E1110" i="6"/>
  <c r="J1110" i="6" s="1"/>
  <c r="K1110" i="6" s="1"/>
  <c r="E1109" i="6"/>
  <c r="J1109" i="6" s="1"/>
  <c r="K1109" i="6" s="1"/>
  <c r="E1108" i="6"/>
  <c r="J1108" i="6" s="1"/>
  <c r="K1108" i="6" s="1"/>
  <c r="E1107" i="6"/>
  <c r="J1107" i="6" s="1"/>
  <c r="K1107" i="6" s="1"/>
  <c r="E1106" i="6"/>
  <c r="J1106" i="6" s="1"/>
  <c r="K1106" i="6" s="1"/>
  <c r="E1105" i="6"/>
  <c r="J1105" i="6" s="1"/>
  <c r="K1105" i="6" s="1"/>
  <c r="E1104" i="6"/>
  <c r="J1104" i="6" s="1"/>
  <c r="K1104" i="6" s="1"/>
  <c r="E1103" i="6"/>
  <c r="J1103" i="6" s="1"/>
  <c r="K1103" i="6" s="1"/>
  <c r="E1102" i="6"/>
  <c r="J1102" i="6" s="1"/>
  <c r="K1102" i="6" s="1"/>
  <c r="E1101" i="6"/>
  <c r="J1101" i="6" s="1"/>
  <c r="K1101" i="6" s="1"/>
  <c r="E1100" i="6"/>
  <c r="J1100" i="6" s="1"/>
  <c r="K1100" i="6" s="1"/>
  <c r="E1099" i="6"/>
  <c r="J1099" i="6" s="1"/>
  <c r="K1099" i="6" s="1"/>
  <c r="E1098" i="6"/>
  <c r="J1098" i="6" s="1"/>
  <c r="K1098" i="6" s="1"/>
  <c r="E1097" i="6"/>
  <c r="J1097" i="6" s="1"/>
  <c r="K1097" i="6" s="1"/>
  <c r="E1096" i="6"/>
  <c r="J1096" i="6" s="1"/>
  <c r="K1096" i="6" s="1"/>
  <c r="E1095" i="6"/>
  <c r="J1095" i="6" s="1"/>
  <c r="K1095" i="6" s="1"/>
  <c r="E1094" i="6"/>
  <c r="J1094" i="6" s="1"/>
  <c r="K1094" i="6" s="1"/>
  <c r="E1093" i="6"/>
  <c r="J1093" i="6" s="1"/>
  <c r="K1093" i="6" s="1"/>
  <c r="E1092" i="6"/>
  <c r="J1092" i="6" s="1"/>
  <c r="K1092" i="6" s="1"/>
  <c r="E1091" i="6"/>
  <c r="J1091" i="6" s="1"/>
  <c r="K1091" i="6" s="1"/>
  <c r="E1090" i="6"/>
  <c r="J1090" i="6" s="1"/>
  <c r="K1090" i="6" s="1"/>
  <c r="E1089" i="6"/>
  <c r="J1089" i="6" s="1"/>
  <c r="K1089" i="6" s="1"/>
  <c r="E1088" i="6"/>
  <c r="J1088" i="6" s="1"/>
  <c r="K1088" i="6" s="1"/>
  <c r="E1087" i="6"/>
  <c r="J1087" i="6" s="1"/>
  <c r="K1087" i="6" s="1"/>
  <c r="E1086" i="6"/>
  <c r="J1086" i="6" s="1"/>
  <c r="K1086" i="6" s="1"/>
  <c r="E1085" i="6"/>
  <c r="J1085" i="6" s="1"/>
  <c r="K1085" i="6" s="1"/>
  <c r="E1084" i="6"/>
  <c r="J1084" i="6" s="1"/>
  <c r="K1084" i="6" s="1"/>
  <c r="E1083" i="6"/>
  <c r="J1083" i="6" s="1"/>
  <c r="K1083" i="6" s="1"/>
  <c r="E1082" i="6"/>
  <c r="J1082" i="6" s="1"/>
  <c r="K1082" i="6" s="1"/>
  <c r="E1081" i="6"/>
  <c r="J1081" i="6" s="1"/>
  <c r="K1081" i="6" s="1"/>
  <c r="E1080" i="6"/>
  <c r="J1080" i="6" s="1"/>
  <c r="K1080" i="6" s="1"/>
  <c r="E1079" i="6"/>
  <c r="J1079" i="6" s="1"/>
  <c r="K1079" i="6" s="1"/>
  <c r="E1078" i="6"/>
  <c r="J1078" i="6" s="1"/>
  <c r="K1078" i="6" s="1"/>
  <c r="E1077" i="6"/>
  <c r="J1077" i="6" s="1"/>
  <c r="K1077" i="6" s="1"/>
  <c r="E1076" i="6"/>
  <c r="J1076" i="6" s="1"/>
  <c r="K1076" i="6" s="1"/>
  <c r="E1075" i="6"/>
  <c r="J1075" i="6" s="1"/>
  <c r="K1075" i="6" s="1"/>
  <c r="E1074" i="6"/>
  <c r="J1074" i="6" s="1"/>
  <c r="K1074" i="6" s="1"/>
  <c r="E1073" i="6"/>
  <c r="J1073" i="6" s="1"/>
  <c r="K1073" i="6" s="1"/>
  <c r="E1072" i="6"/>
  <c r="J1072" i="6" s="1"/>
  <c r="K1072" i="6" s="1"/>
  <c r="E1071" i="6"/>
  <c r="J1071" i="6" s="1"/>
  <c r="K1071" i="6" s="1"/>
  <c r="E1070" i="6"/>
  <c r="J1070" i="6" s="1"/>
  <c r="K1070" i="6" s="1"/>
  <c r="E1069" i="6"/>
  <c r="J1069" i="6" s="1"/>
  <c r="K1069" i="6" s="1"/>
  <c r="J1068" i="6"/>
  <c r="K1068" i="6" s="1"/>
  <c r="E1068" i="6"/>
  <c r="E1067" i="6"/>
  <c r="J1067" i="6" s="1"/>
  <c r="K1067" i="6" s="1"/>
  <c r="E1066" i="6"/>
  <c r="J1066" i="6" s="1"/>
  <c r="K1066" i="6" s="1"/>
  <c r="E1065" i="6"/>
  <c r="J1065" i="6" s="1"/>
  <c r="K1065" i="6" s="1"/>
  <c r="E1064" i="6"/>
  <c r="J1064" i="6" s="1"/>
  <c r="K1064" i="6" s="1"/>
  <c r="E1063" i="6"/>
  <c r="J1063" i="6" s="1"/>
  <c r="K1063" i="6" s="1"/>
  <c r="E1062" i="6"/>
  <c r="J1062" i="6" s="1"/>
  <c r="K1062" i="6" s="1"/>
  <c r="E1061" i="6"/>
  <c r="J1061" i="6" s="1"/>
  <c r="K1061" i="6" s="1"/>
  <c r="E1060" i="6"/>
  <c r="J1060" i="6" s="1"/>
  <c r="K1060" i="6" s="1"/>
  <c r="E1059" i="6"/>
  <c r="J1059" i="6" s="1"/>
  <c r="K1059" i="6" s="1"/>
  <c r="E1058" i="6"/>
  <c r="J1058" i="6" s="1"/>
  <c r="K1058" i="6" s="1"/>
  <c r="E1057" i="6"/>
  <c r="J1057" i="6" s="1"/>
  <c r="K1057" i="6" s="1"/>
  <c r="E1056" i="6"/>
  <c r="J1056" i="6" s="1"/>
  <c r="K1056" i="6" s="1"/>
  <c r="E1055" i="6"/>
  <c r="J1055" i="6" s="1"/>
  <c r="K1055" i="6" s="1"/>
  <c r="E1054" i="6"/>
  <c r="J1054" i="6" s="1"/>
  <c r="K1054" i="6" s="1"/>
  <c r="E1053" i="6"/>
  <c r="J1053" i="6" s="1"/>
  <c r="K1053" i="6" s="1"/>
  <c r="E1052" i="6"/>
  <c r="J1052" i="6" s="1"/>
  <c r="K1052" i="6" s="1"/>
  <c r="E1051" i="6"/>
  <c r="J1051" i="6" s="1"/>
  <c r="K1051" i="6" s="1"/>
  <c r="E1050" i="6"/>
  <c r="J1050" i="6" s="1"/>
  <c r="K1050" i="6" s="1"/>
  <c r="E1049" i="6"/>
  <c r="J1049" i="6" s="1"/>
  <c r="K1049" i="6" s="1"/>
  <c r="E1048" i="6"/>
  <c r="J1048" i="6" s="1"/>
  <c r="K1048" i="6" s="1"/>
  <c r="E1047" i="6"/>
  <c r="J1047" i="6" s="1"/>
  <c r="K1047" i="6" s="1"/>
  <c r="E1046" i="6"/>
  <c r="J1046" i="6" s="1"/>
  <c r="K1046" i="6" s="1"/>
  <c r="E1045" i="6"/>
  <c r="J1045" i="6" s="1"/>
  <c r="K1045" i="6" s="1"/>
  <c r="E1044" i="6"/>
  <c r="J1044" i="6" s="1"/>
  <c r="K1044" i="6" s="1"/>
  <c r="E1043" i="6"/>
  <c r="J1043" i="6" s="1"/>
  <c r="K1043" i="6" s="1"/>
  <c r="E1042" i="6"/>
  <c r="J1042" i="6" s="1"/>
  <c r="K1042" i="6" s="1"/>
  <c r="E1041" i="6"/>
  <c r="J1041" i="6" s="1"/>
  <c r="K1041" i="6" s="1"/>
  <c r="E1040" i="6"/>
  <c r="J1040" i="6" s="1"/>
  <c r="K1040" i="6" s="1"/>
  <c r="E1039" i="6"/>
  <c r="J1039" i="6" s="1"/>
  <c r="K1039" i="6" s="1"/>
  <c r="E1038" i="6"/>
  <c r="J1038" i="6" s="1"/>
  <c r="K1038" i="6" s="1"/>
  <c r="E1037" i="6"/>
  <c r="J1037" i="6" s="1"/>
  <c r="K1037" i="6" s="1"/>
  <c r="E1036" i="6"/>
  <c r="J1036" i="6" s="1"/>
  <c r="K1036" i="6" s="1"/>
  <c r="E1035" i="6"/>
  <c r="J1035" i="6" s="1"/>
  <c r="K1035" i="6" s="1"/>
  <c r="E1034" i="6"/>
  <c r="J1034" i="6" s="1"/>
  <c r="K1034" i="6" s="1"/>
  <c r="E1033" i="6"/>
  <c r="J1033" i="6" s="1"/>
  <c r="K1033" i="6" s="1"/>
  <c r="E1032" i="6"/>
  <c r="J1032" i="6" s="1"/>
  <c r="K1032" i="6" s="1"/>
  <c r="E1031" i="6"/>
  <c r="J1031" i="6" s="1"/>
  <c r="K1031" i="6" s="1"/>
  <c r="E1030" i="6"/>
  <c r="J1030" i="6" s="1"/>
  <c r="K1030" i="6" s="1"/>
  <c r="E1029" i="6"/>
  <c r="J1029" i="6" s="1"/>
  <c r="K1029" i="6" s="1"/>
  <c r="E1028" i="6"/>
  <c r="J1028" i="6" s="1"/>
  <c r="K1028" i="6" s="1"/>
  <c r="E1027" i="6"/>
  <c r="J1027" i="6" s="1"/>
  <c r="K1027" i="6" s="1"/>
  <c r="E1026" i="6"/>
  <c r="J1026" i="6" s="1"/>
  <c r="K1026" i="6" s="1"/>
  <c r="E1025" i="6"/>
  <c r="J1025" i="6" s="1"/>
  <c r="K1025" i="6" s="1"/>
  <c r="E1024" i="6"/>
  <c r="J1024" i="6" s="1"/>
  <c r="K1024" i="6" s="1"/>
  <c r="E1023" i="6"/>
  <c r="J1023" i="6" s="1"/>
  <c r="K1023" i="6" s="1"/>
  <c r="E1022" i="6"/>
  <c r="J1022" i="6" s="1"/>
  <c r="K1022" i="6" s="1"/>
  <c r="E1021" i="6"/>
  <c r="J1021" i="6" s="1"/>
  <c r="K1021" i="6" s="1"/>
  <c r="E1020" i="6"/>
  <c r="J1020" i="6" s="1"/>
  <c r="K1020" i="6" s="1"/>
  <c r="E1019" i="6"/>
  <c r="J1019" i="6" s="1"/>
  <c r="K1019" i="6" s="1"/>
  <c r="E1018" i="6"/>
  <c r="J1018" i="6" s="1"/>
  <c r="K1018" i="6" s="1"/>
  <c r="E1017" i="6"/>
  <c r="J1017" i="6" s="1"/>
  <c r="K1017" i="6" s="1"/>
  <c r="E1016" i="6"/>
  <c r="J1016" i="6" s="1"/>
  <c r="K1016" i="6" s="1"/>
  <c r="E1015" i="6"/>
  <c r="J1015" i="6" s="1"/>
  <c r="K1015" i="6" s="1"/>
  <c r="E1014" i="6"/>
  <c r="J1014" i="6" s="1"/>
  <c r="K1014" i="6" s="1"/>
  <c r="E1013" i="6"/>
  <c r="J1013" i="6" s="1"/>
  <c r="K1013" i="6" s="1"/>
  <c r="E1012" i="6"/>
  <c r="J1012" i="6" s="1"/>
  <c r="K1012" i="6" s="1"/>
  <c r="E1011" i="6"/>
  <c r="J1011" i="6" s="1"/>
  <c r="K1011" i="6" s="1"/>
  <c r="E1010" i="6"/>
  <c r="J1010" i="6" s="1"/>
  <c r="K1010" i="6" s="1"/>
  <c r="E1009" i="6"/>
  <c r="J1009" i="6" s="1"/>
  <c r="K1009" i="6" s="1"/>
  <c r="E1008" i="6"/>
  <c r="J1008" i="6" s="1"/>
  <c r="K1008" i="6" s="1"/>
  <c r="E1007" i="6"/>
  <c r="J1007" i="6" s="1"/>
  <c r="K1007" i="6" s="1"/>
  <c r="E1006" i="6"/>
  <c r="J1006" i="6" s="1"/>
  <c r="K1006" i="6" s="1"/>
  <c r="E1005" i="6"/>
  <c r="J1005" i="6" s="1"/>
  <c r="K1005" i="6" s="1"/>
  <c r="E1004" i="6"/>
  <c r="J1004" i="6" s="1"/>
  <c r="K1004" i="6" s="1"/>
  <c r="E1003" i="6"/>
  <c r="J1003" i="6" s="1"/>
  <c r="K1003" i="6" s="1"/>
  <c r="E1002" i="6"/>
  <c r="J1002" i="6" s="1"/>
  <c r="K1002" i="6" s="1"/>
  <c r="E1001" i="6"/>
  <c r="J1001" i="6" s="1"/>
  <c r="K1001" i="6" s="1"/>
  <c r="E1000" i="6"/>
  <c r="J1000" i="6" s="1"/>
  <c r="K1000" i="6" s="1"/>
  <c r="E999" i="6"/>
  <c r="J999" i="6" s="1"/>
  <c r="K999" i="6" s="1"/>
  <c r="E998" i="6"/>
  <c r="J998" i="6" s="1"/>
  <c r="K998" i="6" s="1"/>
  <c r="E997" i="6"/>
  <c r="J997" i="6" s="1"/>
  <c r="K997" i="6" s="1"/>
  <c r="E996" i="6"/>
  <c r="J996" i="6" s="1"/>
  <c r="K996" i="6" s="1"/>
  <c r="E995" i="6"/>
  <c r="J995" i="6" s="1"/>
  <c r="K995" i="6" s="1"/>
  <c r="E994" i="6"/>
  <c r="J994" i="6" s="1"/>
  <c r="K994" i="6" s="1"/>
  <c r="E993" i="6"/>
  <c r="J993" i="6" s="1"/>
  <c r="K993" i="6" s="1"/>
  <c r="E992" i="6"/>
  <c r="J992" i="6" s="1"/>
  <c r="K992" i="6" s="1"/>
  <c r="E991" i="6"/>
  <c r="J991" i="6" s="1"/>
  <c r="K991" i="6" s="1"/>
  <c r="E990" i="6"/>
  <c r="J990" i="6" s="1"/>
  <c r="K990" i="6" s="1"/>
  <c r="E989" i="6"/>
  <c r="J989" i="6" s="1"/>
  <c r="K989" i="6" s="1"/>
  <c r="E988" i="6"/>
  <c r="J988" i="6" s="1"/>
  <c r="K988" i="6" s="1"/>
  <c r="E987" i="6"/>
  <c r="J987" i="6" s="1"/>
  <c r="K987" i="6" s="1"/>
  <c r="E986" i="6"/>
  <c r="J986" i="6" s="1"/>
  <c r="K986" i="6" s="1"/>
  <c r="E985" i="6"/>
  <c r="J985" i="6" s="1"/>
  <c r="K985" i="6" s="1"/>
  <c r="E984" i="6"/>
  <c r="J984" i="6" s="1"/>
  <c r="K984" i="6" s="1"/>
  <c r="E983" i="6"/>
  <c r="J983" i="6" s="1"/>
  <c r="K983" i="6" s="1"/>
  <c r="E982" i="6"/>
  <c r="J982" i="6" s="1"/>
  <c r="K982" i="6" s="1"/>
  <c r="E981" i="6"/>
  <c r="J981" i="6" s="1"/>
  <c r="K981" i="6" s="1"/>
  <c r="E980" i="6"/>
  <c r="J980" i="6" s="1"/>
  <c r="K980" i="6" s="1"/>
  <c r="E979" i="6"/>
  <c r="J979" i="6" s="1"/>
  <c r="K979" i="6" s="1"/>
  <c r="E978" i="6"/>
  <c r="J978" i="6" s="1"/>
  <c r="K978" i="6" s="1"/>
  <c r="E977" i="6"/>
  <c r="J977" i="6" s="1"/>
  <c r="K977" i="6" s="1"/>
  <c r="E976" i="6"/>
  <c r="J976" i="6" s="1"/>
  <c r="K976" i="6" s="1"/>
  <c r="E975" i="6"/>
  <c r="J975" i="6" s="1"/>
  <c r="K975" i="6" s="1"/>
  <c r="E974" i="6"/>
  <c r="J974" i="6" s="1"/>
  <c r="K974" i="6" s="1"/>
  <c r="E973" i="6"/>
  <c r="J973" i="6" s="1"/>
  <c r="K973" i="6" s="1"/>
  <c r="E972" i="6"/>
  <c r="J972" i="6" s="1"/>
  <c r="K972" i="6" s="1"/>
  <c r="E971" i="6"/>
  <c r="J971" i="6" s="1"/>
  <c r="K971" i="6" s="1"/>
  <c r="E970" i="6"/>
  <c r="J970" i="6" s="1"/>
  <c r="K970" i="6" s="1"/>
  <c r="E969" i="6"/>
  <c r="J969" i="6" s="1"/>
  <c r="K969" i="6" s="1"/>
  <c r="E968" i="6"/>
  <c r="J968" i="6" s="1"/>
  <c r="K968" i="6" s="1"/>
  <c r="E967" i="6"/>
  <c r="J967" i="6" s="1"/>
  <c r="K967" i="6" s="1"/>
  <c r="E966" i="6"/>
  <c r="J966" i="6" s="1"/>
  <c r="K966" i="6" s="1"/>
  <c r="E965" i="6"/>
  <c r="J965" i="6" s="1"/>
  <c r="K965" i="6" s="1"/>
  <c r="E964" i="6"/>
  <c r="J964" i="6" s="1"/>
  <c r="K964" i="6" s="1"/>
  <c r="E963" i="6"/>
  <c r="J963" i="6" s="1"/>
  <c r="K963" i="6" s="1"/>
  <c r="E962" i="6"/>
  <c r="J962" i="6" s="1"/>
  <c r="K962" i="6" s="1"/>
  <c r="E961" i="6"/>
  <c r="J961" i="6" s="1"/>
  <c r="K961" i="6" s="1"/>
  <c r="E960" i="6"/>
  <c r="J960" i="6" s="1"/>
  <c r="K960" i="6" s="1"/>
  <c r="E959" i="6"/>
  <c r="J959" i="6" s="1"/>
  <c r="K959" i="6" s="1"/>
  <c r="E958" i="6"/>
  <c r="J958" i="6" s="1"/>
  <c r="K958" i="6" s="1"/>
  <c r="E957" i="6"/>
  <c r="J957" i="6" s="1"/>
  <c r="K957" i="6" s="1"/>
  <c r="E956" i="6"/>
  <c r="J956" i="6" s="1"/>
  <c r="K956" i="6" s="1"/>
  <c r="E955" i="6"/>
  <c r="J955" i="6" s="1"/>
  <c r="K955" i="6" s="1"/>
  <c r="E954" i="6"/>
  <c r="J954" i="6" s="1"/>
  <c r="K954" i="6" s="1"/>
  <c r="E953" i="6"/>
  <c r="J953" i="6" s="1"/>
  <c r="K953" i="6" s="1"/>
  <c r="E952" i="6"/>
  <c r="J952" i="6" s="1"/>
  <c r="K952" i="6" s="1"/>
  <c r="E951" i="6"/>
  <c r="J951" i="6" s="1"/>
  <c r="K951" i="6" s="1"/>
  <c r="E950" i="6"/>
  <c r="J950" i="6" s="1"/>
  <c r="K950" i="6" s="1"/>
  <c r="E949" i="6"/>
  <c r="J949" i="6" s="1"/>
  <c r="K949" i="6" s="1"/>
  <c r="E948" i="6"/>
  <c r="J948" i="6" s="1"/>
  <c r="K948" i="6" s="1"/>
  <c r="E947" i="6"/>
  <c r="J947" i="6" s="1"/>
  <c r="K947" i="6" s="1"/>
  <c r="E946" i="6"/>
  <c r="J946" i="6" s="1"/>
  <c r="K946" i="6" s="1"/>
  <c r="E945" i="6"/>
  <c r="J945" i="6" s="1"/>
  <c r="K945" i="6" s="1"/>
  <c r="E944" i="6"/>
  <c r="J944" i="6" s="1"/>
  <c r="K944" i="6" s="1"/>
  <c r="E943" i="6"/>
  <c r="J943" i="6" s="1"/>
  <c r="K943" i="6" s="1"/>
  <c r="E942" i="6"/>
  <c r="J942" i="6" s="1"/>
  <c r="K942" i="6" s="1"/>
  <c r="E941" i="6"/>
  <c r="J941" i="6" s="1"/>
  <c r="K941" i="6" s="1"/>
  <c r="E940" i="6"/>
  <c r="J940" i="6" s="1"/>
  <c r="K940" i="6" s="1"/>
  <c r="E939" i="6"/>
  <c r="J939" i="6" s="1"/>
  <c r="K939" i="6" s="1"/>
  <c r="E938" i="6"/>
  <c r="J938" i="6" s="1"/>
  <c r="K938" i="6" s="1"/>
  <c r="E937" i="6"/>
  <c r="J937" i="6" s="1"/>
  <c r="K937" i="6" s="1"/>
  <c r="E936" i="6"/>
  <c r="J936" i="6" s="1"/>
  <c r="K936" i="6" s="1"/>
  <c r="E935" i="6"/>
  <c r="J935" i="6" s="1"/>
  <c r="K935" i="6" s="1"/>
  <c r="E934" i="6"/>
  <c r="J934" i="6" s="1"/>
  <c r="K934" i="6" s="1"/>
  <c r="E933" i="6"/>
  <c r="J933" i="6" s="1"/>
  <c r="K933" i="6" s="1"/>
  <c r="E932" i="6"/>
  <c r="J932" i="6" s="1"/>
  <c r="K932" i="6" s="1"/>
  <c r="E931" i="6"/>
  <c r="J931" i="6" s="1"/>
  <c r="K931" i="6" s="1"/>
  <c r="E930" i="6"/>
  <c r="J930" i="6" s="1"/>
  <c r="K930" i="6" s="1"/>
  <c r="E929" i="6"/>
  <c r="J929" i="6" s="1"/>
  <c r="K929" i="6" s="1"/>
  <c r="E928" i="6"/>
  <c r="J928" i="6" s="1"/>
  <c r="K928" i="6" s="1"/>
  <c r="E927" i="6"/>
  <c r="J927" i="6" s="1"/>
  <c r="K927" i="6" s="1"/>
  <c r="E926" i="6"/>
  <c r="J926" i="6" s="1"/>
  <c r="K926" i="6" s="1"/>
  <c r="E925" i="6"/>
  <c r="J925" i="6" s="1"/>
  <c r="K925" i="6" s="1"/>
  <c r="E924" i="6"/>
  <c r="J924" i="6" s="1"/>
  <c r="K924" i="6" s="1"/>
  <c r="E923" i="6"/>
  <c r="J923" i="6" s="1"/>
  <c r="K923" i="6" s="1"/>
  <c r="E922" i="6"/>
  <c r="J922" i="6" s="1"/>
  <c r="K922" i="6" s="1"/>
  <c r="E921" i="6"/>
  <c r="J921" i="6" s="1"/>
  <c r="K921" i="6" s="1"/>
  <c r="E920" i="6"/>
  <c r="J920" i="6" s="1"/>
  <c r="K920" i="6" s="1"/>
  <c r="E919" i="6"/>
  <c r="J919" i="6" s="1"/>
  <c r="K919" i="6" s="1"/>
  <c r="E918" i="6"/>
  <c r="J918" i="6" s="1"/>
  <c r="K918" i="6" s="1"/>
  <c r="E917" i="6"/>
  <c r="J917" i="6" s="1"/>
  <c r="K917" i="6" s="1"/>
  <c r="E916" i="6"/>
  <c r="J916" i="6" s="1"/>
  <c r="K916" i="6" s="1"/>
  <c r="E915" i="6"/>
  <c r="J915" i="6" s="1"/>
  <c r="K915" i="6" s="1"/>
  <c r="E914" i="6"/>
  <c r="J914" i="6" s="1"/>
  <c r="K914" i="6" s="1"/>
  <c r="E913" i="6"/>
  <c r="J913" i="6" s="1"/>
  <c r="K913" i="6" s="1"/>
  <c r="E912" i="6"/>
  <c r="J912" i="6" s="1"/>
  <c r="K912" i="6" s="1"/>
  <c r="E911" i="6"/>
  <c r="J911" i="6" s="1"/>
  <c r="K911" i="6" s="1"/>
  <c r="E910" i="6"/>
  <c r="J910" i="6" s="1"/>
  <c r="K910" i="6" s="1"/>
  <c r="E909" i="6"/>
  <c r="J909" i="6" s="1"/>
  <c r="K909" i="6" s="1"/>
  <c r="E908" i="6"/>
  <c r="J908" i="6" s="1"/>
  <c r="K908" i="6" s="1"/>
  <c r="E907" i="6"/>
  <c r="J907" i="6" s="1"/>
  <c r="K907" i="6" s="1"/>
  <c r="E906" i="6"/>
  <c r="J906" i="6" s="1"/>
  <c r="K906" i="6" s="1"/>
  <c r="E905" i="6"/>
  <c r="J905" i="6" s="1"/>
  <c r="K905" i="6" s="1"/>
  <c r="E904" i="6"/>
  <c r="J904" i="6" s="1"/>
  <c r="K904" i="6" s="1"/>
  <c r="E903" i="6"/>
  <c r="J903" i="6" s="1"/>
  <c r="K903" i="6" s="1"/>
  <c r="E902" i="6"/>
  <c r="J902" i="6" s="1"/>
  <c r="K902" i="6" s="1"/>
  <c r="E901" i="6"/>
  <c r="J901" i="6" s="1"/>
  <c r="K901" i="6" s="1"/>
  <c r="E900" i="6"/>
  <c r="J900" i="6" s="1"/>
  <c r="K900" i="6" s="1"/>
  <c r="E899" i="6"/>
  <c r="J899" i="6" s="1"/>
  <c r="K899" i="6" s="1"/>
  <c r="E898" i="6"/>
  <c r="J898" i="6" s="1"/>
  <c r="K898" i="6" s="1"/>
  <c r="E897" i="6"/>
  <c r="J897" i="6" s="1"/>
  <c r="K897" i="6" s="1"/>
  <c r="E896" i="6"/>
  <c r="J896" i="6" s="1"/>
  <c r="K896" i="6" s="1"/>
  <c r="E895" i="6"/>
  <c r="J895" i="6" s="1"/>
  <c r="K895" i="6" s="1"/>
  <c r="E894" i="6"/>
  <c r="J894" i="6" s="1"/>
  <c r="K894" i="6" s="1"/>
  <c r="E893" i="6"/>
  <c r="J893" i="6" s="1"/>
  <c r="K893" i="6" s="1"/>
  <c r="E892" i="6"/>
  <c r="J892" i="6" s="1"/>
  <c r="K892" i="6" s="1"/>
  <c r="E891" i="6"/>
  <c r="J891" i="6" s="1"/>
  <c r="K891" i="6" s="1"/>
  <c r="E890" i="6"/>
  <c r="J890" i="6" s="1"/>
  <c r="K890" i="6" s="1"/>
  <c r="E889" i="6"/>
  <c r="J889" i="6" s="1"/>
  <c r="K889" i="6" s="1"/>
  <c r="E888" i="6"/>
  <c r="J888" i="6" s="1"/>
  <c r="K888" i="6" s="1"/>
  <c r="E887" i="6"/>
  <c r="J887" i="6" s="1"/>
  <c r="K887" i="6" s="1"/>
  <c r="E886" i="6"/>
  <c r="J886" i="6" s="1"/>
  <c r="K886" i="6" s="1"/>
  <c r="E885" i="6"/>
  <c r="J885" i="6" s="1"/>
  <c r="K885" i="6" s="1"/>
  <c r="E884" i="6"/>
  <c r="J884" i="6" s="1"/>
  <c r="K884" i="6" s="1"/>
  <c r="E883" i="6"/>
  <c r="J883" i="6" s="1"/>
  <c r="K883" i="6" s="1"/>
  <c r="E882" i="6"/>
  <c r="J882" i="6" s="1"/>
  <c r="K882" i="6" s="1"/>
  <c r="E881" i="6"/>
  <c r="J881" i="6" s="1"/>
  <c r="K881" i="6" s="1"/>
  <c r="E880" i="6"/>
  <c r="J880" i="6" s="1"/>
  <c r="K880" i="6" s="1"/>
  <c r="E879" i="6"/>
  <c r="J879" i="6" s="1"/>
  <c r="K879" i="6" s="1"/>
  <c r="E878" i="6"/>
  <c r="J878" i="6" s="1"/>
  <c r="K878" i="6" s="1"/>
  <c r="E877" i="6"/>
  <c r="J877" i="6" s="1"/>
  <c r="K877" i="6" s="1"/>
  <c r="E876" i="6"/>
  <c r="J876" i="6" s="1"/>
  <c r="K876" i="6" s="1"/>
  <c r="E875" i="6"/>
  <c r="J875" i="6" s="1"/>
  <c r="K875" i="6" s="1"/>
  <c r="E874" i="6"/>
  <c r="J874" i="6" s="1"/>
  <c r="K874" i="6" s="1"/>
  <c r="E873" i="6"/>
  <c r="J873" i="6" s="1"/>
  <c r="K873" i="6" s="1"/>
  <c r="E872" i="6"/>
  <c r="J872" i="6" s="1"/>
  <c r="K872" i="6" s="1"/>
  <c r="E871" i="6"/>
  <c r="J871" i="6" s="1"/>
  <c r="K871" i="6" s="1"/>
  <c r="E870" i="6"/>
  <c r="J870" i="6" s="1"/>
  <c r="K870" i="6" s="1"/>
  <c r="E869" i="6"/>
  <c r="J869" i="6" s="1"/>
  <c r="K869" i="6" s="1"/>
  <c r="E868" i="6"/>
  <c r="J868" i="6" s="1"/>
  <c r="K868" i="6" s="1"/>
  <c r="E867" i="6"/>
  <c r="J867" i="6" s="1"/>
  <c r="K867" i="6" s="1"/>
  <c r="E866" i="6"/>
  <c r="J866" i="6" s="1"/>
  <c r="K866" i="6" s="1"/>
  <c r="E865" i="6"/>
  <c r="J865" i="6" s="1"/>
  <c r="K865" i="6" s="1"/>
  <c r="E864" i="6"/>
  <c r="J864" i="6" s="1"/>
  <c r="K864" i="6" s="1"/>
  <c r="E863" i="6"/>
  <c r="J863" i="6" s="1"/>
  <c r="K863" i="6" s="1"/>
  <c r="E862" i="6"/>
  <c r="J862" i="6" s="1"/>
  <c r="K862" i="6" s="1"/>
  <c r="E861" i="6"/>
  <c r="J861" i="6" s="1"/>
  <c r="K861" i="6" s="1"/>
  <c r="E860" i="6"/>
  <c r="J860" i="6" s="1"/>
  <c r="K860" i="6" s="1"/>
  <c r="E859" i="6"/>
  <c r="J859" i="6" s="1"/>
  <c r="K859" i="6" s="1"/>
  <c r="E858" i="6"/>
  <c r="J858" i="6" s="1"/>
  <c r="K858" i="6" s="1"/>
  <c r="E857" i="6"/>
  <c r="J857" i="6" s="1"/>
  <c r="K857" i="6" s="1"/>
  <c r="E856" i="6"/>
  <c r="J856" i="6" s="1"/>
  <c r="K856" i="6" s="1"/>
  <c r="E855" i="6"/>
  <c r="J855" i="6" s="1"/>
  <c r="K855" i="6" s="1"/>
  <c r="E854" i="6"/>
  <c r="J854" i="6" s="1"/>
  <c r="K854" i="6" s="1"/>
  <c r="E853" i="6"/>
  <c r="J853" i="6" s="1"/>
  <c r="K853" i="6" s="1"/>
  <c r="E852" i="6"/>
  <c r="J852" i="6" s="1"/>
  <c r="K852" i="6" s="1"/>
  <c r="E851" i="6"/>
  <c r="J851" i="6" s="1"/>
  <c r="K851" i="6" s="1"/>
  <c r="E850" i="6"/>
  <c r="J850" i="6" s="1"/>
  <c r="K850" i="6" s="1"/>
  <c r="E849" i="6"/>
  <c r="J849" i="6" s="1"/>
  <c r="K849" i="6" s="1"/>
  <c r="E848" i="6"/>
  <c r="J848" i="6" s="1"/>
  <c r="K848" i="6" s="1"/>
  <c r="E847" i="6"/>
  <c r="J847" i="6" s="1"/>
  <c r="K847" i="6" s="1"/>
  <c r="E846" i="6"/>
  <c r="J846" i="6" s="1"/>
  <c r="K846" i="6" s="1"/>
  <c r="E845" i="6"/>
  <c r="J845" i="6" s="1"/>
  <c r="K845" i="6" s="1"/>
  <c r="E844" i="6"/>
  <c r="J844" i="6" s="1"/>
  <c r="K844" i="6" s="1"/>
  <c r="E843" i="6"/>
  <c r="J843" i="6" s="1"/>
  <c r="K843" i="6" s="1"/>
  <c r="E842" i="6"/>
  <c r="J842" i="6" s="1"/>
  <c r="K842" i="6" s="1"/>
  <c r="E841" i="6"/>
  <c r="J841" i="6" s="1"/>
  <c r="K841" i="6" s="1"/>
  <c r="E840" i="6"/>
  <c r="J840" i="6" s="1"/>
  <c r="K840" i="6" s="1"/>
  <c r="E839" i="6"/>
  <c r="J839" i="6" s="1"/>
  <c r="K839" i="6" s="1"/>
  <c r="E838" i="6"/>
  <c r="J838" i="6" s="1"/>
  <c r="K838" i="6" s="1"/>
  <c r="E837" i="6"/>
  <c r="J837" i="6" s="1"/>
  <c r="K837" i="6" s="1"/>
  <c r="E836" i="6"/>
  <c r="J836" i="6" s="1"/>
  <c r="K836" i="6" s="1"/>
  <c r="E835" i="6"/>
  <c r="J835" i="6" s="1"/>
  <c r="K835" i="6" s="1"/>
  <c r="E834" i="6"/>
  <c r="J834" i="6" s="1"/>
  <c r="K834" i="6" s="1"/>
  <c r="E833" i="6"/>
  <c r="J833" i="6" s="1"/>
  <c r="K833" i="6" s="1"/>
  <c r="E832" i="6"/>
  <c r="J832" i="6" s="1"/>
  <c r="K832" i="6" s="1"/>
  <c r="E831" i="6"/>
  <c r="J831" i="6" s="1"/>
  <c r="K831" i="6" s="1"/>
  <c r="E830" i="6"/>
  <c r="J830" i="6" s="1"/>
  <c r="K830" i="6" s="1"/>
  <c r="E829" i="6"/>
  <c r="J829" i="6" s="1"/>
  <c r="K829" i="6" s="1"/>
  <c r="E828" i="6"/>
  <c r="J828" i="6" s="1"/>
  <c r="K828" i="6" s="1"/>
  <c r="E827" i="6"/>
  <c r="J827" i="6" s="1"/>
  <c r="K827" i="6" s="1"/>
  <c r="E826" i="6"/>
  <c r="J826" i="6" s="1"/>
  <c r="K826" i="6" s="1"/>
  <c r="E825" i="6"/>
  <c r="J825" i="6" s="1"/>
  <c r="K825" i="6" s="1"/>
  <c r="E824" i="6"/>
  <c r="J824" i="6" s="1"/>
  <c r="K824" i="6" s="1"/>
  <c r="E823" i="6"/>
  <c r="J823" i="6" s="1"/>
  <c r="K823" i="6" s="1"/>
  <c r="E822" i="6"/>
  <c r="J822" i="6" s="1"/>
  <c r="K822" i="6" s="1"/>
  <c r="E821" i="6"/>
  <c r="J821" i="6" s="1"/>
  <c r="K821" i="6" s="1"/>
  <c r="E820" i="6"/>
  <c r="J820" i="6" s="1"/>
  <c r="K820" i="6" s="1"/>
  <c r="E819" i="6"/>
  <c r="J819" i="6" s="1"/>
  <c r="K819" i="6" s="1"/>
  <c r="E818" i="6"/>
  <c r="J818" i="6" s="1"/>
  <c r="K818" i="6" s="1"/>
  <c r="E817" i="6"/>
  <c r="J817" i="6" s="1"/>
  <c r="K817" i="6" s="1"/>
  <c r="E816" i="6"/>
  <c r="J816" i="6" s="1"/>
  <c r="K816" i="6" s="1"/>
  <c r="E815" i="6"/>
  <c r="J815" i="6" s="1"/>
  <c r="K815" i="6" s="1"/>
  <c r="E814" i="6"/>
  <c r="J814" i="6" s="1"/>
  <c r="K814" i="6" s="1"/>
  <c r="E813" i="6"/>
  <c r="J813" i="6" s="1"/>
  <c r="K813" i="6" s="1"/>
  <c r="E812" i="6"/>
  <c r="J812" i="6" s="1"/>
  <c r="K812" i="6" s="1"/>
  <c r="E811" i="6"/>
  <c r="J811" i="6" s="1"/>
  <c r="K811" i="6" s="1"/>
  <c r="E810" i="6"/>
  <c r="J810" i="6" s="1"/>
  <c r="K810" i="6" s="1"/>
  <c r="E809" i="6"/>
  <c r="J809" i="6" s="1"/>
  <c r="K809" i="6" s="1"/>
  <c r="E808" i="6"/>
  <c r="J808" i="6" s="1"/>
  <c r="K808" i="6" s="1"/>
  <c r="E807" i="6"/>
  <c r="J807" i="6" s="1"/>
  <c r="K807" i="6" s="1"/>
  <c r="E806" i="6"/>
  <c r="J806" i="6" s="1"/>
  <c r="K806" i="6" s="1"/>
  <c r="E805" i="6"/>
  <c r="J805" i="6" s="1"/>
  <c r="K805" i="6" s="1"/>
  <c r="E804" i="6"/>
  <c r="J804" i="6" s="1"/>
  <c r="K804" i="6" s="1"/>
  <c r="E803" i="6"/>
  <c r="J803" i="6" s="1"/>
  <c r="K803" i="6" s="1"/>
  <c r="E802" i="6"/>
  <c r="J802" i="6" s="1"/>
  <c r="K802" i="6" s="1"/>
  <c r="E801" i="6"/>
  <c r="J801" i="6" s="1"/>
  <c r="K801" i="6" s="1"/>
  <c r="E800" i="6"/>
  <c r="J800" i="6" s="1"/>
  <c r="K800" i="6" s="1"/>
  <c r="E799" i="6"/>
  <c r="J799" i="6" s="1"/>
  <c r="K799" i="6" s="1"/>
  <c r="E798" i="6"/>
  <c r="J798" i="6" s="1"/>
  <c r="K798" i="6" s="1"/>
  <c r="E797" i="6"/>
  <c r="J797" i="6" s="1"/>
  <c r="K797" i="6" s="1"/>
  <c r="E796" i="6"/>
  <c r="J796" i="6" s="1"/>
  <c r="K796" i="6" s="1"/>
  <c r="E795" i="6"/>
  <c r="J795" i="6" s="1"/>
  <c r="K795" i="6" s="1"/>
  <c r="E794" i="6"/>
  <c r="J794" i="6" s="1"/>
  <c r="K794" i="6" s="1"/>
  <c r="E793" i="6"/>
  <c r="J793" i="6" s="1"/>
  <c r="K793" i="6" s="1"/>
  <c r="E792" i="6"/>
  <c r="J792" i="6" s="1"/>
  <c r="K792" i="6" s="1"/>
  <c r="E791" i="6"/>
  <c r="J791" i="6" s="1"/>
  <c r="K791" i="6" s="1"/>
  <c r="E790" i="6"/>
  <c r="J790" i="6" s="1"/>
  <c r="K790" i="6" s="1"/>
  <c r="E789" i="6"/>
  <c r="J789" i="6" s="1"/>
  <c r="K789" i="6" s="1"/>
  <c r="E788" i="6"/>
  <c r="J788" i="6" s="1"/>
  <c r="K788" i="6" s="1"/>
  <c r="E787" i="6"/>
  <c r="J787" i="6" s="1"/>
  <c r="K787" i="6" s="1"/>
  <c r="E786" i="6"/>
  <c r="J786" i="6" s="1"/>
  <c r="K786" i="6" s="1"/>
  <c r="E785" i="6"/>
  <c r="J785" i="6" s="1"/>
  <c r="K785" i="6" s="1"/>
  <c r="E784" i="6"/>
  <c r="J784" i="6" s="1"/>
  <c r="K784" i="6" s="1"/>
  <c r="E783" i="6"/>
  <c r="J783" i="6" s="1"/>
  <c r="K783" i="6" s="1"/>
  <c r="E782" i="6"/>
  <c r="J782" i="6" s="1"/>
  <c r="K782" i="6" s="1"/>
  <c r="E781" i="6"/>
  <c r="J781" i="6" s="1"/>
  <c r="K781" i="6" s="1"/>
  <c r="E780" i="6"/>
  <c r="J780" i="6" s="1"/>
  <c r="K780" i="6" s="1"/>
  <c r="E779" i="6"/>
  <c r="J779" i="6" s="1"/>
  <c r="K779" i="6" s="1"/>
  <c r="E778" i="6"/>
  <c r="J778" i="6" s="1"/>
  <c r="K778" i="6" s="1"/>
  <c r="E777" i="6"/>
  <c r="J777" i="6" s="1"/>
  <c r="K777" i="6" s="1"/>
  <c r="E776" i="6"/>
  <c r="J776" i="6" s="1"/>
  <c r="K776" i="6" s="1"/>
  <c r="E775" i="6"/>
  <c r="J775" i="6" s="1"/>
  <c r="K775" i="6" s="1"/>
  <c r="E774" i="6"/>
  <c r="J774" i="6" s="1"/>
  <c r="K774" i="6" s="1"/>
  <c r="E773" i="6"/>
  <c r="J773" i="6" s="1"/>
  <c r="K773" i="6" s="1"/>
  <c r="E772" i="6"/>
  <c r="J772" i="6" s="1"/>
  <c r="K772" i="6" s="1"/>
  <c r="E771" i="6"/>
  <c r="J771" i="6" s="1"/>
  <c r="K771" i="6" s="1"/>
  <c r="E770" i="6"/>
  <c r="J770" i="6" s="1"/>
  <c r="K770" i="6" s="1"/>
  <c r="E769" i="6"/>
  <c r="J769" i="6" s="1"/>
  <c r="K769" i="6" s="1"/>
  <c r="E768" i="6"/>
  <c r="J768" i="6" s="1"/>
  <c r="K768" i="6" s="1"/>
  <c r="E767" i="6"/>
  <c r="J767" i="6" s="1"/>
  <c r="K767" i="6" s="1"/>
  <c r="E766" i="6"/>
  <c r="J766" i="6" s="1"/>
  <c r="K766" i="6" s="1"/>
  <c r="E765" i="6"/>
  <c r="J765" i="6" s="1"/>
  <c r="K765" i="6" s="1"/>
  <c r="E764" i="6"/>
  <c r="J764" i="6" s="1"/>
  <c r="K764" i="6" s="1"/>
  <c r="E763" i="6"/>
  <c r="J763" i="6" s="1"/>
  <c r="K763" i="6" s="1"/>
  <c r="E762" i="6"/>
  <c r="J762" i="6" s="1"/>
  <c r="K762" i="6" s="1"/>
  <c r="E761" i="6"/>
  <c r="J761" i="6" s="1"/>
  <c r="K761" i="6" s="1"/>
  <c r="E760" i="6"/>
  <c r="J760" i="6" s="1"/>
  <c r="K760" i="6" s="1"/>
  <c r="E759" i="6"/>
  <c r="J759" i="6" s="1"/>
  <c r="K759" i="6" s="1"/>
  <c r="E758" i="6"/>
  <c r="J758" i="6" s="1"/>
  <c r="K758" i="6" s="1"/>
  <c r="E757" i="6"/>
  <c r="J757" i="6" s="1"/>
  <c r="K757" i="6" s="1"/>
  <c r="E756" i="6"/>
  <c r="J756" i="6" s="1"/>
  <c r="K756" i="6" s="1"/>
  <c r="E755" i="6"/>
  <c r="J755" i="6" s="1"/>
  <c r="K755" i="6" s="1"/>
  <c r="E754" i="6"/>
  <c r="J754" i="6" s="1"/>
  <c r="K754" i="6" s="1"/>
  <c r="E753" i="6"/>
  <c r="J753" i="6" s="1"/>
  <c r="K753" i="6" s="1"/>
  <c r="E752" i="6"/>
  <c r="J752" i="6" s="1"/>
  <c r="K752" i="6" s="1"/>
  <c r="E751" i="6"/>
  <c r="J751" i="6" s="1"/>
  <c r="K751" i="6" s="1"/>
  <c r="E750" i="6"/>
  <c r="J750" i="6" s="1"/>
  <c r="K750" i="6" s="1"/>
  <c r="E749" i="6"/>
  <c r="J749" i="6" s="1"/>
  <c r="K749" i="6" s="1"/>
  <c r="E748" i="6"/>
  <c r="J748" i="6" s="1"/>
  <c r="K748" i="6" s="1"/>
  <c r="E747" i="6"/>
  <c r="J747" i="6" s="1"/>
  <c r="K747" i="6" s="1"/>
  <c r="E746" i="6"/>
  <c r="J746" i="6" s="1"/>
  <c r="K746" i="6" s="1"/>
  <c r="E745" i="6"/>
  <c r="J745" i="6" s="1"/>
  <c r="K745" i="6" s="1"/>
  <c r="E744" i="6"/>
  <c r="J744" i="6" s="1"/>
  <c r="K744" i="6" s="1"/>
  <c r="E743" i="6"/>
  <c r="J743" i="6" s="1"/>
  <c r="K743" i="6" s="1"/>
  <c r="E742" i="6"/>
  <c r="J742" i="6" s="1"/>
  <c r="K742" i="6" s="1"/>
  <c r="E741" i="6"/>
  <c r="J741" i="6" s="1"/>
  <c r="K741" i="6" s="1"/>
  <c r="E740" i="6"/>
  <c r="J740" i="6" s="1"/>
  <c r="K740" i="6" s="1"/>
  <c r="E739" i="6"/>
  <c r="J739" i="6" s="1"/>
  <c r="K739" i="6" s="1"/>
  <c r="E738" i="6"/>
  <c r="J738" i="6" s="1"/>
  <c r="K738" i="6" s="1"/>
  <c r="E737" i="6"/>
  <c r="J737" i="6" s="1"/>
  <c r="K737" i="6" s="1"/>
  <c r="E736" i="6"/>
  <c r="J736" i="6" s="1"/>
  <c r="K736" i="6" s="1"/>
  <c r="E735" i="6"/>
  <c r="J735" i="6" s="1"/>
  <c r="K735" i="6" s="1"/>
  <c r="E734" i="6"/>
  <c r="J734" i="6" s="1"/>
  <c r="K734" i="6" s="1"/>
  <c r="E733" i="6"/>
  <c r="J733" i="6" s="1"/>
  <c r="K733" i="6" s="1"/>
  <c r="E732" i="6"/>
  <c r="J732" i="6" s="1"/>
  <c r="K732" i="6" s="1"/>
  <c r="E731" i="6"/>
  <c r="J731" i="6" s="1"/>
  <c r="K731" i="6" s="1"/>
  <c r="E730" i="6"/>
  <c r="J730" i="6" s="1"/>
  <c r="K730" i="6" s="1"/>
  <c r="E729" i="6"/>
  <c r="J729" i="6" s="1"/>
  <c r="K729" i="6" s="1"/>
  <c r="E728" i="6"/>
  <c r="J728" i="6" s="1"/>
  <c r="K728" i="6" s="1"/>
  <c r="E727" i="6"/>
  <c r="J727" i="6" s="1"/>
  <c r="K727" i="6" s="1"/>
  <c r="E726" i="6"/>
  <c r="J726" i="6" s="1"/>
  <c r="K726" i="6" s="1"/>
  <c r="E725" i="6"/>
  <c r="J725" i="6" s="1"/>
  <c r="K725" i="6" s="1"/>
  <c r="E724" i="6"/>
  <c r="J724" i="6" s="1"/>
  <c r="K724" i="6" s="1"/>
  <c r="E723" i="6"/>
  <c r="J723" i="6" s="1"/>
  <c r="K723" i="6" s="1"/>
  <c r="E722" i="6"/>
  <c r="J722" i="6" s="1"/>
  <c r="K722" i="6" s="1"/>
  <c r="E721" i="6"/>
  <c r="J721" i="6" s="1"/>
  <c r="K721" i="6" s="1"/>
  <c r="E720" i="6"/>
  <c r="J720" i="6" s="1"/>
  <c r="K720" i="6" s="1"/>
  <c r="E719" i="6"/>
  <c r="J719" i="6" s="1"/>
  <c r="K719" i="6" s="1"/>
  <c r="E718" i="6"/>
  <c r="J718" i="6" s="1"/>
  <c r="K718" i="6" s="1"/>
  <c r="E717" i="6"/>
  <c r="J717" i="6" s="1"/>
  <c r="K717" i="6" s="1"/>
  <c r="E716" i="6"/>
  <c r="J716" i="6" s="1"/>
  <c r="K716" i="6" s="1"/>
  <c r="E715" i="6"/>
  <c r="J715" i="6" s="1"/>
  <c r="K715" i="6" s="1"/>
  <c r="E714" i="6"/>
  <c r="J714" i="6" s="1"/>
  <c r="K714" i="6" s="1"/>
  <c r="E713" i="6"/>
  <c r="J713" i="6" s="1"/>
  <c r="K713" i="6" s="1"/>
  <c r="E712" i="6"/>
  <c r="J712" i="6" s="1"/>
  <c r="K712" i="6" s="1"/>
  <c r="E711" i="6"/>
  <c r="J711" i="6" s="1"/>
  <c r="K711" i="6" s="1"/>
  <c r="E710" i="6"/>
  <c r="J710" i="6" s="1"/>
  <c r="K710" i="6" s="1"/>
  <c r="E709" i="6"/>
  <c r="J709" i="6" s="1"/>
  <c r="K709" i="6" s="1"/>
  <c r="E708" i="6"/>
  <c r="J708" i="6" s="1"/>
  <c r="K708" i="6" s="1"/>
  <c r="E707" i="6"/>
  <c r="J707" i="6" s="1"/>
  <c r="K707" i="6" s="1"/>
  <c r="E706" i="6"/>
  <c r="J706" i="6" s="1"/>
  <c r="K706" i="6" s="1"/>
  <c r="E705" i="6"/>
  <c r="J705" i="6" s="1"/>
  <c r="K705" i="6" s="1"/>
  <c r="E704" i="6"/>
  <c r="J704" i="6" s="1"/>
  <c r="K704" i="6" s="1"/>
  <c r="E703" i="6"/>
  <c r="J703" i="6" s="1"/>
  <c r="K703" i="6" s="1"/>
  <c r="E702" i="6"/>
  <c r="J702" i="6" s="1"/>
  <c r="K702" i="6" s="1"/>
  <c r="E701" i="6"/>
  <c r="J701" i="6" s="1"/>
  <c r="K701" i="6" s="1"/>
  <c r="E700" i="6"/>
  <c r="J700" i="6" s="1"/>
  <c r="K700" i="6" s="1"/>
  <c r="E699" i="6"/>
  <c r="J699" i="6" s="1"/>
  <c r="K699" i="6" s="1"/>
  <c r="E698" i="6"/>
  <c r="J698" i="6" s="1"/>
  <c r="K698" i="6" s="1"/>
  <c r="E697" i="6"/>
  <c r="J697" i="6" s="1"/>
  <c r="K697" i="6" s="1"/>
  <c r="E696" i="6"/>
  <c r="J696" i="6" s="1"/>
  <c r="K696" i="6" s="1"/>
  <c r="E695" i="6"/>
  <c r="J695" i="6" s="1"/>
  <c r="K695" i="6" s="1"/>
  <c r="E694" i="6"/>
  <c r="J694" i="6" s="1"/>
  <c r="K694" i="6" s="1"/>
  <c r="E693" i="6"/>
  <c r="J693" i="6" s="1"/>
  <c r="K693" i="6" s="1"/>
  <c r="E692" i="6"/>
  <c r="J692" i="6" s="1"/>
  <c r="K692" i="6" s="1"/>
  <c r="E691" i="6"/>
  <c r="J691" i="6" s="1"/>
  <c r="K691" i="6" s="1"/>
  <c r="E690" i="6"/>
  <c r="J690" i="6" s="1"/>
  <c r="K690" i="6" s="1"/>
  <c r="E689" i="6"/>
  <c r="J689" i="6" s="1"/>
  <c r="K689" i="6" s="1"/>
  <c r="E688" i="6"/>
  <c r="J688" i="6" s="1"/>
  <c r="K688" i="6" s="1"/>
  <c r="E687" i="6"/>
  <c r="J687" i="6" s="1"/>
  <c r="K687" i="6" s="1"/>
  <c r="E686" i="6"/>
  <c r="J686" i="6" s="1"/>
  <c r="K686" i="6" s="1"/>
  <c r="E685" i="6"/>
  <c r="J685" i="6" s="1"/>
  <c r="K685" i="6" s="1"/>
  <c r="E684" i="6"/>
  <c r="J684" i="6" s="1"/>
  <c r="K684" i="6" s="1"/>
  <c r="E683" i="6"/>
  <c r="J683" i="6" s="1"/>
  <c r="K683" i="6" s="1"/>
  <c r="E682" i="6"/>
  <c r="J682" i="6" s="1"/>
  <c r="K682" i="6" s="1"/>
  <c r="E681" i="6"/>
  <c r="J681" i="6" s="1"/>
  <c r="K681" i="6" s="1"/>
  <c r="E680" i="6"/>
  <c r="J680" i="6" s="1"/>
  <c r="K680" i="6" s="1"/>
  <c r="E679" i="6"/>
  <c r="J679" i="6" s="1"/>
  <c r="K679" i="6" s="1"/>
  <c r="E678" i="6"/>
  <c r="J678" i="6" s="1"/>
  <c r="K678" i="6" s="1"/>
  <c r="E677" i="6"/>
  <c r="J677" i="6" s="1"/>
  <c r="K677" i="6" s="1"/>
  <c r="E676" i="6"/>
  <c r="J676" i="6" s="1"/>
  <c r="K676" i="6" s="1"/>
  <c r="E675" i="6"/>
  <c r="J675" i="6" s="1"/>
  <c r="K675" i="6" s="1"/>
  <c r="E674" i="6"/>
  <c r="J674" i="6" s="1"/>
  <c r="K674" i="6" s="1"/>
  <c r="E673" i="6"/>
  <c r="J673" i="6" s="1"/>
  <c r="K673" i="6" s="1"/>
  <c r="E672" i="6"/>
  <c r="J672" i="6" s="1"/>
  <c r="K672" i="6" s="1"/>
  <c r="E671" i="6"/>
  <c r="J671" i="6" s="1"/>
  <c r="K671" i="6" s="1"/>
  <c r="E670" i="6"/>
  <c r="J670" i="6" s="1"/>
  <c r="K670" i="6" s="1"/>
  <c r="E669" i="6"/>
  <c r="J669" i="6" s="1"/>
  <c r="K669" i="6" s="1"/>
  <c r="E668" i="6"/>
  <c r="J668" i="6" s="1"/>
  <c r="K668" i="6" s="1"/>
  <c r="E667" i="6"/>
  <c r="J667" i="6" s="1"/>
  <c r="K667" i="6" s="1"/>
  <c r="E666" i="6"/>
  <c r="J666" i="6" s="1"/>
  <c r="K666" i="6" s="1"/>
  <c r="E665" i="6"/>
  <c r="J665" i="6" s="1"/>
  <c r="K665" i="6" s="1"/>
  <c r="E664" i="6"/>
  <c r="J664" i="6" s="1"/>
  <c r="K664" i="6" s="1"/>
  <c r="E663" i="6"/>
  <c r="J663" i="6" s="1"/>
  <c r="K663" i="6" s="1"/>
  <c r="E662" i="6"/>
  <c r="J662" i="6" s="1"/>
  <c r="K662" i="6" s="1"/>
  <c r="E661" i="6"/>
  <c r="J661" i="6" s="1"/>
  <c r="K661" i="6" s="1"/>
  <c r="E660" i="6"/>
  <c r="J660" i="6" s="1"/>
  <c r="K660" i="6" s="1"/>
  <c r="E659" i="6"/>
  <c r="J659" i="6" s="1"/>
  <c r="K659" i="6" s="1"/>
  <c r="E658" i="6"/>
  <c r="J658" i="6" s="1"/>
  <c r="K658" i="6" s="1"/>
  <c r="E657" i="6"/>
  <c r="J657" i="6" s="1"/>
  <c r="K657" i="6" s="1"/>
  <c r="E656" i="6"/>
  <c r="J656" i="6" s="1"/>
  <c r="K656" i="6" s="1"/>
  <c r="E655" i="6"/>
  <c r="J655" i="6" s="1"/>
  <c r="K655" i="6" s="1"/>
  <c r="E654" i="6"/>
  <c r="J654" i="6" s="1"/>
  <c r="K654" i="6" s="1"/>
  <c r="E653" i="6"/>
  <c r="J653" i="6" s="1"/>
  <c r="K653" i="6" s="1"/>
  <c r="E652" i="6"/>
  <c r="J652" i="6" s="1"/>
  <c r="K652" i="6" s="1"/>
  <c r="E651" i="6"/>
  <c r="J651" i="6" s="1"/>
  <c r="K651" i="6" s="1"/>
  <c r="E650" i="6"/>
  <c r="J650" i="6" s="1"/>
  <c r="K650" i="6" s="1"/>
  <c r="E649" i="6"/>
  <c r="J649" i="6" s="1"/>
  <c r="K649" i="6" s="1"/>
  <c r="E648" i="6"/>
  <c r="J648" i="6" s="1"/>
  <c r="K648" i="6" s="1"/>
  <c r="E647" i="6"/>
  <c r="J647" i="6" s="1"/>
  <c r="K647" i="6" s="1"/>
  <c r="E646" i="6"/>
  <c r="J646" i="6" s="1"/>
  <c r="K646" i="6" s="1"/>
  <c r="E645" i="6"/>
  <c r="J645" i="6" s="1"/>
  <c r="K645" i="6" s="1"/>
  <c r="E644" i="6"/>
  <c r="J644" i="6" s="1"/>
  <c r="K644" i="6" s="1"/>
  <c r="E643" i="6"/>
  <c r="J643" i="6" s="1"/>
  <c r="K643" i="6" s="1"/>
  <c r="E642" i="6"/>
  <c r="J642" i="6" s="1"/>
  <c r="K642" i="6" s="1"/>
  <c r="E641" i="6"/>
  <c r="J641" i="6" s="1"/>
  <c r="K641" i="6" s="1"/>
  <c r="E640" i="6"/>
  <c r="J640" i="6" s="1"/>
  <c r="K640" i="6" s="1"/>
  <c r="E639" i="6"/>
  <c r="J639" i="6" s="1"/>
  <c r="K639" i="6" s="1"/>
  <c r="E638" i="6"/>
  <c r="J638" i="6" s="1"/>
  <c r="K638" i="6" s="1"/>
  <c r="E637" i="6"/>
  <c r="J637" i="6" s="1"/>
  <c r="K637" i="6" s="1"/>
  <c r="E636" i="6"/>
  <c r="J636" i="6" s="1"/>
  <c r="K636" i="6" s="1"/>
  <c r="E635" i="6"/>
  <c r="J635" i="6" s="1"/>
  <c r="K635" i="6" s="1"/>
  <c r="E634" i="6"/>
  <c r="J634" i="6" s="1"/>
  <c r="K634" i="6" s="1"/>
  <c r="E633" i="6"/>
  <c r="J633" i="6" s="1"/>
  <c r="K633" i="6" s="1"/>
  <c r="E632" i="6"/>
  <c r="J632" i="6" s="1"/>
  <c r="K632" i="6" s="1"/>
  <c r="E631" i="6"/>
  <c r="J631" i="6" s="1"/>
  <c r="K631" i="6" s="1"/>
  <c r="E630" i="6"/>
  <c r="J630" i="6" s="1"/>
  <c r="K630" i="6" s="1"/>
  <c r="E629" i="6"/>
  <c r="J629" i="6" s="1"/>
  <c r="K629" i="6" s="1"/>
  <c r="E628" i="6"/>
  <c r="J628" i="6" s="1"/>
  <c r="K628" i="6" s="1"/>
  <c r="E627" i="6"/>
  <c r="J627" i="6" s="1"/>
  <c r="K627" i="6" s="1"/>
  <c r="E626" i="6"/>
  <c r="J626" i="6" s="1"/>
  <c r="K626" i="6" s="1"/>
  <c r="E625" i="6"/>
  <c r="J625" i="6" s="1"/>
  <c r="K625" i="6" s="1"/>
  <c r="E624" i="6"/>
  <c r="J624" i="6" s="1"/>
  <c r="K624" i="6" s="1"/>
  <c r="E623" i="6"/>
  <c r="J623" i="6" s="1"/>
  <c r="K623" i="6" s="1"/>
  <c r="E622" i="6"/>
  <c r="J622" i="6" s="1"/>
  <c r="K622" i="6" s="1"/>
  <c r="E621" i="6"/>
  <c r="J621" i="6" s="1"/>
  <c r="K621" i="6" s="1"/>
  <c r="E620" i="6"/>
  <c r="J620" i="6" s="1"/>
  <c r="K620" i="6" s="1"/>
  <c r="E619" i="6"/>
  <c r="J619" i="6" s="1"/>
  <c r="K619" i="6" s="1"/>
  <c r="E618" i="6"/>
  <c r="J618" i="6" s="1"/>
  <c r="K618" i="6" s="1"/>
  <c r="E617" i="6"/>
  <c r="J617" i="6" s="1"/>
  <c r="K617" i="6" s="1"/>
  <c r="E616" i="6"/>
  <c r="J616" i="6" s="1"/>
  <c r="K616" i="6" s="1"/>
  <c r="E615" i="6"/>
  <c r="J615" i="6" s="1"/>
  <c r="K615" i="6" s="1"/>
  <c r="E614" i="6"/>
  <c r="J614" i="6" s="1"/>
  <c r="K614" i="6" s="1"/>
  <c r="E613" i="6"/>
  <c r="J613" i="6" s="1"/>
  <c r="K613" i="6" s="1"/>
  <c r="E612" i="6"/>
  <c r="J612" i="6" s="1"/>
  <c r="K612" i="6" s="1"/>
  <c r="E611" i="6"/>
  <c r="J611" i="6" s="1"/>
  <c r="K611" i="6" s="1"/>
  <c r="E610" i="6"/>
  <c r="J610" i="6" s="1"/>
  <c r="K610" i="6" s="1"/>
  <c r="E609" i="6"/>
  <c r="J609" i="6" s="1"/>
  <c r="K609" i="6" s="1"/>
  <c r="E608" i="6"/>
  <c r="J608" i="6" s="1"/>
  <c r="K608" i="6" s="1"/>
  <c r="E607" i="6"/>
  <c r="J607" i="6" s="1"/>
  <c r="K607" i="6" s="1"/>
  <c r="E606" i="6"/>
  <c r="J606" i="6" s="1"/>
  <c r="K606" i="6" s="1"/>
  <c r="E605" i="6"/>
  <c r="J605" i="6" s="1"/>
  <c r="K605" i="6" s="1"/>
  <c r="E604" i="6"/>
  <c r="J604" i="6" s="1"/>
  <c r="K604" i="6" s="1"/>
  <c r="E603" i="6"/>
  <c r="J603" i="6" s="1"/>
  <c r="K603" i="6" s="1"/>
  <c r="E602" i="6"/>
  <c r="J602" i="6" s="1"/>
  <c r="K602" i="6" s="1"/>
  <c r="E601" i="6"/>
  <c r="J601" i="6" s="1"/>
  <c r="K601" i="6" s="1"/>
  <c r="E600" i="6"/>
  <c r="J600" i="6" s="1"/>
  <c r="K600" i="6" s="1"/>
  <c r="E599" i="6"/>
  <c r="J599" i="6" s="1"/>
  <c r="K599" i="6" s="1"/>
  <c r="E598" i="6"/>
  <c r="J598" i="6" s="1"/>
  <c r="K598" i="6" s="1"/>
  <c r="E597" i="6"/>
  <c r="J597" i="6" s="1"/>
  <c r="K597" i="6" s="1"/>
  <c r="E596" i="6"/>
  <c r="J596" i="6" s="1"/>
  <c r="K596" i="6" s="1"/>
  <c r="E595" i="6"/>
  <c r="J595" i="6" s="1"/>
  <c r="K595" i="6" s="1"/>
  <c r="E594" i="6"/>
  <c r="J594" i="6" s="1"/>
  <c r="K594" i="6" s="1"/>
  <c r="E593" i="6"/>
  <c r="J593" i="6" s="1"/>
  <c r="K593" i="6" s="1"/>
  <c r="E592" i="6"/>
  <c r="J592" i="6" s="1"/>
  <c r="K592" i="6" s="1"/>
  <c r="E591" i="6"/>
  <c r="J591" i="6" s="1"/>
  <c r="K591" i="6" s="1"/>
  <c r="E590" i="6"/>
  <c r="J590" i="6" s="1"/>
  <c r="K590" i="6" s="1"/>
  <c r="E589" i="6"/>
  <c r="J589" i="6" s="1"/>
  <c r="K589" i="6" s="1"/>
  <c r="E588" i="6"/>
  <c r="J588" i="6" s="1"/>
  <c r="K588" i="6" s="1"/>
  <c r="E587" i="6"/>
  <c r="J587" i="6" s="1"/>
  <c r="K587" i="6" s="1"/>
  <c r="E586" i="6"/>
  <c r="J586" i="6" s="1"/>
  <c r="K586" i="6" s="1"/>
  <c r="E585" i="6"/>
  <c r="J585" i="6" s="1"/>
  <c r="K585" i="6" s="1"/>
  <c r="E584" i="6"/>
  <c r="J584" i="6" s="1"/>
  <c r="K584" i="6" s="1"/>
  <c r="E583" i="6"/>
  <c r="J583" i="6" s="1"/>
  <c r="K583" i="6" s="1"/>
  <c r="E582" i="6"/>
  <c r="J582" i="6" s="1"/>
  <c r="K582" i="6" s="1"/>
  <c r="E581" i="6"/>
  <c r="J581" i="6" s="1"/>
  <c r="K581" i="6" s="1"/>
  <c r="E580" i="6"/>
  <c r="J580" i="6" s="1"/>
  <c r="K580" i="6" s="1"/>
  <c r="E579" i="6"/>
  <c r="J579" i="6" s="1"/>
  <c r="K579" i="6" s="1"/>
  <c r="E578" i="6"/>
  <c r="J578" i="6" s="1"/>
  <c r="K578" i="6" s="1"/>
  <c r="E577" i="6"/>
  <c r="J577" i="6" s="1"/>
  <c r="K577" i="6" s="1"/>
  <c r="E576" i="6"/>
  <c r="J576" i="6" s="1"/>
  <c r="K576" i="6" s="1"/>
  <c r="E575" i="6"/>
  <c r="J575" i="6" s="1"/>
  <c r="K575" i="6" s="1"/>
  <c r="E574" i="6"/>
  <c r="J574" i="6" s="1"/>
  <c r="K574" i="6" s="1"/>
  <c r="E573" i="6"/>
  <c r="J573" i="6" s="1"/>
  <c r="K573" i="6" s="1"/>
  <c r="E572" i="6"/>
  <c r="J572" i="6" s="1"/>
  <c r="K572" i="6" s="1"/>
  <c r="E571" i="6"/>
  <c r="J571" i="6" s="1"/>
  <c r="K571" i="6" s="1"/>
  <c r="E570" i="6"/>
  <c r="J570" i="6" s="1"/>
  <c r="K570" i="6" s="1"/>
  <c r="E569" i="6"/>
  <c r="J569" i="6" s="1"/>
  <c r="K569" i="6" s="1"/>
  <c r="E568" i="6"/>
  <c r="J568" i="6" s="1"/>
  <c r="K568" i="6" s="1"/>
  <c r="E567" i="6"/>
  <c r="J567" i="6" s="1"/>
  <c r="K567" i="6" s="1"/>
  <c r="E566" i="6"/>
  <c r="J566" i="6" s="1"/>
  <c r="K566" i="6" s="1"/>
  <c r="E565" i="6"/>
  <c r="J565" i="6" s="1"/>
  <c r="K565" i="6" s="1"/>
  <c r="E564" i="6"/>
  <c r="J564" i="6" s="1"/>
  <c r="K564" i="6" s="1"/>
  <c r="E563" i="6"/>
  <c r="J563" i="6" s="1"/>
  <c r="K563" i="6" s="1"/>
  <c r="E562" i="6"/>
  <c r="J562" i="6" s="1"/>
  <c r="K562" i="6" s="1"/>
  <c r="E561" i="6"/>
  <c r="J561" i="6" s="1"/>
  <c r="K561" i="6" s="1"/>
  <c r="E560" i="6"/>
  <c r="J560" i="6" s="1"/>
  <c r="K560" i="6" s="1"/>
  <c r="E559" i="6"/>
  <c r="J559" i="6" s="1"/>
  <c r="K559" i="6" s="1"/>
  <c r="E558" i="6"/>
  <c r="J558" i="6" s="1"/>
  <c r="K558" i="6" s="1"/>
  <c r="E557" i="6"/>
  <c r="J557" i="6" s="1"/>
  <c r="K557" i="6" s="1"/>
  <c r="E556" i="6"/>
  <c r="J556" i="6" s="1"/>
  <c r="K556" i="6" s="1"/>
  <c r="E555" i="6"/>
  <c r="J555" i="6" s="1"/>
  <c r="K555" i="6" s="1"/>
  <c r="E554" i="6"/>
  <c r="J554" i="6" s="1"/>
  <c r="K554" i="6" s="1"/>
  <c r="E553" i="6"/>
  <c r="J553" i="6" s="1"/>
  <c r="K553" i="6" s="1"/>
  <c r="E552" i="6"/>
  <c r="J552" i="6" s="1"/>
  <c r="K552" i="6" s="1"/>
  <c r="E551" i="6"/>
  <c r="J551" i="6" s="1"/>
  <c r="K551" i="6" s="1"/>
  <c r="E550" i="6"/>
  <c r="J550" i="6" s="1"/>
  <c r="K550" i="6" s="1"/>
  <c r="E549" i="6"/>
  <c r="J549" i="6" s="1"/>
  <c r="K549" i="6" s="1"/>
  <c r="E548" i="6"/>
  <c r="J548" i="6" s="1"/>
  <c r="K548" i="6" s="1"/>
  <c r="E547" i="6"/>
  <c r="J547" i="6" s="1"/>
  <c r="K547" i="6" s="1"/>
  <c r="E546" i="6"/>
  <c r="J546" i="6" s="1"/>
  <c r="K546" i="6" s="1"/>
  <c r="E545" i="6"/>
  <c r="J545" i="6" s="1"/>
  <c r="K545" i="6" s="1"/>
  <c r="E544" i="6"/>
  <c r="J544" i="6" s="1"/>
  <c r="K544" i="6" s="1"/>
  <c r="E543" i="6"/>
  <c r="J543" i="6" s="1"/>
  <c r="K543" i="6" s="1"/>
  <c r="E542" i="6"/>
  <c r="J542" i="6" s="1"/>
  <c r="K542" i="6" s="1"/>
  <c r="E541" i="6"/>
  <c r="J541" i="6" s="1"/>
  <c r="K541" i="6" s="1"/>
  <c r="E540" i="6"/>
  <c r="J540" i="6" s="1"/>
  <c r="K540" i="6" s="1"/>
  <c r="E539" i="6"/>
  <c r="J539" i="6" s="1"/>
  <c r="K539" i="6" s="1"/>
  <c r="E538" i="6"/>
  <c r="J538" i="6" s="1"/>
  <c r="K538" i="6" s="1"/>
  <c r="E537" i="6"/>
  <c r="J537" i="6" s="1"/>
  <c r="K537" i="6" s="1"/>
  <c r="E536" i="6"/>
  <c r="J536" i="6" s="1"/>
  <c r="K536" i="6" s="1"/>
  <c r="E535" i="6"/>
  <c r="J535" i="6" s="1"/>
  <c r="K535" i="6" s="1"/>
  <c r="E534" i="6"/>
  <c r="J534" i="6" s="1"/>
  <c r="K534" i="6" s="1"/>
  <c r="E533" i="6"/>
  <c r="J533" i="6" s="1"/>
  <c r="K533" i="6" s="1"/>
  <c r="E532" i="6"/>
  <c r="J532" i="6" s="1"/>
  <c r="K532" i="6" s="1"/>
  <c r="E531" i="6"/>
  <c r="J531" i="6" s="1"/>
  <c r="K531" i="6" s="1"/>
  <c r="E530" i="6"/>
  <c r="J530" i="6" s="1"/>
  <c r="K530" i="6" s="1"/>
  <c r="E529" i="6"/>
  <c r="J529" i="6" s="1"/>
  <c r="K529" i="6" s="1"/>
  <c r="E528" i="6"/>
  <c r="J528" i="6" s="1"/>
  <c r="K528" i="6" s="1"/>
  <c r="E527" i="6"/>
  <c r="J527" i="6" s="1"/>
  <c r="K527" i="6" s="1"/>
  <c r="E526" i="6"/>
  <c r="J526" i="6" s="1"/>
  <c r="K526" i="6" s="1"/>
  <c r="E525" i="6"/>
  <c r="J525" i="6" s="1"/>
  <c r="K525" i="6" s="1"/>
  <c r="E524" i="6"/>
  <c r="J524" i="6" s="1"/>
  <c r="K524" i="6" s="1"/>
  <c r="E523" i="6"/>
  <c r="J523" i="6" s="1"/>
  <c r="K523" i="6" s="1"/>
  <c r="E522" i="6"/>
  <c r="J522" i="6" s="1"/>
  <c r="K522" i="6" s="1"/>
  <c r="E521" i="6"/>
  <c r="J521" i="6" s="1"/>
  <c r="K521" i="6" s="1"/>
  <c r="E520" i="6"/>
  <c r="J520" i="6" s="1"/>
  <c r="K520" i="6" s="1"/>
  <c r="E519" i="6"/>
  <c r="J519" i="6" s="1"/>
  <c r="K519" i="6" s="1"/>
  <c r="E518" i="6"/>
  <c r="J518" i="6" s="1"/>
  <c r="K518" i="6" s="1"/>
  <c r="E517" i="6"/>
  <c r="J517" i="6" s="1"/>
  <c r="K517" i="6" s="1"/>
  <c r="E516" i="6"/>
  <c r="J516" i="6" s="1"/>
  <c r="K516" i="6" s="1"/>
  <c r="E515" i="6"/>
  <c r="J515" i="6" s="1"/>
  <c r="K515" i="6" s="1"/>
  <c r="E514" i="6"/>
  <c r="J514" i="6" s="1"/>
  <c r="K514" i="6" s="1"/>
  <c r="E513" i="6"/>
  <c r="J513" i="6" s="1"/>
  <c r="K513" i="6" s="1"/>
  <c r="E512" i="6"/>
  <c r="J512" i="6" s="1"/>
  <c r="K512" i="6" s="1"/>
  <c r="E511" i="6"/>
  <c r="J511" i="6" s="1"/>
  <c r="K511" i="6" s="1"/>
  <c r="E510" i="6"/>
  <c r="J510" i="6" s="1"/>
  <c r="K510" i="6" s="1"/>
  <c r="E509" i="6"/>
  <c r="J509" i="6" s="1"/>
  <c r="K509" i="6" s="1"/>
  <c r="E508" i="6"/>
  <c r="J508" i="6" s="1"/>
  <c r="K508" i="6" s="1"/>
  <c r="E507" i="6"/>
  <c r="J507" i="6" s="1"/>
  <c r="K507" i="6" s="1"/>
  <c r="E506" i="6"/>
  <c r="J506" i="6" s="1"/>
  <c r="K506" i="6" s="1"/>
  <c r="E505" i="6"/>
  <c r="J505" i="6" s="1"/>
  <c r="K505" i="6" s="1"/>
  <c r="E504" i="6"/>
  <c r="J504" i="6" s="1"/>
  <c r="K504" i="6" s="1"/>
  <c r="E503" i="6"/>
  <c r="J503" i="6" s="1"/>
  <c r="K503" i="6" s="1"/>
  <c r="E502" i="6"/>
  <c r="J502" i="6" s="1"/>
  <c r="K502" i="6" s="1"/>
  <c r="E501" i="6"/>
  <c r="J501" i="6" s="1"/>
  <c r="K501" i="6" s="1"/>
  <c r="E500" i="6"/>
  <c r="J500" i="6" s="1"/>
  <c r="K500" i="6" s="1"/>
  <c r="E499" i="6"/>
  <c r="J499" i="6" s="1"/>
  <c r="K499" i="6" s="1"/>
  <c r="E498" i="6"/>
  <c r="J498" i="6" s="1"/>
  <c r="K498" i="6" s="1"/>
  <c r="E497" i="6"/>
  <c r="J497" i="6" s="1"/>
  <c r="K497" i="6" s="1"/>
  <c r="E496" i="6"/>
  <c r="J496" i="6" s="1"/>
  <c r="K496" i="6" s="1"/>
  <c r="E495" i="6"/>
  <c r="J495" i="6" s="1"/>
  <c r="K495" i="6" s="1"/>
  <c r="E494" i="6"/>
  <c r="J494" i="6" s="1"/>
  <c r="K494" i="6" s="1"/>
  <c r="E493" i="6"/>
  <c r="J493" i="6" s="1"/>
  <c r="K493" i="6" s="1"/>
  <c r="E492" i="6"/>
  <c r="J492" i="6" s="1"/>
  <c r="K492" i="6" s="1"/>
  <c r="E491" i="6"/>
  <c r="J491" i="6" s="1"/>
  <c r="K491" i="6" s="1"/>
  <c r="E490" i="6"/>
  <c r="J490" i="6" s="1"/>
  <c r="K490" i="6" s="1"/>
  <c r="E489" i="6"/>
  <c r="J489" i="6" s="1"/>
  <c r="K489" i="6" s="1"/>
  <c r="E488" i="6"/>
  <c r="J488" i="6" s="1"/>
  <c r="K488" i="6" s="1"/>
  <c r="E487" i="6"/>
  <c r="J487" i="6" s="1"/>
  <c r="K487" i="6" s="1"/>
  <c r="E486" i="6"/>
  <c r="J486" i="6" s="1"/>
  <c r="K486" i="6" s="1"/>
  <c r="E485" i="6"/>
  <c r="J485" i="6" s="1"/>
  <c r="K485" i="6" s="1"/>
  <c r="E484" i="6"/>
  <c r="J484" i="6" s="1"/>
  <c r="K484" i="6" s="1"/>
  <c r="E483" i="6"/>
  <c r="J483" i="6" s="1"/>
  <c r="K483" i="6" s="1"/>
  <c r="E482" i="6"/>
  <c r="J482" i="6" s="1"/>
  <c r="K482" i="6" s="1"/>
  <c r="E481" i="6"/>
  <c r="J481" i="6" s="1"/>
  <c r="K481" i="6" s="1"/>
  <c r="E480" i="6"/>
  <c r="J480" i="6" s="1"/>
  <c r="K480" i="6" s="1"/>
  <c r="E479" i="6"/>
  <c r="J479" i="6" s="1"/>
  <c r="K479" i="6" s="1"/>
  <c r="E478" i="6"/>
  <c r="J478" i="6" s="1"/>
  <c r="K478" i="6" s="1"/>
  <c r="E477" i="6"/>
  <c r="J477" i="6" s="1"/>
  <c r="K477" i="6" s="1"/>
  <c r="E476" i="6"/>
  <c r="J476" i="6" s="1"/>
  <c r="K476" i="6" s="1"/>
  <c r="E475" i="6"/>
  <c r="J475" i="6" s="1"/>
  <c r="K475" i="6" s="1"/>
  <c r="E474" i="6"/>
  <c r="J474" i="6" s="1"/>
  <c r="K474" i="6" s="1"/>
  <c r="E473" i="6"/>
  <c r="J473" i="6" s="1"/>
  <c r="K473" i="6" s="1"/>
  <c r="E472" i="6"/>
  <c r="J472" i="6" s="1"/>
  <c r="K472" i="6" s="1"/>
  <c r="E471" i="6"/>
  <c r="J471" i="6" s="1"/>
  <c r="K471" i="6" s="1"/>
  <c r="E470" i="6"/>
  <c r="J470" i="6" s="1"/>
  <c r="K470" i="6" s="1"/>
  <c r="E469" i="6"/>
  <c r="J469" i="6" s="1"/>
  <c r="K469" i="6" s="1"/>
  <c r="E468" i="6"/>
  <c r="J468" i="6" s="1"/>
  <c r="K468" i="6" s="1"/>
  <c r="E467" i="6"/>
  <c r="J467" i="6" s="1"/>
  <c r="K467" i="6" s="1"/>
  <c r="E466" i="6"/>
  <c r="J466" i="6" s="1"/>
  <c r="K466" i="6" s="1"/>
  <c r="E465" i="6"/>
  <c r="J465" i="6" s="1"/>
  <c r="K465" i="6" s="1"/>
  <c r="E464" i="6"/>
  <c r="J464" i="6" s="1"/>
  <c r="K464" i="6" s="1"/>
  <c r="E463" i="6"/>
  <c r="J463" i="6" s="1"/>
  <c r="K463" i="6" s="1"/>
  <c r="E462" i="6"/>
  <c r="J462" i="6" s="1"/>
  <c r="K462" i="6" s="1"/>
  <c r="E461" i="6"/>
  <c r="J461" i="6" s="1"/>
  <c r="K461" i="6" s="1"/>
  <c r="E460" i="6"/>
  <c r="J460" i="6" s="1"/>
  <c r="K460" i="6" s="1"/>
  <c r="E459" i="6"/>
  <c r="J459" i="6" s="1"/>
  <c r="K459" i="6" s="1"/>
  <c r="E458" i="6"/>
  <c r="J458" i="6" s="1"/>
  <c r="K458" i="6" s="1"/>
  <c r="E457" i="6"/>
  <c r="J457" i="6" s="1"/>
  <c r="K457" i="6" s="1"/>
  <c r="E456" i="6"/>
  <c r="J456" i="6" s="1"/>
  <c r="K456" i="6" s="1"/>
  <c r="E455" i="6"/>
  <c r="J455" i="6" s="1"/>
  <c r="K455" i="6" s="1"/>
  <c r="E454" i="6"/>
  <c r="J454" i="6" s="1"/>
  <c r="K454" i="6" s="1"/>
  <c r="E453" i="6"/>
  <c r="J453" i="6" s="1"/>
  <c r="K453" i="6" s="1"/>
  <c r="E452" i="6"/>
  <c r="J452" i="6" s="1"/>
  <c r="K452" i="6" s="1"/>
  <c r="E451" i="6"/>
  <c r="J451" i="6" s="1"/>
  <c r="K451" i="6" s="1"/>
  <c r="E450" i="6"/>
  <c r="J450" i="6" s="1"/>
  <c r="K450" i="6" s="1"/>
  <c r="E449" i="6"/>
  <c r="J449" i="6" s="1"/>
  <c r="K449" i="6" s="1"/>
  <c r="E448" i="6"/>
  <c r="J448" i="6" s="1"/>
  <c r="K448" i="6" s="1"/>
  <c r="E447" i="6"/>
  <c r="J447" i="6" s="1"/>
  <c r="K447" i="6" s="1"/>
  <c r="E446" i="6"/>
  <c r="J446" i="6" s="1"/>
  <c r="K446" i="6" s="1"/>
  <c r="E445" i="6"/>
  <c r="J445" i="6" s="1"/>
  <c r="K445" i="6" s="1"/>
  <c r="E444" i="6"/>
  <c r="J444" i="6" s="1"/>
  <c r="K444" i="6" s="1"/>
  <c r="E443" i="6"/>
  <c r="J443" i="6" s="1"/>
  <c r="K443" i="6" s="1"/>
  <c r="E442" i="6"/>
  <c r="J442" i="6" s="1"/>
  <c r="K442" i="6" s="1"/>
  <c r="E441" i="6"/>
  <c r="J441" i="6" s="1"/>
  <c r="K441" i="6" s="1"/>
  <c r="E440" i="6"/>
  <c r="J440" i="6" s="1"/>
  <c r="K440" i="6" s="1"/>
  <c r="E439" i="6"/>
  <c r="J439" i="6" s="1"/>
  <c r="K439" i="6" s="1"/>
  <c r="E438" i="6"/>
  <c r="J438" i="6" s="1"/>
  <c r="K438" i="6" s="1"/>
  <c r="E437" i="6"/>
  <c r="J437" i="6" s="1"/>
  <c r="K437" i="6" s="1"/>
  <c r="E436" i="6"/>
  <c r="J436" i="6" s="1"/>
  <c r="K436" i="6" s="1"/>
  <c r="E435" i="6"/>
  <c r="J435" i="6" s="1"/>
  <c r="K435" i="6" s="1"/>
  <c r="E434" i="6"/>
  <c r="J434" i="6" s="1"/>
  <c r="K434" i="6" s="1"/>
  <c r="E433" i="6"/>
  <c r="J433" i="6" s="1"/>
  <c r="K433" i="6" s="1"/>
  <c r="E432" i="6"/>
  <c r="J432" i="6" s="1"/>
  <c r="K432" i="6" s="1"/>
  <c r="E431" i="6"/>
  <c r="J431" i="6" s="1"/>
  <c r="K431" i="6" s="1"/>
  <c r="E430" i="6"/>
  <c r="J430" i="6" s="1"/>
  <c r="K430" i="6" s="1"/>
  <c r="E429" i="6"/>
  <c r="J429" i="6" s="1"/>
  <c r="K429" i="6" s="1"/>
  <c r="E428" i="6"/>
  <c r="J428" i="6" s="1"/>
  <c r="K428" i="6" s="1"/>
  <c r="E427" i="6"/>
  <c r="J427" i="6" s="1"/>
  <c r="K427" i="6" s="1"/>
  <c r="E426" i="6"/>
  <c r="J426" i="6" s="1"/>
  <c r="K426" i="6" s="1"/>
  <c r="E425" i="6"/>
  <c r="J425" i="6" s="1"/>
  <c r="K425" i="6" s="1"/>
  <c r="E424" i="6"/>
  <c r="J424" i="6" s="1"/>
  <c r="K424" i="6" s="1"/>
  <c r="E423" i="6"/>
  <c r="J423" i="6" s="1"/>
  <c r="K423" i="6" s="1"/>
  <c r="E422" i="6"/>
  <c r="J422" i="6" s="1"/>
  <c r="K422" i="6" s="1"/>
  <c r="E421" i="6"/>
  <c r="J421" i="6" s="1"/>
  <c r="K421" i="6" s="1"/>
  <c r="E420" i="6"/>
  <c r="J420" i="6" s="1"/>
  <c r="K420" i="6" s="1"/>
  <c r="E419" i="6"/>
  <c r="J419" i="6" s="1"/>
  <c r="K419" i="6" s="1"/>
  <c r="E418" i="6"/>
  <c r="J418" i="6" s="1"/>
  <c r="K418" i="6" s="1"/>
  <c r="E417" i="6"/>
  <c r="J417" i="6" s="1"/>
  <c r="K417" i="6" s="1"/>
  <c r="E416" i="6"/>
  <c r="J416" i="6" s="1"/>
  <c r="K416" i="6" s="1"/>
  <c r="E415" i="6"/>
  <c r="J415" i="6" s="1"/>
  <c r="K415" i="6" s="1"/>
  <c r="E414" i="6"/>
  <c r="J414" i="6" s="1"/>
  <c r="K414" i="6" s="1"/>
  <c r="E413" i="6"/>
  <c r="J413" i="6" s="1"/>
  <c r="K413" i="6" s="1"/>
  <c r="E412" i="6"/>
  <c r="J412" i="6" s="1"/>
  <c r="K412" i="6" s="1"/>
  <c r="E411" i="6"/>
  <c r="J411" i="6" s="1"/>
  <c r="K411" i="6" s="1"/>
  <c r="E410" i="6"/>
  <c r="J410" i="6" s="1"/>
  <c r="K410" i="6" s="1"/>
  <c r="E409" i="6"/>
  <c r="J409" i="6" s="1"/>
  <c r="K409" i="6" s="1"/>
  <c r="E408" i="6"/>
  <c r="J408" i="6" s="1"/>
  <c r="K408" i="6" s="1"/>
  <c r="E407" i="6"/>
  <c r="J407" i="6" s="1"/>
  <c r="K407" i="6" s="1"/>
  <c r="E406" i="6"/>
  <c r="J406" i="6" s="1"/>
  <c r="K406" i="6" s="1"/>
  <c r="E405" i="6"/>
  <c r="J405" i="6" s="1"/>
  <c r="K405" i="6" s="1"/>
  <c r="E404" i="6"/>
  <c r="J404" i="6" s="1"/>
  <c r="K404" i="6" s="1"/>
  <c r="E403" i="6"/>
  <c r="J403" i="6" s="1"/>
  <c r="K403" i="6" s="1"/>
  <c r="E402" i="6"/>
  <c r="J402" i="6" s="1"/>
  <c r="K402" i="6" s="1"/>
  <c r="E401" i="6"/>
  <c r="J401" i="6" s="1"/>
  <c r="K401" i="6" s="1"/>
  <c r="E400" i="6"/>
  <c r="J400" i="6" s="1"/>
  <c r="K400" i="6" s="1"/>
  <c r="E399" i="6"/>
  <c r="J399" i="6" s="1"/>
  <c r="K399" i="6" s="1"/>
  <c r="E398" i="6"/>
  <c r="J398" i="6" s="1"/>
  <c r="K398" i="6" s="1"/>
  <c r="E397" i="6"/>
  <c r="J397" i="6" s="1"/>
  <c r="K397" i="6" s="1"/>
  <c r="E396" i="6"/>
  <c r="J396" i="6" s="1"/>
  <c r="K396" i="6" s="1"/>
  <c r="E395" i="6"/>
  <c r="J395" i="6" s="1"/>
  <c r="K395" i="6" s="1"/>
  <c r="E394" i="6"/>
  <c r="J394" i="6" s="1"/>
  <c r="K394" i="6" s="1"/>
  <c r="E393" i="6"/>
  <c r="J393" i="6" s="1"/>
  <c r="K393" i="6" s="1"/>
  <c r="E392" i="6"/>
  <c r="J392" i="6" s="1"/>
  <c r="K392" i="6" s="1"/>
  <c r="E391" i="6"/>
  <c r="J391" i="6" s="1"/>
  <c r="K391" i="6" s="1"/>
  <c r="E390" i="6"/>
  <c r="J390" i="6" s="1"/>
  <c r="K390" i="6" s="1"/>
  <c r="E389" i="6"/>
  <c r="J389" i="6" s="1"/>
  <c r="K389" i="6" s="1"/>
  <c r="E388" i="6"/>
  <c r="J388" i="6" s="1"/>
  <c r="K388" i="6" s="1"/>
  <c r="E387" i="6"/>
  <c r="J387" i="6" s="1"/>
  <c r="K387" i="6" s="1"/>
  <c r="E386" i="6"/>
  <c r="J386" i="6" s="1"/>
  <c r="K386" i="6" s="1"/>
  <c r="E385" i="6"/>
  <c r="J385" i="6" s="1"/>
  <c r="K385" i="6" s="1"/>
  <c r="E384" i="6"/>
  <c r="J384" i="6" s="1"/>
  <c r="K384" i="6" s="1"/>
  <c r="E383" i="6"/>
  <c r="J383" i="6" s="1"/>
  <c r="K383" i="6" s="1"/>
  <c r="E382" i="6"/>
  <c r="J382" i="6" s="1"/>
  <c r="K382" i="6" s="1"/>
  <c r="E381" i="6"/>
  <c r="J381" i="6" s="1"/>
  <c r="K381" i="6" s="1"/>
  <c r="E380" i="6"/>
  <c r="J380" i="6" s="1"/>
  <c r="K380" i="6" s="1"/>
  <c r="E379" i="6"/>
  <c r="J379" i="6" s="1"/>
  <c r="K379" i="6" s="1"/>
  <c r="E378" i="6"/>
  <c r="J378" i="6" s="1"/>
  <c r="K378" i="6" s="1"/>
  <c r="E377" i="6"/>
  <c r="J377" i="6" s="1"/>
  <c r="K377" i="6" s="1"/>
  <c r="E376" i="6"/>
  <c r="J376" i="6" s="1"/>
  <c r="K376" i="6" s="1"/>
  <c r="E375" i="6"/>
  <c r="J375" i="6" s="1"/>
  <c r="K375" i="6" s="1"/>
  <c r="E374" i="6"/>
  <c r="J374" i="6" s="1"/>
  <c r="K374" i="6" s="1"/>
  <c r="E373" i="6"/>
  <c r="J373" i="6" s="1"/>
  <c r="K373" i="6" s="1"/>
  <c r="E372" i="6"/>
  <c r="J372" i="6" s="1"/>
  <c r="K372" i="6" s="1"/>
  <c r="E371" i="6"/>
  <c r="J371" i="6" s="1"/>
  <c r="K371" i="6" s="1"/>
  <c r="E370" i="6"/>
  <c r="J370" i="6" s="1"/>
  <c r="K370" i="6" s="1"/>
  <c r="E369" i="6"/>
  <c r="J369" i="6" s="1"/>
  <c r="K369" i="6" s="1"/>
  <c r="E368" i="6"/>
  <c r="J368" i="6" s="1"/>
  <c r="K368" i="6" s="1"/>
  <c r="E367" i="6"/>
  <c r="J367" i="6" s="1"/>
  <c r="K367" i="6" s="1"/>
  <c r="E366" i="6"/>
  <c r="J366" i="6" s="1"/>
  <c r="K366" i="6" s="1"/>
  <c r="E365" i="6"/>
  <c r="J365" i="6" s="1"/>
  <c r="K365" i="6" s="1"/>
  <c r="E364" i="6"/>
  <c r="J364" i="6" s="1"/>
  <c r="K364" i="6" s="1"/>
  <c r="E363" i="6"/>
  <c r="J363" i="6" s="1"/>
  <c r="K363" i="6" s="1"/>
  <c r="E362" i="6"/>
  <c r="J362" i="6" s="1"/>
  <c r="K362" i="6" s="1"/>
  <c r="E361" i="6"/>
  <c r="J361" i="6" s="1"/>
  <c r="K361" i="6" s="1"/>
  <c r="E360" i="6"/>
  <c r="J360" i="6" s="1"/>
  <c r="K360" i="6" s="1"/>
  <c r="E359" i="6"/>
  <c r="J359" i="6" s="1"/>
  <c r="K359" i="6" s="1"/>
  <c r="E358" i="6"/>
  <c r="J358" i="6" s="1"/>
  <c r="K358" i="6" s="1"/>
  <c r="E357" i="6"/>
  <c r="J357" i="6" s="1"/>
  <c r="K357" i="6" s="1"/>
  <c r="E356" i="6"/>
  <c r="J356" i="6" s="1"/>
  <c r="K356" i="6" s="1"/>
  <c r="E355" i="6"/>
  <c r="J355" i="6" s="1"/>
  <c r="K355" i="6" s="1"/>
  <c r="E354" i="6"/>
  <c r="J354" i="6" s="1"/>
  <c r="K354" i="6" s="1"/>
  <c r="E353" i="6"/>
  <c r="J353" i="6" s="1"/>
  <c r="K353" i="6" s="1"/>
  <c r="E352" i="6"/>
  <c r="J352" i="6" s="1"/>
  <c r="K352" i="6" s="1"/>
  <c r="E351" i="6"/>
  <c r="J351" i="6" s="1"/>
  <c r="K351" i="6" s="1"/>
  <c r="E350" i="6"/>
  <c r="J350" i="6" s="1"/>
  <c r="K350" i="6" s="1"/>
  <c r="E349" i="6"/>
  <c r="J349" i="6" s="1"/>
  <c r="K349" i="6" s="1"/>
  <c r="E348" i="6"/>
  <c r="J348" i="6" s="1"/>
  <c r="K348" i="6" s="1"/>
  <c r="E347" i="6"/>
  <c r="J347" i="6" s="1"/>
  <c r="K347" i="6" s="1"/>
  <c r="E346" i="6"/>
  <c r="J346" i="6" s="1"/>
  <c r="K346" i="6" s="1"/>
  <c r="E345" i="6"/>
  <c r="J345" i="6" s="1"/>
  <c r="K345" i="6" s="1"/>
  <c r="E344" i="6"/>
  <c r="J344" i="6" s="1"/>
  <c r="K344" i="6" s="1"/>
  <c r="E343" i="6"/>
  <c r="J343" i="6" s="1"/>
  <c r="K343" i="6" s="1"/>
  <c r="E342" i="6"/>
  <c r="J342" i="6" s="1"/>
  <c r="K342" i="6" s="1"/>
  <c r="E341" i="6"/>
  <c r="J341" i="6" s="1"/>
  <c r="K341" i="6" s="1"/>
  <c r="E340" i="6"/>
  <c r="J340" i="6" s="1"/>
  <c r="K340" i="6" s="1"/>
  <c r="E339" i="6"/>
  <c r="J339" i="6" s="1"/>
  <c r="K339" i="6" s="1"/>
  <c r="E338" i="6"/>
  <c r="J338" i="6" s="1"/>
  <c r="K338" i="6" s="1"/>
  <c r="E337" i="6"/>
  <c r="J337" i="6" s="1"/>
  <c r="K337" i="6" s="1"/>
  <c r="E336" i="6"/>
  <c r="J336" i="6" s="1"/>
  <c r="K336" i="6" s="1"/>
  <c r="E335" i="6"/>
  <c r="J335" i="6" s="1"/>
  <c r="K335" i="6" s="1"/>
  <c r="E334" i="6"/>
  <c r="J334" i="6" s="1"/>
  <c r="K334" i="6" s="1"/>
  <c r="E333" i="6"/>
  <c r="J333" i="6" s="1"/>
  <c r="K333" i="6" s="1"/>
  <c r="E332" i="6"/>
  <c r="J332" i="6" s="1"/>
  <c r="K332" i="6" s="1"/>
  <c r="E331" i="6"/>
  <c r="J331" i="6" s="1"/>
  <c r="K331" i="6" s="1"/>
  <c r="E330" i="6"/>
  <c r="J330" i="6" s="1"/>
  <c r="K330" i="6" s="1"/>
  <c r="E329" i="6"/>
  <c r="J329" i="6" s="1"/>
  <c r="K329" i="6" s="1"/>
  <c r="E328" i="6"/>
  <c r="J328" i="6" s="1"/>
  <c r="K328" i="6" s="1"/>
  <c r="E327" i="6"/>
  <c r="J327" i="6" s="1"/>
  <c r="K327" i="6" s="1"/>
  <c r="E326" i="6"/>
  <c r="J326" i="6" s="1"/>
  <c r="K326" i="6" s="1"/>
  <c r="E325" i="6"/>
  <c r="J325" i="6" s="1"/>
  <c r="K325" i="6" s="1"/>
  <c r="E324" i="6"/>
  <c r="J324" i="6" s="1"/>
  <c r="K324" i="6" s="1"/>
  <c r="E323" i="6"/>
  <c r="J323" i="6" s="1"/>
  <c r="K323" i="6" s="1"/>
  <c r="E322" i="6"/>
  <c r="J322" i="6" s="1"/>
  <c r="K322" i="6" s="1"/>
  <c r="E321" i="6"/>
  <c r="J321" i="6" s="1"/>
  <c r="K321" i="6" s="1"/>
  <c r="E320" i="6"/>
  <c r="J320" i="6" s="1"/>
  <c r="K320" i="6" s="1"/>
  <c r="E319" i="6"/>
  <c r="J319" i="6" s="1"/>
  <c r="K319" i="6" s="1"/>
  <c r="E318" i="6"/>
  <c r="J318" i="6" s="1"/>
  <c r="K318" i="6" s="1"/>
  <c r="E317" i="6"/>
  <c r="J317" i="6" s="1"/>
  <c r="K317" i="6" s="1"/>
  <c r="E316" i="6"/>
  <c r="J316" i="6" s="1"/>
  <c r="K316" i="6" s="1"/>
  <c r="E315" i="6"/>
  <c r="J315" i="6" s="1"/>
  <c r="K315" i="6" s="1"/>
  <c r="E314" i="6"/>
  <c r="J314" i="6" s="1"/>
  <c r="K314" i="6" s="1"/>
  <c r="E313" i="6"/>
  <c r="J313" i="6" s="1"/>
  <c r="K313" i="6" s="1"/>
  <c r="E312" i="6"/>
  <c r="J312" i="6" s="1"/>
  <c r="K312" i="6" s="1"/>
  <c r="E311" i="6"/>
  <c r="J311" i="6" s="1"/>
  <c r="K311" i="6" s="1"/>
  <c r="E310" i="6"/>
  <c r="J310" i="6" s="1"/>
  <c r="K310" i="6" s="1"/>
  <c r="E309" i="6"/>
  <c r="J309" i="6" s="1"/>
  <c r="K309" i="6" s="1"/>
  <c r="E308" i="6"/>
  <c r="J308" i="6" s="1"/>
  <c r="K308" i="6" s="1"/>
  <c r="E307" i="6"/>
  <c r="J307" i="6" s="1"/>
  <c r="K307" i="6" s="1"/>
  <c r="E306" i="6"/>
  <c r="J306" i="6" s="1"/>
  <c r="K306" i="6" s="1"/>
  <c r="E305" i="6"/>
  <c r="J305" i="6" s="1"/>
  <c r="K305" i="6" s="1"/>
  <c r="E304" i="6"/>
  <c r="J304" i="6" s="1"/>
  <c r="K304" i="6" s="1"/>
  <c r="E303" i="6"/>
  <c r="J303" i="6" s="1"/>
  <c r="K303" i="6" s="1"/>
  <c r="E302" i="6"/>
  <c r="J302" i="6" s="1"/>
  <c r="K302" i="6" s="1"/>
  <c r="E301" i="6"/>
  <c r="J301" i="6" s="1"/>
  <c r="K301" i="6" s="1"/>
  <c r="E300" i="6"/>
  <c r="J300" i="6" s="1"/>
  <c r="K300" i="6" s="1"/>
  <c r="E299" i="6"/>
  <c r="J299" i="6" s="1"/>
  <c r="K299" i="6" s="1"/>
  <c r="E298" i="6"/>
  <c r="J298" i="6" s="1"/>
  <c r="K298" i="6" s="1"/>
  <c r="E297" i="6"/>
  <c r="J297" i="6" s="1"/>
  <c r="K297" i="6" s="1"/>
  <c r="E296" i="6"/>
  <c r="J296" i="6" s="1"/>
  <c r="K296" i="6" s="1"/>
  <c r="E295" i="6"/>
  <c r="J295" i="6" s="1"/>
  <c r="K295" i="6" s="1"/>
  <c r="E294" i="6"/>
  <c r="J294" i="6" s="1"/>
  <c r="K294" i="6" s="1"/>
  <c r="E293" i="6"/>
  <c r="J293" i="6" s="1"/>
  <c r="K293" i="6" s="1"/>
  <c r="E292" i="6"/>
  <c r="J292" i="6" s="1"/>
  <c r="K292" i="6" s="1"/>
  <c r="E291" i="6"/>
  <c r="J291" i="6" s="1"/>
  <c r="K291" i="6" s="1"/>
  <c r="E290" i="6"/>
  <c r="J290" i="6" s="1"/>
  <c r="K290" i="6" s="1"/>
  <c r="E289" i="6"/>
  <c r="J289" i="6" s="1"/>
  <c r="K289" i="6" s="1"/>
  <c r="E288" i="6"/>
  <c r="J288" i="6" s="1"/>
  <c r="K288" i="6" s="1"/>
  <c r="E287" i="6"/>
  <c r="J287" i="6" s="1"/>
  <c r="K287" i="6" s="1"/>
  <c r="E286" i="6"/>
  <c r="J286" i="6" s="1"/>
  <c r="K286" i="6" s="1"/>
  <c r="E285" i="6"/>
  <c r="J285" i="6" s="1"/>
  <c r="K285" i="6" s="1"/>
  <c r="E284" i="6"/>
  <c r="J284" i="6" s="1"/>
  <c r="K284" i="6" s="1"/>
  <c r="E283" i="6"/>
  <c r="J283" i="6" s="1"/>
  <c r="K283" i="6" s="1"/>
  <c r="E282" i="6"/>
  <c r="J282" i="6" s="1"/>
  <c r="K282" i="6" s="1"/>
  <c r="E281" i="6"/>
  <c r="J281" i="6" s="1"/>
  <c r="K281" i="6" s="1"/>
  <c r="E280" i="6"/>
  <c r="J280" i="6" s="1"/>
  <c r="K280" i="6" s="1"/>
  <c r="E279" i="6"/>
  <c r="J279" i="6" s="1"/>
  <c r="K279" i="6" s="1"/>
  <c r="E278" i="6"/>
  <c r="J278" i="6" s="1"/>
  <c r="K278" i="6" s="1"/>
  <c r="E277" i="6"/>
  <c r="J277" i="6" s="1"/>
  <c r="K277" i="6" s="1"/>
  <c r="E276" i="6"/>
  <c r="J276" i="6" s="1"/>
  <c r="K276" i="6" s="1"/>
  <c r="E275" i="6"/>
  <c r="J275" i="6" s="1"/>
  <c r="K275" i="6" s="1"/>
  <c r="E274" i="6"/>
  <c r="J274" i="6" s="1"/>
  <c r="K274" i="6" s="1"/>
  <c r="E273" i="6"/>
  <c r="J273" i="6" s="1"/>
  <c r="K273" i="6" s="1"/>
  <c r="E272" i="6"/>
  <c r="J272" i="6" s="1"/>
  <c r="K272" i="6" s="1"/>
  <c r="E271" i="6"/>
  <c r="J271" i="6" s="1"/>
  <c r="K271" i="6" s="1"/>
  <c r="E270" i="6"/>
  <c r="J270" i="6" s="1"/>
  <c r="K270" i="6" s="1"/>
  <c r="E269" i="6"/>
  <c r="J269" i="6" s="1"/>
  <c r="K269" i="6" s="1"/>
  <c r="E268" i="6"/>
  <c r="J268" i="6" s="1"/>
  <c r="K268" i="6" s="1"/>
  <c r="E267" i="6"/>
  <c r="J267" i="6" s="1"/>
  <c r="K267" i="6" s="1"/>
  <c r="E266" i="6"/>
  <c r="J266" i="6" s="1"/>
  <c r="K266" i="6" s="1"/>
  <c r="E265" i="6"/>
  <c r="J265" i="6" s="1"/>
  <c r="K265" i="6" s="1"/>
  <c r="E264" i="6"/>
  <c r="J264" i="6" s="1"/>
  <c r="K264" i="6" s="1"/>
  <c r="E263" i="6"/>
  <c r="J263" i="6" s="1"/>
  <c r="K263" i="6" s="1"/>
  <c r="E262" i="6"/>
  <c r="J262" i="6" s="1"/>
  <c r="K262" i="6" s="1"/>
  <c r="E261" i="6"/>
  <c r="J261" i="6" s="1"/>
  <c r="K261" i="6" s="1"/>
  <c r="E260" i="6"/>
  <c r="J260" i="6" s="1"/>
  <c r="K260" i="6" s="1"/>
  <c r="E259" i="6"/>
  <c r="J259" i="6" s="1"/>
  <c r="K259" i="6" s="1"/>
  <c r="E258" i="6"/>
  <c r="J258" i="6" s="1"/>
  <c r="K258" i="6" s="1"/>
  <c r="E257" i="6"/>
  <c r="J257" i="6" s="1"/>
  <c r="K257" i="6" s="1"/>
  <c r="E256" i="6"/>
  <c r="J256" i="6" s="1"/>
  <c r="K256" i="6" s="1"/>
  <c r="E255" i="6"/>
  <c r="J255" i="6" s="1"/>
  <c r="K255" i="6" s="1"/>
  <c r="E254" i="6"/>
  <c r="J254" i="6" s="1"/>
  <c r="K254" i="6" s="1"/>
  <c r="E253" i="6"/>
  <c r="J253" i="6" s="1"/>
  <c r="K253" i="6" s="1"/>
  <c r="E252" i="6"/>
  <c r="J252" i="6" s="1"/>
  <c r="K252" i="6" s="1"/>
  <c r="E251" i="6"/>
  <c r="J251" i="6" s="1"/>
  <c r="K251" i="6" s="1"/>
  <c r="E250" i="6"/>
  <c r="J250" i="6" s="1"/>
  <c r="K250" i="6" s="1"/>
  <c r="E249" i="6"/>
  <c r="J249" i="6" s="1"/>
  <c r="K249" i="6" s="1"/>
  <c r="E248" i="6"/>
  <c r="J248" i="6" s="1"/>
  <c r="K248" i="6" s="1"/>
  <c r="E247" i="6"/>
  <c r="J247" i="6" s="1"/>
  <c r="K247" i="6" s="1"/>
  <c r="E246" i="6"/>
  <c r="J246" i="6" s="1"/>
  <c r="K246" i="6" s="1"/>
  <c r="E245" i="6"/>
  <c r="J245" i="6" s="1"/>
  <c r="K245" i="6" s="1"/>
  <c r="E244" i="6"/>
  <c r="J244" i="6" s="1"/>
  <c r="K244" i="6" s="1"/>
  <c r="E243" i="6"/>
  <c r="J243" i="6" s="1"/>
  <c r="K243" i="6" s="1"/>
  <c r="E242" i="6"/>
  <c r="J242" i="6" s="1"/>
  <c r="K242" i="6" s="1"/>
  <c r="E241" i="6"/>
  <c r="J241" i="6" s="1"/>
  <c r="K241" i="6" s="1"/>
  <c r="E240" i="6"/>
  <c r="J240" i="6" s="1"/>
  <c r="K240" i="6" s="1"/>
  <c r="E239" i="6"/>
  <c r="J239" i="6" s="1"/>
  <c r="K239" i="6" s="1"/>
  <c r="E238" i="6"/>
  <c r="J238" i="6" s="1"/>
  <c r="K238" i="6" s="1"/>
  <c r="E237" i="6"/>
  <c r="J237" i="6" s="1"/>
  <c r="K237" i="6" s="1"/>
  <c r="E236" i="6"/>
  <c r="J236" i="6" s="1"/>
  <c r="K236" i="6" s="1"/>
  <c r="E235" i="6"/>
  <c r="J235" i="6" s="1"/>
  <c r="K235" i="6" s="1"/>
  <c r="E234" i="6"/>
  <c r="J234" i="6" s="1"/>
  <c r="K234" i="6" s="1"/>
  <c r="E233" i="6"/>
  <c r="J233" i="6" s="1"/>
  <c r="K233" i="6" s="1"/>
  <c r="E232" i="6"/>
  <c r="J232" i="6" s="1"/>
  <c r="K232" i="6" s="1"/>
  <c r="E231" i="6"/>
  <c r="J231" i="6" s="1"/>
  <c r="K231" i="6" s="1"/>
  <c r="E230" i="6"/>
  <c r="J230" i="6" s="1"/>
  <c r="K230" i="6" s="1"/>
  <c r="E229" i="6"/>
  <c r="J229" i="6" s="1"/>
  <c r="K229" i="6" s="1"/>
  <c r="E228" i="6"/>
  <c r="J228" i="6" s="1"/>
  <c r="K228" i="6" s="1"/>
  <c r="E227" i="6"/>
  <c r="J227" i="6" s="1"/>
  <c r="K227" i="6" s="1"/>
  <c r="E226" i="6"/>
  <c r="J226" i="6" s="1"/>
  <c r="K226" i="6" s="1"/>
  <c r="E225" i="6"/>
  <c r="J225" i="6" s="1"/>
  <c r="K225" i="6" s="1"/>
  <c r="E224" i="6"/>
  <c r="J224" i="6" s="1"/>
  <c r="K224" i="6" s="1"/>
  <c r="E223" i="6"/>
  <c r="J223" i="6" s="1"/>
  <c r="K223" i="6" s="1"/>
  <c r="E222" i="6"/>
  <c r="J222" i="6" s="1"/>
  <c r="K222" i="6" s="1"/>
  <c r="E221" i="6"/>
  <c r="J221" i="6" s="1"/>
  <c r="K221" i="6" s="1"/>
  <c r="E220" i="6"/>
  <c r="J220" i="6" s="1"/>
  <c r="K220" i="6" s="1"/>
  <c r="E219" i="6"/>
  <c r="J219" i="6" s="1"/>
  <c r="K219" i="6" s="1"/>
  <c r="E218" i="6"/>
  <c r="J218" i="6" s="1"/>
  <c r="K218" i="6" s="1"/>
  <c r="E217" i="6"/>
  <c r="J217" i="6" s="1"/>
  <c r="K217" i="6" s="1"/>
  <c r="E216" i="6"/>
  <c r="J216" i="6" s="1"/>
  <c r="K216" i="6" s="1"/>
  <c r="E215" i="6"/>
  <c r="J215" i="6" s="1"/>
  <c r="K215" i="6" s="1"/>
  <c r="E214" i="6"/>
  <c r="J214" i="6" s="1"/>
  <c r="K214" i="6" s="1"/>
  <c r="E213" i="6"/>
  <c r="J213" i="6" s="1"/>
  <c r="K213" i="6" s="1"/>
  <c r="E212" i="6"/>
  <c r="J212" i="6" s="1"/>
  <c r="K212" i="6" s="1"/>
  <c r="E211" i="6"/>
  <c r="J211" i="6" s="1"/>
  <c r="K211" i="6" s="1"/>
  <c r="E210" i="6"/>
  <c r="J210" i="6" s="1"/>
  <c r="K210" i="6" s="1"/>
  <c r="E209" i="6"/>
  <c r="J209" i="6" s="1"/>
  <c r="K209" i="6" s="1"/>
  <c r="E208" i="6"/>
  <c r="J208" i="6" s="1"/>
  <c r="K208" i="6" s="1"/>
  <c r="E207" i="6"/>
  <c r="J207" i="6" s="1"/>
  <c r="K207" i="6" s="1"/>
  <c r="E206" i="6"/>
  <c r="J206" i="6" s="1"/>
  <c r="K206" i="6" s="1"/>
  <c r="E205" i="6"/>
  <c r="J205" i="6" s="1"/>
  <c r="K205" i="6" s="1"/>
  <c r="E204" i="6"/>
  <c r="J204" i="6" s="1"/>
  <c r="K204" i="6" s="1"/>
  <c r="E203" i="6"/>
  <c r="J203" i="6" s="1"/>
  <c r="K203" i="6" s="1"/>
  <c r="E202" i="6"/>
  <c r="J202" i="6" s="1"/>
  <c r="K202" i="6" s="1"/>
  <c r="E201" i="6"/>
  <c r="J201" i="6" s="1"/>
  <c r="K201" i="6" s="1"/>
  <c r="E200" i="6"/>
  <c r="J200" i="6" s="1"/>
  <c r="K200" i="6" s="1"/>
  <c r="E199" i="6"/>
  <c r="J199" i="6" s="1"/>
  <c r="K199" i="6" s="1"/>
  <c r="E198" i="6"/>
  <c r="J198" i="6" s="1"/>
  <c r="K198" i="6" s="1"/>
  <c r="E197" i="6"/>
  <c r="J197" i="6" s="1"/>
  <c r="K197" i="6" s="1"/>
  <c r="E196" i="6"/>
  <c r="J196" i="6" s="1"/>
  <c r="K196" i="6" s="1"/>
  <c r="E195" i="6"/>
  <c r="J195" i="6" s="1"/>
  <c r="K195" i="6" s="1"/>
  <c r="E194" i="6"/>
  <c r="J194" i="6" s="1"/>
  <c r="K194" i="6" s="1"/>
  <c r="E193" i="6"/>
  <c r="J193" i="6" s="1"/>
  <c r="K193" i="6" s="1"/>
  <c r="E192" i="6"/>
  <c r="J192" i="6" s="1"/>
  <c r="K192" i="6" s="1"/>
  <c r="E191" i="6"/>
  <c r="J191" i="6" s="1"/>
  <c r="K191" i="6" s="1"/>
  <c r="E190" i="6"/>
  <c r="J190" i="6" s="1"/>
  <c r="K190" i="6" s="1"/>
  <c r="E189" i="6"/>
  <c r="J189" i="6" s="1"/>
  <c r="K189" i="6" s="1"/>
  <c r="E188" i="6"/>
  <c r="J188" i="6" s="1"/>
  <c r="K188" i="6" s="1"/>
  <c r="E187" i="6"/>
  <c r="J187" i="6" s="1"/>
  <c r="K187" i="6" s="1"/>
  <c r="E186" i="6"/>
  <c r="J186" i="6" s="1"/>
  <c r="K186" i="6" s="1"/>
  <c r="E185" i="6"/>
  <c r="J185" i="6" s="1"/>
  <c r="K185" i="6" s="1"/>
  <c r="E184" i="6"/>
  <c r="J184" i="6" s="1"/>
  <c r="K184" i="6" s="1"/>
  <c r="E183" i="6"/>
  <c r="J183" i="6" s="1"/>
  <c r="K183" i="6" s="1"/>
  <c r="E182" i="6"/>
  <c r="J182" i="6" s="1"/>
  <c r="K182" i="6" s="1"/>
  <c r="E181" i="6"/>
  <c r="J181" i="6" s="1"/>
  <c r="K181" i="6" s="1"/>
  <c r="E180" i="6"/>
  <c r="J180" i="6" s="1"/>
  <c r="K180" i="6" s="1"/>
  <c r="E179" i="6"/>
  <c r="J179" i="6" s="1"/>
  <c r="K179" i="6" s="1"/>
  <c r="E178" i="6"/>
  <c r="J178" i="6" s="1"/>
  <c r="K178" i="6" s="1"/>
  <c r="E177" i="6"/>
  <c r="J177" i="6" s="1"/>
  <c r="K177" i="6" s="1"/>
  <c r="E176" i="6"/>
  <c r="J176" i="6" s="1"/>
  <c r="K176" i="6" s="1"/>
  <c r="E175" i="6"/>
  <c r="J175" i="6" s="1"/>
  <c r="K175" i="6" s="1"/>
  <c r="E174" i="6"/>
  <c r="J174" i="6" s="1"/>
  <c r="K174" i="6" s="1"/>
  <c r="E173" i="6"/>
  <c r="J173" i="6" s="1"/>
  <c r="K173" i="6" s="1"/>
  <c r="E172" i="6"/>
  <c r="J172" i="6" s="1"/>
  <c r="K172" i="6" s="1"/>
  <c r="E171" i="6"/>
  <c r="J171" i="6" s="1"/>
  <c r="K171" i="6" s="1"/>
  <c r="E170" i="6"/>
  <c r="J170" i="6" s="1"/>
  <c r="K170" i="6" s="1"/>
  <c r="E169" i="6"/>
  <c r="J169" i="6" s="1"/>
  <c r="K169" i="6" s="1"/>
  <c r="E168" i="6"/>
  <c r="J168" i="6" s="1"/>
  <c r="K168" i="6" s="1"/>
  <c r="E167" i="6"/>
  <c r="J167" i="6" s="1"/>
  <c r="K167" i="6" s="1"/>
  <c r="E166" i="6"/>
  <c r="J166" i="6" s="1"/>
  <c r="K166" i="6" s="1"/>
  <c r="E165" i="6"/>
  <c r="J165" i="6" s="1"/>
  <c r="K165" i="6" s="1"/>
  <c r="E164" i="6"/>
  <c r="J164" i="6" s="1"/>
  <c r="K164" i="6" s="1"/>
  <c r="E163" i="6"/>
  <c r="J163" i="6" s="1"/>
  <c r="K163" i="6" s="1"/>
  <c r="E162" i="6"/>
  <c r="J162" i="6" s="1"/>
  <c r="K162" i="6" s="1"/>
  <c r="E161" i="6"/>
  <c r="J161" i="6" s="1"/>
  <c r="K161" i="6" s="1"/>
  <c r="E160" i="6"/>
  <c r="J160" i="6" s="1"/>
  <c r="K160" i="6" s="1"/>
  <c r="E159" i="6"/>
  <c r="J159" i="6" s="1"/>
  <c r="K159" i="6" s="1"/>
  <c r="E158" i="6"/>
  <c r="J158" i="6" s="1"/>
  <c r="K158" i="6" s="1"/>
  <c r="E157" i="6"/>
  <c r="J157" i="6" s="1"/>
  <c r="K157" i="6" s="1"/>
  <c r="E156" i="6"/>
  <c r="J156" i="6" s="1"/>
  <c r="K156" i="6" s="1"/>
  <c r="E155" i="6"/>
  <c r="J155" i="6" s="1"/>
  <c r="K155" i="6" s="1"/>
  <c r="E154" i="6"/>
  <c r="J154" i="6" s="1"/>
  <c r="K154" i="6" s="1"/>
  <c r="E153" i="6"/>
  <c r="J153" i="6" s="1"/>
  <c r="K153" i="6" s="1"/>
  <c r="E152" i="6"/>
  <c r="J152" i="6" s="1"/>
  <c r="K152" i="6" s="1"/>
  <c r="E151" i="6"/>
  <c r="J151" i="6" s="1"/>
  <c r="K151" i="6" s="1"/>
  <c r="E150" i="6"/>
  <c r="J150" i="6" s="1"/>
  <c r="K150" i="6" s="1"/>
  <c r="E149" i="6"/>
  <c r="J149" i="6" s="1"/>
  <c r="K149" i="6" s="1"/>
  <c r="E148" i="6"/>
  <c r="J148" i="6" s="1"/>
  <c r="K148" i="6" s="1"/>
  <c r="E147" i="6"/>
  <c r="J147" i="6" s="1"/>
  <c r="K147" i="6" s="1"/>
  <c r="E146" i="6"/>
  <c r="J146" i="6" s="1"/>
  <c r="K146" i="6" s="1"/>
  <c r="E145" i="6"/>
  <c r="J145" i="6" s="1"/>
  <c r="K145" i="6" s="1"/>
  <c r="E144" i="6"/>
  <c r="J144" i="6" s="1"/>
  <c r="K144" i="6" s="1"/>
  <c r="E143" i="6"/>
  <c r="J143" i="6" s="1"/>
  <c r="K143" i="6" s="1"/>
  <c r="E142" i="6"/>
  <c r="J142" i="6" s="1"/>
  <c r="K142" i="6" s="1"/>
  <c r="E141" i="6"/>
  <c r="J141" i="6" s="1"/>
  <c r="K141" i="6" s="1"/>
  <c r="E140" i="6"/>
  <c r="J140" i="6" s="1"/>
  <c r="K140" i="6" s="1"/>
  <c r="E139" i="6"/>
  <c r="J139" i="6" s="1"/>
  <c r="K139" i="6" s="1"/>
  <c r="E138" i="6"/>
  <c r="J138" i="6" s="1"/>
  <c r="K138" i="6" s="1"/>
  <c r="E137" i="6"/>
  <c r="J137" i="6" s="1"/>
  <c r="K137" i="6" s="1"/>
  <c r="E136" i="6"/>
  <c r="J136" i="6" s="1"/>
  <c r="K136" i="6" s="1"/>
  <c r="E135" i="6"/>
  <c r="J135" i="6" s="1"/>
  <c r="K135" i="6" s="1"/>
  <c r="E134" i="6"/>
  <c r="J134" i="6" s="1"/>
  <c r="K134" i="6" s="1"/>
  <c r="E133" i="6"/>
  <c r="J133" i="6" s="1"/>
  <c r="K133" i="6" s="1"/>
  <c r="E132" i="6"/>
  <c r="J132" i="6" s="1"/>
  <c r="K132" i="6" s="1"/>
  <c r="E131" i="6"/>
  <c r="J131" i="6" s="1"/>
  <c r="K131" i="6" s="1"/>
  <c r="E130" i="6"/>
  <c r="J130" i="6" s="1"/>
  <c r="K130" i="6" s="1"/>
  <c r="E129" i="6"/>
  <c r="J129" i="6" s="1"/>
  <c r="K129" i="6" s="1"/>
  <c r="E128" i="6"/>
  <c r="J128" i="6" s="1"/>
  <c r="K128" i="6" s="1"/>
  <c r="E127" i="6"/>
  <c r="J127" i="6" s="1"/>
  <c r="K127" i="6" s="1"/>
  <c r="E126" i="6"/>
  <c r="J126" i="6" s="1"/>
  <c r="K126" i="6" s="1"/>
  <c r="E125" i="6"/>
  <c r="J125" i="6" s="1"/>
  <c r="K125" i="6" s="1"/>
  <c r="E124" i="6"/>
  <c r="J124" i="6" s="1"/>
  <c r="K124" i="6" s="1"/>
  <c r="E123" i="6"/>
  <c r="J123" i="6" s="1"/>
  <c r="K123" i="6" s="1"/>
  <c r="E122" i="6"/>
  <c r="J122" i="6" s="1"/>
  <c r="K122" i="6" s="1"/>
  <c r="E121" i="6"/>
  <c r="J121" i="6" s="1"/>
  <c r="K121" i="6" s="1"/>
  <c r="E120" i="6"/>
  <c r="J120" i="6" s="1"/>
  <c r="K120" i="6" s="1"/>
  <c r="E119" i="6"/>
  <c r="J119" i="6" s="1"/>
  <c r="K119" i="6" s="1"/>
  <c r="E118" i="6"/>
  <c r="J118" i="6" s="1"/>
  <c r="K118" i="6" s="1"/>
  <c r="E117" i="6"/>
  <c r="J117" i="6" s="1"/>
  <c r="K117" i="6" s="1"/>
  <c r="E116" i="6"/>
  <c r="J116" i="6" s="1"/>
  <c r="K116" i="6" s="1"/>
  <c r="E115" i="6"/>
  <c r="J115" i="6" s="1"/>
  <c r="K115" i="6" s="1"/>
  <c r="E114" i="6"/>
  <c r="J114" i="6" s="1"/>
  <c r="K114" i="6" s="1"/>
  <c r="E113" i="6"/>
  <c r="J113" i="6" s="1"/>
  <c r="K113" i="6" s="1"/>
  <c r="E112" i="6"/>
  <c r="J112" i="6" s="1"/>
  <c r="K112" i="6" s="1"/>
  <c r="E111" i="6"/>
  <c r="J111" i="6" s="1"/>
  <c r="K111" i="6" s="1"/>
  <c r="E110" i="6"/>
  <c r="J110" i="6" s="1"/>
  <c r="K110" i="6" s="1"/>
  <c r="E109" i="6"/>
  <c r="J109" i="6" s="1"/>
  <c r="K109" i="6" s="1"/>
  <c r="E108" i="6"/>
  <c r="J108" i="6" s="1"/>
  <c r="K108" i="6" s="1"/>
  <c r="E107" i="6"/>
  <c r="J107" i="6" s="1"/>
  <c r="K107" i="6" s="1"/>
  <c r="E106" i="6"/>
  <c r="J106" i="6" s="1"/>
  <c r="K106" i="6" s="1"/>
  <c r="E105" i="6"/>
  <c r="J105" i="6" s="1"/>
  <c r="K105" i="6" s="1"/>
  <c r="E104" i="6"/>
  <c r="J104" i="6" s="1"/>
  <c r="K104" i="6" s="1"/>
  <c r="E103" i="6"/>
  <c r="J103" i="6" s="1"/>
  <c r="K103" i="6" s="1"/>
  <c r="E102" i="6"/>
  <c r="J102" i="6" s="1"/>
  <c r="K102" i="6" s="1"/>
  <c r="E101" i="6"/>
  <c r="J101" i="6" s="1"/>
  <c r="K101" i="6" s="1"/>
  <c r="E100" i="6"/>
  <c r="J100" i="6" s="1"/>
  <c r="K100" i="6" s="1"/>
  <c r="E99" i="6"/>
  <c r="J99" i="6" s="1"/>
  <c r="K99" i="6" s="1"/>
  <c r="E98" i="6"/>
  <c r="J98" i="6" s="1"/>
  <c r="K98" i="6" s="1"/>
  <c r="E97" i="6"/>
  <c r="J97" i="6" s="1"/>
  <c r="K97" i="6" s="1"/>
  <c r="E96" i="6"/>
  <c r="J96" i="6" s="1"/>
  <c r="K96" i="6" s="1"/>
  <c r="E95" i="6"/>
  <c r="J95" i="6" s="1"/>
  <c r="K95" i="6" s="1"/>
  <c r="E94" i="6"/>
  <c r="J94" i="6" s="1"/>
  <c r="K94" i="6" s="1"/>
  <c r="E93" i="6"/>
  <c r="J93" i="6" s="1"/>
  <c r="K93" i="6" s="1"/>
  <c r="E92" i="6"/>
  <c r="J92" i="6" s="1"/>
  <c r="K92" i="6" s="1"/>
  <c r="E91" i="6"/>
  <c r="J91" i="6" s="1"/>
  <c r="K91" i="6" s="1"/>
  <c r="E90" i="6"/>
  <c r="J90" i="6" s="1"/>
  <c r="K90" i="6" s="1"/>
  <c r="E89" i="6"/>
  <c r="J89" i="6" s="1"/>
  <c r="K89" i="6" s="1"/>
  <c r="E88" i="6"/>
  <c r="J88" i="6" s="1"/>
  <c r="K88" i="6" s="1"/>
  <c r="E87" i="6"/>
  <c r="J87" i="6" s="1"/>
  <c r="K87" i="6" s="1"/>
  <c r="E86" i="6"/>
  <c r="J86" i="6" s="1"/>
  <c r="K86" i="6" s="1"/>
  <c r="E85" i="6"/>
  <c r="J85" i="6" s="1"/>
  <c r="K85" i="6" s="1"/>
  <c r="E84" i="6"/>
  <c r="J84" i="6" s="1"/>
  <c r="K84" i="6" s="1"/>
  <c r="E83" i="6"/>
  <c r="J83" i="6" s="1"/>
  <c r="K83" i="6" s="1"/>
  <c r="E82" i="6"/>
  <c r="J82" i="6" s="1"/>
  <c r="K82" i="6" s="1"/>
  <c r="E81" i="6"/>
  <c r="J81" i="6" s="1"/>
  <c r="K81" i="6" s="1"/>
  <c r="E80" i="6"/>
  <c r="J80" i="6" s="1"/>
  <c r="K80" i="6" s="1"/>
  <c r="E79" i="6"/>
  <c r="J79" i="6" s="1"/>
  <c r="K79" i="6" s="1"/>
  <c r="E78" i="6"/>
  <c r="J78" i="6" s="1"/>
  <c r="K78" i="6" s="1"/>
  <c r="E77" i="6"/>
  <c r="J77" i="6" s="1"/>
  <c r="K77" i="6" s="1"/>
  <c r="E76" i="6"/>
  <c r="J76" i="6" s="1"/>
  <c r="K76" i="6" s="1"/>
  <c r="E75" i="6"/>
  <c r="J75" i="6" s="1"/>
  <c r="K75" i="6" s="1"/>
  <c r="E74" i="6"/>
  <c r="J74" i="6" s="1"/>
  <c r="K74" i="6" s="1"/>
  <c r="E73" i="6"/>
  <c r="J73" i="6" s="1"/>
  <c r="K73" i="6" s="1"/>
  <c r="E72" i="6"/>
  <c r="J72" i="6" s="1"/>
  <c r="K72" i="6" s="1"/>
  <c r="E71" i="6"/>
  <c r="J71" i="6" s="1"/>
  <c r="K71" i="6" s="1"/>
  <c r="E70" i="6"/>
  <c r="J70" i="6" s="1"/>
  <c r="K70" i="6" s="1"/>
  <c r="E69" i="6"/>
  <c r="J69" i="6" s="1"/>
  <c r="K69" i="6" s="1"/>
  <c r="E68" i="6"/>
  <c r="J68" i="6" s="1"/>
  <c r="K68" i="6" s="1"/>
  <c r="E67" i="6"/>
  <c r="J67" i="6" s="1"/>
  <c r="K67" i="6" s="1"/>
  <c r="E66" i="6"/>
  <c r="J66" i="6" s="1"/>
  <c r="K66" i="6" s="1"/>
  <c r="E65" i="6"/>
  <c r="J65" i="6" s="1"/>
  <c r="K65" i="6" s="1"/>
  <c r="E64" i="6"/>
  <c r="J64" i="6" s="1"/>
  <c r="K64" i="6" s="1"/>
  <c r="E63" i="6"/>
  <c r="J63" i="6" s="1"/>
  <c r="K63" i="6" s="1"/>
  <c r="E62" i="6"/>
  <c r="J62" i="6" s="1"/>
  <c r="K62" i="6" s="1"/>
  <c r="E61" i="6"/>
  <c r="J61" i="6" s="1"/>
  <c r="K61" i="6" s="1"/>
  <c r="E60" i="6"/>
  <c r="J60" i="6" s="1"/>
  <c r="K60" i="6" s="1"/>
  <c r="E59" i="6"/>
  <c r="J59" i="6" s="1"/>
  <c r="K59" i="6" s="1"/>
  <c r="E58" i="6"/>
  <c r="J58" i="6" s="1"/>
  <c r="K58" i="6" s="1"/>
  <c r="E57" i="6"/>
  <c r="J57" i="6" s="1"/>
  <c r="K57" i="6" s="1"/>
  <c r="E56" i="6"/>
  <c r="J56" i="6" s="1"/>
  <c r="K56" i="6" s="1"/>
  <c r="E55" i="6"/>
  <c r="J55" i="6" s="1"/>
  <c r="K55" i="6" s="1"/>
  <c r="E54" i="6"/>
  <c r="J54" i="6" s="1"/>
  <c r="K54" i="6" s="1"/>
  <c r="E53" i="6"/>
  <c r="J53" i="6" s="1"/>
  <c r="K53" i="6" s="1"/>
  <c r="E52" i="6"/>
  <c r="J52" i="6" s="1"/>
  <c r="K52" i="6" s="1"/>
  <c r="E51" i="6"/>
  <c r="J51" i="6" s="1"/>
  <c r="K51" i="6" s="1"/>
  <c r="E50" i="6"/>
  <c r="J50" i="6" s="1"/>
  <c r="K50" i="6" s="1"/>
  <c r="E49" i="6"/>
  <c r="J49" i="6" s="1"/>
  <c r="K49" i="6" s="1"/>
  <c r="E48" i="6"/>
  <c r="J48" i="6" s="1"/>
  <c r="K48" i="6" s="1"/>
  <c r="E47" i="6"/>
  <c r="J47" i="6" s="1"/>
  <c r="K47" i="6" s="1"/>
  <c r="E46" i="6"/>
  <c r="J46" i="6" s="1"/>
  <c r="K46" i="6" s="1"/>
  <c r="E45" i="6"/>
  <c r="J45" i="6" s="1"/>
  <c r="K45" i="6" s="1"/>
  <c r="E44" i="6"/>
  <c r="J44" i="6" s="1"/>
  <c r="K44" i="6" s="1"/>
  <c r="E43" i="6"/>
  <c r="J43" i="6" s="1"/>
  <c r="K43" i="6" s="1"/>
  <c r="E42" i="6"/>
  <c r="J42" i="6" s="1"/>
  <c r="K42" i="6" s="1"/>
  <c r="E41" i="6"/>
  <c r="J41" i="6" s="1"/>
  <c r="K41" i="6" s="1"/>
  <c r="E40" i="6"/>
  <c r="J40" i="6" s="1"/>
  <c r="K40" i="6" s="1"/>
  <c r="E39" i="6"/>
  <c r="J39" i="6" s="1"/>
  <c r="K39" i="6" s="1"/>
  <c r="E38" i="6"/>
  <c r="J38" i="6" s="1"/>
  <c r="K38" i="6" s="1"/>
  <c r="E37" i="6"/>
  <c r="J37" i="6" s="1"/>
  <c r="K37" i="6" s="1"/>
  <c r="E36" i="6"/>
  <c r="J36" i="6" s="1"/>
  <c r="K36" i="6" s="1"/>
  <c r="E35" i="6"/>
  <c r="J35" i="6" s="1"/>
  <c r="K35" i="6" s="1"/>
  <c r="E34" i="6"/>
  <c r="J34" i="6" s="1"/>
  <c r="K34" i="6" s="1"/>
  <c r="E33" i="6"/>
  <c r="J33" i="6" s="1"/>
  <c r="K33" i="6" s="1"/>
  <c r="E32" i="6"/>
  <c r="J32" i="6" s="1"/>
  <c r="K32" i="6" s="1"/>
  <c r="E31" i="6"/>
  <c r="J31" i="6" s="1"/>
  <c r="K31" i="6" s="1"/>
  <c r="E30" i="6"/>
  <c r="J30" i="6" s="1"/>
  <c r="K30" i="6" s="1"/>
  <c r="E29" i="6"/>
  <c r="J29" i="6" s="1"/>
  <c r="K29" i="6" s="1"/>
  <c r="E28" i="6"/>
  <c r="J28" i="6" s="1"/>
  <c r="K28" i="6" s="1"/>
  <c r="E27" i="6"/>
  <c r="J27" i="6" s="1"/>
  <c r="K27" i="6" s="1"/>
  <c r="E26" i="6"/>
  <c r="J26" i="6" s="1"/>
  <c r="K26" i="6" s="1"/>
  <c r="E25" i="6"/>
  <c r="J25" i="6" s="1"/>
  <c r="K25" i="6" s="1"/>
  <c r="E24" i="6"/>
  <c r="J24" i="6" s="1"/>
  <c r="K24" i="6" s="1"/>
  <c r="E23" i="6"/>
  <c r="J23" i="6" s="1"/>
  <c r="K23" i="6" s="1"/>
  <c r="E22" i="6"/>
  <c r="J22" i="6" s="1"/>
  <c r="K22" i="6" s="1"/>
  <c r="E21" i="6"/>
  <c r="J21" i="6" s="1"/>
  <c r="K21" i="6" s="1"/>
  <c r="E20" i="6"/>
  <c r="J20" i="6" s="1"/>
  <c r="K20" i="6" s="1"/>
  <c r="E19" i="6"/>
  <c r="J19" i="6" s="1"/>
  <c r="K19" i="6" s="1"/>
  <c r="E18" i="6"/>
  <c r="J18" i="6" s="1"/>
  <c r="K18" i="6" s="1"/>
  <c r="E17" i="6"/>
  <c r="J17" i="6" s="1"/>
  <c r="K17" i="6" s="1"/>
  <c r="E16" i="6"/>
  <c r="J16" i="6" s="1"/>
  <c r="K16" i="6" s="1"/>
  <c r="E15" i="6"/>
  <c r="J15" i="6" s="1"/>
  <c r="K15" i="6" s="1"/>
  <c r="E14" i="6"/>
  <c r="J14" i="6" s="1"/>
  <c r="K14" i="6" s="1"/>
  <c r="E13" i="6"/>
  <c r="J13" i="6" s="1"/>
  <c r="K13" i="6" s="1"/>
  <c r="E12" i="6"/>
  <c r="J12" i="6" s="1"/>
  <c r="K12" i="6" s="1"/>
  <c r="E11" i="6"/>
  <c r="J11" i="6" s="1"/>
  <c r="K11" i="6" s="1"/>
  <c r="E10" i="6"/>
  <c r="J10" i="6" s="1"/>
  <c r="K10" i="6" s="1"/>
  <c r="E9" i="6"/>
  <c r="J9" i="6" s="1"/>
  <c r="K9" i="6" s="1"/>
  <c r="E8" i="6"/>
  <c r="J8" i="6" s="1"/>
  <c r="K8" i="6" s="1"/>
  <c r="E7" i="6"/>
  <c r="J7" i="6" s="1"/>
  <c r="K7" i="6" s="1"/>
  <c r="E6" i="6"/>
  <c r="J6" i="6" s="1"/>
  <c r="K6" i="6" s="1"/>
  <c r="E5" i="6"/>
  <c r="J5" i="6" s="1"/>
  <c r="K5" i="6" s="1"/>
  <c r="E4" i="6"/>
  <c r="J4" i="6" s="1"/>
  <c r="K4" i="6" s="1"/>
  <c r="E3" i="6"/>
  <c r="J3" i="6" s="1"/>
  <c r="K3" i="6" s="1"/>
  <c r="E2" i="6"/>
  <c r="J2" i="6" s="1"/>
  <c r="K2" i="6" s="1"/>
  <c r="D387" i="5"/>
  <c r="C387" i="5" s="1"/>
  <c r="D386" i="5"/>
  <c r="D385" i="5"/>
  <c r="C385" i="5" s="1"/>
  <c r="D384" i="5"/>
  <c r="D383" i="5"/>
  <c r="C383" i="5" s="1"/>
  <c r="D382" i="5"/>
  <c r="C382" i="5" s="1"/>
  <c r="D381" i="5"/>
  <c r="D380" i="5"/>
  <c r="D379" i="5"/>
  <c r="C379" i="5"/>
  <c r="D378" i="5"/>
  <c r="D377" i="5"/>
  <c r="C377" i="5"/>
  <c r="D376" i="5"/>
  <c r="D375" i="5"/>
  <c r="C375" i="5" s="1"/>
  <c r="D374" i="5"/>
  <c r="C374" i="5" s="1"/>
  <c r="D373" i="5"/>
  <c r="C373" i="5"/>
  <c r="D372" i="5"/>
  <c r="C372" i="5" s="1"/>
  <c r="D371" i="5"/>
  <c r="C371" i="5" s="1"/>
  <c r="D370" i="5"/>
  <c r="C370" i="5" s="1"/>
  <c r="D369" i="5"/>
  <c r="D368" i="5"/>
  <c r="C368" i="5" s="1"/>
  <c r="D367" i="5"/>
  <c r="C367" i="5" s="1"/>
  <c r="D366" i="5"/>
  <c r="C366" i="5"/>
  <c r="D365" i="5"/>
  <c r="D364" i="5"/>
  <c r="C364" i="5"/>
  <c r="D363" i="5"/>
  <c r="C363" i="5" s="1"/>
  <c r="D362" i="5"/>
  <c r="C362" i="5"/>
  <c r="D361" i="5"/>
  <c r="C361" i="5" s="1"/>
  <c r="D360" i="5"/>
  <c r="D359" i="5"/>
  <c r="D358" i="5"/>
  <c r="C358" i="5" s="1"/>
  <c r="D357" i="5"/>
  <c r="C357" i="5" s="1"/>
  <c r="D356" i="5"/>
  <c r="C356" i="5" s="1"/>
  <c r="D355" i="5"/>
  <c r="D354" i="5"/>
  <c r="C354" i="5" s="1"/>
  <c r="D353" i="5"/>
  <c r="D352" i="5"/>
  <c r="D351" i="5"/>
  <c r="D350" i="5"/>
  <c r="C350" i="5"/>
  <c r="D349" i="5"/>
  <c r="D348" i="5"/>
  <c r="D347" i="5"/>
  <c r="C347" i="5" s="1"/>
  <c r="D346" i="5"/>
  <c r="D345" i="5"/>
  <c r="C345" i="5" s="1"/>
  <c r="D344" i="5"/>
  <c r="C344" i="5" s="1"/>
  <c r="D343" i="5"/>
  <c r="D342" i="5"/>
  <c r="D341" i="5"/>
  <c r="C341" i="5"/>
  <c r="D340" i="5"/>
  <c r="C340" i="5" s="1"/>
  <c r="D339" i="5"/>
  <c r="D338" i="5"/>
  <c r="C338" i="5" s="1"/>
  <c r="D337" i="5"/>
  <c r="D336" i="5"/>
  <c r="D335" i="5"/>
  <c r="C335" i="5" s="1"/>
  <c r="D334" i="5"/>
  <c r="D333" i="5"/>
  <c r="C333" i="5" s="1"/>
  <c r="D332" i="5"/>
  <c r="C332" i="5" s="1"/>
  <c r="D331" i="5"/>
  <c r="C331" i="5" s="1"/>
  <c r="D330" i="5"/>
  <c r="D329" i="5"/>
  <c r="D328" i="5"/>
  <c r="C328" i="5"/>
  <c r="D327" i="5"/>
  <c r="D326" i="5"/>
  <c r="D325" i="5"/>
  <c r="C325" i="5" s="1"/>
  <c r="D324" i="5"/>
  <c r="C324" i="5" s="1"/>
  <c r="D323" i="5"/>
  <c r="C323" i="5" s="1"/>
  <c r="D322" i="5"/>
  <c r="C322" i="5" s="1"/>
  <c r="D321" i="5"/>
  <c r="D320" i="5"/>
  <c r="D319" i="5"/>
  <c r="D318" i="5"/>
  <c r="D317" i="5"/>
  <c r="D316" i="5"/>
  <c r="C316" i="5" s="1"/>
  <c r="D315" i="5"/>
  <c r="D314" i="5"/>
  <c r="D313" i="5"/>
  <c r="D312" i="5"/>
  <c r="D311" i="5"/>
  <c r="D310" i="5"/>
  <c r="D309" i="5"/>
  <c r="D308" i="5"/>
  <c r="D307" i="5"/>
  <c r="D306" i="5"/>
  <c r="D305" i="5"/>
  <c r="C305" i="5"/>
  <c r="D304" i="5"/>
  <c r="C304" i="5" s="1"/>
  <c r="D303" i="5"/>
  <c r="C303" i="5" s="1"/>
  <c r="D302" i="5"/>
  <c r="C302" i="5" s="1"/>
  <c r="D301" i="5"/>
  <c r="D300" i="5"/>
  <c r="D299" i="5"/>
  <c r="C299" i="5" s="1"/>
  <c r="D298" i="5"/>
  <c r="D297" i="5"/>
  <c r="D296" i="5"/>
  <c r="C296" i="5" s="1"/>
  <c r="D295" i="5"/>
  <c r="D294" i="5"/>
  <c r="C294" i="5"/>
  <c r="D293" i="5"/>
  <c r="C293" i="5"/>
  <c r="D292" i="5"/>
  <c r="D291" i="5"/>
  <c r="C291" i="5" s="1"/>
  <c r="D290" i="5"/>
  <c r="C290" i="5" s="1"/>
  <c r="D289" i="5"/>
  <c r="D288" i="5"/>
  <c r="D287" i="5"/>
  <c r="C287" i="5" s="1"/>
  <c r="D286" i="5"/>
  <c r="C286" i="5"/>
  <c r="D285" i="5"/>
  <c r="D284" i="5"/>
  <c r="C284" i="5"/>
  <c r="D283" i="5"/>
  <c r="D282" i="5"/>
  <c r="D281" i="5"/>
  <c r="C281" i="5" s="1"/>
  <c r="D280" i="5"/>
  <c r="D279" i="5"/>
  <c r="C279" i="5" s="1"/>
  <c r="D278" i="5"/>
  <c r="D277" i="5"/>
  <c r="C277" i="5" s="1"/>
  <c r="D276" i="5"/>
  <c r="C276" i="5" s="1"/>
  <c r="D275" i="5"/>
  <c r="D274" i="5"/>
  <c r="C274" i="5"/>
  <c r="D273" i="5"/>
  <c r="C273" i="5"/>
  <c r="D272" i="5"/>
  <c r="D271" i="5"/>
  <c r="C271" i="5" s="1"/>
  <c r="D270" i="5"/>
  <c r="C270" i="5"/>
  <c r="D269" i="5"/>
  <c r="C269" i="5" s="1"/>
  <c r="D268" i="5"/>
  <c r="D267" i="5"/>
  <c r="D266" i="5"/>
  <c r="D265" i="5"/>
  <c r="D264" i="5"/>
  <c r="D263" i="5"/>
  <c r="D262" i="5"/>
  <c r="C262" i="5" s="1"/>
  <c r="D261" i="5"/>
  <c r="C261" i="5" s="1"/>
  <c r="D260" i="5"/>
  <c r="D259" i="5"/>
  <c r="D258" i="5"/>
  <c r="C258" i="5"/>
  <c r="D257" i="5"/>
  <c r="D256" i="5"/>
  <c r="D255" i="5"/>
  <c r="D254" i="5"/>
  <c r="C254" i="5" s="1"/>
  <c r="D253" i="5"/>
  <c r="D252" i="5"/>
  <c r="D251" i="5"/>
  <c r="D250" i="5"/>
  <c r="D249" i="5"/>
  <c r="C249" i="5" s="1"/>
  <c r="D248" i="5"/>
  <c r="C248" i="5" s="1"/>
  <c r="D247" i="5"/>
  <c r="D246" i="5"/>
  <c r="C246" i="5" s="1"/>
  <c r="D245" i="5"/>
  <c r="C245" i="5" s="1"/>
  <c r="D244" i="5"/>
  <c r="D243" i="5"/>
  <c r="D242" i="5"/>
  <c r="C242" i="5" s="1"/>
  <c r="D241" i="5"/>
  <c r="C241" i="5" s="1"/>
  <c r="D240" i="5"/>
  <c r="D239" i="5"/>
  <c r="D238" i="5"/>
  <c r="D237" i="5"/>
  <c r="C237" i="5" s="1"/>
  <c r="D236" i="5"/>
  <c r="D235" i="5"/>
  <c r="D234" i="5"/>
  <c r="C234" i="5" s="1"/>
  <c r="D233" i="5"/>
  <c r="D232" i="5"/>
  <c r="D231" i="5"/>
  <c r="D230" i="5"/>
  <c r="C230" i="5" s="1"/>
  <c r="D229" i="5"/>
  <c r="D228" i="5"/>
  <c r="D227" i="5"/>
  <c r="D226" i="5"/>
  <c r="C226" i="5" s="1"/>
  <c r="D225" i="5"/>
  <c r="C225" i="5"/>
  <c r="D224" i="5"/>
  <c r="C224" i="5" s="1"/>
  <c r="D223" i="5"/>
  <c r="D222" i="5"/>
  <c r="C222" i="5"/>
  <c r="D221" i="5"/>
  <c r="C221" i="5"/>
  <c r="D220" i="5"/>
  <c r="D219" i="5"/>
  <c r="D218" i="5"/>
  <c r="C218" i="5" s="1"/>
  <c r="D217" i="5"/>
  <c r="D216" i="5"/>
  <c r="C216" i="5" s="1"/>
  <c r="D215" i="5"/>
  <c r="D214" i="5"/>
  <c r="D213" i="5"/>
  <c r="C213" i="5"/>
  <c r="D212" i="5"/>
  <c r="C212" i="5" s="1"/>
  <c r="D211" i="5"/>
  <c r="D210" i="5"/>
  <c r="D209" i="5"/>
  <c r="C209" i="5"/>
  <c r="D208" i="5"/>
  <c r="C208" i="5"/>
  <c r="D207" i="5"/>
  <c r="D206" i="5"/>
  <c r="C206" i="5" s="1"/>
  <c r="D205" i="5"/>
  <c r="D204" i="5"/>
  <c r="C204" i="5" s="1"/>
  <c r="D203" i="5"/>
  <c r="D202" i="5"/>
  <c r="D201" i="5"/>
  <c r="C201" i="5" s="1"/>
  <c r="D200" i="5"/>
  <c r="C200" i="5"/>
  <c r="D199" i="5"/>
  <c r="D198" i="5"/>
  <c r="C198" i="5" s="1"/>
  <c r="D197" i="5"/>
  <c r="C197" i="5" s="1"/>
  <c r="D196" i="5"/>
  <c r="D195" i="5"/>
  <c r="D194" i="5"/>
  <c r="C194" i="5" s="1"/>
  <c r="D193" i="5"/>
  <c r="C193" i="5"/>
  <c r="D192" i="5"/>
  <c r="D191" i="5"/>
  <c r="D190" i="5"/>
  <c r="C190" i="5" s="1"/>
  <c r="D189" i="5"/>
  <c r="D188" i="5"/>
  <c r="C188" i="5"/>
  <c r="D187" i="5"/>
  <c r="D186" i="5"/>
  <c r="C186" i="5" s="1"/>
  <c r="D185" i="5"/>
  <c r="C185" i="5" s="1"/>
  <c r="D184" i="5"/>
  <c r="D183" i="5"/>
  <c r="D182" i="5"/>
  <c r="C182" i="5" s="1"/>
  <c r="D181" i="5"/>
  <c r="C181" i="5" s="1"/>
  <c r="D180" i="5"/>
  <c r="C180" i="5" s="1"/>
  <c r="D179" i="5"/>
  <c r="D178" i="5"/>
  <c r="D177" i="5"/>
  <c r="C177" i="5" s="1"/>
  <c r="D176" i="5"/>
  <c r="C176" i="5"/>
  <c r="D175" i="5"/>
  <c r="D174" i="5"/>
  <c r="C174" i="5"/>
  <c r="D173" i="5"/>
  <c r="C173" i="5" s="1"/>
  <c r="D172" i="5"/>
  <c r="C172" i="5" s="1"/>
  <c r="D171" i="5"/>
  <c r="D170" i="5"/>
  <c r="C170" i="5" s="1"/>
  <c r="D169" i="5"/>
  <c r="C169" i="5" s="1"/>
  <c r="D168" i="5"/>
  <c r="D167" i="5"/>
  <c r="D166" i="5"/>
  <c r="D165" i="5"/>
  <c r="D164" i="5"/>
  <c r="C164" i="5" s="1"/>
  <c r="D163" i="5"/>
  <c r="D162" i="5"/>
  <c r="C162" i="5" s="1"/>
  <c r="D161" i="5"/>
  <c r="D160" i="5"/>
  <c r="D159" i="5"/>
  <c r="D158" i="5"/>
  <c r="C158" i="5" s="1"/>
  <c r="D157" i="5"/>
  <c r="D156" i="5"/>
  <c r="C156" i="5" s="1"/>
  <c r="D155" i="5"/>
  <c r="D154" i="5"/>
  <c r="C154" i="5" s="1"/>
  <c r="D153" i="5"/>
  <c r="C153" i="5" s="1"/>
  <c r="D152" i="5"/>
  <c r="C152" i="5" s="1"/>
  <c r="D151" i="5"/>
  <c r="D150" i="5"/>
  <c r="C150" i="5" s="1"/>
  <c r="D149" i="5"/>
  <c r="D148" i="5"/>
  <c r="C148" i="5"/>
  <c r="D147" i="5"/>
  <c r="D146" i="5"/>
  <c r="C146" i="5" s="1"/>
  <c r="D145" i="5"/>
  <c r="D144" i="5"/>
  <c r="C144" i="5" s="1"/>
  <c r="D143" i="5"/>
  <c r="D142" i="5"/>
  <c r="D141" i="5"/>
  <c r="C141" i="5" s="1"/>
  <c r="D140" i="5"/>
  <c r="D139" i="5"/>
  <c r="D138" i="5"/>
  <c r="C138" i="5"/>
  <c r="D137" i="5"/>
  <c r="C137" i="5"/>
  <c r="M137" i="5" s="1"/>
  <c r="D136" i="5"/>
  <c r="C136" i="5"/>
  <c r="D135" i="5"/>
  <c r="D134" i="5"/>
  <c r="C134" i="5"/>
  <c r="D133" i="5"/>
  <c r="C133" i="5" s="1"/>
  <c r="D132" i="5"/>
  <c r="C132" i="5" s="1"/>
  <c r="D131" i="5"/>
  <c r="D130" i="5"/>
  <c r="D129" i="5"/>
  <c r="C129" i="5" s="1"/>
  <c r="D128" i="5"/>
  <c r="C128" i="5" s="1"/>
  <c r="D127" i="5"/>
  <c r="D126" i="5"/>
  <c r="C126" i="5" s="1"/>
  <c r="D125" i="5"/>
  <c r="D124" i="5"/>
  <c r="C124" i="5"/>
  <c r="D123" i="5"/>
  <c r="D122" i="5"/>
  <c r="D121" i="5"/>
  <c r="C121" i="5" s="1"/>
  <c r="D120" i="5"/>
  <c r="D119" i="5"/>
  <c r="D118" i="5"/>
  <c r="D117" i="5"/>
  <c r="D116" i="5"/>
  <c r="C116" i="5" s="1"/>
  <c r="D115" i="5"/>
  <c r="C115" i="5" s="1"/>
  <c r="D114" i="5"/>
  <c r="C114" i="5" s="1"/>
  <c r="D113" i="5"/>
  <c r="C113" i="5"/>
  <c r="D112" i="5"/>
  <c r="C112" i="5"/>
  <c r="D111" i="5"/>
  <c r="C111" i="5" s="1"/>
  <c r="D110" i="5"/>
  <c r="C110" i="5" s="1"/>
  <c r="D109" i="5"/>
  <c r="C109" i="5" s="1"/>
  <c r="D108" i="5"/>
  <c r="C108" i="5"/>
  <c r="D107" i="5"/>
  <c r="C107" i="5" s="1"/>
  <c r="D106" i="5"/>
  <c r="C106" i="5" s="1"/>
  <c r="D105" i="5"/>
  <c r="C105" i="5" s="1"/>
  <c r="D104" i="5"/>
  <c r="C104" i="5" s="1"/>
  <c r="D103" i="5"/>
  <c r="C103" i="5" s="1"/>
  <c r="D102" i="5"/>
  <c r="C102" i="5" s="1"/>
  <c r="D101" i="5"/>
  <c r="C101" i="5" s="1"/>
  <c r="D100" i="5"/>
  <c r="C100" i="5"/>
  <c r="D99" i="5"/>
  <c r="D98" i="5"/>
  <c r="C98" i="5"/>
  <c r="D97" i="5"/>
  <c r="C97" i="5" s="1"/>
  <c r="D96" i="5"/>
  <c r="C96" i="5" s="1"/>
  <c r="D95" i="5"/>
  <c r="D94" i="5"/>
  <c r="D93" i="5"/>
  <c r="C93" i="5" s="1"/>
  <c r="D92" i="5"/>
  <c r="C92" i="5"/>
  <c r="D91" i="5"/>
  <c r="D90" i="5"/>
  <c r="C90" i="5" s="1"/>
  <c r="D89" i="5"/>
  <c r="C89" i="5" s="1"/>
  <c r="D88" i="5"/>
  <c r="D87" i="5"/>
  <c r="C87" i="5"/>
  <c r="D86" i="5"/>
  <c r="C86" i="5"/>
  <c r="D85" i="5"/>
  <c r="C85" i="5"/>
  <c r="D84" i="5"/>
  <c r="D83" i="5"/>
  <c r="C83" i="5" s="1"/>
  <c r="D82" i="5"/>
  <c r="C82" i="5"/>
  <c r="D81" i="5"/>
  <c r="C81" i="5" s="1"/>
  <c r="D80" i="5"/>
  <c r="D79" i="5"/>
  <c r="C79" i="5" s="1"/>
  <c r="D78" i="5"/>
  <c r="C78" i="5" s="1"/>
  <c r="D77" i="5"/>
  <c r="C77" i="5"/>
  <c r="D76" i="5"/>
  <c r="D75" i="5"/>
  <c r="C75" i="5" s="1"/>
  <c r="D74" i="5"/>
  <c r="C74" i="5"/>
  <c r="D73" i="5"/>
  <c r="C73" i="5" s="1"/>
  <c r="D72" i="5"/>
  <c r="D71" i="5"/>
  <c r="C71" i="5" s="1"/>
  <c r="D70" i="5"/>
  <c r="C70" i="5" s="1"/>
  <c r="D69" i="5"/>
  <c r="C69" i="5" s="1"/>
  <c r="D68" i="5"/>
  <c r="D67" i="5"/>
  <c r="C67" i="5" s="1"/>
  <c r="D66" i="5"/>
  <c r="C66" i="5" s="1"/>
  <c r="D65" i="5"/>
  <c r="C65" i="5"/>
  <c r="D64" i="5"/>
  <c r="D63" i="5"/>
  <c r="C63" i="5"/>
  <c r="D62" i="5"/>
  <c r="C62" i="5"/>
  <c r="D61" i="5"/>
  <c r="C61" i="5" s="1"/>
  <c r="D60" i="5"/>
  <c r="D59" i="5"/>
  <c r="C59" i="5" s="1"/>
  <c r="D58" i="5"/>
  <c r="C58" i="5"/>
  <c r="D57" i="5"/>
  <c r="C57" i="5" s="1"/>
  <c r="D56" i="5"/>
  <c r="D55" i="5"/>
  <c r="D54" i="5"/>
  <c r="C54" i="5" s="1"/>
  <c r="D53" i="5"/>
  <c r="C53" i="5" s="1"/>
  <c r="D52" i="5"/>
  <c r="D51" i="5"/>
  <c r="C51" i="5" s="1"/>
  <c r="D50" i="5"/>
  <c r="C50" i="5" s="1"/>
  <c r="D49" i="5"/>
  <c r="C49" i="5"/>
  <c r="D48" i="5"/>
  <c r="D47" i="5"/>
  <c r="D46" i="5"/>
  <c r="C46" i="5" s="1"/>
  <c r="D45" i="5"/>
  <c r="C45" i="5"/>
  <c r="D44" i="5"/>
  <c r="D43" i="5"/>
  <c r="D42" i="5"/>
  <c r="C42" i="5" s="1"/>
  <c r="M42" i="5" s="1"/>
  <c r="D41" i="5"/>
  <c r="C41" i="5" s="1"/>
  <c r="D40" i="5"/>
  <c r="D39" i="5"/>
  <c r="C39" i="5" s="1"/>
  <c r="D38" i="5"/>
  <c r="C38" i="5" s="1"/>
  <c r="D37" i="5"/>
  <c r="C37" i="5" s="1"/>
  <c r="D36" i="5"/>
  <c r="D35" i="5"/>
  <c r="C35" i="5" s="1"/>
  <c r="D34" i="5"/>
  <c r="C34" i="5" s="1"/>
  <c r="D33" i="5"/>
  <c r="C33" i="5" s="1"/>
  <c r="D32" i="5"/>
  <c r="D31" i="5"/>
  <c r="C31" i="5"/>
  <c r="D30" i="5"/>
  <c r="C30" i="5"/>
  <c r="D29" i="5"/>
  <c r="C29" i="5" s="1"/>
  <c r="D28" i="5"/>
  <c r="D27" i="5"/>
  <c r="C27" i="5" s="1"/>
  <c r="D26" i="5"/>
  <c r="D25" i="5"/>
  <c r="C25" i="5" s="1"/>
  <c r="D24" i="5"/>
  <c r="D23" i="5"/>
  <c r="C23" i="5" s="1"/>
  <c r="D22" i="5"/>
  <c r="C22" i="5"/>
  <c r="D21" i="5"/>
  <c r="D20" i="5"/>
  <c r="D19" i="5"/>
  <c r="C19" i="5"/>
  <c r="D18" i="5"/>
  <c r="C18" i="5" s="1"/>
  <c r="M18" i="5" s="1"/>
  <c r="D17" i="5"/>
  <c r="C17" i="5" s="1"/>
  <c r="D16" i="5"/>
  <c r="D15" i="5"/>
  <c r="D14" i="5"/>
  <c r="C14" i="5" s="1"/>
  <c r="D13" i="5"/>
  <c r="C13" i="5"/>
  <c r="D12" i="5"/>
  <c r="D11" i="5"/>
  <c r="C11" i="5"/>
  <c r="K11" i="5" s="1"/>
  <c r="D10" i="5"/>
  <c r="C10" i="5" s="1"/>
  <c r="D9" i="5"/>
  <c r="C9" i="5" s="1"/>
  <c r="D8" i="5"/>
  <c r="D7" i="5"/>
  <c r="C7" i="5" s="1"/>
  <c r="K7" i="5" s="1"/>
  <c r="D6" i="5"/>
  <c r="C6" i="5" s="1"/>
  <c r="D5" i="5"/>
  <c r="D4" i="5"/>
  <c r="D3" i="5"/>
  <c r="C3" i="5" s="1"/>
  <c r="D2" i="5"/>
  <c r="C2" i="5" s="1"/>
  <c r="M153" i="5" l="1"/>
  <c r="L212" i="5"/>
  <c r="K212" i="5"/>
  <c r="M212" i="5"/>
  <c r="M111" i="5"/>
  <c r="L38" i="5"/>
  <c r="M38" i="5"/>
  <c r="M279" i="5"/>
  <c r="M53" i="5"/>
  <c r="L53" i="5"/>
  <c r="M206" i="5"/>
  <c r="K335" i="5"/>
  <c r="L97" i="5"/>
  <c r="M97" i="5"/>
  <c r="K162" i="5"/>
  <c r="K316" i="5"/>
  <c r="L316" i="5"/>
  <c r="M316" i="5"/>
  <c r="K331" i="5"/>
  <c r="M92" i="5"/>
  <c r="L108" i="5"/>
  <c r="M113" i="5"/>
  <c r="M176" i="5"/>
  <c r="L261" i="5"/>
  <c r="M108" i="5"/>
  <c r="M156" i="5"/>
  <c r="L373" i="5"/>
  <c r="K382" i="5"/>
  <c r="M209" i="5"/>
  <c r="L382" i="5"/>
  <c r="M13" i="5"/>
  <c r="M77" i="5"/>
  <c r="M382" i="5"/>
  <c r="L113" i="5"/>
  <c r="M86" i="5"/>
  <c r="K113" i="5"/>
  <c r="L176" i="5"/>
  <c r="L62" i="5"/>
  <c r="M221" i="5"/>
  <c r="L186" i="5"/>
  <c r="M186" i="5"/>
  <c r="K372" i="5"/>
  <c r="L372" i="5"/>
  <c r="L146" i="5"/>
  <c r="K146" i="5"/>
  <c r="M146" i="5"/>
  <c r="K102" i="5"/>
  <c r="K281" i="5"/>
  <c r="M281" i="5"/>
  <c r="L198" i="5"/>
  <c r="K198" i="5"/>
  <c r="M198" i="5"/>
  <c r="L322" i="5"/>
  <c r="M332" i="5"/>
  <c r="L338" i="5"/>
  <c r="K338" i="5"/>
  <c r="K39" i="5"/>
  <c r="K51" i="5"/>
  <c r="K116" i="5"/>
  <c r="L116" i="5"/>
  <c r="M116" i="5"/>
  <c r="K105" i="5"/>
  <c r="L105" i="5"/>
  <c r="M105" i="5"/>
  <c r="L121" i="5"/>
  <c r="K75" i="5"/>
  <c r="K181" i="5"/>
  <c r="M181" i="5"/>
  <c r="L181" i="5"/>
  <c r="L347" i="5"/>
  <c r="K347" i="5"/>
  <c r="M347" i="5"/>
  <c r="M226" i="5"/>
  <c r="L226" i="5"/>
  <c r="L169" i="5"/>
  <c r="M182" i="5"/>
  <c r="L182" i="5"/>
  <c r="K182" i="5"/>
  <c r="K358" i="5"/>
  <c r="M358" i="5"/>
  <c r="L358" i="5"/>
  <c r="C266" i="5"/>
  <c r="L266" i="5" s="1"/>
  <c r="C219" i="5"/>
  <c r="C68" i="5"/>
  <c r="M68" i="5" s="1"/>
  <c r="K73" i="5"/>
  <c r="C84" i="5"/>
  <c r="C119" i="5"/>
  <c r="L137" i="5"/>
  <c r="M173" i="5"/>
  <c r="C207" i="5"/>
  <c r="C231" i="5"/>
  <c r="C250" i="5"/>
  <c r="C349" i="5"/>
  <c r="L22" i="5"/>
  <c r="K27" i="5"/>
  <c r="K33" i="5"/>
  <c r="K57" i="5"/>
  <c r="L73" i="5"/>
  <c r="K100" i="5"/>
  <c r="M237" i="5"/>
  <c r="K293" i="5"/>
  <c r="L302" i="5"/>
  <c r="C317" i="5"/>
  <c r="L344" i="5"/>
  <c r="K366" i="5"/>
  <c r="C378" i="5"/>
  <c r="L378" i="5" s="1"/>
  <c r="C56" i="5"/>
  <c r="K137" i="5"/>
  <c r="M22" i="5"/>
  <c r="M73" i="5"/>
  <c r="L100" i="5"/>
  <c r="L293" i="5"/>
  <c r="C232" i="5"/>
  <c r="K276" i="5"/>
  <c r="M303" i="5"/>
  <c r="C312" i="5"/>
  <c r="L312" i="5" s="1"/>
  <c r="M331" i="5"/>
  <c r="C346" i="5"/>
  <c r="M367" i="5"/>
  <c r="C16" i="5"/>
  <c r="L16" i="5" s="1"/>
  <c r="C91" i="5"/>
  <c r="L91" i="5" s="1"/>
  <c r="M100" i="5"/>
  <c r="C127" i="5"/>
  <c r="L162" i="5"/>
  <c r="M261" i="5"/>
  <c r="C326" i="5"/>
  <c r="L331" i="5"/>
  <c r="C149" i="5"/>
  <c r="L18" i="5"/>
  <c r="C80" i="5"/>
  <c r="L111" i="5"/>
  <c r="M134" i="5"/>
  <c r="K138" i="5"/>
  <c r="M185" i="5"/>
  <c r="M190" i="5"/>
  <c r="K209" i="5"/>
  <c r="K270" i="5"/>
  <c r="L276" i="5"/>
  <c r="C282" i="5"/>
  <c r="L350" i="5"/>
  <c r="M362" i="5"/>
  <c r="K379" i="5"/>
  <c r="C167" i="5"/>
  <c r="M167" i="5" s="1"/>
  <c r="C12" i="5"/>
  <c r="K12" i="5" s="1"/>
  <c r="M33" i="5"/>
  <c r="M62" i="5"/>
  <c r="M293" i="5"/>
  <c r="M162" i="5"/>
  <c r="K190" i="5"/>
  <c r="C239" i="5"/>
  <c r="K350" i="5"/>
  <c r="L69" i="5"/>
  <c r="K13" i="5"/>
  <c r="C24" i="5"/>
  <c r="L29" i="5"/>
  <c r="M69" i="5"/>
  <c r="K92" i="5"/>
  <c r="C139" i="5"/>
  <c r="K156" i="5"/>
  <c r="L170" i="5"/>
  <c r="M197" i="5"/>
  <c r="L270" i="5"/>
  <c r="M276" i="5"/>
  <c r="M287" i="5"/>
  <c r="C314" i="5"/>
  <c r="M350" i="5"/>
  <c r="L379" i="5"/>
  <c r="C142" i="5"/>
  <c r="M142" i="5" s="1"/>
  <c r="C195" i="5"/>
  <c r="C330" i="5"/>
  <c r="L330" i="5" s="1"/>
  <c r="C28" i="5"/>
  <c r="K28" i="5" s="1"/>
  <c r="L33" i="5"/>
  <c r="L57" i="5"/>
  <c r="K185" i="5"/>
  <c r="C40" i="5"/>
  <c r="M57" i="5"/>
  <c r="C52" i="5"/>
  <c r="L52" i="5" s="1"/>
  <c r="K96" i="5"/>
  <c r="L133" i="5"/>
  <c r="M144" i="5"/>
  <c r="L185" i="5"/>
  <c r="K29" i="5"/>
  <c r="C8" i="5"/>
  <c r="L13" i="5"/>
  <c r="M29" i="5"/>
  <c r="K53" i="5"/>
  <c r="M58" i="5"/>
  <c r="C64" i="5"/>
  <c r="L86" i="5"/>
  <c r="L92" i="5"/>
  <c r="K97" i="5"/>
  <c r="K111" i="5"/>
  <c r="L156" i="5"/>
  <c r="K176" i="5"/>
  <c r="L209" i="5"/>
  <c r="L221" i="5"/>
  <c r="K373" i="5"/>
  <c r="M379" i="5"/>
  <c r="C32" i="5"/>
  <c r="C44" i="5"/>
  <c r="M44" i="5" s="1"/>
  <c r="C244" i="5"/>
  <c r="C171" i="5"/>
  <c r="C247" i="5"/>
  <c r="C264" i="5"/>
  <c r="K59" i="5"/>
  <c r="C76" i="5"/>
  <c r="M76" i="5" s="1"/>
  <c r="K129" i="5"/>
  <c r="K9" i="5"/>
  <c r="L42" i="5"/>
  <c r="L234" i="5"/>
  <c r="K273" i="5"/>
  <c r="C381" i="5"/>
  <c r="L129" i="5"/>
  <c r="L136" i="5"/>
  <c r="K153" i="5"/>
  <c r="C187" i="5"/>
  <c r="K218" i="5"/>
  <c r="K222" i="5"/>
  <c r="C259" i="5"/>
  <c r="M305" i="5"/>
  <c r="C315" i="5"/>
  <c r="M315" i="5" s="1"/>
  <c r="K323" i="5"/>
  <c r="K328" i="5"/>
  <c r="K341" i="5"/>
  <c r="K364" i="5"/>
  <c r="K370" i="5"/>
  <c r="K374" i="5"/>
  <c r="L387" i="5"/>
  <c r="C143" i="5"/>
  <c r="C192" i="5"/>
  <c r="C36" i="5"/>
  <c r="K36" i="5" s="1"/>
  <c r="C122" i="5"/>
  <c r="M122" i="5" s="1"/>
  <c r="C4" i="5"/>
  <c r="L4" i="5" s="1"/>
  <c r="C20" i="5"/>
  <c r="L20" i="5" s="1"/>
  <c r="L103" i="5"/>
  <c r="K387" i="5"/>
  <c r="L9" i="5"/>
  <c r="C60" i="5"/>
  <c r="M60" i="5" s="1"/>
  <c r="L82" i="5"/>
  <c r="L49" i="5"/>
  <c r="L66" i="5"/>
  <c r="K71" i="5"/>
  <c r="K77" i="5"/>
  <c r="M82" i="5"/>
  <c r="C88" i="5"/>
  <c r="L88" i="5" s="1"/>
  <c r="C94" i="5"/>
  <c r="K103" i="5"/>
  <c r="M129" i="5"/>
  <c r="M136" i="5"/>
  <c r="K206" i="5"/>
  <c r="L218" i="5"/>
  <c r="L222" i="5"/>
  <c r="C228" i="5"/>
  <c r="L273" i="5"/>
  <c r="K279" i="5"/>
  <c r="L323" i="5"/>
  <c r="L328" i="5"/>
  <c r="L341" i="5"/>
  <c r="L364" i="5"/>
  <c r="L370" i="5"/>
  <c r="M387" i="5"/>
  <c r="C48" i="5"/>
  <c r="C351" i="5"/>
  <c r="L351" i="5" s="1"/>
  <c r="C165" i="5"/>
  <c r="K136" i="5"/>
  <c r="C283" i="5"/>
  <c r="K305" i="5"/>
  <c r="M25" i="5"/>
  <c r="K49" i="5"/>
  <c r="M9" i="5"/>
  <c r="C5" i="5"/>
  <c r="C15" i="5"/>
  <c r="C21" i="5"/>
  <c r="L21" i="5" s="1"/>
  <c r="C26" i="5"/>
  <c r="K31" i="5"/>
  <c r="C43" i="5"/>
  <c r="M49" i="5"/>
  <c r="C72" i="5"/>
  <c r="K72" i="5" s="1"/>
  <c r="L77" i="5"/>
  <c r="C95" i="5"/>
  <c r="C99" i="5"/>
  <c r="M103" i="5"/>
  <c r="K108" i="5"/>
  <c r="C117" i="5"/>
  <c r="L117" i="5" s="1"/>
  <c r="C125" i="5"/>
  <c r="C147" i="5"/>
  <c r="L153" i="5"/>
  <c r="C159" i="5"/>
  <c r="L159" i="5" s="1"/>
  <c r="C184" i="5"/>
  <c r="C199" i="5"/>
  <c r="L206" i="5"/>
  <c r="M218" i="5"/>
  <c r="C223" i="5"/>
  <c r="C236" i="5"/>
  <c r="K236" i="5" s="1"/>
  <c r="M273" i="5"/>
  <c r="L279" i="5"/>
  <c r="C285" i="5"/>
  <c r="C307" i="5"/>
  <c r="M307" i="5" s="1"/>
  <c r="M323" i="5"/>
  <c r="M328" i="5"/>
  <c r="C348" i="5"/>
  <c r="C355" i="5"/>
  <c r="C359" i="5"/>
  <c r="M364" i="5"/>
  <c r="M370" i="5"/>
  <c r="K312" i="5"/>
  <c r="M90" i="5"/>
  <c r="L90" i="5"/>
  <c r="K90" i="5"/>
  <c r="L150" i="5"/>
  <c r="M150" i="5"/>
  <c r="K193" i="5"/>
  <c r="M83" i="5"/>
  <c r="L83" i="5"/>
  <c r="M361" i="5"/>
  <c r="K361" i="5"/>
  <c r="L361" i="5"/>
  <c r="M2" i="5"/>
  <c r="M66" i="5"/>
  <c r="M193" i="5"/>
  <c r="M23" i="5"/>
  <c r="L23" i="5"/>
  <c r="L26" i="5"/>
  <c r="L36" i="5"/>
  <c r="K79" i="5"/>
  <c r="M87" i="5"/>
  <c r="L87" i="5"/>
  <c r="M258" i="5"/>
  <c r="K258" i="5"/>
  <c r="L258" i="5"/>
  <c r="M333" i="5"/>
  <c r="L333" i="5"/>
  <c r="K333" i="5"/>
  <c r="L354" i="5"/>
  <c r="K354" i="5"/>
  <c r="M354" i="5"/>
  <c r="M3" i="5"/>
  <c r="L3" i="5"/>
  <c r="L6" i="5"/>
  <c r="K17" i="5"/>
  <c r="M26" i="5"/>
  <c r="K34" i="5"/>
  <c r="L37" i="5"/>
  <c r="M67" i="5"/>
  <c r="L67" i="5"/>
  <c r="L70" i="5"/>
  <c r="K81" i="5"/>
  <c r="M101" i="5"/>
  <c r="L101" i="5"/>
  <c r="K101" i="5"/>
  <c r="M110" i="5"/>
  <c r="L110" i="5"/>
  <c r="M112" i="5"/>
  <c r="K112" i="5"/>
  <c r="L112" i="5"/>
  <c r="M132" i="5"/>
  <c r="L132" i="5"/>
  <c r="K132" i="5"/>
  <c r="C191" i="5"/>
  <c r="C196" i="5"/>
  <c r="C215" i="5"/>
  <c r="L242" i="5"/>
  <c r="M242" i="5"/>
  <c r="C252" i="5"/>
  <c r="C272" i="5"/>
  <c r="K46" i="5"/>
  <c r="K117" i="5"/>
  <c r="C220" i="5"/>
  <c r="L99" i="5"/>
  <c r="M99" i="5"/>
  <c r="K99" i="5"/>
  <c r="M109" i="5"/>
  <c r="L109" i="5"/>
  <c r="K109" i="5"/>
  <c r="M63" i="5"/>
  <c r="L63" i="5"/>
  <c r="C157" i="5"/>
  <c r="C260" i="5"/>
  <c r="K35" i="5"/>
  <c r="K74" i="5"/>
  <c r="K174" i="5"/>
  <c r="M174" i="5"/>
  <c r="L174" i="5"/>
  <c r="C203" i="5"/>
  <c r="C263" i="5"/>
  <c r="K37" i="5"/>
  <c r="M46" i="5"/>
  <c r="K54" i="5"/>
  <c r="M172" i="5"/>
  <c r="L172" i="5"/>
  <c r="K172" i="5"/>
  <c r="K249" i="5"/>
  <c r="C321" i="5"/>
  <c r="M6" i="5"/>
  <c r="K14" i="5"/>
  <c r="L17" i="5"/>
  <c r="M37" i="5"/>
  <c r="C47" i="5"/>
  <c r="L50" i="5"/>
  <c r="K61" i="5"/>
  <c r="M70" i="5"/>
  <c r="K78" i="5"/>
  <c r="L81" i="5"/>
  <c r="C183" i="5"/>
  <c r="C189" i="5"/>
  <c r="K208" i="5"/>
  <c r="M208" i="5"/>
  <c r="L208" i="5"/>
  <c r="M274" i="5"/>
  <c r="L274" i="5"/>
  <c r="K274" i="5"/>
  <c r="L315" i="5"/>
  <c r="C337" i="5"/>
  <c r="K2" i="5"/>
  <c r="L107" i="5"/>
  <c r="M107" i="5"/>
  <c r="K107" i="5"/>
  <c r="C166" i="5"/>
  <c r="M28" i="5"/>
  <c r="M262" i="5"/>
  <c r="K262" i="5"/>
  <c r="M368" i="5"/>
  <c r="L368" i="5"/>
  <c r="K368" i="5"/>
  <c r="C280" i="5"/>
  <c r="M148" i="5"/>
  <c r="L148" i="5"/>
  <c r="K148" i="5"/>
  <c r="L193" i="5"/>
  <c r="K10" i="5"/>
  <c r="M27" i="5"/>
  <c r="L27" i="5"/>
  <c r="C233" i="5"/>
  <c r="L10" i="5"/>
  <c r="K38" i="5"/>
  <c r="K63" i="5"/>
  <c r="M71" i="5"/>
  <c r="L71" i="5"/>
  <c r="K85" i="5"/>
  <c r="C135" i="5"/>
  <c r="M10" i="5"/>
  <c r="K18" i="5"/>
  <c r="M41" i="5"/>
  <c r="M51" i="5"/>
  <c r="L51" i="5"/>
  <c r="L54" i="5"/>
  <c r="M64" i="5"/>
  <c r="L64" i="5"/>
  <c r="K65" i="5"/>
  <c r="M74" i="5"/>
  <c r="K76" i="5"/>
  <c r="K82" i="5"/>
  <c r="L85" i="5"/>
  <c r="K89" i="5"/>
  <c r="M102" i="5"/>
  <c r="L102" i="5"/>
  <c r="C145" i="5"/>
  <c r="L152" i="5"/>
  <c r="K152" i="5"/>
  <c r="M152" i="5"/>
  <c r="K177" i="5"/>
  <c r="M177" i="5"/>
  <c r="L177" i="5"/>
  <c r="L249" i="5"/>
  <c r="M304" i="5"/>
  <c r="L304" i="5"/>
  <c r="K304" i="5"/>
  <c r="C306" i="5"/>
  <c r="C313" i="5"/>
  <c r="M35" i="5"/>
  <c r="L35" i="5"/>
  <c r="M15" i="5"/>
  <c r="M59" i="5"/>
  <c r="L59" i="5"/>
  <c r="L164" i="5"/>
  <c r="K164" i="5"/>
  <c r="M164" i="5"/>
  <c r="M363" i="5"/>
  <c r="L363" i="5"/>
  <c r="K363" i="5"/>
  <c r="M19" i="5"/>
  <c r="L19" i="5"/>
  <c r="K50" i="5"/>
  <c r="K30" i="5"/>
  <c r="L134" i="5"/>
  <c r="K134" i="5"/>
  <c r="M17" i="5"/>
  <c r="L61" i="5"/>
  <c r="M81" i="5"/>
  <c r="C120" i="5"/>
  <c r="M7" i="5"/>
  <c r="L7" i="5"/>
  <c r="M61" i="5"/>
  <c r="M84" i="5"/>
  <c r="L84" i="5"/>
  <c r="C123" i="5"/>
  <c r="C289" i="5"/>
  <c r="M378" i="5"/>
  <c r="K23" i="5"/>
  <c r="M31" i="5"/>
  <c r="L31" i="5"/>
  <c r="L34" i="5"/>
  <c r="K45" i="5"/>
  <c r="M54" i="5"/>
  <c r="K62" i="5"/>
  <c r="L65" i="5"/>
  <c r="M85" i="5"/>
  <c r="K87" i="5"/>
  <c r="L89" i="5"/>
  <c r="L115" i="5"/>
  <c r="M115" i="5"/>
  <c r="K115" i="5"/>
  <c r="K133" i="5"/>
  <c r="M133" i="5"/>
  <c r="C229" i="5"/>
  <c r="K242" i="5"/>
  <c r="M249" i="5"/>
  <c r="C253" i="5"/>
  <c r="M284" i="5"/>
  <c r="L284" i="5"/>
  <c r="K284" i="5"/>
  <c r="M302" i="5"/>
  <c r="K302" i="5"/>
  <c r="K66" i="5"/>
  <c r="C238" i="5"/>
  <c r="M79" i="5"/>
  <c r="L79" i="5"/>
  <c r="M124" i="5"/>
  <c r="L124" i="5"/>
  <c r="K124" i="5"/>
  <c r="M296" i="5"/>
  <c r="L296" i="5"/>
  <c r="K296" i="5"/>
  <c r="C384" i="5"/>
  <c r="K26" i="5"/>
  <c r="K6" i="5"/>
  <c r="K70" i="5"/>
  <c r="C131" i="5"/>
  <c r="K225" i="5"/>
  <c r="M225" i="5"/>
  <c r="L225" i="5"/>
  <c r="M246" i="5"/>
  <c r="L246" i="5"/>
  <c r="K246" i="5"/>
  <c r="C342" i="5"/>
  <c r="L200" i="5"/>
  <c r="M200" i="5"/>
  <c r="K200" i="5"/>
  <c r="L262" i="5"/>
  <c r="L46" i="5"/>
  <c r="C140" i="5"/>
  <c r="L144" i="5"/>
  <c r="K144" i="5"/>
  <c r="K104" i="5"/>
  <c r="M104" i="5"/>
  <c r="L104" i="5"/>
  <c r="C235" i="5"/>
  <c r="K3" i="5"/>
  <c r="M11" i="5"/>
  <c r="L11" i="5"/>
  <c r="L14" i="5"/>
  <c r="M24" i="5"/>
  <c r="L24" i="5"/>
  <c r="K25" i="5"/>
  <c r="M34" i="5"/>
  <c r="K42" i="5"/>
  <c r="L45" i="5"/>
  <c r="M65" i="5"/>
  <c r="K67" i="5"/>
  <c r="M75" i="5"/>
  <c r="L75" i="5"/>
  <c r="L78" i="5"/>
  <c r="M89" i="5"/>
  <c r="C130" i="5"/>
  <c r="M180" i="5"/>
  <c r="K180" i="5"/>
  <c r="L180" i="5"/>
  <c r="M299" i="5"/>
  <c r="K299" i="5"/>
  <c r="L299" i="5"/>
  <c r="C178" i="5"/>
  <c r="C205" i="5"/>
  <c r="M39" i="5"/>
  <c r="L39" i="5"/>
  <c r="C155" i="5"/>
  <c r="C227" i="5"/>
  <c r="K248" i="5"/>
  <c r="M248" i="5"/>
  <c r="L248" i="5"/>
  <c r="C268" i="5"/>
  <c r="C339" i="5"/>
  <c r="M230" i="5"/>
  <c r="K230" i="5"/>
  <c r="L230" i="5"/>
  <c r="M12" i="5"/>
  <c r="L12" i="5"/>
  <c r="K150" i="5"/>
  <c r="K19" i="5"/>
  <c r="L30" i="5"/>
  <c r="K41" i="5"/>
  <c r="M50" i="5"/>
  <c r="K58" i="5"/>
  <c r="K83" i="5"/>
  <c r="M93" i="5"/>
  <c r="L93" i="5"/>
  <c r="M158" i="5"/>
  <c r="L158" i="5"/>
  <c r="K158" i="5"/>
  <c r="K201" i="5"/>
  <c r="M201" i="5"/>
  <c r="L201" i="5"/>
  <c r="M30" i="5"/>
  <c r="L41" i="5"/>
  <c r="L74" i="5"/>
  <c r="C168" i="5"/>
  <c r="K197" i="5"/>
  <c r="L197" i="5"/>
  <c r="K5" i="5"/>
  <c r="M14" i="5"/>
  <c r="K22" i="5"/>
  <c r="L25" i="5"/>
  <c r="M45" i="5"/>
  <c r="C55" i="5"/>
  <c r="L58" i="5"/>
  <c r="L68" i="5"/>
  <c r="K69" i="5"/>
  <c r="M78" i="5"/>
  <c r="K86" i="5"/>
  <c r="K93" i="5"/>
  <c r="M96" i="5"/>
  <c r="L96" i="5"/>
  <c r="K110" i="5"/>
  <c r="K121" i="5"/>
  <c r="M121" i="5"/>
  <c r="M126" i="5"/>
  <c r="L126" i="5"/>
  <c r="K126" i="5"/>
  <c r="K213" i="5"/>
  <c r="M213" i="5"/>
  <c r="L213" i="5"/>
  <c r="M250" i="5"/>
  <c r="L250" i="5"/>
  <c r="K250" i="5"/>
  <c r="C310" i="5"/>
  <c r="M98" i="5"/>
  <c r="L98" i="5"/>
  <c r="M106" i="5"/>
  <c r="L106" i="5"/>
  <c r="M114" i="5"/>
  <c r="L114" i="5"/>
  <c r="M128" i="5"/>
  <c r="K141" i="5"/>
  <c r="M141" i="5"/>
  <c r="L141" i="5"/>
  <c r="K154" i="5"/>
  <c r="M194" i="5"/>
  <c r="L194" i="5"/>
  <c r="M204" i="5"/>
  <c r="C214" i="5"/>
  <c r="M216" i="5"/>
  <c r="L216" i="5"/>
  <c r="C265" i="5"/>
  <c r="M291" i="5"/>
  <c r="L291" i="5"/>
  <c r="K291" i="5"/>
  <c r="C160" i="5"/>
  <c r="M222" i="5"/>
  <c r="C256" i="5"/>
  <c r="C297" i="5"/>
  <c r="K324" i="5"/>
  <c r="L324" i="5"/>
  <c r="C329" i="5"/>
  <c r="M371" i="5"/>
  <c r="L371" i="5"/>
  <c r="K371" i="5"/>
  <c r="K125" i="5"/>
  <c r="L125" i="5"/>
  <c r="L224" i="5"/>
  <c r="M224" i="5"/>
  <c r="K224" i="5"/>
  <c r="M294" i="5"/>
  <c r="K294" i="5"/>
  <c r="L294" i="5"/>
  <c r="K149" i="5"/>
  <c r="M149" i="5"/>
  <c r="K186" i="5"/>
  <c r="M188" i="5"/>
  <c r="L188" i="5"/>
  <c r="K188" i="5"/>
  <c r="K356" i="5"/>
  <c r="M356" i="5"/>
  <c r="L356" i="5"/>
  <c r="C369" i="5"/>
  <c r="M377" i="5"/>
  <c r="L377" i="5"/>
  <c r="K377" i="5"/>
  <c r="L190" i="5"/>
  <c r="M254" i="5"/>
  <c r="K254" i="5"/>
  <c r="L254" i="5"/>
  <c r="K128" i="5"/>
  <c r="M138" i="5"/>
  <c r="L138" i="5"/>
  <c r="K204" i="5"/>
  <c r="K216" i="5"/>
  <c r="K241" i="5"/>
  <c r="M241" i="5"/>
  <c r="L241" i="5"/>
  <c r="C243" i="5"/>
  <c r="K245" i="5"/>
  <c r="M245" i="5"/>
  <c r="L245" i="5"/>
  <c r="K271" i="5"/>
  <c r="L271" i="5"/>
  <c r="M271" i="5"/>
  <c r="M324" i="5"/>
  <c r="C327" i="5"/>
  <c r="C118" i="5"/>
  <c r="L128" i="5"/>
  <c r="C151" i="5"/>
  <c r="L154" i="5"/>
  <c r="C161" i="5"/>
  <c r="K169" i="5"/>
  <c r="M169" i="5"/>
  <c r="K194" i="5"/>
  <c r="L204" i="5"/>
  <c r="C217" i="5"/>
  <c r="C278" i="5"/>
  <c r="C320" i="5"/>
  <c r="M325" i="5"/>
  <c r="K325" i="5"/>
  <c r="L325" i="5"/>
  <c r="C202" i="5"/>
  <c r="K98" i="5"/>
  <c r="K106" i="5"/>
  <c r="K114" i="5"/>
  <c r="M154" i="5"/>
  <c r="C175" i="5"/>
  <c r="C179" i="5"/>
  <c r="C211" i="5"/>
  <c r="K226" i="5"/>
  <c r="M269" i="5"/>
  <c r="K269" i="5"/>
  <c r="L269" i="5"/>
  <c r="L332" i="5"/>
  <c r="K332" i="5"/>
  <c r="C163" i="5"/>
  <c r="C210" i="5"/>
  <c r="K221" i="5"/>
  <c r="C240" i="5"/>
  <c r="K290" i="5"/>
  <c r="L290" i="5"/>
  <c r="C318" i="5"/>
  <c r="C300" i="5"/>
  <c r="L340" i="5"/>
  <c r="K340" i="5"/>
  <c r="M357" i="5"/>
  <c r="L357" i="5"/>
  <c r="K357" i="5"/>
  <c r="M234" i="5"/>
  <c r="K234" i="5"/>
  <c r="K237" i="5"/>
  <c r="L237" i="5"/>
  <c r="K261" i="5"/>
  <c r="L305" i="5"/>
  <c r="C267" i="5"/>
  <c r="C288" i="5"/>
  <c r="M338" i="5"/>
  <c r="M340" i="5"/>
  <c r="M375" i="5"/>
  <c r="L375" i="5"/>
  <c r="K375" i="5"/>
  <c r="M383" i="5"/>
  <c r="K383" i="5"/>
  <c r="L383" i="5"/>
  <c r="M170" i="5"/>
  <c r="K170" i="5"/>
  <c r="K173" i="5"/>
  <c r="L173" i="5"/>
  <c r="K232" i="5"/>
  <c r="C251" i="5"/>
  <c r="C255" i="5"/>
  <c r="C257" i="5"/>
  <c r="M290" i="5"/>
  <c r="C298" i="5"/>
  <c r="M335" i="5"/>
  <c r="L335" i="5"/>
  <c r="C360" i="5"/>
  <c r="C365" i="5"/>
  <c r="M381" i="5"/>
  <c r="K381" i="5"/>
  <c r="L232" i="5"/>
  <c r="L286" i="5"/>
  <c r="M286" i="5"/>
  <c r="K286" i="5"/>
  <c r="C353" i="5"/>
  <c r="K344" i="5"/>
  <c r="C380" i="5"/>
  <c r="M385" i="5"/>
  <c r="K385" i="5"/>
  <c r="C319" i="5"/>
  <c r="C275" i="5"/>
  <c r="C301" i="5"/>
  <c r="C309" i="5"/>
  <c r="C336" i="5"/>
  <c r="M344" i="5"/>
  <c r="M349" i="5"/>
  <c r="K349" i="5"/>
  <c r="L385" i="5"/>
  <c r="M277" i="5"/>
  <c r="L277" i="5"/>
  <c r="K277" i="5"/>
  <c r="L281" i="5"/>
  <c r="M322" i="5"/>
  <c r="K322" i="5"/>
  <c r="M345" i="5"/>
  <c r="L345" i="5"/>
  <c r="K345" i="5"/>
  <c r="L362" i="5"/>
  <c r="K362" i="5"/>
  <c r="M372" i="5"/>
  <c r="M374" i="5"/>
  <c r="L374" i="5"/>
  <c r="C334" i="5"/>
  <c r="C343" i="5"/>
  <c r="L367" i="5"/>
  <c r="K367" i="5"/>
  <c r="K359" i="5"/>
  <c r="C386" i="5"/>
  <c r="M270" i="5"/>
  <c r="L303" i="5"/>
  <c r="K303" i="5"/>
  <c r="C311" i="5"/>
  <c r="M341" i="5"/>
  <c r="C352" i="5"/>
  <c r="L287" i="5"/>
  <c r="K287" i="5"/>
  <c r="C295" i="5"/>
  <c r="K348" i="5"/>
  <c r="L359" i="5"/>
  <c r="M366" i="5"/>
  <c r="L366" i="5"/>
  <c r="M359" i="5"/>
  <c r="C376" i="5"/>
  <c r="M373" i="5"/>
  <c r="C292" i="5"/>
  <c r="C308" i="5"/>
  <c r="K142" i="5" l="1"/>
  <c r="M312" i="5"/>
  <c r="L307" i="5"/>
  <c r="M4" i="5"/>
  <c r="K43" i="5"/>
  <c r="L142" i="5"/>
  <c r="M20" i="5"/>
  <c r="M36" i="5"/>
  <c r="L76" i="5"/>
  <c r="L94" i="5"/>
  <c r="M330" i="5"/>
  <c r="M72" i="5"/>
  <c r="M94" i="5"/>
  <c r="K330" i="5"/>
  <c r="M117" i="5"/>
  <c r="L122" i="5"/>
  <c r="L28" i="5"/>
  <c r="M8" i="5"/>
  <c r="M236" i="5"/>
  <c r="K315" i="5"/>
  <c r="L43" i="5"/>
  <c r="M43" i="5"/>
  <c r="M16" i="5"/>
  <c r="L72" i="5"/>
  <c r="L348" i="5"/>
  <c r="K15" i="5"/>
  <c r="L192" i="5"/>
  <c r="K40" i="5"/>
  <c r="M346" i="5"/>
  <c r="K346" i="5"/>
  <c r="M348" i="5"/>
  <c r="L187" i="5"/>
  <c r="L228" i="5"/>
  <c r="M91" i="5"/>
  <c r="K8" i="5"/>
  <c r="L8" i="5"/>
  <c r="M5" i="5"/>
  <c r="L5" i="5"/>
  <c r="M119" i="5"/>
  <c r="L119" i="5"/>
  <c r="K119" i="5"/>
  <c r="K44" i="5"/>
  <c r="L239" i="5"/>
  <c r="K239" i="5"/>
  <c r="L207" i="5"/>
  <c r="M351" i="5"/>
  <c r="L167" i="5"/>
  <c r="K52" i="5"/>
  <c r="M80" i="5"/>
  <c r="L236" i="5"/>
  <c r="M125" i="5"/>
  <c r="K20" i="5"/>
  <c r="L264" i="5"/>
  <c r="K264" i="5"/>
  <c r="M264" i="5"/>
  <c r="M199" i="5"/>
  <c r="K192" i="5"/>
  <c r="K21" i="5"/>
  <c r="K195" i="5"/>
  <c r="M195" i="5"/>
  <c r="L195" i="5"/>
  <c r="K207" i="5"/>
  <c r="K16" i="5"/>
  <c r="K32" i="5"/>
  <c r="L40" i="5"/>
  <c r="K307" i="5"/>
  <c r="M282" i="5"/>
  <c r="L282" i="5"/>
  <c r="K282" i="5"/>
  <c r="L349" i="5"/>
  <c r="L95" i="5"/>
  <c r="K95" i="5"/>
  <c r="M95" i="5"/>
  <c r="M139" i="5"/>
  <c r="L139" i="5"/>
  <c r="K139" i="5"/>
  <c r="K127" i="5"/>
  <c r="L127" i="5"/>
  <c r="M127" i="5"/>
  <c r="L147" i="5"/>
  <c r="M147" i="5"/>
  <c r="K147" i="5"/>
  <c r="L283" i="5"/>
  <c r="K351" i="5"/>
  <c r="K317" i="5"/>
  <c r="K199" i="5"/>
  <c r="M207" i="5"/>
  <c r="K266" i="5"/>
  <c r="M228" i="5"/>
  <c r="M40" i="5"/>
  <c r="L60" i="5"/>
  <c r="L381" i="5"/>
  <c r="K171" i="5"/>
  <c r="M171" i="5"/>
  <c r="L171" i="5"/>
  <c r="K24" i="5"/>
  <c r="K378" i="5"/>
  <c r="K355" i="5"/>
  <c r="M355" i="5"/>
  <c r="L355" i="5"/>
  <c r="K68" i="5"/>
  <c r="M187" i="5"/>
  <c r="K187" i="5"/>
  <c r="L314" i="5"/>
  <c r="M314" i="5"/>
  <c r="K314" i="5"/>
  <c r="K91" i="5"/>
  <c r="M219" i="5"/>
  <c r="L219" i="5"/>
  <c r="K219" i="5"/>
  <c r="L80" i="5"/>
  <c r="M266" i="5"/>
  <c r="K56" i="5"/>
  <c r="K4" i="5"/>
  <c r="M244" i="5"/>
  <c r="L244" i="5"/>
  <c r="K244" i="5"/>
  <c r="K64" i="5"/>
  <c r="K84" i="5"/>
  <c r="K88" i="5"/>
  <c r="K228" i="5"/>
  <c r="M283" i="5"/>
  <c r="L317" i="5"/>
  <c r="M239" i="5"/>
  <c r="M317" i="5"/>
  <c r="M192" i="5"/>
  <c r="K80" i="5"/>
  <c r="M88" i="5"/>
  <c r="L56" i="5"/>
  <c r="K48" i="5"/>
  <c r="K223" i="5"/>
  <c r="L223" i="5"/>
  <c r="M223" i="5"/>
  <c r="K94" i="5"/>
  <c r="K159" i="5"/>
  <c r="M231" i="5"/>
  <c r="L231" i="5"/>
  <c r="K231" i="5"/>
  <c r="M326" i="5"/>
  <c r="L326" i="5"/>
  <c r="K326" i="5"/>
  <c r="K283" i="5"/>
  <c r="M32" i="5"/>
  <c r="L199" i="5"/>
  <c r="L48" i="5"/>
  <c r="K122" i="5"/>
  <c r="M52" i="5"/>
  <c r="M56" i="5"/>
  <c r="K165" i="5"/>
  <c r="L165" i="5"/>
  <c r="M165" i="5"/>
  <c r="M247" i="5"/>
  <c r="K247" i="5"/>
  <c r="L247" i="5"/>
  <c r="K60" i="5"/>
  <c r="M259" i="5"/>
  <c r="L259" i="5"/>
  <c r="K259" i="5"/>
  <c r="K167" i="5"/>
  <c r="L32" i="5"/>
  <c r="M21" i="5"/>
  <c r="K184" i="5"/>
  <c r="M184" i="5"/>
  <c r="L184" i="5"/>
  <c r="M143" i="5"/>
  <c r="L143" i="5"/>
  <c r="K143" i="5"/>
  <c r="L346" i="5"/>
  <c r="M48" i="5"/>
  <c r="M159" i="5"/>
  <c r="L44" i="5"/>
  <c r="L15" i="5"/>
  <c r="K285" i="5"/>
  <c r="M285" i="5"/>
  <c r="L285" i="5"/>
  <c r="L149" i="5"/>
  <c r="M232" i="5"/>
  <c r="L352" i="5"/>
  <c r="K352" i="5"/>
  <c r="M352" i="5"/>
  <c r="L376" i="5"/>
  <c r="K376" i="5"/>
  <c r="M376" i="5"/>
  <c r="M334" i="5"/>
  <c r="L334" i="5"/>
  <c r="K334" i="5"/>
  <c r="M298" i="5"/>
  <c r="L298" i="5"/>
  <c r="K298" i="5"/>
  <c r="M336" i="5"/>
  <c r="L336" i="5"/>
  <c r="K336" i="5"/>
  <c r="M178" i="5"/>
  <c r="L178" i="5"/>
  <c r="K178" i="5"/>
  <c r="M238" i="5"/>
  <c r="L238" i="5"/>
  <c r="K238" i="5"/>
  <c r="M313" i="5"/>
  <c r="L313" i="5"/>
  <c r="K313" i="5"/>
  <c r="L278" i="5"/>
  <c r="M278" i="5"/>
  <c r="K278" i="5"/>
  <c r="K229" i="5"/>
  <c r="M229" i="5"/>
  <c r="L229" i="5"/>
  <c r="M289" i="5"/>
  <c r="K289" i="5"/>
  <c r="L289" i="5"/>
  <c r="M311" i="5"/>
  <c r="L311" i="5"/>
  <c r="K311" i="5"/>
  <c r="L288" i="5"/>
  <c r="K288" i="5"/>
  <c r="M288" i="5"/>
  <c r="M318" i="5"/>
  <c r="L318" i="5"/>
  <c r="K318" i="5"/>
  <c r="M255" i="5"/>
  <c r="K255" i="5"/>
  <c r="L255" i="5"/>
  <c r="M151" i="5"/>
  <c r="L151" i="5"/>
  <c r="K151" i="5"/>
  <c r="M256" i="5"/>
  <c r="L256" i="5"/>
  <c r="K256" i="5"/>
  <c r="L227" i="5"/>
  <c r="M227" i="5"/>
  <c r="K227" i="5"/>
  <c r="M131" i="5"/>
  <c r="L131" i="5"/>
  <c r="K131" i="5"/>
  <c r="M120" i="5"/>
  <c r="L120" i="5"/>
  <c r="K120" i="5"/>
  <c r="M337" i="5"/>
  <c r="K337" i="5"/>
  <c r="L337" i="5"/>
  <c r="K220" i="5"/>
  <c r="L220" i="5"/>
  <c r="M220" i="5"/>
  <c r="L319" i="5"/>
  <c r="K319" i="5"/>
  <c r="M319" i="5"/>
  <c r="M265" i="5"/>
  <c r="L265" i="5"/>
  <c r="K265" i="5"/>
  <c r="M166" i="5"/>
  <c r="L166" i="5"/>
  <c r="K166" i="5"/>
  <c r="L386" i="5"/>
  <c r="K386" i="5"/>
  <c r="M386" i="5"/>
  <c r="L320" i="5"/>
  <c r="K320" i="5"/>
  <c r="M320" i="5"/>
  <c r="K205" i="5"/>
  <c r="M205" i="5"/>
  <c r="L205" i="5"/>
  <c r="M252" i="5"/>
  <c r="L252" i="5"/>
  <c r="K252" i="5"/>
  <c r="K257" i="5"/>
  <c r="M257" i="5"/>
  <c r="L257" i="5"/>
  <c r="K161" i="5"/>
  <c r="L161" i="5"/>
  <c r="M161" i="5"/>
  <c r="L168" i="5"/>
  <c r="M168" i="5"/>
  <c r="K168" i="5"/>
  <c r="K135" i="5"/>
  <c r="M135" i="5"/>
  <c r="L135" i="5"/>
  <c r="K295" i="5"/>
  <c r="L295" i="5"/>
  <c r="M295" i="5"/>
  <c r="M360" i="5"/>
  <c r="L360" i="5"/>
  <c r="K360" i="5"/>
  <c r="K306" i="5"/>
  <c r="L306" i="5"/>
  <c r="M306" i="5"/>
  <c r="K211" i="5"/>
  <c r="L211" i="5"/>
  <c r="M211" i="5"/>
  <c r="L130" i="5"/>
  <c r="K130" i="5"/>
  <c r="M130" i="5"/>
  <c r="K123" i="5"/>
  <c r="M123" i="5"/>
  <c r="L123" i="5"/>
  <c r="K145" i="5"/>
  <c r="L145" i="5"/>
  <c r="M145" i="5"/>
  <c r="M263" i="5"/>
  <c r="K263" i="5"/>
  <c r="L263" i="5"/>
  <c r="M275" i="5"/>
  <c r="K275" i="5"/>
  <c r="L275" i="5"/>
  <c r="M369" i="5"/>
  <c r="L369" i="5"/>
  <c r="K369" i="5"/>
  <c r="M380" i="5"/>
  <c r="K380" i="5"/>
  <c r="L380" i="5"/>
  <c r="K210" i="5"/>
  <c r="L210" i="5"/>
  <c r="M210" i="5"/>
  <c r="M297" i="5"/>
  <c r="L297" i="5"/>
  <c r="K297" i="5"/>
  <c r="M384" i="5"/>
  <c r="K384" i="5"/>
  <c r="L384" i="5"/>
  <c r="M251" i="5"/>
  <c r="L251" i="5"/>
  <c r="K251" i="5"/>
  <c r="K217" i="5"/>
  <c r="M217" i="5"/>
  <c r="L217" i="5"/>
  <c r="M243" i="5"/>
  <c r="L243" i="5"/>
  <c r="K243" i="5"/>
  <c r="L140" i="5"/>
  <c r="K140" i="5"/>
  <c r="M140" i="5"/>
  <c r="M342" i="5"/>
  <c r="L342" i="5"/>
  <c r="K342" i="5"/>
  <c r="K260" i="5"/>
  <c r="L260" i="5"/>
  <c r="M260" i="5"/>
  <c r="M272" i="5"/>
  <c r="K272" i="5"/>
  <c r="L272" i="5"/>
  <c r="K233" i="5"/>
  <c r="L233" i="5"/>
  <c r="M233" i="5"/>
  <c r="M365" i="5"/>
  <c r="L365" i="5"/>
  <c r="K365" i="5"/>
  <c r="M118" i="5"/>
  <c r="L118" i="5"/>
  <c r="K118" i="5"/>
  <c r="M308" i="5"/>
  <c r="L308" i="5"/>
  <c r="K308" i="5"/>
  <c r="M353" i="5"/>
  <c r="L353" i="5"/>
  <c r="K353" i="5"/>
  <c r="M202" i="5"/>
  <c r="L202" i="5"/>
  <c r="K202" i="5"/>
  <c r="M329" i="5"/>
  <c r="K329" i="5"/>
  <c r="L329" i="5"/>
  <c r="L214" i="5"/>
  <c r="M214" i="5"/>
  <c r="K214" i="5"/>
  <c r="L310" i="5"/>
  <c r="K310" i="5"/>
  <c r="M310" i="5"/>
  <c r="M339" i="5"/>
  <c r="L339" i="5"/>
  <c r="K339" i="5"/>
  <c r="M203" i="5"/>
  <c r="K203" i="5"/>
  <c r="L203" i="5"/>
  <c r="K157" i="5"/>
  <c r="M157" i="5"/>
  <c r="L157" i="5"/>
  <c r="M292" i="5"/>
  <c r="K292" i="5"/>
  <c r="L292" i="5"/>
  <c r="M300" i="5"/>
  <c r="L300" i="5"/>
  <c r="K300" i="5"/>
  <c r="L179" i="5"/>
  <c r="K179" i="5"/>
  <c r="M179" i="5"/>
  <c r="M215" i="5"/>
  <c r="L215" i="5"/>
  <c r="K215" i="5"/>
  <c r="K253" i="5"/>
  <c r="M253" i="5"/>
  <c r="L253" i="5"/>
  <c r="K183" i="5"/>
  <c r="M183" i="5"/>
  <c r="L183" i="5"/>
  <c r="M47" i="5"/>
  <c r="L47" i="5"/>
  <c r="K47" i="5"/>
  <c r="L163" i="5"/>
  <c r="M163" i="5"/>
  <c r="K163" i="5"/>
  <c r="K327" i="5"/>
  <c r="M327" i="5"/>
  <c r="L327" i="5"/>
  <c r="M235" i="5"/>
  <c r="L235" i="5"/>
  <c r="K235" i="5"/>
  <c r="M191" i="5"/>
  <c r="L191" i="5"/>
  <c r="K191" i="5"/>
  <c r="M155" i="5"/>
  <c r="L155" i="5"/>
  <c r="K155" i="5"/>
  <c r="K309" i="5"/>
  <c r="M309" i="5"/>
  <c r="L309" i="5"/>
  <c r="M267" i="5"/>
  <c r="L267" i="5"/>
  <c r="K267" i="5"/>
  <c r="K301" i="5"/>
  <c r="L301" i="5"/>
  <c r="M301" i="5"/>
  <c r="M240" i="5"/>
  <c r="K240" i="5"/>
  <c r="L240" i="5"/>
  <c r="M55" i="5"/>
  <c r="L55" i="5"/>
  <c r="K55" i="5"/>
  <c r="K268" i="5"/>
  <c r="M268" i="5"/>
  <c r="L268" i="5"/>
  <c r="M280" i="5"/>
  <c r="L280" i="5"/>
  <c r="K280" i="5"/>
  <c r="K189" i="5"/>
  <c r="M189" i="5"/>
  <c r="L189" i="5"/>
  <c r="K196" i="5"/>
  <c r="M196" i="5"/>
  <c r="L196" i="5"/>
  <c r="K343" i="5"/>
  <c r="L343" i="5"/>
  <c r="M343" i="5"/>
  <c r="K175" i="5"/>
  <c r="M175" i="5"/>
  <c r="L175" i="5"/>
  <c r="L160" i="5"/>
  <c r="M160" i="5"/>
  <c r="K160" i="5"/>
  <c r="M321" i="5"/>
  <c r="L321" i="5"/>
  <c r="K321" i="5"/>
</calcChain>
</file>

<file path=xl/sharedStrings.xml><?xml version="1.0" encoding="utf-8"?>
<sst xmlns="http://schemas.openxmlformats.org/spreadsheetml/2006/main" count="48685" uniqueCount="17747">
  <si>
    <t>Accession</t>
  </si>
  <si>
    <t>Begin</t>
  </si>
  <si>
    <t>End</t>
  </si>
  <si>
    <t>Chromosome</t>
  </si>
  <si>
    <t>Orientation</t>
  </si>
  <si>
    <t>Name</t>
  </si>
  <si>
    <t>Symbol</t>
  </si>
  <si>
    <t>Gene ID</t>
  </si>
  <si>
    <t>Gene Type</t>
  </si>
  <si>
    <t>Transcripts accession</t>
  </si>
  <si>
    <t>Protein accession</t>
  </si>
  <si>
    <t>Protein length</t>
  </si>
  <si>
    <t>Locus tag</t>
  </si>
  <si>
    <t>NC_013316.1</t>
  </si>
  <si>
    <t>plus</t>
  </si>
  <si>
    <t>chromosomal replication initiator protein DnaA</t>
  </si>
  <si>
    <t>dnaA</t>
  </si>
  <si>
    <t>protein-coding</t>
  </si>
  <si>
    <t>WP_003420483.1</t>
  </si>
  <si>
    <t>CDR20291_RS00005</t>
  </si>
  <si>
    <t>DNA polymerase III subunit beta</t>
  </si>
  <si>
    <t>dnaN</t>
  </si>
  <si>
    <t>WP_003420481.1</t>
  </si>
  <si>
    <t>CDR20291_RS00010</t>
  </si>
  <si>
    <t>S4 domain-containing protein YaaA</t>
  </si>
  <si>
    <t>yaaA</t>
  </si>
  <si>
    <t>WP_009892333.1</t>
  </si>
  <si>
    <t>CDR20291_RS00015</t>
  </si>
  <si>
    <t>DNA replication/repair protein RecF</t>
  </si>
  <si>
    <t>recF</t>
  </si>
  <si>
    <t>WP_003429303.1</t>
  </si>
  <si>
    <t>CDR20291_RS00020</t>
  </si>
  <si>
    <t>DNA topoisomerase (ATP-hydrolyzing) subunit B</t>
  </si>
  <si>
    <t>gyrB</t>
  </si>
  <si>
    <t>WP_003434229.1</t>
  </si>
  <si>
    <t>CDR20291_RS00025</t>
  </si>
  <si>
    <t>DNA gyrase subunit A</t>
  </si>
  <si>
    <t>gyrA</t>
  </si>
  <si>
    <t>WP_009892337.1</t>
  </si>
  <si>
    <t>CDR20291_RS00030</t>
  </si>
  <si>
    <t>YtxH domain-containing protein</t>
  </si>
  <si>
    <t>WP_003420471.1</t>
  </si>
  <si>
    <t>CDR20291_RS00035</t>
  </si>
  <si>
    <t>hypothetical protein</t>
  </si>
  <si>
    <t>WP_003420469.1</t>
  </si>
  <si>
    <t>CDR20291_RS00040</t>
  </si>
  <si>
    <t>STAS domain-containing protein</t>
  </si>
  <si>
    <t>WP_009894128.1</t>
  </si>
  <si>
    <t>CDR20291_RS00045</t>
  </si>
  <si>
    <t>ATP-binding protein</t>
  </si>
  <si>
    <t>WP_009892343.1</t>
  </si>
  <si>
    <t>CDR20291_RS00050</t>
  </si>
  <si>
    <t>SigB/SigF/SigG family RNA polymerase sigma factor</t>
  </si>
  <si>
    <t>WP_003420464.1</t>
  </si>
  <si>
    <t>CDR20291_RS00055</t>
  </si>
  <si>
    <t>16S ribosomal RNA</t>
  </si>
  <si>
    <t>rRNA</t>
  </si>
  <si>
    <t>CDR20291_RS00060</t>
  </si>
  <si>
    <t>23S ribosomal RNA</t>
  </si>
  <si>
    <t>CDR20291_RS00065</t>
  </si>
  <si>
    <t>5S ribosomal RNA</t>
  </si>
  <si>
    <t>rrf</t>
  </si>
  <si>
    <t>CDR20291_RS00070</t>
  </si>
  <si>
    <t>transcription repressor NadR</t>
  </si>
  <si>
    <t>WP_009887719.1</t>
  </si>
  <si>
    <t>CDR20291_RS00075</t>
  </si>
  <si>
    <t>mechanosensitive ion channel family protein</t>
  </si>
  <si>
    <t>WP_009887722.1</t>
  </si>
  <si>
    <t>CDR20291_RS00080</t>
  </si>
  <si>
    <t>serine--tRNA ligase</t>
  </si>
  <si>
    <t>serS</t>
  </si>
  <si>
    <t>WP_009887725.1</t>
  </si>
  <si>
    <t>CDR20291_RS00085</t>
  </si>
  <si>
    <t>nucleoside deaminase</t>
  </si>
  <si>
    <t>WP_003421624.1</t>
  </si>
  <si>
    <t>CDR20291_RS00090</t>
  </si>
  <si>
    <t>tRNA-Ser</t>
  </si>
  <si>
    <t>tRNA</t>
  </si>
  <si>
    <t>CDR20291_RS00095</t>
  </si>
  <si>
    <t>signal recognition particle sRNA large type</t>
  </si>
  <si>
    <t>ffs</t>
  </si>
  <si>
    <t>other</t>
  </si>
  <si>
    <t>CDR20291_RS00100</t>
  </si>
  <si>
    <t>DNA polymerase III subunit gamma/tau</t>
  </si>
  <si>
    <t>dnaX</t>
  </si>
  <si>
    <t>WP_009887749.1</t>
  </si>
  <si>
    <t>CDR20291_RS00105</t>
  </si>
  <si>
    <t>YbaB/EbfC family nucleoid-associated protein</t>
  </si>
  <si>
    <t>WP_009887752.1</t>
  </si>
  <si>
    <t>CDR20291_RS00110</t>
  </si>
  <si>
    <t>recombination mediator RecR</t>
  </si>
  <si>
    <t>recR</t>
  </si>
  <si>
    <t>WP_003421618.1</t>
  </si>
  <si>
    <t>CDR20291_RS00115</t>
  </si>
  <si>
    <t>WP_003421616.1</t>
  </si>
  <si>
    <t>CDR20291_RS00120</t>
  </si>
  <si>
    <t>minus</t>
  </si>
  <si>
    <t>MGDG synthase family glycosyltransferase</t>
  </si>
  <si>
    <t>WP_009887762.1</t>
  </si>
  <si>
    <t>CDR20291_RS00125</t>
  </si>
  <si>
    <t>CDR20291_RS00130</t>
  </si>
  <si>
    <t>CDR20291_RS00135</t>
  </si>
  <si>
    <t>CDR20291_RS00140</t>
  </si>
  <si>
    <t>tRNA-Asn</t>
  </si>
  <si>
    <t>CDR20291_RS00145</t>
  </si>
  <si>
    <t>tRNA-Leu</t>
  </si>
  <si>
    <t>CDR20291_RS00150</t>
  </si>
  <si>
    <t>tRNA-Met</t>
  </si>
  <si>
    <t>CDR20291_RS00155</t>
  </si>
  <si>
    <t>tRNA-Glu</t>
  </si>
  <si>
    <t>CDR20291_RS00160</t>
  </si>
  <si>
    <t>tRNA-Gly</t>
  </si>
  <si>
    <t>CDR20291_RS00165</t>
  </si>
  <si>
    <t>tRNA-Val</t>
  </si>
  <si>
    <t>CDR20291_RS00170</t>
  </si>
  <si>
    <t>tRNA-Asp</t>
  </si>
  <si>
    <t>CDR20291_RS00175</t>
  </si>
  <si>
    <t>tRNA-Thr</t>
  </si>
  <si>
    <t>CDR20291_RS00180</t>
  </si>
  <si>
    <t>tRNA-Tyr</t>
  </si>
  <si>
    <t>CDR20291_RS00185</t>
  </si>
  <si>
    <t>CDR20291_RS00190</t>
  </si>
  <si>
    <t>tRNA-Arg</t>
  </si>
  <si>
    <t>CDR20291_RS00195</t>
  </si>
  <si>
    <t>tRNA-Gln</t>
  </si>
  <si>
    <t>CDR20291_RS00200</t>
  </si>
  <si>
    <t>CDR20291_RS00205</t>
  </si>
  <si>
    <t>tRNA-Phe</t>
  </si>
  <si>
    <t>CDR20291_RS00210</t>
  </si>
  <si>
    <t>CDR20291_RS00215</t>
  </si>
  <si>
    <t>tRNA-Ile</t>
  </si>
  <si>
    <t>CDR20291_RS00220</t>
  </si>
  <si>
    <t>tRNA-Pro</t>
  </si>
  <si>
    <t>CDR20291_RS00225</t>
  </si>
  <si>
    <t>tRNA-His</t>
  </si>
  <si>
    <t>CDR20291_RS00230</t>
  </si>
  <si>
    <t>tRNA-Lys</t>
  </si>
  <si>
    <t>CDR20291_RS00235</t>
  </si>
  <si>
    <t>tRNA-Cys</t>
  </si>
  <si>
    <t>CDR20291_RS00240</t>
  </si>
  <si>
    <t>CDR20291_RS00245</t>
  </si>
  <si>
    <t>CDR20291_RS00250</t>
  </si>
  <si>
    <t>CDR20291_RS00255</t>
  </si>
  <si>
    <t>CDR20291_RS00260</t>
  </si>
  <si>
    <t>CDR20291_RS00265</t>
  </si>
  <si>
    <t>CDR20291_RS00270</t>
  </si>
  <si>
    <t>CDR20291_RS00275</t>
  </si>
  <si>
    <t>CDR20291_RS00280</t>
  </si>
  <si>
    <t>CDR20291_RS00285</t>
  </si>
  <si>
    <t>CDR20291_RS00290</t>
  </si>
  <si>
    <t>CDR20291_RS00295</t>
  </si>
  <si>
    <t>CDR20291_RS00300</t>
  </si>
  <si>
    <t>CDR20291_RS00305</t>
  </si>
  <si>
    <t>CDR20291_RS00310</t>
  </si>
  <si>
    <t>CDR20291_RS00315</t>
  </si>
  <si>
    <t>CDR20291_RS00320</t>
  </si>
  <si>
    <t>CDR20291_RS00325</t>
  </si>
  <si>
    <t>CDR20291_RS00330</t>
  </si>
  <si>
    <t>CDR20291_RS00335</t>
  </si>
  <si>
    <t>CDR20291_RS00340</t>
  </si>
  <si>
    <t>CDR20291_RS00345</t>
  </si>
  <si>
    <t>CDR20291_RS00350</t>
  </si>
  <si>
    <t>CDR20291_RS00355</t>
  </si>
  <si>
    <t>WP_009887782.1</t>
  </si>
  <si>
    <t>CDR20291_RS00360</t>
  </si>
  <si>
    <t>pyruvate carboxylase</t>
  </si>
  <si>
    <t>WP_003425597.1</t>
  </si>
  <si>
    <t>CDR20291_RS00365</t>
  </si>
  <si>
    <t>elongation factor G</t>
  </si>
  <si>
    <t>WP_009887791.1</t>
  </si>
  <si>
    <t>CDR20291_RS00370</t>
  </si>
  <si>
    <t>CtsR family transcriptional regulator</t>
  </si>
  <si>
    <t>WP_021414220.1</t>
  </si>
  <si>
    <t>CDR20291_RS00375</t>
  </si>
  <si>
    <t>UvrB/UvrC motif-containing protein</t>
  </si>
  <si>
    <t>WP_003421255.1</t>
  </si>
  <si>
    <t>CDR20291_RS00380</t>
  </si>
  <si>
    <t>protein arginine kinase</t>
  </si>
  <si>
    <t>WP_004453979.1</t>
  </si>
  <si>
    <t>CDR20291_RS00385</t>
  </si>
  <si>
    <t>ATP-dependent Clp protease ATP-binding subunit</t>
  </si>
  <si>
    <t>WP_003425582.1</t>
  </si>
  <si>
    <t>CDR20291_RS00390</t>
  </si>
  <si>
    <t>DNA repair protein RadA</t>
  </si>
  <si>
    <t>radA</t>
  </si>
  <si>
    <t>WP_009892524.1</t>
  </si>
  <si>
    <t>CDR20291_RS00395</t>
  </si>
  <si>
    <t>DNA integrity scanning diadenylate cyclase DisA</t>
  </si>
  <si>
    <t>disA</t>
  </si>
  <si>
    <t>WP_004453975.1</t>
  </si>
  <si>
    <t>CDR20291_RS00400</t>
  </si>
  <si>
    <t>PIN/TRAM domain-containing protein</t>
  </si>
  <si>
    <t>WP_009887799.1</t>
  </si>
  <si>
    <t>CDR20291_RS00405</t>
  </si>
  <si>
    <t>WP_009887801.1</t>
  </si>
  <si>
    <t>CDR20291_RS00410</t>
  </si>
  <si>
    <t>AraC family transcriptional regulator</t>
  </si>
  <si>
    <t>WP_009892527.1</t>
  </si>
  <si>
    <t>CDR20291_RS00415</t>
  </si>
  <si>
    <t>glycoside hydrolase family 5 protein</t>
  </si>
  <si>
    <t>WP_009887803.1</t>
  </si>
  <si>
    <t>CDR20291_RS00420</t>
  </si>
  <si>
    <t>glycoside hydrolase family 43 protein</t>
  </si>
  <si>
    <t>WP_009887805.1</t>
  </si>
  <si>
    <t>CDR20291_RS00425</t>
  </si>
  <si>
    <t>MFS transporter</t>
  </si>
  <si>
    <t>WP_009887807.1</t>
  </si>
  <si>
    <t>CDR20291_RS00430</t>
  </si>
  <si>
    <t>sugar-binding transcriptional regulator</t>
  </si>
  <si>
    <t>WP_004453966.1</t>
  </si>
  <si>
    <t>CDR20291_RS00435</t>
  </si>
  <si>
    <t>thiamine pyrophosphate-dependent dehydrogenase E1 component subunit alpha</t>
  </si>
  <si>
    <t>WP_009887810.1</t>
  </si>
  <si>
    <t>CDR20291_RS00440</t>
  </si>
  <si>
    <t>alpha-ketoacid dehydrogenase subunit beta</t>
  </si>
  <si>
    <t>WP_004453964.1</t>
  </si>
  <si>
    <t>CDR20291_RS00445</t>
  </si>
  <si>
    <t>2-oxo acid dehydrogenase subunit E2</t>
  </si>
  <si>
    <t>WP_009887812.1</t>
  </si>
  <si>
    <t>CDR20291_RS00450</t>
  </si>
  <si>
    <t>dihydrolipoyl dehydrogenase</t>
  </si>
  <si>
    <t>lpdA</t>
  </si>
  <si>
    <t>WP_009887814.1</t>
  </si>
  <si>
    <t>CDR20291_RS00455</t>
  </si>
  <si>
    <t>sigma 54-interacting transcriptional regulator</t>
  </si>
  <si>
    <t>WP_009887817.1</t>
  </si>
  <si>
    <t>CDR20291_RS00460</t>
  </si>
  <si>
    <t>PTS sugar transporter subunit IIA</t>
  </si>
  <si>
    <t>WP_009892531.1</t>
  </si>
  <si>
    <t>CDR20291_RS00465</t>
  </si>
  <si>
    <t>PTS sugar transporter subunit IIB</t>
  </si>
  <si>
    <t>WP_012815954.1</t>
  </si>
  <si>
    <t>CDR20291_RS00470</t>
  </si>
  <si>
    <t>PTS galactitol transporter subunit IIC</t>
  </si>
  <si>
    <t>WP_009887822.1</t>
  </si>
  <si>
    <t>CDR20291_RS00475</t>
  </si>
  <si>
    <t>WP_009887824.1</t>
  </si>
  <si>
    <t>CDR20291_RS00480</t>
  </si>
  <si>
    <t>class II aldolase/adducin family protein</t>
  </si>
  <si>
    <t>WP_009887826.1</t>
  </si>
  <si>
    <t>CDR20291_RS00485</t>
  </si>
  <si>
    <t>lipoate--protein ligase family protein</t>
  </si>
  <si>
    <t>WP_009892537.1</t>
  </si>
  <si>
    <t>CDR20291_RS00490</t>
  </si>
  <si>
    <t>2-C-methyl-D-erythritol 4-phosphate cytidylyltransferase</t>
  </si>
  <si>
    <t>ispD</t>
  </si>
  <si>
    <t>WP_009892539.1</t>
  </si>
  <si>
    <t>CDR20291_RS00495</t>
  </si>
  <si>
    <t>2-C-methyl-D-erythritol 2,4-cyclodiphosphate synthase</t>
  </si>
  <si>
    <t>ispF</t>
  </si>
  <si>
    <t>WP_009887828.1</t>
  </si>
  <si>
    <t>CDR20291_RS00500</t>
  </si>
  <si>
    <t>proline--tRNA ligase</t>
  </si>
  <si>
    <t>WP_009887831.1</t>
  </si>
  <si>
    <t>CDR20291_RS00505</t>
  </si>
  <si>
    <t>proS</t>
  </si>
  <si>
    <t>WP_009887833.1</t>
  </si>
  <si>
    <t>CDR20291_RS00510</t>
  </si>
  <si>
    <t>glutamate--tRNA ligase</t>
  </si>
  <si>
    <t>gltX</t>
  </si>
  <si>
    <t>WP_009892542.1</t>
  </si>
  <si>
    <t>CDR20291_RS00515</t>
  </si>
  <si>
    <t>WP_003421202.1</t>
  </si>
  <si>
    <t>CDR20291_RS00520</t>
  </si>
  <si>
    <t>cysteine--tRNA ligase</t>
  </si>
  <si>
    <t>cysS</t>
  </si>
  <si>
    <t>WP_009887837.1</t>
  </si>
  <si>
    <t>CDR20291_RS00525</t>
  </si>
  <si>
    <t>Mini-ribonuclease 3</t>
  </si>
  <si>
    <t>WP_003435577.1</t>
  </si>
  <si>
    <t>CDR20291_RS00530</t>
  </si>
  <si>
    <t>uncharacterized gene</t>
  </si>
  <si>
    <t>pseudogene</t>
  </si>
  <si>
    <t>CDR20291_RS19460</t>
  </si>
  <si>
    <t>thymidylate synthase</t>
  </si>
  <si>
    <t>thyA</t>
  </si>
  <si>
    <t>WP_009887841.1</t>
  </si>
  <si>
    <t>CDR20291_RS00540</t>
  </si>
  <si>
    <t>dihydrofolate reductase</t>
  </si>
  <si>
    <t>WP_009887849.1</t>
  </si>
  <si>
    <t>CDR20291_RS00545</t>
  </si>
  <si>
    <t>SIR2 family protein</t>
  </si>
  <si>
    <t>WP_009887851.1</t>
  </si>
  <si>
    <t>CDR20291_RS00550</t>
  </si>
  <si>
    <t>phosphomethylpyrimidine synthase ThiC</t>
  </si>
  <si>
    <t>WP_009892546.1</t>
  </si>
  <si>
    <t>CDR20291_RS00555</t>
  </si>
  <si>
    <t>CDR20291_RS00560</t>
  </si>
  <si>
    <t>23S rRNA (guanosine(2251)-2'-O)-methyltransferase RlmB</t>
  </si>
  <si>
    <t>rlmB</t>
  </si>
  <si>
    <t>WP_009887855.1</t>
  </si>
  <si>
    <t>CDR20291_RS00565</t>
  </si>
  <si>
    <t>NYN domain-containing protein</t>
  </si>
  <si>
    <t>WP_003421194.1</t>
  </si>
  <si>
    <t>CDR20291_RS00570</t>
  </si>
  <si>
    <t>RNA polymerase sporulation sigma factor SigH</t>
  </si>
  <si>
    <t>sigH</t>
  </si>
  <si>
    <t>WP_009892548.1</t>
  </si>
  <si>
    <t>CDR20291_RS00575</t>
  </si>
  <si>
    <t>elongation factor Tu</t>
  </si>
  <si>
    <t>tuf</t>
  </si>
  <si>
    <t>WP_009887863.1</t>
  </si>
  <si>
    <t>CDR20291_RS00580</t>
  </si>
  <si>
    <t>50S ribosomal protein L33</t>
  </si>
  <si>
    <t>rpmG</t>
  </si>
  <si>
    <t>WP_003421192.1</t>
  </si>
  <si>
    <t>CDR20291_RS00585</t>
  </si>
  <si>
    <t>preprotein translocase subunit SecE</t>
  </si>
  <si>
    <t>secE</t>
  </si>
  <si>
    <t>WP_003429494.1</t>
  </si>
  <si>
    <t>CDR20291_RS00590</t>
  </si>
  <si>
    <t>transcription termination/antitermination protein NusG</t>
  </si>
  <si>
    <t>nusG</t>
  </si>
  <si>
    <t>WP_009887869.1</t>
  </si>
  <si>
    <t>CDR20291_RS00595</t>
  </si>
  <si>
    <t>50S ribosomal protein L11</t>
  </si>
  <si>
    <t>rplK</t>
  </si>
  <si>
    <t>WP_003421189.1</t>
  </si>
  <si>
    <t>CDR20291_RS00600</t>
  </si>
  <si>
    <t>50S ribosomal protein L1</t>
  </si>
  <si>
    <t>rplA</t>
  </si>
  <si>
    <t>WP_003421188.1</t>
  </si>
  <si>
    <t>CDR20291_RS00605</t>
  </si>
  <si>
    <t>50S ribosomal protein L10</t>
  </si>
  <si>
    <t>rplJ</t>
  </si>
  <si>
    <t>WP_003421187.1</t>
  </si>
  <si>
    <t>CDR20291_RS00610</t>
  </si>
  <si>
    <t>50S ribosomal protein L7/L12</t>
  </si>
  <si>
    <t>rplL</t>
  </si>
  <si>
    <t>WP_003421186.1</t>
  </si>
  <si>
    <t>CDR20291_RS00615</t>
  </si>
  <si>
    <t>SDR family NAD(P)-dependent oxidoreductase</t>
  </si>
  <si>
    <t>WP_003436172.1</t>
  </si>
  <si>
    <t>CDR20291_RS00620</t>
  </si>
  <si>
    <t>DNA-directed RNA polymerase subunit beta</t>
  </si>
  <si>
    <t>WP_009887876.1</t>
  </si>
  <si>
    <t>CDR20291_RS00625</t>
  </si>
  <si>
    <t>DNA-directed RNA polymerase subunit beta'</t>
  </si>
  <si>
    <t>rpoC</t>
  </si>
  <si>
    <t>WP_009887878.1</t>
  </si>
  <si>
    <t>CDR20291_RS00630</t>
  </si>
  <si>
    <t>30S ribosomal protein S12</t>
  </si>
  <si>
    <t>rpsL</t>
  </si>
  <si>
    <t>WP_003436176.1</t>
  </si>
  <si>
    <t>CDR20291_RS00635</t>
  </si>
  <si>
    <t>30S ribosomal protein S7</t>
  </si>
  <si>
    <t>rpsG</t>
  </si>
  <si>
    <t>WP_003421180.1</t>
  </si>
  <si>
    <t>CDR20291_RS00640</t>
  </si>
  <si>
    <t>fusA</t>
  </si>
  <si>
    <t>WP_003429482.1</t>
  </si>
  <si>
    <t>CDR20291_RS00645</t>
  </si>
  <si>
    <t>CDR20291_RS00650</t>
  </si>
  <si>
    <t>30S ribosomal protein S10</t>
  </si>
  <si>
    <t>rpsJ</t>
  </si>
  <si>
    <t>WP_003421175.1</t>
  </si>
  <si>
    <t>CDR20291_RS00655</t>
  </si>
  <si>
    <t>50S ribosomal protein L3</t>
  </si>
  <si>
    <t>rplC</t>
  </si>
  <si>
    <t>WP_003421173.1</t>
  </si>
  <si>
    <t>CDR20291_RS00660</t>
  </si>
  <si>
    <t>50S ribosomal protein L4</t>
  </si>
  <si>
    <t>rplD</t>
  </si>
  <si>
    <t>WP_009887887.1</t>
  </si>
  <si>
    <t>CDR20291_RS00665</t>
  </si>
  <si>
    <t>50S ribosomal protein L23</t>
  </si>
  <si>
    <t>rplW</t>
  </si>
  <si>
    <t>WP_003421170.1</t>
  </si>
  <si>
    <t>CDR20291_RS00670</t>
  </si>
  <si>
    <t>50S ribosomal protein L2</t>
  </si>
  <si>
    <t>rplB</t>
  </si>
  <si>
    <t>WP_003421168.1</t>
  </si>
  <si>
    <t>CDR20291_RS00675</t>
  </si>
  <si>
    <t>30S ribosomal protein S19</t>
  </si>
  <si>
    <t>rpsS</t>
  </si>
  <si>
    <t>WP_003421166.1</t>
  </si>
  <si>
    <t>CDR20291_RS00680</t>
  </si>
  <si>
    <t>50S ribosomal protein L22</t>
  </si>
  <si>
    <t>rplV</t>
  </si>
  <si>
    <t>WP_009887891.1</t>
  </si>
  <si>
    <t>CDR20291_RS00685</t>
  </si>
  <si>
    <t>30S ribosomal protein S3</t>
  </si>
  <si>
    <t>rpsC</t>
  </si>
  <si>
    <t>WP_003421163.1</t>
  </si>
  <si>
    <t>CDR20291_RS00690</t>
  </si>
  <si>
    <t>50S ribosomal protein L16</t>
  </si>
  <si>
    <t>rplP</t>
  </si>
  <si>
    <t>WP_003421160.1</t>
  </si>
  <si>
    <t>CDR20291_RS00695</t>
  </si>
  <si>
    <t>50S ribosomal protein L29</t>
  </si>
  <si>
    <t>rpmC</t>
  </si>
  <si>
    <t>WP_003421158.1</t>
  </si>
  <si>
    <t>CDR20291_RS00700</t>
  </si>
  <si>
    <t>30S ribosomal protein S17</t>
  </si>
  <si>
    <t>rpsQ</t>
  </si>
  <si>
    <t>WP_003421156.1</t>
  </si>
  <si>
    <t>CDR20291_RS00705</t>
  </si>
  <si>
    <t>50S ribosomal protein L14</t>
  </si>
  <si>
    <t>rplN</t>
  </si>
  <si>
    <t>WP_003421155.1</t>
  </si>
  <si>
    <t>CDR20291_RS00710</t>
  </si>
  <si>
    <t>50S ribosomal protein L24</t>
  </si>
  <si>
    <t>rplX</t>
  </si>
  <si>
    <t>WP_003427723.1</t>
  </si>
  <si>
    <t>CDR20291_RS00715</t>
  </si>
  <si>
    <t>50S ribosomal protein L5</t>
  </si>
  <si>
    <t>rplE</t>
  </si>
  <si>
    <t>WP_003435673.1</t>
  </si>
  <si>
    <t>CDR20291_RS00720</t>
  </si>
  <si>
    <t>type Z 30S ribosomal protein S14</t>
  </si>
  <si>
    <t>WP_003421149.1</t>
  </si>
  <si>
    <t>CDR20291_RS00725</t>
  </si>
  <si>
    <t>30S ribosomal protein S8</t>
  </si>
  <si>
    <t>rpsH</t>
  </si>
  <si>
    <t>WP_003421148.1</t>
  </si>
  <si>
    <t>CDR20291_RS00730</t>
  </si>
  <si>
    <t>50S ribosomal protein L6</t>
  </si>
  <si>
    <t>rplF</t>
  </si>
  <si>
    <t>WP_003435668.1</t>
  </si>
  <si>
    <t>CDR20291_RS00735</t>
  </si>
  <si>
    <t>50S ribosomal protein L18</t>
  </si>
  <si>
    <t>rplR</t>
  </si>
  <si>
    <t>WP_003421141.1</t>
  </si>
  <si>
    <t>CDR20291_RS00740</t>
  </si>
  <si>
    <t>30S ribosomal protein S5</t>
  </si>
  <si>
    <t>rpsE</t>
  </si>
  <si>
    <t>WP_003421138.1</t>
  </si>
  <si>
    <t>CDR20291_RS00745</t>
  </si>
  <si>
    <t>50S ribosomal protein L30</t>
  </si>
  <si>
    <t>rpmD</t>
  </si>
  <si>
    <t>WP_003421137.1</t>
  </si>
  <si>
    <t>CDR20291_RS00750</t>
  </si>
  <si>
    <t>50S ribosomal protein L15</t>
  </si>
  <si>
    <t>rplO</t>
  </si>
  <si>
    <t>WP_003421135.1</t>
  </si>
  <si>
    <t>CDR20291_RS00755</t>
  </si>
  <si>
    <t>preprotein translocase subunit SecY</t>
  </si>
  <si>
    <t>secY</t>
  </si>
  <si>
    <t>WP_003427725.1</t>
  </si>
  <si>
    <t>CDR20291_RS00760</t>
  </si>
  <si>
    <t>adenylate kinase</t>
  </si>
  <si>
    <t>WP_009887904.1</t>
  </si>
  <si>
    <t>CDR20291_RS00765</t>
  </si>
  <si>
    <t>type I methionyl aminopeptidase</t>
  </si>
  <si>
    <t>map</t>
  </si>
  <si>
    <t>WP_003421130.1</t>
  </si>
  <si>
    <t>CDR20291_RS00770</t>
  </si>
  <si>
    <t>KOW domain-containing protein</t>
  </si>
  <si>
    <t>WP_009892559.1</t>
  </si>
  <si>
    <t>CDR20291_RS00775</t>
  </si>
  <si>
    <t>translation initiation factor IF-1</t>
  </si>
  <si>
    <t>infA</t>
  </si>
  <si>
    <t>WP_003421127.1</t>
  </si>
  <si>
    <t>CDR20291_RS00780</t>
  </si>
  <si>
    <t>50S ribosomal protein L36</t>
  </si>
  <si>
    <t>rpmJ</t>
  </si>
  <si>
    <t>WP_002509257.1</t>
  </si>
  <si>
    <t>CDR20291_RS00785</t>
  </si>
  <si>
    <t>30S ribosomal protein S13</t>
  </si>
  <si>
    <t>rpsM</t>
  </si>
  <si>
    <t>WP_003421125.1</t>
  </si>
  <si>
    <t>CDR20291_RS00790</t>
  </si>
  <si>
    <t>30S ribosomal protein S11</t>
  </si>
  <si>
    <t>rpsK</t>
  </si>
  <si>
    <t>WP_003421122.1</t>
  </si>
  <si>
    <t>CDR20291_RS00795</t>
  </si>
  <si>
    <t>30S ribosomal protein S4</t>
  </si>
  <si>
    <t>rpsD</t>
  </si>
  <si>
    <t>WP_003421121.1</t>
  </si>
  <si>
    <t>CDR20291_RS00800</t>
  </si>
  <si>
    <t>DNA-directed RNA polymerase subunit alpha</t>
  </si>
  <si>
    <t>WP_003427733.1</t>
  </si>
  <si>
    <t>CDR20291_RS00805</t>
  </si>
  <si>
    <t>50S ribosomal protein L17</t>
  </si>
  <si>
    <t>rplQ</t>
  </si>
  <si>
    <t>WP_003421117.1</t>
  </si>
  <si>
    <t>CDR20291_RS00810</t>
  </si>
  <si>
    <t>energy-coupling factor transporter ATPase</t>
  </si>
  <si>
    <t>WP_003435660.1</t>
  </si>
  <si>
    <t>CDR20291_RS00815</t>
  </si>
  <si>
    <t>WP_009887937.1</t>
  </si>
  <si>
    <t>CDR20291_RS00820</t>
  </si>
  <si>
    <t>energy-coupling factor transporter transmembrane component T family protein</t>
  </si>
  <si>
    <t>WP_003427737.1</t>
  </si>
  <si>
    <t>CDR20291_RS00825</t>
  </si>
  <si>
    <t>tRNA pseudouridine(38-40) synthase TruA</t>
  </si>
  <si>
    <t>truA</t>
  </si>
  <si>
    <t>WP_003435654.1</t>
  </si>
  <si>
    <t>CDR20291_RS00830</t>
  </si>
  <si>
    <t>50S ribosomal protein L13</t>
  </si>
  <si>
    <t>rplM</t>
  </si>
  <si>
    <t>WP_003421107.1</t>
  </si>
  <si>
    <t>CDR20291_RS00835</t>
  </si>
  <si>
    <t>30S ribosomal protein S9</t>
  </si>
  <si>
    <t>rpsI</t>
  </si>
  <si>
    <t>WP_003421105.1</t>
  </si>
  <si>
    <t>CDR20291_RS00840</t>
  </si>
  <si>
    <t>N-acetylmuramoyl-L-alanine amidase CwlD</t>
  </si>
  <si>
    <t>cwlD</t>
  </si>
  <si>
    <t>WP_009899606.1</t>
  </si>
  <si>
    <t>CDR20291_RS00845</t>
  </si>
  <si>
    <t>CDR20291_RS00850</t>
  </si>
  <si>
    <t>tRNA-Ala</t>
  </si>
  <si>
    <t>CDR20291_RS00855</t>
  </si>
  <si>
    <t>CDR20291_RS00860</t>
  </si>
  <si>
    <t>CDR20291_RS00865</t>
  </si>
  <si>
    <t>CDR20291_RS00870</t>
  </si>
  <si>
    <t>CDR20291_RS00875</t>
  </si>
  <si>
    <t>CDR20291_RS00880</t>
  </si>
  <si>
    <t>pyridoxal phosphate-dependent aminotransferase</t>
  </si>
  <si>
    <t>WP_009892490.1</t>
  </si>
  <si>
    <t>CDR20291_RS00885</t>
  </si>
  <si>
    <t>anaerobic ribonucleoside triphosphate reductase</t>
  </si>
  <si>
    <t>WP_009892488.1</t>
  </si>
  <si>
    <t>CDR20291_RS00890</t>
  </si>
  <si>
    <t>anaerobic ribonucleoside-triphosphate reductase activating protein</t>
  </si>
  <si>
    <t>nrdG</t>
  </si>
  <si>
    <t>WP_003432598.1</t>
  </si>
  <si>
    <t>CDR20291_RS00895</t>
  </si>
  <si>
    <t>CDR20291_RS00900</t>
  </si>
  <si>
    <t>CDR20291_RS00905</t>
  </si>
  <si>
    <t>CDR20291_RS00910</t>
  </si>
  <si>
    <t>CDR20291_RS00915</t>
  </si>
  <si>
    <t>CDR20291_RS00920</t>
  </si>
  <si>
    <t>CDR20291_RS00925</t>
  </si>
  <si>
    <t>CDR20291_RS00930</t>
  </si>
  <si>
    <t>CDR20291_RS00935</t>
  </si>
  <si>
    <t>CDR20291_RS00940</t>
  </si>
  <si>
    <t>CDR20291_RS00945</t>
  </si>
  <si>
    <t>CDR20291_RS00950</t>
  </si>
  <si>
    <t>CDR20291_RS00955</t>
  </si>
  <si>
    <t>diadenylate cyclase CdaA</t>
  </si>
  <si>
    <t>cdaA</t>
  </si>
  <si>
    <t>WP_003420697.1</t>
  </si>
  <si>
    <t>CDR20291_RS00960</t>
  </si>
  <si>
    <t>YbbR-like domain-containing protein</t>
  </si>
  <si>
    <t>WP_009887945.1</t>
  </si>
  <si>
    <t>CDR20291_RS00965</t>
  </si>
  <si>
    <t>phosphate butyryltransferase</t>
  </si>
  <si>
    <t>ptb</t>
  </si>
  <si>
    <t>WP_003420701.1</t>
  </si>
  <si>
    <t>CDR20291_RS00970</t>
  </si>
  <si>
    <t>butyrate kinase</t>
  </si>
  <si>
    <t>buk</t>
  </si>
  <si>
    <t>WP_003420702.1</t>
  </si>
  <si>
    <t>CDR20291_RS00975</t>
  </si>
  <si>
    <t>WP_003420704.1</t>
  </si>
  <si>
    <t>CDR20291_RS00980</t>
  </si>
  <si>
    <t>4Fe-4S binding protein</t>
  </si>
  <si>
    <t>WP_003420706.1</t>
  </si>
  <si>
    <t>CDR20291_RS00985</t>
  </si>
  <si>
    <t>3-methyl-2-oxobutanoate dehydrogenase subunit VorB</t>
  </si>
  <si>
    <t>WP_003432442.1</t>
  </si>
  <si>
    <t>CDR20291_RS00990</t>
  </si>
  <si>
    <t>thiamine pyrophosphate-dependent enzyme</t>
  </si>
  <si>
    <t>WP_003420710.1</t>
  </si>
  <si>
    <t>CDR20291_RS00995</t>
  </si>
  <si>
    <t>2-oxoacid:acceptor oxidoreductase family protein</t>
  </si>
  <si>
    <t>WP_003420711.1</t>
  </si>
  <si>
    <t>CDR20291_RS01000</t>
  </si>
  <si>
    <t>phosphoglucosamine mutase</t>
  </si>
  <si>
    <t>glmM</t>
  </si>
  <si>
    <t>WP_009887954.1</t>
  </si>
  <si>
    <t>CDR20291_RS01005</t>
  </si>
  <si>
    <t>glutamine--fructose-6-phosphate transaminase (isomerizing)</t>
  </si>
  <si>
    <t>glmS</t>
  </si>
  <si>
    <t>WP_009892563.1</t>
  </si>
  <si>
    <t>CDR20291_RS01010</t>
  </si>
  <si>
    <t>rhodanese-like domain-containing protein</t>
  </si>
  <si>
    <t>WP_009887960.1</t>
  </si>
  <si>
    <t>CDR20291_RS01015</t>
  </si>
  <si>
    <t>YwmB family TATA-box binding protein</t>
  </si>
  <si>
    <t>WP_003432450.1</t>
  </si>
  <si>
    <t>CDR20291_RS01020</t>
  </si>
  <si>
    <t>UDP-N-acetylglucosamine 1-carboxyvinyltransferase</t>
  </si>
  <si>
    <t>murA</t>
  </si>
  <si>
    <t>WP_003420721.1</t>
  </si>
  <si>
    <t>CDR20291_RS01025</t>
  </si>
  <si>
    <t>stage II sporulation protein D</t>
  </si>
  <si>
    <t>spoIID</t>
  </si>
  <si>
    <t>WP_009887965.1</t>
  </si>
  <si>
    <t>CDR20291_RS01030</t>
  </si>
  <si>
    <t>M23 family metallopeptidase</t>
  </si>
  <si>
    <t>WP_003425452.1</t>
  </si>
  <si>
    <t>CDR20291_RS01035</t>
  </si>
  <si>
    <t>sporulation transcriptional regulator SpoIIID</t>
  </si>
  <si>
    <t>spoIIID</t>
  </si>
  <si>
    <t>WP_003420727.1</t>
  </si>
  <si>
    <t>CDR20291_RS01040</t>
  </si>
  <si>
    <t>rod shape-determining protein</t>
  </si>
  <si>
    <t>WP_003420729.1</t>
  </si>
  <si>
    <t>CDR20291_RS01045</t>
  </si>
  <si>
    <t>3-hydroxyacyl-ACP dehydratase FabZ</t>
  </si>
  <si>
    <t>fabZ</t>
  </si>
  <si>
    <t>WP_009887968.1</t>
  </si>
  <si>
    <t>CDR20291_RS01050</t>
  </si>
  <si>
    <t>spore protease YyaC</t>
  </si>
  <si>
    <t>yyaC</t>
  </si>
  <si>
    <t>WP_009887970.1</t>
  </si>
  <si>
    <t>CDR20291_RS01055</t>
  </si>
  <si>
    <t>methionine adenosyltransferase</t>
  </si>
  <si>
    <t>metK</t>
  </si>
  <si>
    <t>WP_003432462.1</t>
  </si>
  <si>
    <t>CDR20291_RS01060</t>
  </si>
  <si>
    <t>membrane protein</t>
  </si>
  <si>
    <t>WP_009887971.1</t>
  </si>
  <si>
    <t>CDR20291_RS01065</t>
  </si>
  <si>
    <t>ATP-dependent RecD-like DNA helicase</t>
  </si>
  <si>
    <t>WP_003434402.1</t>
  </si>
  <si>
    <t>CDR20291_RS01070</t>
  </si>
  <si>
    <t>ComF family protein</t>
  </si>
  <si>
    <t>WP_003432476.1</t>
  </si>
  <si>
    <t>CDR20291_RS01075</t>
  </si>
  <si>
    <t>BglG family transcription antiterminator</t>
  </si>
  <si>
    <t>WP_012815966.1</t>
  </si>
  <si>
    <t>CDR20291_RS01080</t>
  </si>
  <si>
    <t>PTS lactose/cellobiose transporter subunit IIA</t>
  </si>
  <si>
    <t>WP_003420747.1</t>
  </si>
  <si>
    <t>CDR20291_RS01085</t>
  </si>
  <si>
    <t>WP_003425440.1</t>
  </si>
  <si>
    <t>CDR20291_RS01090</t>
  </si>
  <si>
    <t>PTS cellobiose transporter subunit IIC</t>
  </si>
  <si>
    <t>celB</t>
  </si>
  <si>
    <t>WP_009887974.1</t>
  </si>
  <si>
    <t>CDR20291_RS01095</t>
  </si>
  <si>
    <t>GrdB-related putative oxidoreductase</t>
  </si>
  <si>
    <t>WP_009887975.1</t>
  </si>
  <si>
    <t>CDR20291_RS01100</t>
  </si>
  <si>
    <t>N(4)-(beta-N-acetylglucosaminyl)-L-asparaginase</t>
  </si>
  <si>
    <t>WP_009887976.1</t>
  </si>
  <si>
    <t>CDR20291_RS01105</t>
  </si>
  <si>
    <t>Sapep family Mn(2+)-dependent dipeptidase</t>
  </si>
  <si>
    <t>WP_009887977.1</t>
  </si>
  <si>
    <t>CDR20291_RS01110</t>
  </si>
  <si>
    <t>copper homeostasis protein CutC</t>
  </si>
  <si>
    <t>WP_003434413.1</t>
  </si>
  <si>
    <t>CDR20291_RS01115</t>
  </si>
  <si>
    <t>ribosome hibernation-promoting factor, HPF/YfiA family</t>
  </si>
  <si>
    <t>hpf</t>
  </si>
  <si>
    <t>WP_009887979.1</t>
  </si>
  <si>
    <t>CDR20291_RS01120</t>
  </si>
  <si>
    <t>preprotein translocase subunit SecA</t>
  </si>
  <si>
    <t>secA</t>
  </si>
  <si>
    <t>WP_009887981.1</t>
  </si>
  <si>
    <t>CDR20291_RS01125</t>
  </si>
  <si>
    <t>peptide chain release factor 2</t>
  </si>
  <si>
    <t>prfB</t>
  </si>
  <si>
    <t>WP_177451831.1</t>
  </si>
  <si>
    <t>CDR20291_RS01130</t>
  </si>
  <si>
    <t>Tex family protein</t>
  </si>
  <si>
    <t>WP_009887990.1</t>
  </si>
  <si>
    <t>CDR20291_RS01135</t>
  </si>
  <si>
    <t>amidohydrolase</t>
  </si>
  <si>
    <t>WP_003425424.1</t>
  </si>
  <si>
    <t>CDR20291_RS01140</t>
  </si>
  <si>
    <t>ECF transporter S component</t>
  </si>
  <si>
    <t>WP_003420780.1</t>
  </si>
  <si>
    <t>CDR20291_RS01145</t>
  </si>
  <si>
    <t>DUF4116 domain-containing protein</t>
  </si>
  <si>
    <t>WP_009892574.1</t>
  </si>
  <si>
    <t>CDR20291_RS01150</t>
  </si>
  <si>
    <t>tRNA (adenosine(37)-N6)-threonylcarbamoyltransferase complex ATPase subunit type 1 TsaE</t>
  </si>
  <si>
    <t>tsaE</t>
  </si>
  <si>
    <t>WP_003434423.1</t>
  </si>
  <si>
    <t>CDR20291_RS01155</t>
  </si>
  <si>
    <t>tRNA (adenosine(37)-N6)-threonylcarbamoyltransferase complex dimerization subunit type 1 TsaB</t>
  </si>
  <si>
    <t>tsaB</t>
  </si>
  <si>
    <t>WP_003434426.1</t>
  </si>
  <si>
    <t>CDR20291_RS01160</t>
  </si>
  <si>
    <t>ribosomal protein S18-alanine N-acetyltransferase</t>
  </si>
  <si>
    <t>rimI</t>
  </si>
  <si>
    <t>WP_009887996.1</t>
  </si>
  <si>
    <t>CDR20291_RS01165</t>
  </si>
  <si>
    <t>tRNA (adenosine(37)-N6)-threonylcarbamoyltransferase complex transferase subunit TsaD</t>
  </si>
  <si>
    <t>tsaD</t>
  </si>
  <si>
    <t>WP_009887997.1</t>
  </si>
  <si>
    <t>CDR20291_RS01170</t>
  </si>
  <si>
    <t>4-hydroxyphenylacetate decarboxylase large subunit</t>
  </si>
  <si>
    <t>hpdB</t>
  </si>
  <si>
    <t>WP_009892575.1</t>
  </si>
  <si>
    <t>CDR20291_RS01175</t>
  </si>
  <si>
    <t>4-hydroxyphenylacetate decarboxylase small subunit</t>
  </si>
  <si>
    <t>hpdC</t>
  </si>
  <si>
    <t>WP_009888000.1</t>
  </si>
  <si>
    <t>CDR20291_RS01180</t>
  </si>
  <si>
    <t>4-hydroxyphenylacetate decarboxylase activase</t>
  </si>
  <si>
    <t>hpdA</t>
  </si>
  <si>
    <t>WP_009888001.1</t>
  </si>
  <si>
    <t>CDR20291_RS01185</t>
  </si>
  <si>
    <t>CPBP family intramembrane glutamic endopeptidase</t>
  </si>
  <si>
    <t>WP_009888002.1</t>
  </si>
  <si>
    <t>CDR20291_RS01190</t>
  </si>
  <si>
    <t>WP_009888003.1</t>
  </si>
  <si>
    <t>CDR20291_RS01195</t>
  </si>
  <si>
    <t>VOC family protein</t>
  </si>
  <si>
    <t>WP_009888004.1</t>
  </si>
  <si>
    <t>CDR20291_RS01200</t>
  </si>
  <si>
    <t>LytR/AlgR family response regulator transcription factor</t>
  </si>
  <si>
    <t>WP_009888005.1</t>
  </si>
  <si>
    <t>CDR20291_RS01205</t>
  </si>
  <si>
    <t>ATP-binding cassette domain-containing protein</t>
  </si>
  <si>
    <t>WP_009888006.1</t>
  </si>
  <si>
    <t>CDR20291_RS01210</t>
  </si>
  <si>
    <t>Cys-rich peptide radical SAM maturase CcpM</t>
  </si>
  <si>
    <t>ccpM</t>
  </si>
  <si>
    <t>WP_009888007.1</t>
  </si>
  <si>
    <t>CDR20291_RS01215</t>
  </si>
  <si>
    <t>TIGR04066 family peptide maturation system protein</t>
  </si>
  <si>
    <t>WP_009888008.1</t>
  </si>
  <si>
    <t>CDR20291_RS01220</t>
  </si>
  <si>
    <t>peptide maturation system acyl carrier-related protein</t>
  </si>
  <si>
    <t>WP_009888009.1</t>
  </si>
  <si>
    <t>CDR20291_RS01225</t>
  </si>
  <si>
    <t>WP_009888010.1</t>
  </si>
  <si>
    <t>CDR20291_RS01230</t>
  </si>
  <si>
    <t>WP_009888011.1</t>
  </si>
  <si>
    <t>CDR20291_RS01235</t>
  </si>
  <si>
    <t>APC family permease</t>
  </si>
  <si>
    <t>WP_009888012.1</t>
  </si>
  <si>
    <t>CDR20291_RS01240</t>
  </si>
  <si>
    <t>M20 metallopeptidase family protein</t>
  </si>
  <si>
    <t>WP_009888013.1</t>
  </si>
  <si>
    <t>CDR20291_RS01245</t>
  </si>
  <si>
    <t>sigma-54 interaction domain-containing protein</t>
  </si>
  <si>
    <t>WP_009888014.1</t>
  </si>
  <si>
    <t>CDR20291_RS01250</t>
  </si>
  <si>
    <t>Crp/Fnr family transcriptional regulator</t>
  </si>
  <si>
    <t>WP_003434477.1</t>
  </si>
  <si>
    <t>CDR20291_RS01255</t>
  </si>
  <si>
    <t>MATE family efflux transporter</t>
  </si>
  <si>
    <t>WP_003425390.1</t>
  </si>
  <si>
    <t>CDR20291_RS01260</t>
  </si>
  <si>
    <t>ABC-F family ATP-binding cassette domain-containing protein</t>
  </si>
  <si>
    <t>WP_003434478.1</t>
  </si>
  <si>
    <t>CDR20291_RS01265</t>
  </si>
  <si>
    <t>redox-sensing transcriptional repressor Rex</t>
  </si>
  <si>
    <t>WP_003420839.1</t>
  </si>
  <si>
    <t>CDR20291_RS01270</t>
  </si>
  <si>
    <t>FmdE family protein</t>
  </si>
  <si>
    <t>WP_012815971.1</t>
  </si>
  <si>
    <t>CDR20291_RS01275</t>
  </si>
  <si>
    <t>DUF362 domain-containing protein</t>
  </si>
  <si>
    <t>WP_009888017.1</t>
  </si>
  <si>
    <t>CDR20291_RS01280</t>
  </si>
  <si>
    <t>CapA family protein</t>
  </si>
  <si>
    <t>WP_009888018.1</t>
  </si>
  <si>
    <t>CDR20291_RS01285</t>
  </si>
  <si>
    <t>anaerobic carbon-monoxide dehydrogenase catalytic subunit</t>
  </si>
  <si>
    <t>cooS</t>
  </si>
  <si>
    <t>WP_009888019.1</t>
  </si>
  <si>
    <t>CDR20291_RS01290</t>
  </si>
  <si>
    <t>4Fe-4S dicluster domain-containing protein</t>
  </si>
  <si>
    <t>WP_009888020.1</t>
  </si>
  <si>
    <t>CDR20291_RS01295</t>
  </si>
  <si>
    <t>NAD(P)/FAD-dependent oxidoreductase</t>
  </si>
  <si>
    <t>WP_009892576.1</t>
  </si>
  <si>
    <t>CDR20291_RS01300</t>
  </si>
  <si>
    <t>SAM-dependent methyltransferase</t>
  </si>
  <si>
    <t>WP_009892577.1</t>
  </si>
  <si>
    <t>CDR20291_RS01305</t>
  </si>
  <si>
    <t>ATPase</t>
  </si>
  <si>
    <t>WP_009888021.1</t>
  </si>
  <si>
    <t>CDR20291_RS01310</t>
  </si>
  <si>
    <t>NAD-specific glutamate dehydrogenase</t>
  </si>
  <si>
    <t>gluD</t>
  </si>
  <si>
    <t>WP_003420866.1</t>
  </si>
  <si>
    <t>CDR20291_RS01315</t>
  </si>
  <si>
    <t>M56 family metallopeptidase</t>
  </si>
  <si>
    <t>WP_009888022.1</t>
  </si>
  <si>
    <t>CDR20291_RS01320</t>
  </si>
  <si>
    <t>WP_009888023.1</t>
  </si>
  <si>
    <t>CDR20291_RS01325</t>
  </si>
  <si>
    <t>C40 family peptidase</t>
  </si>
  <si>
    <t>WP_003434503.1</t>
  </si>
  <si>
    <t>CDR20291_RS01330</t>
  </si>
  <si>
    <t>aspartate carbamoyltransferase</t>
  </si>
  <si>
    <t>pyrB</t>
  </si>
  <si>
    <t>WP_003434504.1</t>
  </si>
  <si>
    <t>CDR20291_RS01335</t>
  </si>
  <si>
    <t>dihydroorotate dehydrogenase electron transfer subunit</t>
  </si>
  <si>
    <t>WP_003434506.1</t>
  </si>
  <si>
    <t>CDR20291_RS01340</t>
  </si>
  <si>
    <t>dihydroorotate dehydrogenase</t>
  </si>
  <si>
    <t>WP_003434510.1</t>
  </si>
  <si>
    <t>CDR20291_RS01345</t>
  </si>
  <si>
    <t>orotate phosphoribosyltransferase</t>
  </si>
  <si>
    <t>pyrE</t>
  </si>
  <si>
    <t>WP_003420885.1</t>
  </si>
  <si>
    <t>CDR20291_RS01350</t>
  </si>
  <si>
    <t>ketopantoate reductase family protein</t>
  </si>
  <si>
    <t>WP_009888024.1</t>
  </si>
  <si>
    <t>CDR20291_RS01355</t>
  </si>
  <si>
    <t>LysR family transcriptional regulator</t>
  </si>
  <si>
    <t>WP_009888025.1</t>
  </si>
  <si>
    <t>CDR20291_RS01360</t>
  </si>
  <si>
    <t>YeiH family protein</t>
  </si>
  <si>
    <t>WP_009888026.1</t>
  </si>
  <si>
    <t>CDR20291_RS01365</t>
  </si>
  <si>
    <t>DNA-3-methyladenine glycosylase family protein</t>
  </si>
  <si>
    <t>WP_009892578.1</t>
  </si>
  <si>
    <t>CDR20291_RS01370</t>
  </si>
  <si>
    <t>cardiolipin synthase</t>
  </si>
  <si>
    <t>cls</t>
  </si>
  <si>
    <t>WP_009888027.1</t>
  </si>
  <si>
    <t>CDR20291_RS01375</t>
  </si>
  <si>
    <t>co-chaperone GroES</t>
  </si>
  <si>
    <t>WP_003420907.1</t>
  </si>
  <si>
    <t>CDR20291_RS01380</t>
  </si>
  <si>
    <t>chaperonin GroEL</t>
  </si>
  <si>
    <t>groL</t>
  </si>
  <si>
    <t>WP_009888028.1</t>
  </si>
  <si>
    <t>CDR20291_RS01385</t>
  </si>
  <si>
    <t>nickel pincer cofactor biosynthesis protein LarB</t>
  </si>
  <si>
    <t>larB</t>
  </si>
  <si>
    <t>WP_003435015.1</t>
  </si>
  <si>
    <t>CDR20291_RS01390</t>
  </si>
  <si>
    <t>larC</t>
  </si>
  <si>
    <t>CDR20291_RS19080</t>
  </si>
  <si>
    <t>glutamine-hydrolyzing GMP synthase</t>
  </si>
  <si>
    <t>guaA</t>
  </si>
  <si>
    <t>WP_009888031.1</t>
  </si>
  <si>
    <t>CDR20291_RS01405</t>
  </si>
  <si>
    <t>metallophosphoesterase</t>
  </si>
  <si>
    <t>WP_021422838.1</t>
  </si>
  <si>
    <t>CDR20291_RS01410</t>
  </si>
  <si>
    <t>WP_009888033.1</t>
  </si>
  <si>
    <t>CDR20291_RS01415</t>
  </si>
  <si>
    <t>chromate transporter</t>
  </si>
  <si>
    <t>WP_009888034.1</t>
  </si>
  <si>
    <t>CDR20291_RS01420</t>
  </si>
  <si>
    <t>WP_009892581.1</t>
  </si>
  <si>
    <t>CDR20291_RS01425</t>
  </si>
  <si>
    <t>WP_003425320.1</t>
  </si>
  <si>
    <t>CDR20291_RS01430</t>
  </si>
  <si>
    <t>excinuclease ABC subunit UvrA</t>
  </si>
  <si>
    <t>uvrA</t>
  </si>
  <si>
    <t>WP_009888036.1</t>
  </si>
  <si>
    <t>CDR20291_RS01435</t>
  </si>
  <si>
    <t>GGDEF domain-containing protein</t>
  </si>
  <si>
    <t>WP_009888037.1</t>
  </si>
  <si>
    <t>CDR20291_RS01440</t>
  </si>
  <si>
    <t>WP_009888038.1</t>
  </si>
  <si>
    <t>CDR20291_RS01445</t>
  </si>
  <si>
    <t>WP_009888039.1</t>
  </si>
  <si>
    <t>CDR20291_RS01450</t>
  </si>
  <si>
    <t>PTS fructose transporter subunit EIIC</t>
  </si>
  <si>
    <t>WP_003435041.1</t>
  </si>
  <si>
    <t>CDR20291_RS01455</t>
  </si>
  <si>
    <t>PTS fructose-like transporter subunit IIB</t>
  </si>
  <si>
    <t>WP_003435043.1</t>
  </si>
  <si>
    <t>CDR20291_RS01460</t>
  </si>
  <si>
    <t>class II D-tagatose-bisphosphate aldolase non-catalytic subunit</t>
  </si>
  <si>
    <t>WP_009888040.1</t>
  </si>
  <si>
    <t>CDR20291_RS01465</t>
  </si>
  <si>
    <t>HAD family hydrolase</t>
  </si>
  <si>
    <t>WP_009888041.1</t>
  </si>
  <si>
    <t>CDR20291_RS01470</t>
  </si>
  <si>
    <t>spore coat protein</t>
  </si>
  <si>
    <t>WP_003425293.1</t>
  </si>
  <si>
    <t>CDR20291_RS01475</t>
  </si>
  <si>
    <t>WP_009888042.1</t>
  </si>
  <si>
    <t>CDR20291_RS01480</t>
  </si>
  <si>
    <t>nitroreductase family protein</t>
  </si>
  <si>
    <t>WP_009888043.1</t>
  </si>
  <si>
    <t>CDR20291_RS01485</t>
  </si>
  <si>
    <t>5-(carboxyamino)imidazole ribonucleotide mutase</t>
  </si>
  <si>
    <t>purE</t>
  </si>
  <si>
    <t>WP_003425290.1</t>
  </si>
  <si>
    <t>CDR20291_RS01490</t>
  </si>
  <si>
    <t>phosphoribosylaminoimidazolesuccinocarboxamide synthase</t>
  </si>
  <si>
    <t>purC</t>
  </si>
  <si>
    <t>WP_003420966.1</t>
  </si>
  <si>
    <t>CDR20291_RS01495</t>
  </si>
  <si>
    <t>amidophosphoribosyltransferase</t>
  </si>
  <si>
    <t>purF</t>
  </si>
  <si>
    <t>WP_003425288.1</t>
  </si>
  <si>
    <t>CDR20291_RS01500</t>
  </si>
  <si>
    <t>phosphoribosylformylglycinamidine cyclo-ligase</t>
  </si>
  <si>
    <t>purM</t>
  </si>
  <si>
    <t>WP_003425286.1</t>
  </si>
  <si>
    <t>CDR20291_RS01505</t>
  </si>
  <si>
    <t>phosphoribosylglycinamide formyltransferase</t>
  </si>
  <si>
    <t>purN</t>
  </si>
  <si>
    <t>WP_003436064.1</t>
  </si>
  <si>
    <t>CDR20291_RS01510</t>
  </si>
  <si>
    <t>bifunctional phosphoribosylaminoimidazolecarboxamide formyltransferase/IMP cyclohydrolase</t>
  </si>
  <si>
    <t>purH</t>
  </si>
  <si>
    <t>WP_009892582.1</t>
  </si>
  <si>
    <t>CDR20291_RS01515</t>
  </si>
  <si>
    <t>phosphoribosylamine--glycine ligase</t>
  </si>
  <si>
    <t>purD</t>
  </si>
  <si>
    <t>WP_009888045.1</t>
  </si>
  <si>
    <t>CDR20291_RS01520</t>
  </si>
  <si>
    <t>phosphoribosylformylglycinamidine synthase</t>
  </si>
  <si>
    <t>WP_009888046.1</t>
  </si>
  <si>
    <t>CDR20291_RS01525</t>
  </si>
  <si>
    <t>dTDP-4-dehydrorhamnose reductase</t>
  </si>
  <si>
    <t>rfbD</t>
  </si>
  <si>
    <t>WP_009888047.1</t>
  </si>
  <si>
    <t>CDR20291_RS01530</t>
  </si>
  <si>
    <t>glucose-1-phosphate thymidylyltransferase RfbA</t>
  </si>
  <si>
    <t>rfbA</t>
  </si>
  <si>
    <t>WP_009888048.1</t>
  </si>
  <si>
    <t>CDR20291_RS01535</t>
  </si>
  <si>
    <t>dTDP-4-dehydrorhamnose 3,5-epimerase</t>
  </si>
  <si>
    <t>rfbC</t>
  </si>
  <si>
    <t>WP_009888049.1</t>
  </si>
  <si>
    <t>CDR20291_RS01540</t>
  </si>
  <si>
    <t>dTDP-glucose 4,6-dehydratase</t>
  </si>
  <si>
    <t>rfbB</t>
  </si>
  <si>
    <t>WP_009888050.1</t>
  </si>
  <si>
    <t>CDR20291_RS01545</t>
  </si>
  <si>
    <t>lytic transglycosylase domain-containing protein</t>
  </si>
  <si>
    <t>WP_009888051.1</t>
  </si>
  <si>
    <t>CDR20291_RS01550</t>
  </si>
  <si>
    <t>YaaR family protein</t>
  </si>
  <si>
    <t>WP_003436052.1</t>
  </si>
  <si>
    <t>CDR20291_RS01555</t>
  </si>
  <si>
    <t>FliM/FliN family flagellar motor switch protein</t>
  </si>
  <si>
    <t>WP_009888052.1</t>
  </si>
  <si>
    <t>CDR20291_RS01560</t>
  </si>
  <si>
    <t>flagellar biosynthesis anti-sigma factor FlgM</t>
  </si>
  <si>
    <t>flgM</t>
  </si>
  <si>
    <t>WP_009892583.1</t>
  </si>
  <si>
    <t>CDR20291_RS01565</t>
  </si>
  <si>
    <t>flagellar protein FlgN</t>
  </si>
  <si>
    <t>WP_009888055.1</t>
  </si>
  <si>
    <t>CDR20291_RS01570</t>
  </si>
  <si>
    <t>flagellar hook-associated protein FlgK</t>
  </si>
  <si>
    <t>flgK</t>
  </si>
  <si>
    <t>WP_009892584.1</t>
  </si>
  <si>
    <t>CDR20291_RS01575</t>
  </si>
  <si>
    <t>flagellar hook-associated protein FlgL</t>
  </si>
  <si>
    <t>flgL</t>
  </si>
  <si>
    <t>WP_009888056.1</t>
  </si>
  <si>
    <t>CDR20291_RS01580</t>
  </si>
  <si>
    <t>flagellar assembly protein FliW</t>
  </si>
  <si>
    <t>fliW</t>
  </si>
  <si>
    <t>WP_003436041.1</t>
  </si>
  <si>
    <t>CDR20291_RS01585</t>
  </si>
  <si>
    <t>carbon storage regulator CsrA</t>
  </si>
  <si>
    <t>csrA</t>
  </si>
  <si>
    <t>WP_003436039.1</t>
  </si>
  <si>
    <t>CDR20291_RS01590</t>
  </si>
  <si>
    <t>flagellar export chaperone FliS</t>
  </si>
  <si>
    <t>fliS</t>
  </si>
  <si>
    <t>WP_009888058.1</t>
  </si>
  <si>
    <t>CDR20291_RS01595</t>
  </si>
  <si>
    <t>WP_009888059.1</t>
  </si>
  <si>
    <t>CDR20291_RS01600</t>
  </si>
  <si>
    <t>flagellar filament capping protein FliD</t>
  </si>
  <si>
    <t>fliD</t>
  </si>
  <si>
    <t>WP_009888060.1</t>
  </si>
  <si>
    <t>CDR20291_RS01605</t>
  </si>
  <si>
    <t>flagellar protein FliT</t>
  </si>
  <si>
    <t>WP_009888061.1</t>
  </si>
  <si>
    <t>CDR20291_RS01610</t>
  </si>
  <si>
    <t>flagellin</t>
  </si>
  <si>
    <t>WP_009888062.1</t>
  </si>
  <si>
    <t>CDR20291_RS01615</t>
  </si>
  <si>
    <t>glycosyltransferase</t>
  </si>
  <si>
    <t>WP_234704198.1</t>
  </si>
  <si>
    <t>CDR20291_RS01620</t>
  </si>
  <si>
    <t>bifunctional glycosyltransferase family 2 protein/class I SAM-dependent methyltransferase</t>
  </si>
  <si>
    <t>WP_009892587.1</t>
  </si>
  <si>
    <t>CDR20291_RS01625</t>
  </si>
  <si>
    <t>WP_009892588.1</t>
  </si>
  <si>
    <t>CDR20291_RS01630</t>
  </si>
  <si>
    <t>peptidoglycan bridge formation glycyltransferase FemA/FemB family protein</t>
  </si>
  <si>
    <t>WP_009892590.1</t>
  </si>
  <si>
    <t>CDR20291_RS01635</t>
  </si>
  <si>
    <t>ATP-grasp domain-containing protein</t>
  </si>
  <si>
    <t>WP_009888065.1</t>
  </si>
  <si>
    <t>CDR20291_RS01640</t>
  </si>
  <si>
    <t>ornithine cyclodeaminase</t>
  </si>
  <si>
    <t>WP_009888066.1</t>
  </si>
  <si>
    <t>CDR20291_RS01645</t>
  </si>
  <si>
    <t>FdtA/QdtA family cupin domain-containing protein</t>
  </si>
  <si>
    <t>WP_330360523.1</t>
  </si>
  <si>
    <t>CDR20291_RS01650</t>
  </si>
  <si>
    <t>DegT/DnrJ/EryC1/StrS family aminotransferase</t>
  </si>
  <si>
    <t>WP_012815981.1</t>
  </si>
  <si>
    <t>CDR20291_RS01655</t>
  </si>
  <si>
    <t>flagellar basal body rod protein FlgB</t>
  </si>
  <si>
    <t>flgB</t>
  </si>
  <si>
    <t>WP_009888069.1</t>
  </si>
  <si>
    <t>CDR20291_RS01660</t>
  </si>
  <si>
    <t>flagellar basal body rod protein FlgC</t>
  </si>
  <si>
    <t>flgC</t>
  </si>
  <si>
    <t>WP_003425244.1</t>
  </si>
  <si>
    <t>CDR20291_RS01665</t>
  </si>
  <si>
    <t>flagellar hook-basal body complex protein FliE</t>
  </si>
  <si>
    <t>fliE</t>
  </si>
  <si>
    <t>WP_009888070.1</t>
  </si>
  <si>
    <t>CDR20291_RS01670</t>
  </si>
  <si>
    <t>flagellar basal-body MS-ring/collar protein FliF</t>
  </si>
  <si>
    <t>fliF</t>
  </si>
  <si>
    <t>WP_009888071.1</t>
  </si>
  <si>
    <t>CDR20291_RS01675</t>
  </si>
  <si>
    <t>flagellar motor switch protein FliG</t>
  </si>
  <si>
    <t>fliG</t>
  </si>
  <si>
    <t>WP_009888072.1</t>
  </si>
  <si>
    <t>CDR20291_RS01680</t>
  </si>
  <si>
    <t>FliH/SctL family protein</t>
  </si>
  <si>
    <t>WP_225532662.1</t>
  </si>
  <si>
    <t>CDR20291_RS01685</t>
  </si>
  <si>
    <t>flagellar protein export ATPase FliI</t>
  </si>
  <si>
    <t>fliI</t>
  </si>
  <si>
    <t>WP_009888074.1</t>
  </si>
  <si>
    <t>CDR20291_RS01690</t>
  </si>
  <si>
    <t>flagellar export protein FliJ</t>
  </si>
  <si>
    <t>fliJ</t>
  </si>
  <si>
    <t>WP_012815984.1</t>
  </si>
  <si>
    <t>CDR20291_RS01695</t>
  </si>
  <si>
    <t>flagellar hook-length control protein FliK</t>
  </si>
  <si>
    <t>WP_009888077.1</t>
  </si>
  <si>
    <t>CDR20291_RS01700</t>
  </si>
  <si>
    <t>flagellar hook assembly protein FlgD</t>
  </si>
  <si>
    <t>WP_009888079.1</t>
  </si>
  <si>
    <t>CDR20291_RS01705</t>
  </si>
  <si>
    <t>flagellar hook-basal body protein</t>
  </si>
  <si>
    <t>WP_009888081.1</t>
  </si>
  <si>
    <t>CDR20291_RS01710</t>
  </si>
  <si>
    <t>flagellar FlbD family protein</t>
  </si>
  <si>
    <t>WP_009888083.1</t>
  </si>
  <si>
    <t>CDR20291_RS01715</t>
  </si>
  <si>
    <t>motility protein A</t>
  </si>
  <si>
    <t>WP_009888085.1</t>
  </si>
  <si>
    <t>CDR20291_RS01720</t>
  </si>
  <si>
    <t>OmpA family protein</t>
  </si>
  <si>
    <t>WP_009888087.1</t>
  </si>
  <si>
    <t>CDR20291_RS01725</t>
  </si>
  <si>
    <t>flagellar basal body-associated FliL family protein</t>
  </si>
  <si>
    <t>WP_009888088.1</t>
  </si>
  <si>
    <t>CDR20291_RS01730</t>
  </si>
  <si>
    <t>flagellar biosynthetic protein FliO</t>
  </si>
  <si>
    <t>WP_009892591.1</t>
  </si>
  <si>
    <t>CDR20291_RS01735</t>
  </si>
  <si>
    <t>flagellar type III secretion system pore protein FliP</t>
  </si>
  <si>
    <t>fliP</t>
  </si>
  <si>
    <t>WP_003425215.1</t>
  </si>
  <si>
    <t>CDR20291_RS01740</t>
  </si>
  <si>
    <t>flagellar biosynthesis protein FliQ</t>
  </si>
  <si>
    <t>fliQ</t>
  </si>
  <si>
    <t>WP_009888090.1</t>
  </si>
  <si>
    <t>CDR20291_RS01745</t>
  </si>
  <si>
    <t>fused FliR family export protein/FlhB family type III secretion system protein</t>
  </si>
  <si>
    <t>WP_009888092.1</t>
  </si>
  <si>
    <t>CDR20291_RS01750</t>
  </si>
  <si>
    <t>flagellar biosynthesis protein FlhA</t>
  </si>
  <si>
    <t>flhA</t>
  </si>
  <si>
    <t>WP_009888094.1</t>
  </si>
  <si>
    <t>CDR20291_RS01755</t>
  </si>
  <si>
    <t>flagellar biosynthesis protein FlhF</t>
  </si>
  <si>
    <t>flhF</t>
  </si>
  <si>
    <t>WP_012815985.1</t>
  </si>
  <si>
    <t>CDR20291_RS01760</t>
  </si>
  <si>
    <t>MinD/ParA family protein</t>
  </si>
  <si>
    <t>WP_003435971.1</t>
  </si>
  <si>
    <t>CDR20291_RS01765</t>
  </si>
  <si>
    <t>sigma-70 family RNA polymerase sigma factor</t>
  </si>
  <si>
    <t>WP_009888099.1</t>
  </si>
  <si>
    <t>CDR20291_RS01770</t>
  </si>
  <si>
    <t>WP_009888101.1</t>
  </si>
  <si>
    <t>CDR20291_RS01775</t>
  </si>
  <si>
    <t>flagellar protein</t>
  </si>
  <si>
    <t>WP_003425206.1</t>
  </si>
  <si>
    <t>CDR20291_RS01780</t>
  </si>
  <si>
    <t>flagellar basal-body rod protein FlgG</t>
  </si>
  <si>
    <t>WP_009888104.1</t>
  </si>
  <si>
    <t>CDR20291_RS01785</t>
  </si>
  <si>
    <t>WP_009892595.1</t>
  </si>
  <si>
    <t>CDR20291_RS01790</t>
  </si>
  <si>
    <t>WP_009888108.1</t>
  </si>
  <si>
    <t>CDR20291_RS01795</t>
  </si>
  <si>
    <t>WP_009888109.1</t>
  </si>
  <si>
    <t>CDR20291_RS01800</t>
  </si>
  <si>
    <t>tetratricopeptide repeat protein</t>
  </si>
  <si>
    <t>WP_009888110.1</t>
  </si>
  <si>
    <t>CDR20291_RS01805</t>
  </si>
  <si>
    <t>molecular chaperone HtpG</t>
  </si>
  <si>
    <t>htpG</t>
  </si>
  <si>
    <t>WP_009888112.1</t>
  </si>
  <si>
    <t>CDR20291_RS01810</t>
  </si>
  <si>
    <t>iron-containing alcohol dehydrogenase</t>
  </si>
  <si>
    <t>WP_009888114.1</t>
  </si>
  <si>
    <t>CDR20291_RS01815</t>
  </si>
  <si>
    <t>spore photoproduct lyase</t>
  </si>
  <si>
    <t>splB</t>
  </si>
  <si>
    <t>WP_003435960.1</t>
  </si>
  <si>
    <t>CDR20291_RS01820</t>
  </si>
  <si>
    <t>WP_009888117.1</t>
  </si>
  <si>
    <t>CDR20291_RS01825</t>
  </si>
  <si>
    <t>DUF3788 domain-containing protein</t>
  </si>
  <si>
    <t>WP_009888119.1</t>
  </si>
  <si>
    <t>CDR20291_RS01830</t>
  </si>
  <si>
    <t>winged helix-turn-helix transcriptional regulator</t>
  </si>
  <si>
    <t>WP_003435954.1</t>
  </si>
  <si>
    <t>CDR20291_RS01835</t>
  </si>
  <si>
    <t>pyridoxamine 5'-phosphate oxidase family protein</t>
  </si>
  <si>
    <t>WP_009888123.1</t>
  </si>
  <si>
    <t>CDR20291_RS01840</t>
  </si>
  <si>
    <t>WP_003425175.1</t>
  </si>
  <si>
    <t>CDR20291_RS01845</t>
  </si>
  <si>
    <t>phosphatase</t>
  </si>
  <si>
    <t>WP_009888126.1</t>
  </si>
  <si>
    <t>CDR20291_RS01850</t>
  </si>
  <si>
    <t>sigma-54-dependent transcriptional regulator</t>
  </si>
  <si>
    <t>WP_009892599.1</t>
  </si>
  <si>
    <t>CDR20291_RS01855</t>
  </si>
  <si>
    <t>WP_003421030.1</t>
  </si>
  <si>
    <t>CDR20291_RS01860</t>
  </si>
  <si>
    <t>WP_003435943.1</t>
  </si>
  <si>
    <t>CDR20291_RS01865</t>
  </si>
  <si>
    <t>WP_003425169.1</t>
  </si>
  <si>
    <t>CDR20291_RS01870</t>
  </si>
  <si>
    <t>PTS system mannose/fructose/N-acetylgalactosamine-transporter subunit IIB</t>
  </si>
  <si>
    <t>WP_003425168.1</t>
  </si>
  <si>
    <t>CDR20291_RS01875</t>
  </si>
  <si>
    <t>PTS mannose/fructose/sorbose/N-acetylgalactosamine transporter subunit IIC</t>
  </si>
  <si>
    <t>WP_003425166.1</t>
  </si>
  <si>
    <t>CDR20291_RS01880</t>
  </si>
  <si>
    <t>PTS system mannose/fructose/sorbose family transporter subunit IID</t>
  </si>
  <si>
    <t>WP_009888137.1</t>
  </si>
  <si>
    <t>CDR20291_RS01885</t>
  </si>
  <si>
    <t>L-2-amino-thiazoline-4-carboxylic acid hydrolase</t>
  </si>
  <si>
    <t>WP_003435938.1</t>
  </si>
  <si>
    <t>CDR20291_RS01890</t>
  </si>
  <si>
    <t>M20 family metallopeptidase</t>
  </si>
  <si>
    <t>WP_009888139.1</t>
  </si>
  <si>
    <t>CDR20291_RS01895</t>
  </si>
  <si>
    <t>DUF2185 domain-containing protein</t>
  </si>
  <si>
    <t>WP_225548972.1</t>
  </si>
  <si>
    <t>CDR20291_RS19555</t>
  </si>
  <si>
    <t>helix-turn-helix domain-containing protein</t>
  </si>
  <si>
    <t>WP_009888142.1</t>
  </si>
  <si>
    <t>CDR20291_RS01905</t>
  </si>
  <si>
    <t>PLD nuclease N-terminal domain-containing protein</t>
  </si>
  <si>
    <t>WP_009888145.1</t>
  </si>
  <si>
    <t>CDR20291_RS01910</t>
  </si>
  <si>
    <t>ABC transporter ATP-binding protein</t>
  </si>
  <si>
    <t>WP_012815987.1</t>
  </si>
  <si>
    <t>CDR20291_RS01915</t>
  </si>
  <si>
    <t>ABC transporter permease</t>
  </si>
  <si>
    <t>WP_009888149.1</t>
  </si>
  <si>
    <t>CDR20291_RS01920</t>
  </si>
  <si>
    <t>WP_003435926.1</t>
  </si>
  <si>
    <t>CDR20291_RS01925</t>
  </si>
  <si>
    <t>WP_003421054.1</t>
  </si>
  <si>
    <t>CDR20291_RS01930</t>
  </si>
  <si>
    <t>biotin synthase BioB</t>
  </si>
  <si>
    <t>bioB</t>
  </si>
  <si>
    <t>WP_009888152.1</t>
  </si>
  <si>
    <t>CDR20291_RS01935</t>
  </si>
  <si>
    <t>LacI family DNA-binding transcriptional regulator</t>
  </si>
  <si>
    <t>WP_012815988.1</t>
  </si>
  <si>
    <t>CDR20291_RS01940</t>
  </si>
  <si>
    <t>ribokinase</t>
  </si>
  <si>
    <t>rbsK</t>
  </si>
  <si>
    <t>WP_009888156.1</t>
  </si>
  <si>
    <t>CDR20291_RS01945</t>
  </si>
  <si>
    <t>substrate-binding domain-containing protein</t>
  </si>
  <si>
    <t>WP_003435917.1</t>
  </si>
  <si>
    <t>CDR20291_RS01950</t>
  </si>
  <si>
    <t>sugar ABC transporter ATP-binding protein</t>
  </si>
  <si>
    <t>WP_003435916.1</t>
  </si>
  <si>
    <t>CDR20291_RS01955</t>
  </si>
  <si>
    <t>WP_003435914.1</t>
  </si>
  <si>
    <t>CDR20291_RS01960</t>
  </si>
  <si>
    <t>WP_009892601.1</t>
  </si>
  <si>
    <t>CDR20291_RS01965</t>
  </si>
  <si>
    <t>glutamine amidotransferase</t>
  </si>
  <si>
    <t>WP_003435911.1</t>
  </si>
  <si>
    <t>CDR20291_RS01970</t>
  </si>
  <si>
    <t>WP_009888165.1</t>
  </si>
  <si>
    <t>CDR20291_RS01975</t>
  </si>
  <si>
    <t>WP_009888167.1</t>
  </si>
  <si>
    <t>CDR20291_RS01980</t>
  </si>
  <si>
    <t>TetR/AcrR family transcriptional regulator</t>
  </si>
  <si>
    <t>WP_009888168.1</t>
  </si>
  <si>
    <t>CDR20291_RS01985</t>
  </si>
  <si>
    <t>WP_009888169.1</t>
  </si>
  <si>
    <t>CDR20291_RS01990</t>
  </si>
  <si>
    <t>GNAT family N-acetyltransferase</t>
  </si>
  <si>
    <t>WP_021396434.1</t>
  </si>
  <si>
    <t>CDR20291_RS19355</t>
  </si>
  <si>
    <t>WP_021396441.1</t>
  </si>
  <si>
    <t>CDR20291_RS19360</t>
  </si>
  <si>
    <t>DUF5685 family protein</t>
  </si>
  <si>
    <t>WP_003435907.1</t>
  </si>
  <si>
    <t>CDR20291_RS02000</t>
  </si>
  <si>
    <t>WP_003425143.1</t>
  </si>
  <si>
    <t>CDR20291_RS02005</t>
  </si>
  <si>
    <t>WP_009888171.1</t>
  </si>
  <si>
    <t>CDR20291_RS02010</t>
  </si>
  <si>
    <t>WP_003421079.1</t>
  </si>
  <si>
    <t>CDR20291_RS02015</t>
  </si>
  <si>
    <t>WP_009888172.1</t>
  </si>
  <si>
    <t>CDR20291_RS02020</t>
  </si>
  <si>
    <t>WP_009888173.1</t>
  </si>
  <si>
    <t>CDR20291_RS02025</t>
  </si>
  <si>
    <t>ArsR/SmtB family transcription factor</t>
  </si>
  <si>
    <t>WP_003437587.1</t>
  </si>
  <si>
    <t>CDR20291_RS02030</t>
  </si>
  <si>
    <t>heavy metal translocating P-type ATPase</t>
  </si>
  <si>
    <t>WP_009888174.1</t>
  </si>
  <si>
    <t>CDR20291_RS02035</t>
  </si>
  <si>
    <t>CDR20291_RS02040</t>
  </si>
  <si>
    <t>CDR20291_RS02045</t>
  </si>
  <si>
    <t>CDR20291_RS02050</t>
  </si>
  <si>
    <t>DedA family protein</t>
  </si>
  <si>
    <t>WP_009888175.1</t>
  </si>
  <si>
    <t>CDR20291_RS02055</t>
  </si>
  <si>
    <t>WP_009892603.1</t>
  </si>
  <si>
    <t>CDR20291_RS02060</t>
  </si>
  <si>
    <t>WP_009888177.1</t>
  </si>
  <si>
    <t>CDR20291_RS02065</t>
  </si>
  <si>
    <t>WP_009892604.1</t>
  </si>
  <si>
    <t>CDR20291_RS02070</t>
  </si>
  <si>
    <t>sensor histidine kinase</t>
  </si>
  <si>
    <t>WP_009888178.1</t>
  </si>
  <si>
    <t>CDR20291_RS02075</t>
  </si>
  <si>
    <t>response regulator transcription factor</t>
  </si>
  <si>
    <t>WP_009888179.1</t>
  </si>
  <si>
    <t>CDR20291_RS02080</t>
  </si>
  <si>
    <t>WP_009888180.1</t>
  </si>
  <si>
    <t>CDR20291_RS02085</t>
  </si>
  <si>
    <t>AAA family ATPase</t>
  </si>
  <si>
    <t>WP_003434205.1</t>
  </si>
  <si>
    <t>CDR20291_RS02090</t>
  </si>
  <si>
    <t>WP_009888181.1</t>
  </si>
  <si>
    <t>CDR20291_RS02095</t>
  </si>
  <si>
    <t>energy-coupling factor ABC transporter permease</t>
  </si>
  <si>
    <t>WP_009888182.1</t>
  </si>
  <si>
    <t>CDR20291_RS02100</t>
  </si>
  <si>
    <t>energy-coupling factor ABC transporter substrate-binding protein</t>
  </si>
  <si>
    <t>WP_009888183.1</t>
  </si>
  <si>
    <t>CDR20291_RS02105</t>
  </si>
  <si>
    <t>cobalt ECF transporter T component CbiQ</t>
  </si>
  <si>
    <t>cbiQ</t>
  </si>
  <si>
    <t>WP_009888184.1</t>
  </si>
  <si>
    <t>CDR20291_RS02110</t>
  </si>
  <si>
    <t>energy-coupling factor ABC transporter ATP-binding protein</t>
  </si>
  <si>
    <t>WP_009888185.1</t>
  </si>
  <si>
    <t>CDR20291_RS02115</t>
  </si>
  <si>
    <t>DUF3553 domain-containing protein</t>
  </si>
  <si>
    <t>WP_009888186.1</t>
  </si>
  <si>
    <t>CDR20291_RS02120</t>
  </si>
  <si>
    <t>M18 family aminopeptidase</t>
  </si>
  <si>
    <t>WP_009888187.1</t>
  </si>
  <si>
    <t>CDR20291_RS02125</t>
  </si>
  <si>
    <t>patatin-like phospholipase family protein</t>
  </si>
  <si>
    <t>WP_009888188.1</t>
  </si>
  <si>
    <t>CDR20291_RS02130</t>
  </si>
  <si>
    <t>peptidylprolyl isomerase</t>
  </si>
  <si>
    <t>WP_003425966.1</t>
  </si>
  <si>
    <t>CDR20291_RS02135</t>
  </si>
  <si>
    <t>CDR20291_RS19085</t>
  </si>
  <si>
    <t>putative manganese-dependent inorganic diphosphatase</t>
  </si>
  <si>
    <t>WP_009888192.1</t>
  </si>
  <si>
    <t>CDR20291_RS02155</t>
  </si>
  <si>
    <t>bifunctional acetaldehyde-CoA/alcohol dehydrogenase</t>
  </si>
  <si>
    <t>adhE</t>
  </si>
  <si>
    <t>WP_009892607.1</t>
  </si>
  <si>
    <t>CDR20291_RS02160</t>
  </si>
  <si>
    <t>WP_009888193.1</t>
  </si>
  <si>
    <t>CDR20291_RS02165</t>
  </si>
  <si>
    <t>WP_009888194.1</t>
  </si>
  <si>
    <t>CDR20291_RS02170</t>
  </si>
  <si>
    <t>WP_009888195.1</t>
  </si>
  <si>
    <t>CDR20291_RS02175</t>
  </si>
  <si>
    <t>WP_009888196.1</t>
  </si>
  <si>
    <t>CDR20291_RS02180</t>
  </si>
  <si>
    <t>WP_009888197.1</t>
  </si>
  <si>
    <t>CDR20291_RS02185</t>
  </si>
  <si>
    <t>DUF4132 domain-containing protein</t>
  </si>
  <si>
    <t>WP_009888198.1</t>
  </si>
  <si>
    <t>CDR20291_RS02190</t>
  </si>
  <si>
    <t>WP_009888199.1</t>
  </si>
  <si>
    <t>CDR20291_RS02195</t>
  </si>
  <si>
    <t>WP_003427821.1</t>
  </si>
  <si>
    <t>CDR20291_RS02200</t>
  </si>
  <si>
    <t>YkgJ family cysteine cluster protein</t>
  </si>
  <si>
    <t>WP_003434835.1</t>
  </si>
  <si>
    <t>CDR20291_RS02205</t>
  </si>
  <si>
    <t>MBL fold metallo-hydrolase</t>
  </si>
  <si>
    <t>WP_009888203.1</t>
  </si>
  <si>
    <t>CDR20291_RS02210</t>
  </si>
  <si>
    <t>GTP pyrophosphokinase</t>
  </si>
  <si>
    <t>WP_003417310.1</t>
  </si>
  <si>
    <t>CDR20291_RS02215</t>
  </si>
  <si>
    <t>WP_003427805.1</t>
  </si>
  <si>
    <t>CDR20291_RS02220</t>
  </si>
  <si>
    <t>WP_009888206.1</t>
  </si>
  <si>
    <t>CDR20291_RS02225</t>
  </si>
  <si>
    <t>class I SAM-dependent methyltransferase</t>
  </si>
  <si>
    <t>WP_009888207.1</t>
  </si>
  <si>
    <t>CDR20291_RS02230</t>
  </si>
  <si>
    <t>5' nucleotidase, NT5C type</t>
  </si>
  <si>
    <t>WP_009888208.1</t>
  </si>
  <si>
    <t>CDR20291_RS02235</t>
  </si>
  <si>
    <t>WP_003427789.1</t>
  </si>
  <si>
    <t>CDR20291_RS02240</t>
  </si>
  <si>
    <t>WP_003434848.1</t>
  </si>
  <si>
    <t>CDR20291_RS02245</t>
  </si>
  <si>
    <t>D-aminoacyl-tRNA deacylase</t>
  </si>
  <si>
    <t>WP_003431421.1</t>
  </si>
  <si>
    <t>CDR20291_RS02250</t>
  </si>
  <si>
    <t>GRP family sugar transporter</t>
  </si>
  <si>
    <t>WP_003427784.1</t>
  </si>
  <si>
    <t>CDR20291_RS02255</t>
  </si>
  <si>
    <t>beta-glucoside-specific PTS transporter subunit IIABC</t>
  </si>
  <si>
    <t>WP_009892612.1</t>
  </si>
  <si>
    <t>CDR20291_RS02260</t>
  </si>
  <si>
    <t>glycoside hydrolase family 1 protein</t>
  </si>
  <si>
    <t>WP_009888214.1</t>
  </si>
  <si>
    <t>CDR20291_RS02265</t>
  </si>
  <si>
    <t>PRD domain-containing protein</t>
  </si>
  <si>
    <t>WP_009888215.1</t>
  </si>
  <si>
    <t>CDR20291_RS02270</t>
  </si>
  <si>
    <t>asparagine synthase (glutamine-hydrolyzing)</t>
  </si>
  <si>
    <t>asnB</t>
  </si>
  <si>
    <t>WP_003431411.1</t>
  </si>
  <si>
    <t>CDR20291_RS02275</t>
  </si>
  <si>
    <t>TIGR04100 family radical SAM protein</t>
  </si>
  <si>
    <t>WP_009888216.1</t>
  </si>
  <si>
    <t>CDR20291_RS02280</t>
  </si>
  <si>
    <t>TIGR04002 family protein</t>
  </si>
  <si>
    <t>WP_009888217.1</t>
  </si>
  <si>
    <t>CDR20291_RS02285</t>
  </si>
  <si>
    <t>D-2-hydroxyacid dehydrogenase</t>
  </si>
  <si>
    <t>WP_003431407.1</t>
  </si>
  <si>
    <t>CDR20291_RS02290</t>
  </si>
  <si>
    <t>isocaprenoyl-CoA:2-hydroxyisocaproate CoA-transferase HadA</t>
  </si>
  <si>
    <t>hadA</t>
  </si>
  <si>
    <t>WP_003427766.1</t>
  </si>
  <si>
    <t>CDR20291_RS02295</t>
  </si>
  <si>
    <t>2-hydroxyisocaproyl-CoA dehydratase activator HadI</t>
  </si>
  <si>
    <t>hadI</t>
  </si>
  <si>
    <t>WP_009888223.1</t>
  </si>
  <si>
    <t>CDR20291_RS02300</t>
  </si>
  <si>
    <t>(R)-2-hydroxyisocaproyl-CoA dehydratase subunit HadB</t>
  </si>
  <si>
    <t>hadB</t>
  </si>
  <si>
    <t>WP_009888224.1</t>
  </si>
  <si>
    <t>CDR20291_RS02305</t>
  </si>
  <si>
    <t>(R)-2-hydroxyisocaproyl-CoA dehydratase subunit beta</t>
  </si>
  <si>
    <t>hadC</t>
  </si>
  <si>
    <t>WP_009888226.1</t>
  </si>
  <si>
    <t>CDR20291_RS02310</t>
  </si>
  <si>
    <t>putative isocaproyl-CoA dehydrogenase AcdB</t>
  </si>
  <si>
    <t>acdB</t>
  </si>
  <si>
    <t>WP_003427762.1</t>
  </si>
  <si>
    <t>CDR20291_RS02315</t>
  </si>
  <si>
    <t>electron transfer flavoprotein subunit beta</t>
  </si>
  <si>
    <t>etfB</t>
  </si>
  <si>
    <t>WP_003427760.1</t>
  </si>
  <si>
    <t>CDR20291_RS02320</t>
  </si>
  <si>
    <t>electron transfer flavoprotein subunit alpha/FixB family protein</t>
  </si>
  <si>
    <t>WP_003417347.1</t>
  </si>
  <si>
    <t>CDR20291_RS02325</t>
  </si>
  <si>
    <t>WP_003434571.1</t>
  </si>
  <si>
    <t>CDR20291_RS02330</t>
  </si>
  <si>
    <t>class II fructose-1,6-bisphosphate aldolase</t>
  </si>
  <si>
    <t>fba</t>
  </si>
  <si>
    <t>WP_003417352.1</t>
  </si>
  <si>
    <t>CDR20291_RS02335</t>
  </si>
  <si>
    <t>DUF1904 domain-containing protein</t>
  </si>
  <si>
    <t>WP_009888230.1</t>
  </si>
  <si>
    <t>CDR20291_RS02340</t>
  </si>
  <si>
    <t>CDR20291_RS02345</t>
  </si>
  <si>
    <t>IS200/IS605 family element RNA-guided endonuclease TnpB</t>
  </si>
  <si>
    <t>tnpB</t>
  </si>
  <si>
    <t>WP_012815995.1</t>
  </si>
  <si>
    <t>CDR20291_RS02350</t>
  </si>
  <si>
    <t>CDR20291_RS02355</t>
  </si>
  <si>
    <t>23S rRNA (uracil(1939)-C(5))-methyltransferase RlmD</t>
  </si>
  <si>
    <t>rlmD</t>
  </si>
  <si>
    <t>WP_012815996.1</t>
  </si>
  <si>
    <t>CDR20291_RS02360</t>
  </si>
  <si>
    <t>WP_009888267.1</t>
  </si>
  <si>
    <t>CDR20291_RS02365</t>
  </si>
  <si>
    <t>YHYH domain-containing protein</t>
  </si>
  <si>
    <t>WP_009888268.1</t>
  </si>
  <si>
    <t>CDR20291_RS02370</t>
  </si>
  <si>
    <t>DUF4236 domain-containing protein</t>
  </si>
  <si>
    <t>WP_003426228.1</t>
  </si>
  <si>
    <t>CDR20291_RS02375</t>
  </si>
  <si>
    <t>cell wall-binding protein Cwp27</t>
  </si>
  <si>
    <t>WP_009888269.1</t>
  </si>
  <si>
    <t>CDR20291_RS02380</t>
  </si>
  <si>
    <t>IS3 family transposase</t>
  </si>
  <si>
    <t>WP_009892621.1</t>
  </si>
  <si>
    <t>CDR20291_RS02385</t>
  </si>
  <si>
    <t>WP_009892623.1</t>
  </si>
  <si>
    <t>CDR20291_RS02390</t>
  </si>
  <si>
    <t>WP_012815997.1</t>
  </si>
  <si>
    <t>CDR20291_RS02395</t>
  </si>
  <si>
    <t>2,4-diaminopentanoate dehydrogenase</t>
  </si>
  <si>
    <t>ord</t>
  </si>
  <si>
    <t>WP_009888271.1</t>
  </si>
  <si>
    <t>CDR20291_RS02400</t>
  </si>
  <si>
    <t>2-amino-4-oxopentanoate thiolase subunit OrtA</t>
  </si>
  <si>
    <t>ortA</t>
  </si>
  <si>
    <t>WP_009888272.1</t>
  </si>
  <si>
    <t>CDR20291_RS02405</t>
  </si>
  <si>
    <t>2-amino-4-oxopentanoate thiolase subunit OrtB</t>
  </si>
  <si>
    <t>ortB</t>
  </si>
  <si>
    <t>WP_009888273.1</t>
  </si>
  <si>
    <t>CDR20291_RS02410</t>
  </si>
  <si>
    <t>ornithine aminomutase subunit alpha</t>
  </si>
  <si>
    <t>WP_009888274.1</t>
  </si>
  <si>
    <t>CDR20291_RS02415</t>
  </si>
  <si>
    <t>D-ornithine 4,5-aminomutase subunit OraE</t>
  </si>
  <si>
    <t>oraE</t>
  </si>
  <si>
    <t>WP_009892628.1</t>
  </si>
  <si>
    <t>CDR20291_RS02420</t>
  </si>
  <si>
    <t>GlmL-related ornithine degradation protein</t>
  </si>
  <si>
    <t>WP_009888276.1</t>
  </si>
  <si>
    <t>CDR20291_RS02425</t>
  </si>
  <si>
    <t>ornithine racemase Orr</t>
  </si>
  <si>
    <t>orr</t>
  </si>
  <si>
    <t>WP_009888277.1</t>
  </si>
  <si>
    <t>CDR20291_RS02430</t>
  </si>
  <si>
    <t>Na+/H+ antiporter NhaC</t>
  </si>
  <si>
    <t>nhaC</t>
  </si>
  <si>
    <t>WP_003426252.1</t>
  </si>
  <si>
    <t>CDR20291_RS02435</t>
  </si>
  <si>
    <t>GyrI-like domain-containing protein</t>
  </si>
  <si>
    <t>WP_003434676.1</t>
  </si>
  <si>
    <t>CDR20291_RS02440</t>
  </si>
  <si>
    <t>WP_003434678.1</t>
  </si>
  <si>
    <t>CDR20291_RS02445</t>
  </si>
  <si>
    <t>helix-turn-helix transcriptional regulator</t>
  </si>
  <si>
    <t>WP_009888278.1</t>
  </si>
  <si>
    <t>CDR20291_RS02450</t>
  </si>
  <si>
    <t>HelD family protein</t>
  </si>
  <si>
    <t>WP_009888279.1</t>
  </si>
  <si>
    <t>CDR20291_RS02455</t>
  </si>
  <si>
    <t>WP_009892632.1</t>
  </si>
  <si>
    <t>CDR20291_RS02460</t>
  </si>
  <si>
    <t>WP_009888280.1</t>
  </si>
  <si>
    <t>CDR20291_RS02465</t>
  </si>
  <si>
    <t>CDD family class D beta-lactamase</t>
  </si>
  <si>
    <t>blaCDD</t>
  </si>
  <si>
    <t>WP_009888281.1</t>
  </si>
  <si>
    <t>CDR20291_RS02470</t>
  </si>
  <si>
    <t>WP_009888282.1</t>
  </si>
  <si>
    <t>CDR20291_RS02475</t>
  </si>
  <si>
    <t>WP_009888283.1</t>
  </si>
  <si>
    <t>CDR20291_RS02480</t>
  </si>
  <si>
    <t>WP_009888284.1</t>
  </si>
  <si>
    <t>CDR20291_RS02485</t>
  </si>
  <si>
    <t>WP_009888287.1</t>
  </si>
  <si>
    <t>CDR20291_RS02490</t>
  </si>
  <si>
    <t>WP_009888290.1</t>
  </si>
  <si>
    <t>CDR20291_RS02495</t>
  </si>
  <si>
    <t>CDR20291_RS02500</t>
  </si>
  <si>
    <t>CDR20291_RS02505</t>
  </si>
  <si>
    <t>WP_009888296.1</t>
  </si>
  <si>
    <t>CDR20291_RS19465</t>
  </si>
  <si>
    <t>WP_009888297.1</t>
  </si>
  <si>
    <t>CDR20291_RS02515</t>
  </si>
  <si>
    <t>MurR/RpiR family transcriptional regulator</t>
  </si>
  <si>
    <t>WP_009888298.1</t>
  </si>
  <si>
    <t>CDR20291_RS02520</t>
  </si>
  <si>
    <t>WP_009888299.1</t>
  </si>
  <si>
    <t>CDR20291_RS02525</t>
  </si>
  <si>
    <t>Cof-type HAD-IIB family hydrolase</t>
  </si>
  <si>
    <t>WP_012816000.1</t>
  </si>
  <si>
    <t>CDR20291_RS02530</t>
  </si>
  <si>
    <t>alpha-glucosidase</t>
  </si>
  <si>
    <t>WP_009888301.1</t>
  </si>
  <si>
    <t>CDR20291_RS02535</t>
  </si>
  <si>
    <t>PTS beta-glucoside transporter subunit IIBCA</t>
  </si>
  <si>
    <t>WP_009888302.1</t>
  </si>
  <si>
    <t>CDR20291_RS02540</t>
  </si>
  <si>
    <t>BlaR1 family beta-lactam sensor/signal transducer</t>
  </si>
  <si>
    <t>WP_009892638.1</t>
  </si>
  <si>
    <t>CDR20291_RS02545</t>
  </si>
  <si>
    <t>BlaI/MecI/CopY family transcriptional regulator</t>
  </si>
  <si>
    <t>WP_003417583.1</t>
  </si>
  <si>
    <t>CDR20291_RS02550</t>
  </si>
  <si>
    <t>flavodoxin family protein</t>
  </si>
  <si>
    <t>WP_003434723.1</t>
  </si>
  <si>
    <t>CDR20291_RS02555</t>
  </si>
  <si>
    <t>MarR family winged helix-turn-helix transcriptional regulator</t>
  </si>
  <si>
    <t>WP_009888305.1</t>
  </si>
  <si>
    <t>CDR20291_RS02560</t>
  </si>
  <si>
    <t>EFR1 family ferrodoxin</t>
  </si>
  <si>
    <t>WP_009892640.1</t>
  </si>
  <si>
    <t>CDR20291_RS02565</t>
  </si>
  <si>
    <t>uracil-DNA glycosylase family protein</t>
  </si>
  <si>
    <t>WP_009888308.1</t>
  </si>
  <si>
    <t>CDR20291_RS02570</t>
  </si>
  <si>
    <t>WP_009888309.1</t>
  </si>
  <si>
    <t>CDR20291_RS02575</t>
  </si>
  <si>
    <t>WP_009888310.1</t>
  </si>
  <si>
    <t>CDR20291_RS02580</t>
  </si>
  <si>
    <t>lantibiotic protection ABC transporter ATP-binding protein</t>
  </si>
  <si>
    <t>WP_009892642.1</t>
  </si>
  <si>
    <t>CDR20291_RS02585</t>
  </si>
  <si>
    <t>lantibiotic immunity ABC transporter MutE/EpiE family permease subunit</t>
  </si>
  <si>
    <t>WP_009888312.1</t>
  </si>
  <si>
    <t>CDR20291_RS02590</t>
  </si>
  <si>
    <t>lantibiotic immunity ABC transporter MutG family permease subunit</t>
  </si>
  <si>
    <t>WP_003434743.1</t>
  </si>
  <si>
    <t>CDR20291_RS02595</t>
  </si>
  <si>
    <t>WP_003434748.1</t>
  </si>
  <si>
    <t>CDR20291_RS02600</t>
  </si>
  <si>
    <t>HAMP domain-containing histidine kinase</t>
  </si>
  <si>
    <t>WP_330360524.1</t>
  </si>
  <si>
    <t>CDR20291_RS02605</t>
  </si>
  <si>
    <t>WP_009892647.1</t>
  </si>
  <si>
    <t>CDR20291_RS02610</t>
  </si>
  <si>
    <t>WP_009888313.1</t>
  </si>
  <si>
    <t>CDR20291_RS02615</t>
  </si>
  <si>
    <t>CDP-alcohol phosphatidyltransferase family protein</t>
  </si>
  <si>
    <t>WP_009888314.1</t>
  </si>
  <si>
    <t>CDR20291_RS02620</t>
  </si>
  <si>
    <t>WP_009892649.1</t>
  </si>
  <si>
    <t>CDR20291_RS02625</t>
  </si>
  <si>
    <t>WP_009888315.1</t>
  </si>
  <si>
    <t>CDR20291_RS02630</t>
  </si>
  <si>
    <t>carbon-nitrogen hydrolase family protein</t>
  </si>
  <si>
    <t>WP_009888316.1</t>
  </si>
  <si>
    <t>CDR20291_RS02635</t>
  </si>
  <si>
    <t>quaternary ammonium compound efflux SMR transporter SugE</t>
  </si>
  <si>
    <t>sugE</t>
  </si>
  <si>
    <t>WP_003417824.1</t>
  </si>
  <si>
    <t>CDR20291_RS02640</t>
  </si>
  <si>
    <t>WP_003426355.1</t>
  </si>
  <si>
    <t>CDR20291_RS02645</t>
  </si>
  <si>
    <t>galactitol-1-phosphate 5-dehydrogenase</t>
  </si>
  <si>
    <t>WP_009888318.1</t>
  </si>
  <si>
    <t>CDR20291_RS02650</t>
  </si>
  <si>
    <t>WP_009892652.1</t>
  </si>
  <si>
    <t>CDR20291_RS02655</t>
  </si>
  <si>
    <t>WP_009888320.1</t>
  </si>
  <si>
    <t>CDR20291_RS02660</t>
  </si>
  <si>
    <t>WP_003417833.1</t>
  </si>
  <si>
    <t>CDR20291_RS02665</t>
  </si>
  <si>
    <t>WP_003434804.1</t>
  </si>
  <si>
    <t>CDR20291_RS02670</t>
  </si>
  <si>
    <t>WP_009888321.1</t>
  </si>
  <si>
    <t>CDR20291_RS02675</t>
  </si>
  <si>
    <t>WP_009888322.1</t>
  </si>
  <si>
    <t>CDR20291_RS02680</t>
  </si>
  <si>
    <t>CDR20291_RS19560</t>
  </si>
  <si>
    <t>WP_414837219.1</t>
  </si>
  <si>
    <t>CDR20291_RS19565</t>
  </si>
  <si>
    <t>D-alanyl-D-alanine carboxypeptidase family protein</t>
  </si>
  <si>
    <t>WP_012816006.1</t>
  </si>
  <si>
    <t>CDR20291_RS02690</t>
  </si>
  <si>
    <t>WP_009892658.1</t>
  </si>
  <si>
    <t>CDR20291_RS02695</t>
  </si>
  <si>
    <t>threonine/serine exporter family protein</t>
  </si>
  <si>
    <t>WP_009888325.1</t>
  </si>
  <si>
    <t>CDR20291_RS02700</t>
  </si>
  <si>
    <t>WP_003425056.1</t>
  </si>
  <si>
    <t>CDR20291_RS02705</t>
  </si>
  <si>
    <t>WP_003417856.1</t>
  </si>
  <si>
    <t>CDR20291_RS02710</t>
  </si>
  <si>
    <t>DUF4118 domain-containing protein</t>
  </si>
  <si>
    <t>WP_003439079.1</t>
  </si>
  <si>
    <t>CDR20291_RS02715</t>
  </si>
  <si>
    <t>response regulator</t>
  </si>
  <si>
    <t>WP_003439080.1</t>
  </si>
  <si>
    <t>CDR20291_RS02720</t>
  </si>
  <si>
    <t>WP_009888326.1</t>
  </si>
  <si>
    <t>CDR20291_RS02725</t>
  </si>
  <si>
    <t>bifunctional diguanylate cyclase/phosphodiesterase</t>
  </si>
  <si>
    <t>WP_009892660.1</t>
  </si>
  <si>
    <t>CDR20291_RS02730</t>
  </si>
  <si>
    <t>transcriptional regulator</t>
  </si>
  <si>
    <t>WP_003425064.1</t>
  </si>
  <si>
    <t>CDR20291_RS02735</t>
  </si>
  <si>
    <t>M20/M25/M40 family metallo-hydrolase</t>
  </si>
  <si>
    <t>WP_009888327.1</t>
  </si>
  <si>
    <t>CDR20291_RS02740</t>
  </si>
  <si>
    <t>AbgT family transporter</t>
  </si>
  <si>
    <t>WP_003439088.1</t>
  </si>
  <si>
    <t>CDR20291_RS02745</t>
  </si>
  <si>
    <t>WP_009888328.1</t>
  </si>
  <si>
    <t>CDR20291_RS02750</t>
  </si>
  <si>
    <t>WP_009888329.1</t>
  </si>
  <si>
    <t>CDR20291_RS02755</t>
  </si>
  <si>
    <t>WP_003417884.1</t>
  </si>
  <si>
    <t>CDR20291_RS02760</t>
  </si>
  <si>
    <t>DUF3100 domain-containing protein</t>
  </si>
  <si>
    <t>WP_003439094.1</t>
  </si>
  <si>
    <t>CDR20291_RS02765</t>
  </si>
  <si>
    <t>WP_003439096.1</t>
  </si>
  <si>
    <t>CDR20291_RS02770</t>
  </si>
  <si>
    <t>WP_009888330.1</t>
  </si>
  <si>
    <t>CDR20291_RS02775</t>
  </si>
  <si>
    <t>WP_003425081.1</t>
  </si>
  <si>
    <t>CDR20291_RS02780</t>
  </si>
  <si>
    <t>chemotaxis protein CheC</t>
  </si>
  <si>
    <t>WP_225544781.1</t>
  </si>
  <si>
    <t>CDR20291_RS02785</t>
  </si>
  <si>
    <t>chemotaxis protein CheD</t>
  </si>
  <si>
    <t>WP_003425085.1</t>
  </si>
  <si>
    <t>CDR20291_RS02790</t>
  </si>
  <si>
    <t>chemotaxis protein CheW</t>
  </si>
  <si>
    <t>WP_009888332.1</t>
  </si>
  <si>
    <t>CDR20291_RS02795</t>
  </si>
  <si>
    <t>diguanylate cyclase</t>
  </si>
  <si>
    <t>WP_009892662.1</t>
  </si>
  <si>
    <t>CDR20291_RS02800</t>
  </si>
  <si>
    <t>HAMP domain-containing methyl-accepting chemotaxis protein</t>
  </si>
  <si>
    <t>WP_009888334.1</t>
  </si>
  <si>
    <t>CDR20291_RS02805</t>
  </si>
  <si>
    <t>chemotaxis protein CheA</t>
  </si>
  <si>
    <t>WP_021419288.1</t>
  </si>
  <si>
    <t>CDR20291_RS02810</t>
  </si>
  <si>
    <t>WP_003439104.1</t>
  </si>
  <si>
    <t>CDR20291_RS02815</t>
  </si>
  <si>
    <t>CheR family methyltransferase</t>
  </si>
  <si>
    <t>WP_009888336.1</t>
  </si>
  <si>
    <t>CDR20291_RS02820</t>
  </si>
  <si>
    <t>CheB methylesterase domain-containing protein</t>
  </si>
  <si>
    <t>WP_009888337.1</t>
  </si>
  <si>
    <t>CDR20291_RS02825</t>
  </si>
  <si>
    <t>DUF3298 and DUF4163 domain-containing protein</t>
  </si>
  <si>
    <t>WP_003439108.1</t>
  </si>
  <si>
    <t>CDR20291_RS02830</t>
  </si>
  <si>
    <t>ornithine cyclodeaminase family protein</t>
  </si>
  <si>
    <t>WP_009888338.1</t>
  </si>
  <si>
    <t>CDR20291_RS02835</t>
  </si>
  <si>
    <t>lipoprotein</t>
  </si>
  <si>
    <t>WP_003439113.1</t>
  </si>
  <si>
    <t>CDR20291_RS02840</t>
  </si>
  <si>
    <t>DUF975 family protein</t>
  </si>
  <si>
    <t>WP_009888339.1</t>
  </si>
  <si>
    <t>CDR20291_RS02845</t>
  </si>
  <si>
    <t>WP_009888340.1</t>
  </si>
  <si>
    <t>CDR20291_RS02850</t>
  </si>
  <si>
    <t>WP_009888341.1</t>
  </si>
  <si>
    <t>CDR20291_RS02855</t>
  </si>
  <si>
    <t>WP_009888342.1</t>
  </si>
  <si>
    <t>CDR20291_RS02860</t>
  </si>
  <si>
    <t>WP_003425116.1</t>
  </si>
  <si>
    <t>CDR20291_RS02865</t>
  </si>
  <si>
    <t>spore cortex-lytic germination protein SleC</t>
  </si>
  <si>
    <t>sleC</t>
  </si>
  <si>
    <t>WP_009888343.1</t>
  </si>
  <si>
    <t>CDR20291_RS02870</t>
  </si>
  <si>
    <t>PrsW family intramembrane metalloprotease</t>
  </si>
  <si>
    <t>WP_003425122.1</t>
  </si>
  <si>
    <t>CDR20291_RS02875</t>
  </si>
  <si>
    <t>RsmF rRNA methyltransferase first C-terminal domain-containing protein</t>
  </si>
  <si>
    <t>WP_003436985.1</t>
  </si>
  <si>
    <t>CDR20291_RS02880</t>
  </si>
  <si>
    <t>signal peptidase I</t>
  </si>
  <si>
    <t>lepB</t>
  </si>
  <si>
    <t>WP_003425127.1</t>
  </si>
  <si>
    <t>CDR20291_RS02885</t>
  </si>
  <si>
    <t>WP_003425129.1</t>
  </si>
  <si>
    <t>CDR20291_RS02890</t>
  </si>
  <si>
    <t>sugar phosphate isomerase/epimerase family protein</t>
  </si>
  <si>
    <t>WP_009888346.1</t>
  </si>
  <si>
    <t>CDR20291_RS02895</t>
  </si>
  <si>
    <t>nucleoside kinase</t>
  </si>
  <si>
    <t>WP_009888347.1</t>
  </si>
  <si>
    <t>CDR20291_RS02900</t>
  </si>
  <si>
    <t>glutaminase A</t>
  </si>
  <si>
    <t>glsA</t>
  </si>
  <si>
    <t>WP_003417962.1</t>
  </si>
  <si>
    <t>CDR20291_RS02905</t>
  </si>
  <si>
    <t>WP_003417965.1</t>
  </si>
  <si>
    <t>CDR20291_RS02910</t>
  </si>
  <si>
    <t>deoxyribonuclease IV</t>
  </si>
  <si>
    <t>WP_009888348.1</t>
  </si>
  <si>
    <t>CDR20291_RS02915</t>
  </si>
  <si>
    <t>aldo/keto reductase</t>
  </si>
  <si>
    <t>WP_009888349.1</t>
  </si>
  <si>
    <t>CDR20291_RS02920</t>
  </si>
  <si>
    <t>RusA family crossover junction endodeoxyribonuclease</t>
  </si>
  <si>
    <t>WP_009888350.1</t>
  </si>
  <si>
    <t>CDR20291_RS02925</t>
  </si>
  <si>
    <t>tRNA epoxyqueuosine(34) reductase QueG</t>
  </si>
  <si>
    <t>queG</t>
  </si>
  <si>
    <t>WP_009888351.1</t>
  </si>
  <si>
    <t>CDR20291_RS02930</t>
  </si>
  <si>
    <t>WP_009888352.1</t>
  </si>
  <si>
    <t>CDR20291_RS02935</t>
  </si>
  <si>
    <t>endonuclease III</t>
  </si>
  <si>
    <t>nth</t>
  </si>
  <si>
    <t>WP_009888353.1</t>
  </si>
  <si>
    <t>CDR20291_RS02940</t>
  </si>
  <si>
    <t>tRNA (uridine(34)/cytosine(34)/5-carboxymethylaminomethyluridine(34)-2'-O)-methyltransferase TrmL</t>
  </si>
  <si>
    <t>trmL</t>
  </si>
  <si>
    <t>WP_003429657.1</t>
  </si>
  <si>
    <t>CDR20291_RS02945</t>
  </si>
  <si>
    <t>DegV family protein</t>
  </si>
  <si>
    <t>WP_009888355.1</t>
  </si>
  <si>
    <t>CDR20291_RS02950</t>
  </si>
  <si>
    <t>BMP family ABC transporter substrate-binding protein</t>
  </si>
  <si>
    <t>WP_009892666.1</t>
  </si>
  <si>
    <t>CDR20291_RS02955</t>
  </si>
  <si>
    <t>WP_009888358.1</t>
  </si>
  <si>
    <t>CDR20291_RS02960</t>
  </si>
  <si>
    <t>DUF6873 family GME fold protein</t>
  </si>
  <si>
    <t>WP_003439005.1</t>
  </si>
  <si>
    <t>CDR20291_RS02965</t>
  </si>
  <si>
    <t>putative sporulation protein YtxC</t>
  </si>
  <si>
    <t>WP_003417993.1</t>
  </si>
  <si>
    <t>CDR20291_RS02970</t>
  </si>
  <si>
    <t>DUF445 domain-containing protein</t>
  </si>
  <si>
    <t>WP_003439009.1</t>
  </si>
  <si>
    <t>CDR20291_RS02975</t>
  </si>
  <si>
    <t>threonine--tRNA ligase</t>
  </si>
  <si>
    <t>thrS</t>
  </si>
  <si>
    <t>WP_009888359.1</t>
  </si>
  <si>
    <t>CDR20291_RS02980</t>
  </si>
  <si>
    <t>CDR20291_RS02985</t>
  </si>
  <si>
    <t>CDR20291_RS02990</t>
  </si>
  <si>
    <t>WP_012816012.1</t>
  </si>
  <si>
    <t>CDR20291_RS02995</t>
  </si>
  <si>
    <t>PD-(D/E)XK nuclease family transposase</t>
  </si>
  <si>
    <t>WP_014466358.1</t>
  </si>
  <si>
    <t>CDR20291_RS03000</t>
  </si>
  <si>
    <t>DUF4097 family beta strand repeat-containing protein</t>
  </si>
  <si>
    <t>WP_009888362.1</t>
  </si>
  <si>
    <t>CDR20291_RS03005</t>
  </si>
  <si>
    <t>permease prefix domain 1-containing protein</t>
  </si>
  <si>
    <t>WP_009888364.1</t>
  </si>
  <si>
    <t>CDR20291_RS03010</t>
  </si>
  <si>
    <t>PadR family transcriptional regulator</t>
  </si>
  <si>
    <t>WP_009888365.1</t>
  </si>
  <si>
    <t>CDR20291_RS03015</t>
  </si>
  <si>
    <t>WP_009888366.1</t>
  </si>
  <si>
    <t>CDR20291_RS03020</t>
  </si>
  <si>
    <t>hydrolase</t>
  </si>
  <si>
    <t>WP_009888368.1</t>
  </si>
  <si>
    <t>CDR20291_RS03025</t>
  </si>
  <si>
    <t>WP_009888369.1</t>
  </si>
  <si>
    <t>CDR20291_RS03030</t>
  </si>
  <si>
    <t>WP_009888370.1</t>
  </si>
  <si>
    <t>CDR20291_RS03035</t>
  </si>
  <si>
    <t>NADP-dependent glyceraldehyde-3-phosphate dehydrogenase</t>
  </si>
  <si>
    <t>WP_009888371.1</t>
  </si>
  <si>
    <t>CDR20291_RS03040</t>
  </si>
  <si>
    <t>WP_003429639.1</t>
  </si>
  <si>
    <t>CDR20291_RS03045</t>
  </si>
  <si>
    <t>PEP/pyruvate-binding domain-containing protein</t>
  </si>
  <si>
    <t>WP_009888372.1</t>
  </si>
  <si>
    <t>CDR20291_RS03050</t>
  </si>
  <si>
    <t>EAL domain-containing protein</t>
  </si>
  <si>
    <t>WP_009888374.1</t>
  </si>
  <si>
    <t>CDR20291_RS19100</t>
  </si>
  <si>
    <t>WP_009888375.1</t>
  </si>
  <si>
    <t>CDR20291_RS19105</t>
  </si>
  <si>
    <t>WP_009888376.1</t>
  </si>
  <si>
    <t>CDR20291_RS03060</t>
  </si>
  <si>
    <t>WP_003429630.1</t>
  </si>
  <si>
    <t>CDR20291_RS03065</t>
  </si>
  <si>
    <t>GTPase</t>
  </si>
  <si>
    <t>WP_009888378.1</t>
  </si>
  <si>
    <t>CDR20291_RS03070</t>
  </si>
  <si>
    <t>CDR20291_RS03075</t>
  </si>
  <si>
    <t>WP_009888381.1</t>
  </si>
  <si>
    <t>CDR20291_RS03080</t>
  </si>
  <si>
    <t>WP_009888382.1</t>
  </si>
  <si>
    <t>CDR20291_RS03085</t>
  </si>
  <si>
    <t>WP_009888383.1</t>
  </si>
  <si>
    <t>CDR20291_RS03090</t>
  </si>
  <si>
    <t>DUF6110 family protein</t>
  </si>
  <si>
    <t>WP_009892678.1</t>
  </si>
  <si>
    <t>CDR20291_RS03095</t>
  </si>
  <si>
    <t>WP_003438914.1</t>
  </si>
  <si>
    <t>CDR20291_RS03100</t>
  </si>
  <si>
    <t>WP_009888386.1</t>
  </si>
  <si>
    <t>CDR20291_RS03105</t>
  </si>
  <si>
    <t>phosphoadenosine phosphosulfate reductase</t>
  </si>
  <si>
    <t>WP_009888387.1</t>
  </si>
  <si>
    <t>CDR20291_RS03110</t>
  </si>
  <si>
    <t>IbrB-like domain-containing protein</t>
  </si>
  <si>
    <t>WP_009888388.1</t>
  </si>
  <si>
    <t>CDR20291_RS03115</t>
  </si>
  <si>
    <t>spore coat associated protein CotJA</t>
  </si>
  <si>
    <t>WP_009888389.1</t>
  </si>
  <si>
    <t>CDR20291_RS03120</t>
  </si>
  <si>
    <t>spore coat protein CotJB</t>
  </si>
  <si>
    <t>WP_009888390.1</t>
  </si>
  <si>
    <t>CDR20291_RS03125</t>
  </si>
  <si>
    <t>manganese catalase family protein</t>
  </si>
  <si>
    <t>WP_003418062.1</t>
  </si>
  <si>
    <t>CDR20291_RS03130</t>
  </si>
  <si>
    <t>methylated-DNA--[protein]-cysteine S-methyltransferase</t>
  </si>
  <si>
    <t>WP_009888391.1</t>
  </si>
  <si>
    <t>CDR20291_RS03135</t>
  </si>
  <si>
    <t>WP_009888392.1</t>
  </si>
  <si>
    <t>CDR20291_RS03140</t>
  </si>
  <si>
    <t>plasmid stabilization protein</t>
  </si>
  <si>
    <t>WP_009892682.1</t>
  </si>
  <si>
    <t>CDR20291_RS03145</t>
  </si>
  <si>
    <t>DUF3795 domain-containing protein</t>
  </si>
  <si>
    <t>WP_009888395.1</t>
  </si>
  <si>
    <t>CDR20291_RS03150</t>
  </si>
  <si>
    <t>GrpB family protein</t>
  </si>
  <si>
    <t>WP_009888396.1</t>
  </si>
  <si>
    <t>CDR20291_RS03155</t>
  </si>
  <si>
    <t>chloride channel protein</t>
  </si>
  <si>
    <t>WP_021366210.1</t>
  </si>
  <si>
    <t>CDR20291_RS03160</t>
  </si>
  <si>
    <t>WP_009888399.1</t>
  </si>
  <si>
    <t>CDR20291_RS03165</t>
  </si>
  <si>
    <t>WP_009900889.1</t>
  </si>
  <si>
    <t>CDR20291_RS03170</t>
  </si>
  <si>
    <t>WP_009888401.1</t>
  </si>
  <si>
    <t>CDR20291_RS03175</t>
  </si>
  <si>
    <t>WP_009888403.1</t>
  </si>
  <si>
    <t>CDR20291_RS03180</t>
  </si>
  <si>
    <t>WP_009888404.1</t>
  </si>
  <si>
    <t>CDR20291_RS19110</t>
  </si>
  <si>
    <t>WP_009888406.1</t>
  </si>
  <si>
    <t>CDR20291_RS03190</t>
  </si>
  <si>
    <t>FtsX-like permease family protein</t>
  </si>
  <si>
    <t>WP_009888407.1</t>
  </si>
  <si>
    <t>CDR20291_RS03195</t>
  </si>
  <si>
    <t>WP_009888408.1</t>
  </si>
  <si>
    <t>CDR20291_RS03200</t>
  </si>
  <si>
    <t>WP_003429517.1</t>
  </si>
  <si>
    <t>CDR20291_RS03205</t>
  </si>
  <si>
    <t>WP_009888409.1</t>
  </si>
  <si>
    <t>CDR20291_RS03210</t>
  </si>
  <si>
    <t>MerR family transcriptional regulator</t>
  </si>
  <si>
    <t>WP_009888410.1</t>
  </si>
  <si>
    <t>CDR20291_RS03215</t>
  </si>
  <si>
    <t>type II CAAX prenyl endopeptidase Rce1 family protein</t>
  </si>
  <si>
    <t>WP_009888411.1</t>
  </si>
  <si>
    <t>CDR20291_RS03220</t>
  </si>
  <si>
    <t>LytTR family DNA-binding domain-containing protein</t>
  </si>
  <si>
    <t>WP_003437661.1</t>
  </si>
  <si>
    <t>CDR20291_RS03225</t>
  </si>
  <si>
    <t>YvrJ family protein</t>
  </si>
  <si>
    <t>WP_003429511.1</t>
  </si>
  <si>
    <t>CDR20291_RS03230</t>
  </si>
  <si>
    <t>DUF2922 domain-containing protein</t>
  </si>
  <si>
    <t>WP_003437662.1</t>
  </si>
  <si>
    <t>CDR20291_RS03235</t>
  </si>
  <si>
    <t>DUF1659 domain-containing protein</t>
  </si>
  <si>
    <t>WP_003437342.1</t>
  </si>
  <si>
    <t>CDR20291_RS03240</t>
  </si>
  <si>
    <t>Mor transcription activator family protein</t>
  </si>
  <si>
    <t>WP_003437357.1</t>
  </si>
  <si>
    <t>CDR20291_RS03245</t>
  </si>
  <si>
    <t>conserved phage C-terminal domain-containing protein</t>
  </si>
  <si>
    <t>WP_009888414.1</t>
  </si>
  <si>
    <t>CDR20291_RS03250</t>
  </si>
  <si>
    <t>replicative DNA helicase</t>
  </si>
  <si>
    <t>WP_003437698.1</t>
  </si>
  <si>
    <t>CDR20291_RS03255</t>
  </si>
  <si>
    <t>WP_009888415.1</t>
  </si>
  <si>
    <t>CDR20291_RS03260</t>
  </si>
  <si>
    <t>WP_003418105.1</t>
  </si>
  <si>
    <t>CDR20291_RS03265</t>
  </si>
  <si>
    <t>WP_009888416.1</t>
  </si>
  <si>
    <t>CDR20291_RS03270</t>
  </si>
  <si>
    <t>WP_009888417.1</t>
  </si>
  <si>
    <t>CDR20291_RS03275</t>
  </si>
  <si>
    <t>WP_009888418.1</t>
  </si>
  <si>
    <t>CDR20291_RS03280</t>
  </si>
  <si>
    <t>WP_009888419.1</t>
  </si>
  <si>
    <t>CDR20291_RS03285</t>
  </si>
  <si>
    <t>WP_009888420.1</t>
  </si>
  <si>
    <t>CDR20291_RS03290</t>
  </si>
  <si>
    <t>WP_104732835.1</t>
  </si>
  <si>
    <t>CDR20291_RS03295</t>
  </si>
  <si>
    <t>DNA alkylation repair protein</t>
  </si>
  <si>
    <t>WP_009892706.1</t>
  </si>
  <si>
    <t>CDR20291_RS03300</t>
  </si>
  <si>
    <t>nuclear transport factor 2 family protein</t>
  </si>
  <si>
    <t>WP_009888421.1</t>
  </si>
  <si>
    <t>CDR20291_RS03305</t>
  </si>
  <si>
    <t>alpha/beta fold hydrolase</t>
  </si>
  <si>
    <t>WP_009888422.1</t>
  </si>
  <si>
    <t>CDR20291_RS03310</t>
  </si>
  <si>
    <t>SPL family radical SAM protein</t>
  </si>
  <si>
    <t>WP_009892708.1</t>
  </si>
  <si>
    <t>CDR20291_RS03315</t>
  </si>
  <si>
    <t>WP_003440126.1</t>
  </si>
  <si>
    <t>CDR20291_RS03320</t>
  </si>
  <si>
    <t>WP_003427864.1</t>
  </si>
  <si>
    <t>CDR20291_RS03325</t>
  </si>
  <si>
    <t>Rpn family recombination-promoting nuclease/putative transposase</t>
  </si>
  <si>
    <t>WP_009888423.1</t>
  </si>
  <si>
    <t>CDR20291_RS03330</t>
  </si>
  <si>
    <t>DUF3841 domain-containing protein</t>
  </si>
  <si>
    <t>WP_009892711.1</t>
  </si>
  <si>
    <t>CDR20291_RS03335</t>
  </si>
  <si>
    <t>WP_003440129.1</t>
  </si>
  <si>
    <t>CDR20291_RS03340</t>
  </si>
  <si>
    <t>WP_003440130.1</t>
  </si>
  <si>
    <t>CDR20291_RS03345</t>
  </si>
  <si>
    <t>WP_003440146.1</t>
  </si>
  <si>
    <t>CDR20291_RS03350</t>
  </si>
  <si>
    <t>WP_009888424.1</t>
  </si>
  <si>
    <t>CDR20291_RS03355</t>
  </si>
  <si>
    <t>WP_009892713.1</t>
  </si>
  <si>
    <t>CDR20291_RS03360</t>
  </si>
  <si>
    <t>WP_009888426.1</t>
  </si>
  <si>
    <t>CDR20291_RS03365</t>
  </si>
  <si>
    <t>WP_009892716.1</t>
  </si>
  <si>
    <t>CDR20291_RS03370</t>
  </si>
  <si>
    <t>Fic family protein</t>
  </si>
  <si>
    <t>WP_009888429.1</t>
  </si>
  <si>
    <t>CDR20291_RS03375</t>
  </si>
  <si>
    <t>GntR family transcriptional regulator</t>
  </si>
  <si>
    <t>WP_003440167.1</t>
  </si>
  <si>
    <t>CDR20291_RS03380</t>
  </si>
  <si>
    <t>alpha/beta hydrolase family protein</t>
  </si>
  <si>
    <t>WP_009892720.1</t>
  </si>
  <si>
    <t>CDR20291_RS03385</t>
  </si>
  <si>
    <t>WP_009888431.1</t>
  </si>
  <si>
    <t>CDR20291_RS03390</t>
  </si>
  <si>
    <t>WP_003440174.1</t>
  </si>
  <si>
    <t>CDR20291_RS03395</t>
  </si>
  <si>
    <t>WP_021396554.1</t>
  </si>
  <si>
    <t>CDR20291_RS19260</t>
  </si>
  <si>
    <t>WP_009888433.1</t>
  </si>
  <si>
    <t>CDR20291_RS03400</t>
  </si>
  <si>
    <t>WP_009888434.1</t>
  </si>
  <si>
    <t>CDR20291_RS03405</t>
  </si>
  <si>
    <t>ABC-2 transporter permease</t>
  </si>
  <si>
    <t>WP_009888435.1</t>
  </si>
  <si>
    <t>CDR20291_RS03410</t>
  </si>
  <si>
    <t>WP_009888436.1</t>
  </si>
  <si>
    <t>CDR20291_RS03415</t>
  </si>
  <si>
    <t>WP_021422849.1</t>
  </si>
  <si>
    <t>CDR20291_RS03420</t>
  </si>
  <si>
    <t>cation:proton antiporter</t>
  </si>
  <si>
    <t>WP_009888439.1</t>
  </si>
  <si>
    <t>CDR20291_RS03425</t>
  </si>
  <si>
    <t>WP_009888440.1</t>
  </si>
  <si>
    <t>CDR20291_RS03430</t>
  </si>
  <si>
    <t>glycosylating toxin sigma factor TcdR</t>
  </si>
  <si>
    <t>tcdR</t>
  </si>
  <si>
    <t>WP_003434528.1</t>
  </si>
  <si>
    <t>CDR20291_RS03435</t>
  </si>
  <si>
    <t>glycosylating toxin TcdB</t>
  </si>
  <si>
    <t>tcdB</t>
  </si>
  <si>
    <t>WP_009888442.1</t>
  </si>
  <si>
    <t>CDR20291_RS03440</t>
  </si>
  <si>
    <t>holin-like glycosylating toxin export protein TcdE</t>
  </si>
  <si>
    <t>tcdE</t>
  </si>
  <si>
    <t>WP_003426839.1</t>
  </si>
  <si>
    <t>CDR20291_RS03445</t>
  </si>
  <si>
    <t>WP_003418175.1</t>
  </si>
  <si>
    <t>CDR20291_RS03450</t>
  </si>
  <si>
    <t>BhlA/UviB family holin-like peptide</t>
  </si>
  <si>
    <t>WP_077699421.1</t>
  </si>
  <si>
    <t>CDR20291_RS19570</t>
  </si>
  <si>
    <t>glycosylating toxin TcdA</t>
  </si>
  <si>
    <t>tcdA</t>
  </si>
  <si>
    <t>WP_009892729.1</t>
  </si>
  <si>
    <t>CDR20291_RS03460</t>
  </si>
  <si>
    <t>tcdC</t>
  </si>
  <si>
    <t>CDR20291_RS03465</t>
  </si>
  <si>
    <t>protein Cdd1</t>
  </si>
  <si>
    <t>cdd1</t>
  </si>
  <si>
    <t>WP_009888450.1</t>
  </si>
  <si>
    <t>CDR20291_RS03470</t>
  </si>
  <si>
    <t>WP_009888452.1</t>
  </si>
  <si>
    <t>CDR20291_RS03475</t>
  </si>
  <si>
    <t>WP_009888454.1</t>
  </si>
  <si>
    <t>CDR20291_RS03480</t>
  </si>
  <si>
    <t>WP_003439186.1</t>
  </si>
  <si>
    <t>CDR20291_RS03485</t>
  </si>
  <si>
    <t>WP_009888457.1</t>
  </si>
  <si>
    <t>CDR20291_RS03490</t>
  </si>
  <si>
    <t>WP_012816028.1</t>
  </si>
  <si>
    <t>CDR20291_RS03495</t>
  </si>
  <si>
    <t>WP_009888460.1</t>
  </si>
  <si>
    <t>CDR20291_RS03500</t>
  </si>
  <si>
    <t>WP_009892732.1</t>
  </si>
  <si>
    <t>CDR20291_RS03505</t>
  </si>
  <si>
    <t>WP_003426867.1</t>
  </si>
  <si>
    <t>CDR20291_RS03510</t>
  </si>
  <si>
    <t>WP_009888463.1</t>
  </si>
  <si>
    <t>CDR20291_RS03515</t>
  </si>
  <si>
    <t>Nif3-like dinuclear metal center hexameric protein</t>
  </si>
  <si>
    <t>WP_233658768.1</t>
  </si>
  <si>
    <t>CDR20291_RS03520</t>
  </si>
  <si>
    <t>WP_003439170.1</t>
  </si>
  <si>
    <t>CDR20291_RS03525</t>
  </si>
  <si>
    <t>WP_009888469.1</t>
  </si>
  <si>
    <t>CDR20291_RS03530</t>
  </si>
  <si>
    <t>WP_009888471.1</t>
  </si>
  <si>
    <t>CDR20291_RS03535</t>
  </si>
  <si>
    <t>RNA polymerase sigma factor</t>
  </si>
  <si>
    <t>WP_009888473.1</t>
  </si>
  <si>
    <t>CDR20291_RS03540</t>
  </si>
  <si>
    <t>DUF5058 family protein</t>
  </si>
  <si>
    <t>WP_009888475.1</t>
  </si>
  <si>
    <t>CDR20291_RS03545</t>
  </si>
  <si>
    <t>WP_009888476.1</t>
  </si>
  <si>
    <t>CDR20291_RS03550</t>
  </si>
  <si>
    <t>N-acyl-D-amino-acid deacylase family protein</t>
  </si>
  <si>
    <t>WP_009888478.1</t>
  </si>
  <si>
    <t>CDR20291_RS03555</t>
  </si>
  <si>
    <t>WP_009888480.1</t>
  </si>
  <si>
    <t>CDR20291_RS03560</t>
  </si>
  <si>
    <t>WP_009888482.1</t>
  </si>
  <si>
    <t>CDR20291_RS03565</t>
  </si>
  <si>
    <t>ester cyclase</t>
  </si>
  <si>
    <t>WP_009892740.1</t>
  </si>
  <si>
    <t>CDR20291_RS03570</t>
  </si>
  <si>
    <t>WP_009892741.1</t>
  </si>
  <si>
    <t>CDR20291_RS03575</t>
  </si>
  <si>
    <t>sodium:solute symporter family transporter</t>
  </si>
  <si>
    <t>WP_009892743.1</t>
  </si>
  <si>
    <t>CDR20291_RS19115</t>
  </si>
  <si>
    <t>WP_009892748.1</t>
  </si>
  <si>
    <t>CDR20291_RS03580</t>
  </si>
  <si>
    <t>WP_009892750.1</t>
  </si>
  <si>
    <t>CDR20291_RS03585</t>
  </si>
  <si>
    <t>ATP-dependent metallopeptidase FtsH/Yme1/Tma family protein</t>
  </si>
  <si>
    <t>WP_003439135.1</t>
  </si>
  <si>
    <t>CDR20291_RS03590</t>
  </si>
  <si>
    <t>translation initiation factor IF-3</t>
  </si>
  <si>
    <t>infC</t>
  </si>
  <si>
    <t>WP_011860916.1</t>
  </si>
  <si>
    <t>CDR20291_RS03595</t>
  </si>
  <si>
    <t>50S ribosomal protein L35</t>
  </si>
  <si>
    <t>rpmI</t>
  </si>
  <si>
    <t>WP_003429729.1</t>
  </si>
  <si>
    <t>CDR20291_RS03600</t>
  </si>
  <si>
    <t>50S ribosomal protein L20</t>
  </si>
  <si>
    <t>rplT</t>
  </si>
  <si>
    <t>WP_003423569.1</t>
  </si>
  <si>
    <t>CDR20291_RS03605</t>
  </si>
  <si>
    <t>WP_009888494.1</t>
  </si>
  <si>
    <t>CDR20291_RS03610</t>
  </si>
  <si>
    <t>WP_153300384.1</t>
  </si>
  <si>
    <t>CDR20291_RS03615</t>
  </si>
  <si>
    <t>WP_009888496.1</t>
  </si>
  <si>
    <t>CDR20291_RS03620</t>
  </si>
  <si>
    <t>WP_009888498.1</t>
  </si>
  <si>
    <t>CDR20291_RS03625</t>
  </si>
  <si>
    <t>WP_009888500.1</t>
  </si>
  <si>
    <t>CDR20291_RS03630</t>
  </si>
  <si>
    <t>WP_009888502.1</t>
  </si>
  <si>
    <t>CDR20291_RS03635</t>
  </si>
  <si>
    <t>WP_009888504.1</t>
  </si>
  <si>
    <t>CDR20291_RS03640</t>
  </si>
  <si>
    <t>WP_003436804.1</t>
  </si>
  <si>
    <t>CDR20291_RS03645</t>
  </si>
  <si>
    <t>WP_003418249.1</t>
  </si>
  <si>
    <t>CDR20291_RS03650</t>
  </si>
  <si>
    <t>peptidase M3</t>
  </si>
  <si>
    <t>WP_009888507.1</t>
  </si>
  <si>
    <t>CDR20291_RS03655</t>
  </si>
  <si>
    <t>TrkH family potassium uptake protein</t>
  </si>
  <si>
    <t>WP_009888508.1</t>
  </si>
  <si>
    <t>CDR20291_RS03660</t>
  </si>
  <si>
    <t>potassium channel family protein</t>
  </si>
  <si>
    <t>WP_003418257.1</t>
  </si>
  <si>
    <t>CDR20291_RS03665</t>
  </si>
  <si>
    <t>TrmH family RNA methyltransferase</t>
  </si>
  <si>
    <t>WP_003436797.1</t>
  </si>
  <si>
    <t>CDR20291_RS03670</t>
  </si>
  <si>
    <t>phenylalanine--tRNA ligase subunit alpha</t>
  </si>
  <si>
    <t>pheS</t>
  </si>
  <si>
    <t>WP_003436795.1</t>
  </si>
  <si>
    <t>CDR20291_RS03675</t>
  </si>
  <si>
    <t>phenylalanine--tRNA ligase subunit beta</t>
  </si>
  <si>
    <t>pheT</t>
  </si>
  <si>
    <t>WP_009888509.1</t>
  </si>
  <si>
    <t>CDR20291_RS03680</t>
  </si>
  <si>
    <t>cell division protein ZapA</t>
  </si>
  <si>
    <t>zapA</t>
  </si>
  <si>
    <t>WP_009888510.1</t>
  </si>
  <si>
    <t>CDR20291_RS03685</t>
  </si>
  <si>
    <t>YoaK family protein</t>
  </si>
  <si>
    <t>WP_003436876.1</t>
  </si>
  <si>
    <t>CDR20291_RS03690</t>
  </si>
  <si>
    <t>DUF3656 domain-containing U32 family peptidase</t>
  </si>
  <si>
    <t>WP_009892757.1</t>
  </si>
  <si>
    <t>CDR20291_RS03695</t>
  </si>
  <si>
    <t>HD domain-containing protein</t>
  </si>
  <si>
    <t>WP_003436878.1</t>
  </si>
  <si>
    <t>CDR20291_RS03700</t>
  </si>
  <si>
    <t>NUDIX hydrolase</t>
  </si>
  <si>
    <t>WP_009888511.1</t>
  </si>
  <si>
    <t>CDR20291_RS03705</t>
  </si>
  <si>
    <t>WP_009888513.1</t>
  </si>
  <si>
    <t>CDR20291_RS03710</t>
  </si>
  <si>
    <t>diguanylate cyclase domain-containing protein</t>
  </si>
  <si>
    <t>WP_012816036.1</t>
  </si>
  <si>
    <t>CDR20291_RS03715</t>
  </si>
  <si>
    <t>aminoacyl-histidine dipeptidase</t>
  </si>
  <si>
    <t>WP_003436882.1</t>
  </si>
  <si>
    <t>CDR20291_RS03720</t>
  </si>
  <si>
    <t>endonuclease MutS2</t>
  </si>
  <si>
    <t>WP_009892760.1</t>
  </si>
  <si>
    <t>CDR20291_RS03725</t>
  </si>
  <si>
    <t>DUF523 domain-containing protein</t>
  </si>
  <si>
    <t>WP_009888519.1</t>
  </si>
  <si>
    <t>CDR20291_RS03730</t>
  </si>
  <si>
    <t>arginine--tRNA ligase</t>
  </si>
  <si>
    <t>argS</t>
  </si>
  <si>
    <t>WP_003436885.1</t>
  </si>
  <si>
    <t>CDR20291_RS03735</t>
  </si>
  <si>
    <t>WP_009892761.1</t>
  </si>
  <si>
    <t>CDR20291_RS03740</t>
  </si>
  <si>
    <t>WP_003418305.1</t>
  </si>
  <si>
    <t>CDR20291_RS03745</t>
  </si>
  <si>
    <t>B12-binding domain-containing radical SAM protein</t>
  </si>
  <si>
    <t>WP_009888523.1</t>
  </si>
  <si>
    <t>CDR20291_RS03750</t>
  </si>
  <si>
    <t>WP_009888524.1</t>
  </si>
  <si>
    <t>CDR20291_RS03755</t>
  </si>
  <si>
    <t>CDR20291_RS03760</t>
  </si>
  <si>
    <t>bifunctional enoyl-CoA hydratase/phosphate acetyltransferase</t>
  </si>
  <si>
    <t>WP_003436909.1</t>
  </si>
  <si>
    <t>CDR20291_RS03765</t>
  </si>
  <si>
    <t>WP_009888525.1</t>
  </si>
  <si>
    <t>CDR20291_RS03770</t>
  </si>
  <si>
    <t>WP_009888532.1</t>
  </si>
  <si>
    <t>CDR20291_RS03775</t>
  </si>
  <si>
    <t>formate--tetrahydrofolate ligase</t>
  </si>
  <si>
    <t>WP_009888533.1</t>
  </si>
  <si>
    <t>CDR20291_RS03780</t>
  </si>
  <si>
    <t>cyclodeaminase/cyclohydrolase family protein</t>
  </si>
  <si>
    <t>WP_009888534.1</t>
  </si>
  <si>
    <t>CDR20291_RS03785</t>
  </si>
  <si>
    <t>bifunctional 5,10-methylenetetrahydrofolate dehydrogenase/5,10-methenyltetrahydrofolate cyclohydrolase</t>
  </si>
  <si>
    <t>WP_003432264.1</t>
  </si>
  <si>
    <t>CDR20291_RS03790</t>
  </si>
  <si>
    <t>methylenetetrahydrofolate reductase C-terminal domain-containing protein</t>
  </si>
  <si>
    <t>WP_003436912.1</t>
  </si>
  <si>
    <t>CDR20291_RS03795</t>
  </si>
  <si>
    <t>methylenetetrahydrofolate reductase</t>
  </si>
  <si>
    <t>WP_003432262.1</t>
  </si>
  <si>
    <t>CDR20291_RS03800</t>
  </si>
  <si>
    <t>WP_003418341.1</t>
  </si>
  <si>
    <t>CDR20291_RS03805</t>
  </si>
  <si>
    <t>carbon monoxide dehydrogenase accessory protein CooC</t>
  </si>
  <si>
    <t>WP_003418348.1</t>
  </si>
  <si>
    <t>CDR20291_RS03810</t>
  </si>
  <si>
    <t>acetyl-CoA decarbonylase/synthase complex subunit delta</t>
  </si>
  <si>
    <t>acsD</t>
  </si>
  <si>
    <t>WP_003432254.1</t>
  </si>
  <si>
    <t>CDR20291_RS03815</t>
  </si>
  <si>
    <t>acetyl-CoA decarbonylase/synthase complex subunit gamma</t>
  </si>
  <si>
    <t>acsC</t>
  </si>
  <si>
    <t>WP_003436924.1</t>
  </si>
  <si>
    <t>CDR20291_RS03820</t>
  </si>
  <si>
    <t>carbon monoxide dehydrogenase/acetyl-CoA synthase methytransferase subunit</t>
  </si>
  <si>
    <t>acsE</t>
  </si>
  <si>
    <t>WP_003418356.1</t>
  </si>
  <si>
    <t>CDR20291_RS03825</t>
  </si>
  <si>
    <t>acetyl-CoA decarbonylase/synthase complex subunit alpha/beta</t>
  </si>
  <si>
    <t>acsB</t>
  </si>
  <si>
    <t>WP_003418359.1</t>
  </si>
  <si>
    <t>CDR20291_RS03830</t>
  </si>
  <si>
    <t>glycine cleavage system protein GcvH</t>
  </si>
  <si>
    <t>gcvH</t>
  </si>
  <si>
    <t>WP_003418363.1</t>
  </si>
  <si>
    <t>CDR20291_RS03835</t>
  </si>
  <si>
    <t>corrinoid activation/regeneration protein AcsV</t>
  </si>
  <si>
    <t>acsV</t>
  </si>
  <si>
    <t>WP_009888540.1</t>
  </si>
  <si>
    <t>CDR20291_RS03840</t>
  </si>
  <si>
    <t>radical SAM protein</t>
  </si>
  <si>
    <t>WP_009888542.1</t>
  </si>
  <si>
    <t>CDR20291_RS03845</t>
  </si>
  <si>
    <t>WP_009888544.1</t>
  </si>
  <si>
    <t>CDR20291_RS03850</t>
  </si>
  <si>
    <t>WP_003436933.1</t>
  </si>
  <si>
    <t>CDR20291_RS03855</t>
  </si>
  <si>
    <t>CooT family nickel-binding protein</t>
  </si>
  <si>
    <t>WP_003418375.1</t>
  </si>
  <si>
    <t>CDR20291_RS03860</t>
  </si>
  <si>
    <t>DUF3842 family protein</t>
  </si>
  <si>
    <t>WP_003418377.1</t>
  </si>
  <si>
    <t>CDR20291_RS03865</t>
  </si>
  <si>
    <t>WP_003432237.1</t>
  </si>
  <si>
    <t>CDR20291_RS03870</t>
  </si>
  <si>
    <t>histidinol-phosphatase HisJ</t>
  </si>
  <si>
    <t>hisJ</t>
  </si>
  <si>
    <t>WP_009888546.1</t>
  </si>
  <si>
    <t>CDR20291_RS03875</t>
  </si>
  <si>
    <t>DUF4300 family protein</t>
  </si>
  <si>
    <t>WP_009888547.1</t>
  </si>
  <si>
    <t>CDR20291_RS03880</t>
  </si>
  <si>
    <t>WP_009892768.1</t>
  </si>
  <si>
    <t>CDR20291_RS03885</t>
  </si>
  <si>
    <t>pyridoxal-phosphate-dependent aminotransferase family protein</t>
  </si>
  <si>
    <t>WP_009888551.1</t>
  </si>
  <si>
    <t>CDR20291_RS03890</t>
  </si>
  <si>
    <t>glycerol kinase GlpK</t>
  </si>
  <si>
    <t>glpK</t>
  </si>
  <si>
    <t>WP_009892769.1</t>
  </si>
  <si>
    <t>CDR20291_RS03895</t>
  </si>
  <si>
    <t>ethanolamine utilization protein EutH</t>
  </si>
  <si>
    <t>WP_009888552.1</t>
  </si>
  <si>
    <t>CDR20291_RS03900</t>
  </si>
  <si>
    <t>DeoR/GlpR family DNA-binding transcription regulator</t>
  </si>
  <si>
    <t>WP_003418385.1</t>
  </si>
  <si>
    <t>CDR20291_RS03905</t>
  </si>
  <si>
    <t>CDR20291_RS03910</t>
  </si>
  <si>
    <t>flagellar motor protein</t>
  </si>
  <si>
    <t>WP_009888553.1</t>
  </si>
  <si>
    <t>CDR20291_RS03915</t>
  </si>
  <si>
    <t>flagellar motor protein MotB</t>
  </si>
  <si>
    <t>WP_009888554.1</t>
  </si>
  <si>
    <t>CDR20291_RS03920</t>
  </si>
  <si>
    <t>WP_009888555.1</t>
  </si>
  <si>
    <t>CDR20291_RS03925</t>
  </si>
  <si>
    <t>extracellular solute-binding protein</t>
  </si>
  <si>
    <t>WP_009888556.1</t>
  </si>
  <si>
    <t>CDR20291_RS03930</t>
  </si>
  <si>
    <t>WP_009892770.1</t>
  </si>
  <si>
    <t>CDR20291_RS03935</t>
  </si>
  <si>
    <t>ATP-dependent helicase</t>
  </si>
  <si>
    <t>WP_009888557.1</t>
  </si>
  <si>
    <t>CDR20291_RS03940</t>
  </si>
  <si>
    <t>transporter substrate-binding domain-containing protein</t>
  </si>
  <si>
    <t>WP_003432207.1</t>
  </si>
  <si>
    <t>CDR20291_RS03945</t>
  </si>
  <si>
    <t>amino acid ABC transporter permease</t>
  </si>
  <si>
    <t>WP_009888558.1</t>
  </si>
  <si>
    <t>CDR20291_RS03950</t>
  </si>
  <si>
    <t>amino acid ABC transporter ATP-binding protein</t>
  </si>
  <si>
    <t>WP_003432205.1</t>
  </si>
  <si>
    <t>CDR20291_RS03955</t>
  </si>
  <si>
    <t>cysteine desulfurase family protein</t>
  </si>
  <si>
    <t>WP_009888559.1</t>
  </si>
  <si>
    <t>CDR20291_RS03960</t>
  </si>
  <si>
    <t>tRNA uracil 4-sulfurtransferase ThiI</t>
  </si>
  <si>
    <t>thiI</t>
  </si>
  <si>
    <t>WP_003432202.1</t>
  </si>
  <si>
    <t>CDR20291_RS03965</t>
  </si>
  <si>
    <t>prepilin-type N-terminal cleavage/methylation domain-containing protein</t>
  </si>
  <si>
    <t>WP_009888564.1</t>
  </si>
  <si>
    <t>CDR20291_RS19265</t>
  </si>
  <si>
    <t>nitroreductase</t>
  </si>
  <si>
    <t>WP_003437445.1</t>
  </si>
  <si>
    <t>CDR20291_RS03975</t>
  </si>
  <si>
    <t>phosphodiesterase PdcB</t>
  </si>
  <si>
    <t>pdcB</t>
  </si>
  <si>
    <t>WP_009892771.1</t>
  </si>
  <si>
    <t>CDR20291_RS03980</t>
  </si>
  <si>
    <t>pyruvate formate-lyase-activating protein</t>
  </si>
  <si>
    <t>pflA</t>
  </si>
  <si>
    <t>WP_003437451.1</t>
  </si>
  <si>
    <t>CDR20291_RS03985</t>
  </si>
  <si>
    <t>formate C-acetyltransferase</t>
  </si>
  <si>
    <t>pflB</t>
  </si>
  <si>
    <t>WP_009888568.1</t>
  </si>
  <si>
    <t>CDR20291_RS03990</t>
  </si>
  <si>
    <t>calcium/sodium antiporter</t>
  </si>
  <si>
    <t>WP_009892772.1</t>
  </si>
  <si>
    <t>CDR20291_RS03995</t>
  </si>
  <si>
    <t>DEAD/DEAH box helicase</t>
  </si>
  <si>
    <t>WP_003437464.1</t>
  </si>
  <si>
    <t>CDR20291_RS04000</t>
  </si>
  <si>
    <t>WP_009892773.1</t>
  </si>
  <si>
    <t>CDR20291_RS04005</t>
  </si>
  <si>
    <t>transcriptional regulator GutM</t>
  </si>
  <si>
    <t>WP_003437466.1</t>
  </si>
  <si>
    <t>CDR20291_RS04010</t>
  </si>
  <si>
    <t>PTS glucitol/sorbitol transporter subunit IIC</t>
  </si>
  <si>
    <t>WP_003418408.1</t>
  </si>
  <si>
    <t>CDR20291_RS04015</t>
  </si>
  <si>
    <t>CDR20291_RS19375</t>
  </si>
  <si>
    <t>WP_330360532.1</t>
  </si>
  <si>
    <t>CDR20291_RS19380</t>
  </si>
  <si>
    <t>PTS glucitol/sorbitol transporter subunit IIA</t>
  </si>
  <si>
    <t>WP_003418411.1</t>
  </si>
  <si>
    <t>CDR20291_RS04030</t>
  </si>
  <si>
    <t>sorbitol-6-phosphate dehydrogenase</t>
  </si>
  <si>
    <t>srlD</t>
  </si>
  <si>
    <t>WP_009892774.1</t>
  </si>
  <si>
    <t>CDR20291_RS04035</t>
  </si>
  <si>
    <t>WP_012816044.1</t>
  </si>
  <si>
    <t>CDR20291_RS04045</t>
  </si>
  <si>
    <t>molybdopterin-dependent oxidoreductase</t>
  </si>
  <si>
    <t>WP_009892781.1</t>
  </si>
  <si>
    <t>CDR20291_RS04050</t>
  </si>
  <si>
    <t>anti-sigma F factor antagonist</t>
  </si>
  <si>
    <t>spoIIAA</t>
  </si>
  <si>
    <t>WP_003418414.1</t>
  </si>
  <si>
    <t>CDR20291_RS04055</t>
  </si>
  <si>
    <t>anti-sigma F factor</t>
  </si>
  <si>
    <t>spoIIAB</t>
  </si>
  <si>
    <t>WP_003418415.1</t>
  </si>
  <si>
    <t>CDR20291_RS04060</t>
  </si>
  <si>
    <t>RNA polymerase sporulation sigma factor SigF</t>
  </si>
  <si>
    <t>sigF</t>
  </si>
  <si>
    <t>WP_003418417.1</t>
  </si>
  <si>
    <t>CDR20291_RS04065</t>
  </si>
  <si>
    <t>stage V sporulation protein AC</t>
  </si>
  <si>
    <t>spoVAC</t>
  </si>
  <si>
    <t>WP_003418420.1</t>
  </si>
  <si>
    <t>CDR20291_RS04070</t>
  </si>
  <si>
    <t>stage V sporulation protein AD</t>
  </si>
  <si>
    <t>spoVAD</t>
  </si>
  <si>
    <t>WP_003437476.1</t>
  </si>
  <si>
    <t>CDR20291_RS04075</t>
  </si>
  <si>
    <t>stage V sporulation protein AE</t>
  </si>
  <si>
    <t>spoVAE</t>
  </si>
  <si>
    <t>WP_003418423.1</t>
  </si>
  <si>
    <t>CDR20291_RS04080</t>
  </si>
  <si>
    <t>WP_009888571.1</t>
  </si>
  <si>
    <t>CDR20291_RS04085</t>
  </si>
  <si>
    <t>WP_003437481.1</t>
  </si>
  <si>
    <t>CDR20291_RS04090</t>
  </si>
  <si>
    <t>WP_009888574.1</t>
  </si>
  <si>
    <t>CDR20291_RS04095</t>
  </si>
  <si>
    <t>WP_009888576.1</t>
  </si>
  <si>
    <t>CDR20291_RS04100</t>
  </si>
  <si>
    <t>DUF1177 domain-containing protein</t>
  </si>
  <si>
    <t>WP_003437502.1</t>
  </si>
  <si>
    <t>CDR20291_RS04105</t>
  </si>
  <si>
    <t>cytidine deaminase</t>
  </si>
  <si>
    <t>WP_009888578.1</t>
  </si>
  <si>
    <t>CDR20291_RS04110</t>
  </si>
  <si>
    <t>transglycosylase domain-containing protein</t>
  </si>
  <si>
    <t>WP_009892783.1</t>
  </si>
  <si>
    <t>CDR20291_RS04115</t>
  </si>
  <si>
    <t>sporulation protein YunB</t>
  </si>
  <si>
    <t>yunB</t>
  </si>
  <si>
    <t>WP_003418439.1</t>
  </si>
  <si>
    <t>CDR20291_RS04120</t>
  </si>
  <si>
    <t>SpoIVB peptidase S55 domain-containing protein</t>
  </si>
  <si>
    <t>WP_009888579.1</t>
  </si>
  <si>
    <t>CDR20291_RS04125</t>
  </si>
  <si>
    <t>N-acetylmuramoyl-L-alanine amidase</t>
  </si>
  <si>
    <t>WP_009888582.1</t>
  </si>
  <si>
    <t>CDR20291_RS04130</t>
  </si>
  <si>
    <t>WP_009888583.1</t>
  </si>
  <si>
    <t>CDR20291_RS04135</t>
  </si>
  <si>
    <t>TIGR01906 family membrane protein</t>
  </si>
  <si>
    <t>WP_009888584.1</t>
  </si>
  <si>
    <t>CDR20291_RS04140</t>
  </si>
  <si>
    <t>cysteine-rich small domain-containing protein</t>
  </si>
  <si>
    <t>WP_003418451.1</t>
  </si>
  <si>
    <t>CDR20291_RS04145</t>
  </si>
  <si>
    <t>GTPase HflX</t>
  </si>
  <si>
    <t>hflX</t>
  </si>
  <si>
    <t>WP_009888585.1</t>
  </si>
  <si>
    <t>CDR20291_RS04150</t>
  </si>
  <si>
    <t>HEAT repeat domain-containing protein</t>
  </si>
  <si>
    <t>WP_009888586.1</t>
  </si>
  <si>
    <t>CDR20291_RS04155</t>
  </si>
  <si>
    <t>NUDIX domain-containing protein</t>
  </si>
  <si>
    <t>WP_009888587.1</t>
  </si>
  <si>
    <t>CDR20291_RS04160</t>
  </si>
  <si>
    <t>YigZ family protein</t>
  </si>
  <si>
    <t>WP_009888588.1</t>
  </si>
  <si>
    <t>CDR20291_RS04165</t>
  </si>
  <si>
    <t>sulfite exporter TauE/SafE family protein</t>
  </si>
  <si>
    <t>WP_003437529.1</t>
  </si>
  <si>
    <t>CDR20291_RS04170</t>
  </si>
  <si>
    <t>WP_003437532.1</t>
  </si>
  <si>
    <t>CDR20291_RS04175</t>
  </si>
  <si>
    <t>NAD(+) synthase</t>
  </si>
  <si>
    <t>nadE</t>
  </si>
  <si>
    <t>WP_009888593.1</t>
  </si>
  <si>
    <t>CDR20291_RS04180</t>
  </si>
  <si>
    <t>YebC/PmpR family DNA-binding transcriptional regulator</t>
  </si>
  <si>
    <t>WP_003437537.1</t>
  </si>
  <si>
    <t>CDR20291_RS04185</t>
  </si>
  <si>
    <t>WP_003437541.1</t>
  </si>
  <si>
    <t>CDR20291_RS04190</t>
  </si>
  <si>
    <t>hydroxymethylglutaryl-CoA lyase</t>
  </si>
  <si>
    <t>WP_009892786.1</t>
  </si>
  <si>
    <t>CDR20291_RS04195</t>
  </si>
  <si>
    <t>SLC13 family permease</t>
  </si>
  <si>
    <t>WP_009888596.1</t>
  </si>
  <si>
    <t>CDR20291_RS04200</t>
  </si>
  <si>
    <t>CaiB/BaiF CoA transferase family protein</t>
  </si>
  <si>
    <t>WP_009888598.1</t>
  </si>
  <si>
    <t>CDR20291_RS04205</t>
  </si>
  <si>
    <t>enoyl-CoA hydratase-related protein</t>
  </si>
  <si>
    <t>WP_009888600.1</t>
  </si>
  <si>
    <t>CDR20291_RS04210</t>
  </si>
  <si>
    <t>GntP family permease</t>
  </si>
  <si>
    <t>WP_003437552.1</t>
  </si>
  <si>
    <t>CDR20291_RS04215</t>
  </si>
  <si>
    <t>WP_004453673.1</t>
  </si>
  <si>
    <t>CDR20291_RS04220</t>
  </si>
  <si>
    <t>acryloyl-CoA reductase</t>
  </si>
  <si>
    <t>acrC</t>
  </si>
  <si>
    <t>WP_009888603.1</t>
  </si>
  <si>
    <t>CDR20291_RS04225</t>
  </si>
  <si>
    <t>electron transfer flavoprotein subunit beta/FixA family protein</t>
  </si>
  <si>
    <t>WP_009892789.1</t>
  </si>
  <si>
    <t>CDR20291_RS04230</t>
  </si>
  <si>
    <t>WP_009888605.1</t>
  </si>
  <si>
    <t>CDR20291_RS04235</t>
  </si>
  <si>
    <t>WP_009888607.1</t>
  </si>
  <si>
    <t>CDR20291_RS04240</t>
  </si>
  <si>
    <t>WP_003437561.1</t>
  </si>
  <si>
    <t>CDR20291_RS04245</t>
  </si>
  <si>
    <t>WP_009888611.1</t>
  </si>
  <si>
    <t>CDR20291_RS04250</t>
  </si>
  <si>
    <t>WP_009888613.1</t>
  </si>
  <si>
    <t>CDR20291_RS04255</t>
  </si>
  <si>
    <t>WP_009888614.1</t>
  </si>
  <si>
    <t>CDR20291_RS04260</t>
  </si>
  <si>
    <t>universal stress protein</t>
  </si>
  <si>
    <t>WP_003418487.1</t>
  </si>
  <si>
    <t>CDR20291_RS04265</t>
  </si>
  <si>
    <t>PTS sugar transporter subunit IIBC</t>
  </si>
  <si>
    <t>WP_003437569.1</t>
  </si>
  <si>
    <t>CDR20291_RS04270</t>
  </si>
  <si>
    <t>FadR/GntR family transcriptional regulator</t>
  </si>
  <si>
    <t>WP_009888618.1</t>
  </si>
  <si>
    <t>CDR20291_RS04275</t>
  </si>
  <si>
    <t>WP_009888620.1</t>
  </si>
  <si>
    <t>CDR20291_RS04280</t>
  </si>
  <si>
    <t>WP_009892792.1</t>
  </si>
  <si>
    <t>CDR20291_RS04285</t>
  </si>
  <si>
    <t>WP_009888622.1</t>
  </si>
  <si>
    <t>CDR20291_RS04290</t>
  </si>
  <si>
    <t>WP_004454252.1</t>
  </si>
  <si>
    <t>CDR20291_RS04295</t>
  </si>
  <si>
    <t>WP_009888625.1</t>
  </si>
  <si>
    <t>CDR20291_RS04300</t>
  </si>
  <si>
    <t>WP_012816055.1</t>
  </si>
  <si>
    <t>CDR20291_RS04305</t>
  </si>
  <si>
    <t>WP_009892796.1</t>
  </si>
  <si>
    <t>CDR20291_RS04310</t>
  </si>
  <si>
    <t>WP_012816056.1</t>
  </si>
  <si>
    <t>CDR20291_RS04315</t>
  </si>
  <si>
    <t>WP_009888635.1</t>
  </si>
  <si>
    <t>CDR20291_RS04320</t>
  </si>
  <si>
    <t>rubrerythrin</t>
  </si>
  <si>
    <t>rbr</t>
  </si>
  <si>
    <t>WP_003418513.1</t>
  </si>
  <si>
    <t>CDR20291_RS04325</t>
  </si>
  <si>
    <t>Fur family transcriptional regulator</t>
  </si>
  <si>
    <t>WP_009888638.1</t>
  </si>
  <si>
    <t>CDR20291_RS04330</t>
  </si>
  <si>
    <t>desulfoferrodoxin family protein</t>
  </si>
  <si>
    <t>WP_009888640.1</t>
  </si>
  <si>
    <t>CDR20291_RS04335</t>
  </si>
  <si>
    <t>glutamate synthase-related protein</t>
  </si>
  <si>
    <t>WP_009888641.1</t>
  </si>
  <si>
    <t>CDR20291_RS04340</t>
  </si>
  <si>
    <t>WP_009888642.1</t>
  </si>
  <si>
    <t>CDR20291_RS04345</t>
  </si>
  <si>
    <t>WP_004454238.1</t>
  </si>
  <si>
    <t>CDR20291_RS04350</t>
  </si>
  <si>
    <t>WP_004453635.1</t>
  </si>
  <si>
    <t>CDR20291_RS04355</t>
  </si>
  <si>
    <t>homocitrate synthase</t>
  </si>
  <si>
    <t>nifV</t>
  </si>
  <si>
    <t>WP_004453634.1</t>
  </si>
  <si>
    <t>CDR20291_RS04360</t>
  </si>
  <si>
    <t>aconitate hydratase</t>
  </si>
  <si>
    <t>WP_009892801.1</t>
  </si>
  <si>
    <t>CDR20291_RS04365</t>
  </si>
  <si>
    <t>isocitrate/isopropylmalate dehydrogenase family protein</t>
  </si>
  <si>
    <t>WP_009888646.1</t>
  </si>
  <si>
    <t>CDR20291_RS04370</t>
  </si>
  <si>
    <t>WP_012816057.1</t>
  </si>
  <si>
    <t>CDR20291_RS04375</t>
  </si>
  <si>
    <t>WP_004454230.1</t>
  </si>
  <si>
    <t>CDR20291_RS04380</t>
  </si>
  <si>
    <t>WP_012816058.1</t>
  </si>
  <si>
    <t>CDR20291_RS04385</t>
  </si>
  <si>
    <t>WP_004453624.1</t>
  </si>
  <si>
    <t>CDR20291_RS04390</t>
  </si>
  <si>
    <t>WP_009888649.1</t>
  </si>
  <si>
    <t>CDR20291_RS04395</t>
  </si>
  <si>
    <t>fumarylacetoacetate hydrolase family protein</t>
  </si>
  <si>
    <t>WP_009888650.1</t>
  </si>
  <si>
    <t>CDR20291_RS04400</t>
  </si>
  <si>
    <t>phosphoribosylaminoimidazolecarboxamide formyltransferase</t>
  </si>
  <si>
    <t>WP_009888651.1</t>
  </si>
  <si>
    <t>CDR20291_RS04405</t>
  </si>
  <si>
    <t>WP_009888652.1</t>
  </si>
  <si>
    <t>CDR20291_RS04410</t>
  </si>
  <si>
    <t>glycosyltransferase family 4 protein</t>
  </si>
  <si>
    <t>WP_009888653.1</t>
  </si>
  <si>
    <t>CDR20291_RS04415</t>
  </si>
  <si>
    <t>cell wall-binding protein Cwp25</t>
  </si>
  <si>
    <t>WP_004454223.1</t>
  </si>
  <si>
    <t>CDR20291_RS04420</t>
  </si>
  <si>
    <t>GIY-YIG nuclease family protein</t>
  </si>
  <si>
    <t>WP_009888655.1</t>
  </si>
  <si>
    <t>CDR20291_RS04425</t>
  </si>
  <si>
    <t>WP_009892805.1</t>
  </si>
  <si>
    <t>CDR20291_RS04430</t>
  </si>
  <si>
    <t>DUF6323 family protein</t>
  </si>
  <si>
    <t>WP_009888657.1</t>
  </si>
  <si>
    <t>CDR20291_RS04435</t>
  </si>
  <si>
    <t>DUF6179 domain-containing protein</t>
  </si>
  <si>
    <t>WP_009892807.1</t>
  </si>
  <si>
    <t>CDR20291_RS04440</t>
  </si>
  <si>
    <t>WP_009888658.1</t>
  </si>
  <si>
    <t>CDR20291_RS04445</t>
  </si>
  <si>
    <t>NifU family protein</t>
  </si>
  <si>
    <t>WP_009888660.1</t>
  </si>
  <si>
    <t>CDR20291_RS04450</t>
  </si>
  <si>
    <t>HsmA family protein</t>
  </si>
  <si>
    <t>WP_009888665.1</t>
  </si>
  <si>
    <t>CDR20291_RS04455</t>
  </si>
  <si>
    <t>WP_009888667.1</t>
  </si>
  <si>
    <t>CDR20291_RS04460</t>
  </si>
  <si>
    <t>WP_009888668.1</t>
  </si>
  <si>
    <t>CDR20291_RS04465</t>
  </si>
  <si>
    <t>WP_009888669.1</t>
  </si>
  <si>
    <t>CDR20291_RS04470</t>
  </si>
  <si>
    <t>ABC transporter substrate-binding protein</t>
  </si>
  <si>
    <t>WP_009888670.1</t>
  </si>
  <si>
    <t>CDR20291_RS04475</t>
  </si>
  <si>
    <t>WP_009888671.1</t>
  </si>
  <si>
    <t>CDR20291_RS04480</t>
  </si>
  <si>
    <t>WP_004454205.1</t>
  </si>
  <si>
    <t>CDR20291_RS04485</t>
  </si>
  <si>
    <t>WP_009888673.1</t>
  </si>
  <si>
    <t>CDR20291_RS04490</t>
  </si>
  <si>
    <t>WP_225532673.1</t>
  </si>
  <si>
    <t>CDR20291_RS04495</t>
  </si>
  <si>
    <t>WP_004453592.1</t>
  </si>
  <si>
    <t>CDR20291_RS04500</t>
  </si>
  <si>
    <t>WP_004453591.1</t>
  </si>
  <si>
    <t>CDR20291_RS04505</t>
  </si>
  <si>
    <t>PTS sugar transporter subunit IIC</t>
  </si>
  <si>
    <t>WP_009892810.1</t>
  </si>
  <si>
    <t>CDR20291_RS04510</t>
  </si>
  <si>
    <t>WP_004453589.1</t>
  </si>
  <si>
    <t>CDR20291_RS04515</t>
  </si>
  <si>
    <t>6-phospho-alpha-glucosidase</t>
  </si>
  <si>
    <t>WP_004454201.1</t>
  </si>
  <si>
    <t>CDR20291_RS04520</t>
  </si>
  <si>
    <t>protein-ADP-ribose hydrolase</t>
  </si>
  <si>
    <t>WP_009888678.1</t>
  </si>
  <si>
    <t>CDR20291_RS04525</t>
  </si>
  <si>
    <t>alpha/beta hydrolase</t>
  </si>
  <si>
    <t>WP_021407076.1</t>
  </si>
  <si>
    <t>CDR20291_RS04530</t>
  </si>
  <si>
    <t>WP_009888682.1</t>
  </si>
  <si>
    <t>CDR20291_RS04535</t>
  </si>
  <si>
    <t>WP_004454197.1</t>
  </si>
  <si>
    <t>CDR20291_RS04540</t>
  </si>
  <si>
    <t>molybdate ABC transporter substrate-binding protein</t>
  </si>
  <si>
    <t>modA</t>
  </si>
  <si>
    <t>WP_009888684.1</t>
  </si>
  <si>
    <t>CDR20291_RS04545</t>
  </si>
  <si>
    <t>molybdate ABC transporter permease subunit</t>
  </si>
  <si>
    <t>modB</t>
  </si>
  <si>
    <t>WP_009888685.1</t>
  </si>
  <si>
    <t>CDR20291_RS04550</t>
  </si>
  <si>
    <t>sulfate/molybdate ABC transporter ATP-binding protein</t>
  </si>
  <si>
    <t>WP_009888694.1</t>
  </si>
  <si>
    <t>CDR20291_RS04555</t>
  </si>
  <si>
    <t>sugar O-acetyltransferase</t>
  </si>
  <si>
    <t>WP_009888695.1</t>
  </si>
  <si>
    <t>CDR20291_RS04560</t>
  </si>
  <si>
    <t>CD0873 family tyrosine ABC transporter substrate-binding lipoprotein</t>
  </si>
  <si>
    <t>WP_009888696.1</t>
  </si>
  <si>
    <t>CDR20291_RS04565</t>
  </si>
  <si>
    <t>WP_009892814.1</t>
  </si>
  <si>
    <t>CDR20291_RS04570</t>
  </si>
  <si>
    <t>WP_009892816.1</t>
  </si>
  <si>
    <t>CDR20291_RS04575</t>
  </si>
  <si>
    <t>WP_009892818.1</t>
  </si>
  <si>
    <t>CDR20291_RS04580</t>
  </si>
  <si>
    <t>WP_009888699.1</t>
  </si>
  <si>
    <t>CDR20291_RS04585</t>
  </si>
  <si>
    <t>WP_009888701.1</t>
  </si>
  <si>
    <t>CDR20291_RS04590</t>
  </si>
  <si>
    <t>bifunctional ADP-dependent NAD(P)H-hydrate dehydratase/NAD(P)H-hydrate epimerase</t>
  </si>
  <si>
    <t>WP_009892822.1</t>
  </si>
  <si>
    <t>CDR20291_RS04595</t>
  </si>
  <si>
    <t>CDR20291_RS04600</t>
  </si>
  <si>
    <t>WP_012816067.1</t>
  </si>
  <si>
    <t>CDR20291_RS04605</t>
  </si>
  <si>
    <t>NfeD family protein</t>
  </si>
  <si>
    <t>WP_003437174.1</t>
  </si>
  <si>
    <t>CDR20291_RS04610</t>
  </si>
  <si>
    <t>SPFH domain-containing protein</t>
  </si>
  <si>
    <t>WP_003437173.1</t>
  </si>
  <si>
    <t>CDR20291_RS04615</t>
  </si>
  <si>
    <t>glucose-1-phosphate adenylyltransferase</t>
  </si>
  <si>
    <t>WP_009892825.1</t>
  </si>
  <si>
    <t>CDR20291_RS04620</t>
  </si>
  <si>
    <t>glucose-1-phosphate adenylyltransferase subunit GlgD</t>
  </si>
  <si>
    <t>glgD</t>
  </si>
  <si>
    <t>WP_004453566.1</t>
  </si>
  <si>
    <t>CDR20291_RS04625</t>
  </si>
  <si>
    <t>glycogen synthase GlgA</t>
  </si>
  <si>
    <t>glgA</t>
  </si>
  <si>
    <t>WP_009892827.1</t>
  </si>
  <si>
    <t>CDR20291_RS04630</t>
  </si>
  <si>
    <t>glycogen/starch/alpha-glucan phosphorylase</t>
  </si>
  <si>
    <t>WP_009892829.1</t>
  </si>
  <si>
    <t>CDR20291_RS04635</t>
  </si>
  <si>
    <t>glycoside hydrolase family 13 protein</t>
  </si>
  <si>
    <t>WP_009888718.1</t>
  </si>
  <si>
    <t>CDR20291_RS04640</t>
  </si>
  <si>
    <t>WP_009888720.1</t>
  </si>
  <si>
    <t>CDR20291_RS04645</t>
  </si>
  <si>
    <t>aminotransferase class I/II-fold pyridoxal phosphate-dependent enzyme</t>
  </si>
  <si>
    <t>WP_003437158.1</t>
  </si>
  <si>
    <t>CDR20291_RS04650</t>
  </si>
  <si>
    <t>adenosylmethionine decarboxylase</t>
  </si>
  <si>
    <t>speD</t>
  </si>
  <si>
    <t>WP_003418655.1</t>
  </si>
  <si>
    <t>CDR20291_RS04655</t>
  </si>
  <si>
    <t>polyamine aminopropyltransferase</t>
  </si>
  <si>
    <t>speE</t>
  </si>
  <si>
    <t>WP_009888722.1</t>
  </si>
  <si>
    <t>CDR20291_RS04660</t>
  </si>
  <si>
    <t>agmatinase</t>
  </si>
  <si>
    <t>speB</t>
  </si>
  <si>
    <t>WP_009888724.1</t>
  </si>
  <si>
    <t>CDR20291_RS04665</t>
  </si>
  <si>
    <t>cold-shock protein</t>
  </si>
  <si>
    <t>WP_003418660.1</t>
  </si>
  <si>
    <t>CDR20291_RS04670</t>
  </si>
  <si>
    <t>WP_009888725.1</t>
  </si>
  <si>
    <t>CDR20291_RS04675</t>
  </si>
  <si>
    <t>WP_009888726.1</t>
  </si>
  <si>
    <t>CDR20291_RS04680</t>
  </si>
  <si>
    <t>CDR20291_RS04685</t>
  </si>
  <si>
    <t>WP_012816072.1</t>
  </si>
  <si>
    <t>CDR20291_RS04690</t>
  </si>
  <si>
    <t>CDR20291_RS04695</t>
  </si>
  <si>
    <t>WP_003418667.1</t>
  </si>
  <si>
    <t>CDR20291_RS04700</t>
  </si>
  <si>
    <t>DUF6483 family protein</t>
  </si>
  <si>
    <t>WP_009888730.1</t>
  </si>
  <si>
    <t>CDR20291_RS04705</t>
  </si>
  <si>
    <t>DUF1846 domain-containing protein</t>
  </si>
  <si>
    <t>WP_003437136.1</t>
  </si>
  <si>
    <t>CDR20291_RS04710</t>
  </si>
  <si>
    <t>DNA polymerase IV</t>
  </si>
  <si>
    <t>dinB</t>
  </si>
  <si>
    <t>WP_009888734.1</t>
  </si>
  <si>
    <t>CDR20291_RS04715</t>
  </si>
  <si>
    <t>WP_003437132.1</t>
  </si>
  <si>
    <t>CDR20291_RS04720</t>
  </si>
  <si>
    <t>glycine betaine ABC transporter substrate-binding protein</t>
  </si>
  <si>
    <t>WP_003437129.1</t>
  </si>
  <si>
    <t>CDR20291_RS04725</t>
  </si>
  <si>
    <t>cation diffusion facilitator family transporter</t>
  </si>
  <si>
    <t>WP_003437125.1</t>
  </si>
  <si>
    <t>CDR20291_RS04730</t>
  </si>
  <si>
    <t>WP_003437122.1</t>
  </si>
  <si>
    <t>CDR20291_RS04735</t>
  </si>
  <si>
    <t>DUF6080 domain-containing protein</t>
  </si>
  <si>
    <t>WP_021422854.1</t>
  </si>
  <si>
    <t>CDR20291_RS04740</t>
  </si>
  <si>
    <t>decaprenyl-phosphate phosphoribosyltransferase</t>
  </si>
  <si>
    <t>WP_009888741.1</t>
  </si>
  <si>
    <t>CDR20291_RS04745</t>
  </si>
  <si>
    <t>HAD-IB family hydrolase</t>
  </si>
  <si>
    <t>WP_009888742.1</t>
  </si>
  <si>
    <t>CDR20291_RS04750</t>
  </si>
  <si>
    <t>COG2426 family protein</t>
  </si>
  <si>
    <t>WP_009888743.1</t>
  </si>
  <si>
    <t>CDR20291_RS04755</t>
  </si>
  <si>
    <t>WP_009888744.1</t>
  </si>
  <si>
    <t>CDR20291_RS04760</t>
  </si>
  <si>
    <t>30S ribosomal protein S1</t>
  </si>
  <si>
    <t>WP_004453528.1</t>
  </si>
  <si>
    <t>CDR20291_RS04765</t>
  </si>
  <si>
    <t>WP_009888745.1</t>
  </si>
  <si>
    <t>CDR20291_RS04770</t>
  </si>
  <si>
    <t>WP_009892857.1</t>
  </si>
  <si>
    <t>CDR20291_RS04775</t>
  </si>
  <si>
    <t>2-isopropylmalate synthase</t>
  </si>
  <si>
    <t>leuA</t>
  </si>
  <si>
    <t>WP_009892859.1</t>
  </si>
  <si>
    <t>CDR20291_RS04780</t>
  </si>
  <si>
    <t>3-isopropylmalate dehydratase large subunit</t>
  </si>
  <si>
    <t>leuC</t>
  </si>
  <si>
    <t>WP_009892861.1</t>
  </si>
  <si>
    <t>CDR20291_RS04785</t>
  </si>
  <si>
    <t>3-isopropylmalate dehydratase small subunit</t>
  </si>
  <si>
    <t>leuD</t>
  </si>
  <si>
    <t>WP_009888747.1</t>
  </si>
  <si>
    <t>CDR20291_RS04790</t>
  </si>
  <si>
    <t>3-isopropylmalate dehydrogenase</t>
  </si>
  <si>
    <t>leuB</t>
  </si>
  <si>
    <t>WP_009888748.1</t>
  </si>
  <si>
    <t>CDR20291_RS04795</t>
  </si>
  <si>
    <t>PaaI family thioesterase</t>
  </si>
  <si>
    <t>WP_003437086.1</t>
  </si>
  <si>
    <t>CDR20291_RS04800</t>
  </si>
  <si>
    <t>WP_009888750.1</t>
  </si>
  <si>
    <t>CDR20291_RS04805</t>
  </si>
  <si>
    <t>WP_003437082.1</t>
  </si>
  <si>
    <t>CDR20291_RS04810</t>
  </si>
  <si>
    <t>DUF1015 domain-containing protein</t>
  </si>
  <si>
    <t>WP_009888751.1</t>
  </si>
  <si>
    <t>CDR20291_RS04815</t>
  </si>
  <si>
    <t>WP_009888752.1</t>
  </si>
  <si>
    <t>CDR20291_RS04820</t>
  </si>
  <si>
    <t>YgiQ family radical SAM protein</t>
  </si>
  <si>
    <t>WP_009888753.1</t>
  </si>
  <si>
    <t>CDR20291_RS04825</t>
  </si>
  <si>
    <t>WP_009888754.1</t>
  </si>
  <si>
    <t>CDR20291_RS04830</t>
  </si>
  <si>
    <t>WP_009888755.1</t>
  </si>
  <si>
    <t>CDR20291_RS04835</t>
  </si>
  <si>
    <t>WP_003437066.1</t>
  </si>
  <si>
    <t>CDR20291_RS04840</t>
  </si>
  <si>
    <t>Cys-tRNA(Pro) deacylase</t>
  </si>
  <si>
    <t>ybaK</t>
  </si>
  <si>
    <t>WP_003437064.1</t>
  </si>
  <si>
    <t>CDR20291_RS04845</t>
  </si>
  <si>
    <t>fumarate hydratase</t>
  </si>
  <si>
    <t>WP_003437062.1</t>
  </si>
  <si>
    <t>CDR20291_RS04850</t>
  </si>
  <si>
    <t>Fe-S-containing hydro-lyase</t>
  </si>
  <si>
    <t>WP_003437060.1</t>
  </si>
  <si>
    <t>CDR20291_RS04855</t>
  </si>
  <si>
    <t>NAD(P)-dependent malic enzyme</t>
  </si>
  <si>
    <t>WP_009888757.1</t>
  </si>
  <si>
    <t>CDR20291_RS04860</t>
  </si>
  <si>
    <t>zinc ribbon domain-containing protein</t>
  </si>
  <si>
    <t>WP_003418727.1</t>
  </si>
  <si>
    <t>CDR20291_RS04865</t>
  </si>
  <si>
    <t>WP_003418728.1</t>
  </si>
  <si>
    <t>CDR20291_RS04870</t>
  </si>
  <si>
    <t>WP_009888761.1</t>
  </si>
  <si>
    <t>CDR20291_RS04875</t>
  </si>
  <si>
    <t>WP_009888764.1</t>
  </si>
  <si>
    <t>CDR20291_RS04880</t>
  </si>
  <si>
    <t>WP_009888766.1</t>
  </si>
  <si>
    <t>CDR20291_RS04885</t>
  </si>
  <si>
    <t>S1 RNA-binding domain-containing protein</t>
  </si>
  <si>
    <t>WP_009888767.1</t>
  </si>
  <si>
    <t>CDR20291_RS04890</t>
  </si>
  <si>
    <t>WP_003437044.1</t>
  </si>
  <si>
    <t>CDR20291_RS04895</t>
  </si>
  <si>
    <t>N-acetylglucosamine-6-phosphate deacetylase</t>
  </si>
  <si>
    <t>nagA</t>
  </si>
  <si>
    <t>WP_009888768.1</t>
  </si>
  <si>
    <t>CDR20291_RS04900</t>
  </si>
  <si>
    <t>glucosamine-6-phosphate deaminase</t>
  </si>
  <si>
    <t>nagB</t>
  </si>
  <si>
    <t>WP_009888769.1</t>
  </si>
  <si>
    <t>CDR20291_RS04905</t>
  </si>
  <si>
    <t>WP_160743638.1</t>
  </si>
  <si>
    <t>CDR20291_RS04910</t>
  </si>
  <si>
    <t>WP_009888771.1</t>
  </si>
  <si>
    <t>CDR20291_RS04915</t>
  </si>
  <si>
    <t>WP_009888772.1</t>
  </si>
  <si>
    <t>CDR20291_RS04920</t>
  </si>
  <si>
    <t>sensor domain-containing diguanylate cyclase</t>
  </si>
  <si>
    <t>WP_012816076.1</t>
  </si>
  <si>
    <t>CDR20291_RS04925</t>
  </si>
  <si>
    <t>WP_009888774.1</t>
  </si>
  <si>
    <t>CDR20291_RS04930</t>
  </si>
  <si>
    <t>WP_009888775.1</t>
  </si>
  <si>
    <t>CDR20291_RS04935</t>
  </si>
  <si>
    <t>WP_009892865.1</t>
  </si>
  <si>
    <t>CDR20291_RS04940</t>
  </si>
  <si>
    <t>polyphosphate polymerase domain-containing protein</t>
  </si>
  <si>
    <t>WP_009888776.1</t>
  </si>
  <si>
    <t>CDR20291_RS04945</t>
  </si>
  <si>
    <t>DUF4956 domain-containing protein</t>
  </si>
  <si>
    <t>WP_009888777.1</t>
  </si>
  <si>
    <t>CDR20291_RS04950</t>
  </si>
  <si>
    <t>CotH kinase family protein</t>
  </si>
  <si>
    <t>WP_009892866.1</t>
  </si>
  <si>
    <t>CDR20291_RS04955</t>
  </si>
  <si>
    <t>YczE/YyaS/YitT family protein</t>
  </si>
  <si>
    <t>WP_009892867.1</t>
  </si>
  <si>
    <t>CDR20291_RS04960</t>
  </si>
  <si>
    <t>WP_003418769.1</t>
  </si>
  <si>
    <t>CDR20291_RS04965</t>
  </si>
  <si>
    <t>spermidine/putrescine ABC transporter ATP-binding protein</t>
  </si>
  <si>
    <t>potA</t>
  </si>
  <si>
    <t>WP_003437017.1</t>
  </si>
  <si>
    <t>CDR20291_RS04970</t>
  </si>
  <si>
    <t>WP_003432157.1</t>
  </si>
  <si>
    <t>CDR20291_RS04975</t>
  </si>
  <si>
    <t>WP_003437015.1</t>
  </si>
  <si>
    <t>CDR20291_RS04980</t>
  </si>
  <si>
    <t>WP_009888785.1</t>
  </si>
  <si>
    <t>CDR20291_RS04985</t>
  </si>
  <si>
    <t>WP_003437011.1</t>
  </si>
  <si>
    <t>CDR20291_RS04990</t>
  </si>
  <si>
    <t>DUF2334 domain-containing protein</t>
  </si>
  <si>
    <t>WP_009888786.1</t>
  </si>
  <si>
    <t>CDR20291_RS04995</t>
  </si>
  <si>
    <t>WP_009888787.1</t>
  </si>
  <si>
    <t>CDR20291_RS05000</t>
  </si>
  <si>
    <t>cellulose biosynthesis cyclic di-GMP-binding regulatory protein BcsB</t>
  </si>
  <si>
    <t>WP_009892868.1</t>
  </si>
  <si>
    <t>CDR20291_RS05005</t>
  </si>
  <si>
    <t>glycoside hydrolase family 113</t>
  </si>
  <si>
    <t>WP_021407108.1</t>
  </si>
  <si>
    <t>CDR20291_RS05010</t>
  </si>
  <si>
    <t>non-hydrolyzing UDP-N-acetylglucosamine 2-epimerase</t>
  </si>
  <si>
    <t>wecB</t>
  </si>
  <si>
    <t>WP_009888791.1</t>
  </si>
  <si>
    <t>CDR20291_RS05015</t>
  </si>
  <si>
    <t>glycoside hydrolase family 73 protein</t>
  </si>
  <si>
    <t>WP_009888794.1</t>
  </si>
  <si>
    <t>CDR20291_RS05020</t>
  </si>
  <si>
    <t>CDR20291_RS05025</t>
  </si>
  <si>
    <t>CDR20291_RS05030</t>
  </si>
  <si>
    <t>CDR20291_RS05035</t>
  </si>
  <si>
    <t>CDR20291_RS05040</t>
  </si>
  <si>
    <t>WP_021401204.1</t>
  </si>
  <si>
    <t>CDR20291_RS05045</t>
  </si>
  <si>
    <t>WP_041160444.1</t>
  </si>
  <si>
    <t>CDR20291_RS05050</t>
  </si>
  <si>
    <t>WP_009892872.1</t>
  </si>
  <si>
    <t>CDR20291_RS05055</t>
  </si>
  <si>
    <t>WP_009888858.1</t>
  </si>
  <si>
    <t>CDR20291_RS05060</t>
  </si>
  <si>
    <t>PD-(D/E)XK nuclease family protein</t>
  </si>
  <si>
    <t>WP_003428590.1</t>
  </si>
  <si>
    <t>CDR20291_RS05065</t>
  </si>
  <si>
    <t>helicase-exonuclease AddAB subunit AddB</t>
  </si>
  <si>
    <t>addB</t>
  </si>
  <si>
    <t>WP_009892873.1</t>
  </si>
  <si>
    <t>CDR20291_RS05070</t>
  </si>
  <si>
    <t>helicase-exonuclease AddAB subunit AddA</t>
  </si>
  <si>
    <t>addA</t>
  </si>
  <si>
    <t>WP_009892874.1</t>
  </si>
  <si>
    <t>CDR20291_RS05075</t>
  </si>
  <si>
    <t>exonuclease SbcCD subunit D</t>
  </si>
  <si>
    <t>WP_009888859.1</t>
  </si>
  <si>
    <t>CDR20291_RS05080</t>
  </si>
  <si>
    <t>WP_009888860.1</t>
  </si>
  <si>
    <t>CDR20291_RS05085</t>
  </si>
  <si>
    <t>HlyC/CorC family transporter</t>
  </si>
  <si>
    <t>WP_009888861.1</t>
  </si>
  <si>
    <t>CDR20291_RS05090</t>
  </si>
  <si>
    <t>AI-2E family transporter</t>
  </si>
  <si>
    <t>WP_254221678.1</t>
  </si>
  <si>
    <t>CDR20291_RS05095</t>
  </si>
  <si>
    <t>WP_021407114.1</t>
  </si>
  <si>
    <t>CDR20291_RS19270</t>
  </si>
  <si>
    <t>peptidase T</t>
  </si>
  <si>
    <t>pepT</t>
  </si>
  <si>
    <t>WP_009888862.1</t>
  </si>
  <si>
    <t>CDR20291_RS05100</t>
  </si>
  <si>
    <t>cell wall-binding protein Cwp18</t>
  </si>
  <si>
    <t>WP_003437956.1</t>
  </si>
  <si>
    <t>CDR20291_RS05105</t>
  </si>
  <si>
    <t>phosphodiesterase</t>
  </si>
  <si>
    <t>yfcE</t>
  </si>
  <si>
    <t>WP_003428581.1</t>
  </si>
  <si>
    <t>CDR20291_RS05110</t>
  </si>
  <si>
    <t>NAD(+)/NADH kinase</t>
  </si>
  <si>
    <t>WP_003418878.1</t>
  </si>
  <si>
    <t>CDR20291_RS05115</t>
  </si>
  <si>
    <t>WP_009888863.1</t>
  </si>
  <si>
    <t>CDR20291_RS05120</t>
  </si>
  <si>
    <t>WP_009892875.1</t>
  </si>
  <si>
    <t>CDR20291_RS05125</t>
  </si>
  <si>
    <t>WP_009888864.1</t>
  </si>
  <si>
    <t>CDR20291_RS05130</t>
  </si>
  <si>
    <t>YbaK/EbsC family protein</t>
  </si>
  <si>
    <t>WP_009888865.1</t>
  </si>
  <si>
    <t>CDR20291_RS05135</t>
  </si>
  <si>
    <t>acyl-CoA dehydrogenase</t>
  </si>
  <si>
    <t>WP_009888866.1</t>
  </si>
  <si>
    <t>CDR20291_RS05140</t>
  </si>
  <si>
    <t>WP_009888867.1</t>
  </si>
  <si>
    <t>CDR20291_RS05145</t>
  </si>
  <si>
    <t>WP_003428573.1</t>
  </si>
  <si>
    <t>CDR20291_RS05150</t>
  </si>
  <si>
    <t>WP_003437965.1</t>
  </si>
  <si>
    <t>CDR20291_RS05155</t>
  </si>
  <si>
    <t>3-hydroxybutyryl-CoA dehydrogenase</t>
  </si>
  <si>
    <t>WP_003418897.1</t>
  </si>
  <si>
    <t>CDR20291_RS05160</t>
  </si>
  <si>
    <t>acetyl-CoA C-acetyltransferase</t>
  </si>
  <si>
    <t>WP_009888868.1</t>
  </si>
  <si>
    <t>CDR20291_RS05165</t>
  </si>
  <si>
    <t>RluA family pseudouridine synthase</t>
  </si>
  <si>
    <t>WP_009888869.1</t>
  </si>
  <si>
    <t>CDR20291_RS05170</t>
  </si>
  <si>
    <t>nucleoid-associated protein</t>
  </si>
  <si>
    <t>WP_003437972.1</t>
  </si>
  <si>
    <t>CDR20291_RS05175</t>
  </si>
  <si>
    <t>acyl carrier protein</t>
  </si>
  <si>
    <t>acpP</t>
  </si>
  <si>
    <t>WP_003418905.1</t>
  </si>
  <si>
    <t>CDR20291_RS05180</t>
  </si>
  <si>
    <t>WP_003428561.1</t>
  </si>
  <si>
    <t>CDR20291_RS05185</t>
  </si>
  <si>
    <t>WP_009888870.1</t>
  </si>
  <si>
    <t>CDR20291_RS05190</t>
  </si>
  <si>
    <t>WP_003418911.1</t>
  </si>
  <si>
    <t>CDR20291_RS05195</t>
  </si>
  <si>
    <t>WP_003428556.1</t>
  </si>
  <si>
    <t>CDR20291_RS05200</t>
  </si>
  <si>
    <t>LacI family transcriptional regulator CcpA</t>
  </si>
  <si>
    <t>ccpA</t>
  </si>
  <si>
    <t>WP_009888871.1</t>
  </si>
  <si>
    <t>CDR20291_RS05205</t>
  </si>
  <si>
    <t>WP_009888872.1</t>
  </si>
  <si>
    <t>CDR20291_RS05210</t>
  </si>
  <si>
    <t>WP_009892884.1</t>
  </si>
  <si>
    <t>CDR20291_RS05215</t>
  </si>
  <si>
    <t>6S RNA</t>
  </si>
  <si>
    <t>ssrS</t>
  </si>
  <si>
    <t>ncRNA</t>
  </si>
  <si>
    <t>CDR20291_RS05220</t>
  </si>
  <si>
    <t>exosporium morphogenetic protein CdeC</t>
  </si>
  <si>
    <t>cdeC</t>
  </si>
  <si>
    <t>WP_009888873.1</t>
  </si>
  <si>
    <t>CDR20291_RS05225</t>
  </si>
  <si>
    <t>polysaccharide biosynthesis protein</t>
  </si>
  <si>
    <t>WP_009888874.1</t>
  </si>
  <si>
    <t>CDR20291_RS05230</t>
  </si>
  <si>
    <t>histidinol-phosphatase HisJ family protein</t>
  </si>
  <si>
    <t>WP_009888875.1</t>
  </si>
  <si>
    <t>CDR20291_RS05235</t>
  </si>
  <si>
    <t>PLP-dependent aminotransferase family protein</t>
  </si>
  <si>
    <t>WP_009888876.1</t>
  </si>
  <si>
    <t>CDR20291_RS05240</t>
  </si>
  <si>
    <t>DUF896 domain-containing protein</t>
  </si>
  <si>
    <t>WP_003418943.1</t>
  </si>
  <si>
    <t>CDR20291_RS05245</t>
  </si>
  <si>
    <t>aminopeptidase</t>
  </si>
  <si>
    <t>WP_009888877.1</t>
  </si>
  <si>
    <t>CDR20291_RS05250</t>
  </si>
  <si>
    <t>WP_009888878.1</t>
  </si>
  <si>
    <t>CDR20291_RS05255</t>
  </si>
  <si>
    <t>WP_009888879.1</t>
  </si>
  <si>
    <t>CDR20291_RS05260</t>
  </si>
  <si>
    <t>BtpA/SgcQ family protein</t>
  </si>
  <si>
    <t>WP_009888880.1</t>
  </si>
  <si>
    <t>CDR20291_RS05265</t>
  </si>
  <si>
    <t>WP_009888881.1</t>
  </si>
  <si>
    <t>CDR20291_RS05270</t>
  </si>
  <si>
    <t>WP_009888882.1</t>
  </si>
  <si>
    <t>CDR20291_RS05275</t>
  </si>
  <si>
    <t>WP_009888883.1</t>
  </si>
  <si>
    <t>CDR20291_RS05280</t>
  </si>
  <si>
    <t>selenium metabolism-associated LysR family transcriptional regulator</t>
  </si>
  <si>
    <t>WP_009892888.1</t>
  </si>
  <si>
    <t>CDR20291_RS05285</t>
  </si>
  <si>
    <t>WP_009888884.1</t>
  </si>
  <si>
    <t>CDR20291_RS05290</t>
  </si>
  <si>
    <t>molybdopterin molybdotransferase MoeA</t>
  </si>
  <si>
    <t>WP_009888885.1</t>
  </si>
  <si>
    <t>CDR20291_RS05295</t>
  </si>
  <si>
    <t>molybdopterin-guanine dinucleotide biosynthesis protein B</t>
  </si>
  <si>
    <t>mobB</t>
  </si>
  <si>
    <t>WP_009888886.1</t>
  </si>
  <si>
    <t>CDR20291_RS05300</t>
  </si>
  <si>
    <t>WP_009892893.1</t>
  </si>
  <si>
    <t>CDR20291_RS05305</t>
  </si>
  <si>
    <t>WP_003438014.1</t>
  </si>
  <si>
    <t>CDR20291_RS05310</t>
  </si>
  <si>
    <t>WP_009888888.1</t>
  </si>
  <si>
    <t>CDR20291_RS05315</t>
  </si>
  <si>
    <t>WP_009888889.1</t>
  </si>
  <si>
    <t>CDR20291_RS05320</t>
  </si>
  <si>
    <t>zinc transporter ZupT</t>
  </si>
  <si>
    <t>zupT</t>
  </si>
  <si>
    <t>WP_009892895.1</t>
  </si>
  <si>
    <t>CDR20291_RS05325</t>
  </si>
  <si>
    <t>DUF2812 domain-containing protein</t>
  </si>
  <si>
    <t>WP_009888890.1</t>
  </si>
  <si>
    <t>CDR20291_RS05330</t>
  </si>
  <si>
    <t>two-component system response regulator RgbR</t>
  </si>
  <si>
    <t>rgbR</t>
  </si>
  <si>
    <t>WP_009888891.1</t>
  </si>
  <si>
    <t>CDR20291_RS05335</t>
  </si>
  <si>
    <t>WP_009892897.1</t>
  </si>
  <si>
    <t>CDR20291_RS05340</t>
  </si>
  <si>
    <t>WP_009892899.1</t>
  </si>
  <si>
    <t>CDR20291_RS05345</t>
  </si>
  <si>
    <t>glycyl radical protein</t>
  </si>
  <si>
    <t>WP_009888894.1</t>
  </si>
  <si>
    <t>CDR20291_RS05350</t>
  </si>
  <si>
    <t>glycyl-radical enzyme activating protein</t>
  </si>
  <si>
    <t>WP_009888895.1</t>
  </si>
  <si>
    <t>CDR20291_RS05355</t>
  </si>
  <si>
    <t>WP_009888896.1</t>
  </si>
  <si>
    <t>CDR20291_RS05360</t>
  </si>
  <si>
    <t>WP_009888897.1</t>
  </si>
  <si>
    <t>CDR20291_RS05365</t>
  </si>
  <si>
    <t>WP_009888898.1</t>
  </si>
  <si>
    <t>CDR20291_RS05370</t>
  </si>
  <si>
    <t>WP_003428522.1</t>
  </si>
  <si>
    <t>CDR20291_RS05375</t>
  </si>
  <si>
    <t>WP_009888899.1</t>
  </si>
  <si>
    <t>CDR20291_RS05380</t>
  </si>
  <si>
    <t>WP_009888900.1</t>
  </si>
  <si>
    <t>CDR20291_RS05385</t>
  </si>
  <si>
    <t>WP_009888901.1</t>
  </si>
  <si>
    <t>CDR20291_RS05390</t>
  </si>
  <si>
    <t>CDR20291_RS05395</t>
  </si>
  <si>
    <t>WP_012816091.1</t>
  </si>
  <si>
    <t>CDR20291_RS05400</t>
  </si>
  <si>
    <t>WP_009888904.1</t>
  </si>
  <si>
    <t>CDR20291_RS05405</t>
  </si>
  <si>
    <t>WP_009888905.1</t>
  </si>
  <si>
    <t>CDR20291_RS05410</t>
  </si>
  <si>
    <t>DHHW family protein</t>
  </si>
  <si>
    <t>WP_009892904.1</t>
  </si>
  <si>
    <t>CDR20291_RS05415</t>
  </si>
  <si>
    <t>MBOAT family O-acyltransferase</t>
  </si>
  <si>
    <t>WP_009888906.1</t>
  </si>
  <si>
    <t>CDR20291_RS05420</t>
  </si>
  <si>
    <t>CDR20291_RS05425</t>
  </si>
  <si>
    <t>DNA polymerase I</t>
  </si>
  <si>
    <t>polA</t>
  </si>
  <si>
    <t>WP_009888908.1</t>
  </si>
  <si>
    <t>CDR20291_RS05430</t>
  </si>
  <si>
    <t>dephospho-CoA kinase</t>
  </si>
  <si>
    <t>coaE</t>
  </si>
  <si>
    <t>WP_009892906.1</t>
  </si>
  <si>
    <t>CDR20291_RS05435</t>
  </si>
  <si>
    <t>WP_003438043.1</t>
  </si>
  <si>
    <t>CDR20291_RS05440</t>
  </si>
  <si>
    <t>WP_009888909.1</t>
  </si>
  <si>
    <t>CDR20291_RS05445</t>
  </si>
  <si>
    <t>heavy-metal-associated domain-containing protein</t>
  </si>
  <si>
    <t>WP_009888910.1</t>
  </si>
  <si>
    <t>CDR20291_RS05450</t>
  </si>
  <si>
    <t>WP_003419035.1</t>
  </si>
  <si>
    <t>CDR20291_RS05455</t>
  </si>
  <si>
    <t>WP_003419037.1</t>
  </si>
  <si>
    <t>CDR20291_RS05460</t>
  </si>
  <si>
    <t>WP_009888911.1</t>
  </si>
  <si>
    <t>CDR20291_RS05465</t>
  </si>
  <si>
    <t>WP_003438046.1</t>
  </si>
  <si>
    <t>CDR20291_RS05470</t>
  </si>
  <si>
    <t>electron transport complex subunit RsxC</t>
  </si>
  <si>
    <t>rsxC</t>
  </si>
  <si>
    <t>WP_003428488.1</t>
  </si>
  <si>
    <t>CDR20291_RS05475</t>
  </si>
  <si>
    <t>RnfABCDGE type electron transport complex subunit D</t>
  </si>
  <si>
    <t>WP_003428487.1</t>
  </si>
  <si>
    <t>CDR20291_RS05480</t>
  </si>
  <si>
    <t>RnfABCDGE type electron transport complex subunit G</t>
  </si>
  <si>
    <t>WP_009888912.1</t>
  </si>
  <si>
    <t>CDR20291_RS05485</t>
  </si>
  <si>
    <t>RnfABCDGE type electron transport complex subunit E</t>
  </si>
  <si>
    <t>WP_003419045.1</t>
  </si>
  <si>
    <t>CDR20291_RS05490</t>
  </si>
  <si>
    <t>electron transport complex subunit RsxA</t>
  </si>
  <si>
    <t>rsxA</t>
  </si>
  <si>
    <t>WP_003419046.1</t>
  </si>
  <si>
    <t>CDR20291_RS05495</t>
  </si>
  <si>
    <t>RnfABCDGE type electron transport complex subunit B</t>
  </si>
  <si>
    <t>WP_003428486.1</t>
  </si>
  <si>
    <t>CDR20291_RS05500</t>
  </si>
  <si>
    <t>Maf family protein</t>
  </si>
  <si>
    <t>WP_003428485.1</t>
  </si>
  <si>
    <t>CDR20291_RS05505</t>
  </si>
  <si>
    <t>RadC family protein</t>
  </si>
  <si>
    <t>radC</t>
  </si>
  <si>
    <t>WP_009888913.1</t>
  </si>
  <si>
    <t>CDR20291_RS05510</t>
  </si>
  <si>
    <t>WP_003428483.1</t>
  </si>
  <si>
    <t>CDR20291_RS05515</t>
  </si>
  <si>
    <t>rod shape-determining protein MreC</t>
  </si>
  <si>
    <t>mreC</t>
  </si>
  <si>
    <t>WP_009892910.1</t>
  </si>
  <si>
    <t>CDR20291_RS05520</t>
  </si>
  <si>
    <t>rod shape-determining protein MreD</t>
  </si>
  <si>
    <t>mreD</t>
  </si>
  <si>
    <t>WP_003438053.1</t>
  </si>
  <si>
    <t>CDR20291_RS05525</t>
  </si>
  <si>
    <t>penicillin-binding transpeptidase domain-containing protein</t>
  </si>
  <si>
    <t>WP_009888914.1</t>
  </si>
  <si>
    <t>CDR20291_RS05530</t>
  </si>
  <si>
    <t>septum site-determining protein MinC</t>
  </si>
  <si>
    <t>minC</t>
  </si>
  <si>
    <t>WP_009888915.1</t>
  </si>
  <si>
    <t>CDR20291_RS05535</t>
  </si>
  <si>
    <t>septum site-determining protein MinD</t>
  </si>
  <si>
    <t>minD</t>
  </si>
  <si>
    <t>WP_003419057.1</t>
  </si>
  <si>
    <t>CDR20291_RS05540</t>
  </si>
  <si>
    <t>cell division topological specificity factor MinE</t>
  </si>
  <si>
    <t>minE</t>
  </si>
  <si>
    <t>WP_003419058.1</t>
  </si>
  <si>
    <t>CDR20291_RS05545</t>
  </si>
  <si>
    <t>rod shape-determining protein RodA</t>
  </si>
  <si>
    <t>rodA</t>
  </si>
  <si>
    <t>WP_009888916.1</t>
  </si>
  <si>
    <t>CDR20291_RS05550</t>
  </si>
  <si>
    <t>methylglyoxal synthase</t>
  </si>
  <si>
    <t>WP_003438060.1</t>
  </si>
  <si>
    <t>CDR20291_RS05555</t>
  </si>
  <si>
    <t>WP_003419063.1</t>
  </si>
  <si>
    <t>CDR20291_RS05560</t>
  </si>
  <si>
    <t>WP_009888917.1</t>
  </si>
  <si>
    <t>CDR20291_RS05565</t>
  </si>
  <si>
    <t>transglutaminase-like domain-containing protein</t>
  </si>
  <si>
    <t>WP_009888918.1</t>
  </si>
  <si>
    <t>CDR20291_RS05570</t>
  </si>
  <si>
    <t>FprA family A-type flavoprotein</t>
  </si>
  <si>
    <t>WP_003428474.1</t>
  </si>
  <si>
    <t>CDR20291_RS05575</t>
  </si>
  <si>
    <t>TIGR03960 family B12-binding radical SAM protein</t>
  </si>
  <si>
    <t>WP_009892912.1</t>
  </si>
  <si>
    <t>CDR20291_RS05580</t>
  </si>
  <si>
    <t>TIGR03936 family radical SAM-associated protein</t>
  </si>
  <si>
    <t>WP_003438070.1</t>
  </si>
  <si>
    <t>CDR20291_RS05585</t>
  </si>
  <si>
    <t>Rne/Rng family ribonuclease</t>
  </si>
  <si>
    <t>WP_009892913.1</t>
  </si>
  <si>
    <t>CDR20291_RS05590</t>
  </si>
  <si>
    <t>50S ribosomal protein L21</t>
  </si>
  <si>
    <t>rplU</t>
  </si>
  <si>
    <t>WP_003419082.1</t>
  </si>
  <si>
    <t>CDR20291_RS05595</t>
  </si>
  <si>
    <t>ribosomal-processing cysteine protease Prp</t>
  </si>
  <si>
    <t>WP_003438074.1</t>
  </si>
  <si>
    <t>CDR20291_RS05600</t>
  </si>
  <si>
    <t>50S ribosomal protein L27</t>
  </si>
  <si>
    <t>rpmA</t>
  </si>
  <si>
    <t>WP_003419086.1</t>
  </si>
  <si>
    <t>CDR20291_RS05605</t>
  </si>
  <si>
    <t>GTPase ObgE</t>
  </si>
  <si>
    <t>obgE</t>
  </si>
  <si>
    <t>WP_009888921.1</t>
  </si>
  <si>
    <t>CDR20291_RS05610</t>
  </si>
  <si>
    <t>YhbY family RNA-binding protein</t>
  </si>
  <si>
    <t>WP_003428464.1</t>
  </si>
  <si>
    <t>CDR20291_RS05615</t>
  </si>
  <si>
    <t>homoserine dehydrogenase</t>
  </si>
  <si>
    <t>WP_003438080.1</t>
  </si>
  <si>
    <t>CDR20291_RS05620</t>
  </si>
  <si>
    <t>tyrosine-type recombinase/integrase</t>
  </si>
  <si>
    <t>WP_003419093.1</t>
  </si>
  <si>
    <t>CDR20291_RS05625</t>
  </si>
  <si>
    <t>WP_009892914.1</t>
  </si>
  <si>
    <t>CDR20291_RS05630</t>
  </si>
  <si>
    <t>WP_003438086.1</t>
  </si>
  <si>
    <t>CDR20291_RS05635</t>
  </si>
  <si>
    <t>nickel-dependent lactate racemase</t>
  </si>
  <si>
    <t>larA</t>
  </si>
  <si>
    <t>WP_003438088.1</t>
  </si>
  <si>
    <t>CDR20291_RS05640</t>
  </si>
  <si>
    <t>WP_003438090.1</t>
  </si>
  <si>
    <t>CDR20291_RS05645</t>
  </si>
  <si>
    <t>FAD-binding protein</t>
  </si>
  <si>
    <t>WP_003438092.1</t>
  </si>
  <si>
    <t>CDR20291_RS05650</t>
  </si>
  <si>
    <t>FAD-binding oxidoreductase</t>
  </si>
  <si>
    <t>WP_003438093.1</t>
  </si>
  <si>
    <t>CDR20291_RS05655</t>
  </si>
  <si>
    <t>nucleotidyltransferase</t>
  </si>
  <si>
    <t>WP_009892915.1</t>
  </si>
  <si>
    <t>CDR20291_RS05660</t>
  </si>
  <si>
    <t>acetate/propionate family kinase</t>
  </si>
  <si>
    <t>WP_003438096.1</t>
  </si>
  <si>
    <t>CDR20291_RS05665</t>
  </si>
  <si>
    <t>YceD family protein</t>
  </si>
  <si>
    <t>WP_009888924.1</t>
  </si>
  <si>
    <t>CDR20291_RS05670</t>
  </si>
  <si>
    <t>50S ribosomal protein L32</t>
  </si>
  <si>
    <t>rpmF</t>
  </si>
  <si>
    <t>WP_003419113.1</t>
  </si>
  <si>
    <t>CDR20291_RS05675</t>
  </si>
  <si>
    <t>transcription factor FapR</t>
  </si>
  <si>
    <t>fapR</t>
  </si>
  <si>
    <t>WP_003419115.1</t>
  </si>
  <si>
    <t>CDR20291_RS05680</t>
  </si>
  <si>
    <t>phosphate acyltransferase PlsX</t>
  </si>
  <si>
    <t>plsX</t>
  </si>
  <si>
    <t>WP_003428446.1</t>
  </si>
  <si>
    <t>CDR20291_RS05685</t>
  </si>
  <si>
    <t>beta-ketoacyl-ACP synthase III</t>
  </si>
  <si>
    <t>WP_003438099.1</t>
  </si>
  <si>
    <t>CDR20291_RS05690</t>
  </si>
  <si>
    <t>enoyl-[acyl-carrier-protein] reductase FabK</t>
  </si>
  <si>
    <t>fabK</t>
  </si>
  <si>
    <t>WP_003419125.1</t>
  </si>
  <si>
    <t>CDR20291_RS05695</t>
  </si>
  <si>
    <t>ACP S-malonyltransferase</t>
  </si>
  <si>
    <t>fabD</t>
  </si>
  <si>
    <t>WP_009892919.1</t>
  </si>
  <si>
    <t>CDR20291_RS05700</t>
  </si>
  <si>
    <t>3-oxoacyl-[acyl-carrier-protein] reductase</t>
  </si>
  <si>
    <t>fabG</t>
  </si>
  <si>
    <t>WP_009888925.1</t>
  </si>
  <si>
    <t>CDR20291_RS05705</t>
  </si>
  <si>
    <t>WP_003419132.1</t>
  </si>
  <si>
    <t>CDR20291_RS05710</t>
  </si>
  <si>
    <t>beta-ketoacyl-ACP synthase II</t>
  </si>
  <si>
    <t>fabF</t>
  </si>
  <si>
    <t>WP_003438103.1</t>
  </si>
  <si>
    <t>CDR20291_RS05715</t>
  </si>
  <si>
    <t>WP_009892922.1</t>
  </si>
  <si>
    <t>CDR20291_RS05720</t>
  </si>
  <si>
    <t>WP_009892923.1</t>
  </si>
  <si>
    <t>CDR20291_RS05725</t>
  </si>
  <si>
    <t>TIGR03905 family TSCPD domain-containing protein</t>
  </si>
  <si>
    <t>WP_003428433.1</t>
  </si>
  <si>
    <t>CDR20291_RS05730</t>
  </si>
  <si>
    <t>gamma-glutamyl-gamma-aminobutyrate hydrolase family protein</t>
  </si>
  <si>
    <t>WP_009888928.1</t>
  </si>
  <si>
    <t>CDR20291_RS05735</t>
  </si>
  <si>
    <t>WP_009888932.1</t>
  </si>
  <si>
    <t>CDR20291_RS05740</t>
  </si>
  <si>
    <t>WP_009904146.1</t>
  </si>
  <si>
    <t>CDR20291_RS05745</t>
  </si>
  <si>
    <t>fructose-bisphosphatase class III</t>
  </si>
  <si>
    <t>WP_009892926.1</t>
  </si>
  <si>
    <t>CDR20291_RS05750</t>
  </si>
  <si>
    <t>stage III sporulation protein AA</t>
  </si>
  <si>
    <t>spoIIIAA</t>
  </si>
  <si>
    <t>WP_009888935.1</t>
  </si>
  <si>
    <t>CDR20291_RS05755</t>
  </si>
  <si>
    <t>stage III sporulation protein AB</t>
  </si>
  <si>
    <t>WP_009888936.1</t>
  </si>
  <si>
    <t>CDR20291_RS05760</t>
  </si>
  <si>
    <t>stage III sporulation protein AC</t>
  </si>
  <si>
    <t>spoIIIAC</t>
  </si>
  <si>
    <t>WP_009888937.1</t>
  </si>
  <si>
    <t>CDR20291_RS05765</t>
  </si>
  <si>
    <t>stage III sporulation protein AD</t>
  </si>
  <si>
    <t>spoIIIAD</t>
  </si>
  <si>
    <t>WP_003428424.1</t>
  </si>
  <si>
    <t>CDR20291_RS05770</t>
  </si>
  <si>
    <t>stage III sporulation protein AE</t>
  </si>
  <si>
    <t>spoIIIAE</t>
  </si>
  <si>
    <t>WP_003438121.1</t>
  </si>
  <si>
    <t>CDR20291_RS05775</t>
  </si>
  <si>
    <t>stage III sporulation protein AF</t>
  </si>
  <si>
    <t>WP_003438123.1</t>
  </si>
  <si>
    <t>CDR20291_RS05780</t>
  </si>
  <si>
    <t>stage III sporulation protein AG</t>
  </si>
  <si>
    <t>WP_009888945.1</t>
  </si>
  <si>
    <t>CDR20291_RS05785</t>
  </si>
  <si>
    <t>SpoIIIAH-like family protein</t>
  </si>
  <si>
    <t>WP_009888947.1</t>
  </si>
  <si>
    <t>CDR20291_RS05790</t>
  </si>
  <si>
    <t>Asp23/Gls24 family envelope stress response protein</t>
  </si>
  <si>
    <t>WP_003419170.1</t>
  </si>
  <si>
    <t>CDR20291_RS05795</t>
  </si>
  <si>
    <t>transcription antitermination factor NusB</t>
  </si>
  <si>
    <t>nusB</t>
  </si>
  <si>
    <t>WP_003428415.1</t>
  </si>
  <si>
    <t>CDR20291_RS05800</t>
  </si>
  <si>
    <t>O-sialoglycoprotein endopeptidase</t>
  </si>
  <si>
    <t>WP_009888948.1</t>
  </si>
  <si>
    <t>CDR20291_RS05805</t>
  </si>
  <si>
    <t>exodeoxyribonuclease VII large subunit</t>
  </si>
  <si>
    <t>xseA</t>
  </si>
  <si>
    <t>WP_009888950.1</t>
  </si>
  <si>
    <t>CDR20291_RS05810</t>
  </si>
  <si>
    <t>exodeoxyribonuclease VII small subunit</t>
  </si>
  <si>
    <t>xseB</t>
  </si>
  <si>
    <t>WP_003428410.1</t>
  </si>
  <si>
    <t>CDR20291_RS05815</t>
  </si>
  <si>
    <t>polyprenyl synthetase family protein</t>
  </si>
  <si>
    <t>WP_009888951.1</t>
  </si>
  <si>
    <t>CDR20291_RS05820</t>
  </si>
  <si>
    <t>divergent PAP2 family protein</t>
  </si>
  <si>
    <t>WP_003428407.1</t>
  </si>
  <si>
    <t>CDR20291_RS05825</t>
  </si>
  <si>
    <t>1-deoxy-D-xylulose-5-phosphate synthase</t>
  </si>
  <si>
    <t>dxs</t>
  </si>
  <si>
    <t>WP_009892932.1</t>
  </si>
  <si>
    <t>CDR20291_RS05830</t>
  </si>
  <si>
    <t>TlyA family RNA methyltransferase</t>
  </si>
  <si>
    <t>WP_009888952.1</t>
  </si>
  <si>
    <t>CDR20291_RS05835</t>
  </si>
  <si>
    <t>DNA repair protein RecN</t>
  </si>
  <si>
    <t>recN</t>
  </si>
  <si>
    <t>WP_012816096.1</t>
  </si>
  <si>
    <t>CDR20291_RS05840</t>
  </si>
  <si>
    <t>WP_009888954.1</t>
  </si>
  <si>
    <t>CDR20291_RS05845</t>
  </si>
  <si>
    <t>WP_021419323.1</t>
  </si>
  <si>
    <t>CDR20291_RS05850</t>
  </si>
  <si>
    <t>WP_009888959.1</t>
  </si>
  <si>
    <t>CDR20291_RS05855</t>
  </si>
  <si>
    <t>WP_009892933.1</t>
  </si>
  <si>
    <t>CDR20291_RS05860</t>
  </si>
  <si>
    <t>sporulation transcription factor Spo0A</t>
  </si>
  <si>
    <t>spo0A</t>
  </si>
  <si>
    <t>WP_003424711.1</t>
  </si>
  <si>
    <t>CDR20291_RS05865</t>
  </si>
  <si>
    <t>putative cytokinetic ring protein SteA</t>
  </si>
  <si>
    <t>steA</t>
  </si>
  <si>
    <t>WP_003428389.1</t>
  </si>
  <si>
    <t>CDR20291_RS05870</t>
  </si>
  <si>
    <t>copper transporter</t>
  </si>
  <si>
    <t>WP_009888966.1</t>
  </si>
  <si>
    <t>CDR20291_RS05875</t>
  </si>
  <si>
    <t>glycosyltransferase family 2 protein</t>
  </si>
  <si>
    <t>WP_003438150.1</t>
  </si>
  <si>
    <t>CDR20291_RS05880</t>
  </si>
  <si>
    <t>glycosyl transferase</t>
  </si>
  <si>
    <t>WP_003419210.1</t>
  </si>
  <si>
    <t>CDR20291_RS05885</t>
  </si>
  <si>
    <t>DUF3866 family protein</t>
  </si>
  <si>
    <t>WP_009888971.1</t>
  </si>
  <si>
    <t>CDR20291_RS05890</t>
  </si>
  <si>
    <t>WP_003428379.1</t>
  </si>
  <si>
    <t>CDR20291_RS05895</t>
  </si>
  <si>
    <t>stage II sporulation protein M</t>
  </si>
  <si>
    <t>WP_009888973.1</t>
  </si>
  <si>
    <t>CDR20291_RS05900</t>
  </si>
  <si>
    <t>WP_003428375.1</t>
  </si>
  <si>
    <t>CDR20291_RS05905</t>
  </si>
  <si>
    <t>phosphopentomutase</t>
  </si>
  <si>
    <t>WP_003438158.1</t>
  </si>
  <si>
    <t>CDR20291_RS05910</t>
  </si>
  <si>
    <t>purine-nucleoside phosphorylase</t>
  </si>
  <si>
    <t>WP_009888977.1</t>
  </si>
  <si>
    <t>CDR20291_RS05915</t>
  </si>
  <si>
    <t>pyrimidine-nucleoside phosphorylase</t>
  </si>
  <si>
    <t>WP_009892935.1</t>
  </si>
  <si>
    <t>CDR20291_RS05920</t>
  </si>
  <si>
    <t>endolytic transglycosylase MltG</t>
  </si>
  <si>
    <t>mltG</t>
  </si>
  <si>
    <t>WP_003438164.1</t>
  </si>
  <si>
    <t>CDR20291_RS05925</t>
  </si>
  <si>
    <t>O-methyltransferase</t>
  </si>
  <si>
    <t>WP_009888982.1</t>
  </si>
  <si>
    <t>CDR20291_RS05930</t>
  </si>
  <si>
    <t>peptidase U32 family protein</t>
  </si>
  <si>
    <t>WP_009888984.1</t>
  </si>
  <si>
    <t>CDR20291_RS05935</t>
  </si>
  <si>
    <t>peptidoglycan D,D-transpeptidase FtsI family protein</t>
  </si>
  <si>
    <t>WP_003438168.1</t>
  </si>
  <si>
    <t>CDR20291_RS05940</t>
  </si>
  <si>
    <t>WP_003419254.1</t>
  </si>
  <si>
    <t>CDR20291_RS05945</t>
  </si>
  <si>
    <t>recombinase family protein</t>
  </si>
  <si>
    <t>WP_009888987.1</t>
  </si>
  <si>
    <t>CDR20291_RS05950</t>
  </si>
  <si>
    <t>WP_009888988.1</t>
  </si>
  <si>
    <t>CDR20291_RS05955</t>
  </si>
  <si>
    <t>cell wall-binding protein Cwp26</t>
  </si>
  <si>
    <t>WP_009888990.1</t>
  </si>
  <si>
    <t>CDR20291_RS05960</t>
  </si>
  <si>
    <t>WP_009888992.1</t>
  </si>
  <si>
    <t>CDR20291_RS05965</t>
  </si>
  <si>
    <t>WP_009888993.1</t>
  </si>
  <si>
    <t>CDR20291_RS05970</t>
  </si>
  <si>
    <t>WP_009888998.1</t>
  </si>
  <si>
    <t>CDR20291_RS05975</t>
  </si>
  <si>
    <t>WP_009889000.1</t>
  </si>
  <si>
    <t>CDR20291_RS05980</t>
  </si>
  <si>
    <t>WP_003433385.1</t>
  </si>
  <si>
    <t>CDR20291_RS05985</t>
  </si>
  <si>
    <t>WP_003433383.1</t>
  </si>
  <si>
    <t>CDR20291_RS05990</t>
  </si>
  <si>
    <t>WP_009889006.1</t>
  </si>
  <si>
    <t>CDR20291_RS05995</t>
  </si>
  <si>
    <t>WP_009889007.1</t>
  </si>
  <si>
    <t>CDR20291_RS06000</t>
  </si>
  <si>
    <t>WP_009889008.1</t>
  </si>
  <si>
    <t>CDR20291_RS06005</t>
  </si>
  <si>
    <t>CDR20291_RS19470</t>
  </si>
  <si>
    <t>glycopeptide resistance protein VanZ1</t>
  </si>
  <si>
    <t>vanZ1</t>
  </si>
  <si>
    <t>WP_009889012.1</t>
  </si>
  <si>
    <t>CDR20291_RS06015</t>
  </si>
  <si>
    <t>WP_009889013.1</t>
  </si>
  <si>
    <t>CDR20291_RS06020</t>
  </si>
  <si>
    <t>WP_003438191.1</t>
  </si>
  <si>
    <t>CDR20291_RS06025</t>
  </si>
  <si>
    <t>WP_009892945.1</t>
  </si>
  <si>
    <t>CDR20291_RS06030</t>
  </si>
  <si>
    <t>WP_009889017.1</t>
  </si>
  <si>
    <t>CDR20291_RS06035</t>
  </si>
  <si>
    <t>WP_009889019.1</t>
  </si>
  <si>
    <t>CDR20291_RS06040</t>
  </si>
  <si>
    <t>WP_009889021.1</t>
  </si>
  <si>
    <t>CDR20291_RS06045</t>
  </si>
  <si>
    <t>elongation factor P</t>
  </si>
  <si>
    <t>efp</t>
  </si>
  <si>
    <t>WP_009889023.1</t>
  </si>
  <si>
    <t>CDR20291_RS06050</t>
  </si>
  <si>
    <t>CD1247 N-terminal domain-containing protein</t>
  </si>
  <si>
    <t>WP_009889025.1</t>
  </si>
  <si>
    <t>CDR20291_RS06055</t>
  </si>
  <si>
    <t>ribonuclease III</t>
  </si>
  <si>
    <t>rnc</t>
  </si>
  <si>
    <t>WP_003428341.1</t>
  </si>
  <si>
    <t>CDR20291_RS06060</t>
  </si>
  <si>
    <t>elongator complex protein 3</t>
  </si>
  <si>
    <t>WP_003438208.1</t>
  </si>
  <si>
    <t>CDR20291_RS06065</t>
  </si>
  <si>
    <t>chromosome segregation protein SMC</t>
  </si>
  <si>
    <t>smc</t>
  </si>
  <si>
    <t>WP_009892950.1</t>
  </si>
  <si>
    <t>CDR20291_RS06070</t>
  </si>
  <si>
    <t>signal recognition particle-docking protein FtsY</t>
  </si>
  <si>
    <t>ftsY</t>
  </si>
  <si>
    <t>WP_009892952.1</t>
  </si>
  <si>
    <t>CDR20291_RS06075</t>
  </si>
  <si>
    <t>YlxM family DNA-binding protein</t>
  </si>
  <si>
    <t>ylxM</t>
  </si>
  <si>
    <t>WP_003419333.1</t>
  </si>
  <si>
    <t>CDR20291_RS06080</t>
  </si>
  <si>
    <t>signal recognition particle protein</t>
  </si>
  <si>
    <t>ffh</t>
  </si>
  <si>
    <t>WP_009899772.1</t>
  </si>
  <si>
    <t>CDR20291_RS06085</t>
  </si>
  <si>
    <t>30S ribosomal protein S16</t>
  </si>
  <si>
    <t>rpsP</t>
  </si>
  <si>
    <t>WP_003419338.1</t>
  </si>
  <si>
    <t>CDR20291_RS06090</t>
  </si>
  <si>
    <t>KH domain-containing protein</t>
  </si>
  <si>
    <t>WP_003419342.1</t>
  </si>
  <si>
    <t>CDR20291_RS06095</t>
  </si>
  <si>
    <t>ribosome maturation factor RimM</t>
  </si>
  <si>
    <t>rimM</t>
  </si>
  <si>
    <t>WP_009889030.1</t>
  </si>
  <si>
    <t>CDR20291_RS06100</t>
  </si>
  <si>
    <t>tRNA (guanosine(37)-N1)-methyltransferase TrmD</t>
  </si>
  <si>
    <t>trmD</t>
  </si>
  <si>
    <t>WP_009889031.1</t>
  </si>
  <si>
    <t>CDR20291_RS06105</t>
  </si>
  <si>
    <t>50S ribosomal protein L19</t>
  </si>
  <si>
    <t>rplS</t>
  </si>
  <si>
    <t>WP_003419350.1</t>
  </si>
  <si>
    <t>CDR20291_RS06110</t>
  </si>
  <si>
    <t>ribosome biogenesis GTPase YlqF</t>
  </si>
  <si>
    <t>ylqF</t>
  </si>
  <si>
    <t>WP_009889032.1</t>
  </si>
  <si>
    <t>CDR20291_RS06115</t>
  </si>
  <si>
    <t>branched-chain amino acid transport system II carrier protein</t>
  </si>
  <si>
    <t>brnQ</t>
  </si>
  <si>
    <t>WP_009889033.1</t>
  </si>
  <si>
    <t>CDR20291_RS06120</t>
  </si>
  <si>
    <t>WP_009889035.1</t>
  </si>
  <si>
    <t>CDR20291_RS06125</t>
  </si>
  <si>
    <t>adenosylcobalamin-dependent ribonucleoside-diphosphate reductase</t>
  </si>
  <si>
    <t>WP_009889037.1</t>
  </si>
  <si>
    <t>CDR20291_RS06130</t>
  </si>
  <si>
    <t>ribonuclease HII</t>
  </si>
  <si>
    <t>WP_003438239.1</t>
  </si>
  <si>
    <t>CDR20291_RS06135</t>
  </si>
  <si>
    <t>alpha-hydroxy-acid oxidizing protein</t>
  </si>
  <si>
    <t>WP_009889040.1</t>
  </si>
  <si>
    <t>CDR20291_RS06140</t>
  </si>
  <si>
    <t>WP_009889042.1</t>
  </si>
  <si>
    <t>CDR20291_RS06145</t>
  </si>
  <si>
    <t>CarD family transcriptional regulator</t>
  </si>
  <si>
    <t>WP_009889044.1</t>
  </si>
  <si>
    <t>CDR20291_RS06150</t>
  </si>
  <si>
    <t>WP_009892954.1</t>
  </si>
  <si>
    <t>CDR20291_RS06155</t>
  </si>
  <si>
    <t>WP_009892956.1</t>
  </si>
  <si>
    <t>CDR20291_RS06160</t>
  </si>
  <si>
    <t>WP_009889046.1</t>
  </si>
  <si>
    <t>CDR20291_RS06165</t>
  </si>
  <si>
    <t>WP_009889048.1</t>
  </si>
  <si>
    <t>CDR20291_RS06170</t>
  </si>
  <si>
    <t>WP_009889050.1</t>
  </si>
  <si>
    <t>CDR20291_RS06175</t>
  </si>
  <si>
    <t>YraN family protein</t>
  </si>
  <si>
    <t>WP_009889052.1</t>
  </si>
  <si>
    <t>CDR20291_RS06180</t>
  </si>
  <si>
    <t>YifB family Mg chelatase-like AAA ATPase</t>
  </si>
  <si>
    <t>WP_009889054.1</t>
  </si>
  <si>
    <t>CDR20291_RS06185</t>
  </si>
  <si>
    <t>DNA-processing protein DprA</t>
  </si>
  <si>
    <t>dprA</t>
  </si>
  <si>
    <t>WP_009889056.1</t>
  </si>
  <si>
    <t>CDR20291_RS06190</t>
  </si>
  <si>
    <t>type I DNA topoisomerase</t>
  </si>
  <si>
    <t>topA</t>
  </si>
  <si>
    <t>WP_009892959.1</t>
  </si>
  <si>
    <t>CDR20291_RS06195</t>
  </si>
  <si>
    <t>GTP-sensing pleiotropic transcriptional regulator CodY</t>
  </si>
  <si>
    <t>codY</t>
  </si>
  <si>
    <t>WP_003438268.1</t>
  </si>
  <si>
    <t>CDR20291_RS06200</t>
  </si>
  <si>
    <t>replication-associated recombination protein A</t>
  </si>
  <si>
    <t>WP_009889058.1</t>
  </si>
  <si>
    <t>CDR20291_RS06205</t>
  </si>
  <si>
    <t>WP_009889060.1</t>
  </si>
  <si>
    <t>CDR20291_RS06210</t>
  </si>
  <si>
    <t>RrF2 family transcriptional regulator</t>
  </si>
  <si>
    <t>WP_003419409.1</t>
  </si>
  <si>
    <t>CDR20291_RS06215</t>
  </si>
  <si>
    <t>cysteine desulfurase NifS</t>
  </si>
  <si>
    <t>nifS</t>
  </si>
  <si>
    <t>WP_009892962.1</t>
  </si>
  <si>
    <t>CDR20291_RS06220</t>
  </si>
  <si>
    <t>Fe-S cluster assembly scaffold protein NifU</t>
  </si>
  <si>
    <t>nifU</t>
  </si>
  <si>
    <t>WP_003438275.1</t>
  </si>
  <si>
    <t>CDR20291_RS06225</t>
  </si>
  <si>
    <t>tRNA 2-thiouridine(34) synthase MnmA</t>
  </si>
  <si>
    <t>mnmA</t>
  </si>
  <si>
    <t>WP_003438277.1</t>
  </si>
  <si>
    <t>CDR20291_RS06230</t>
  </si>
  <si>
    <t>alanine--tRNA ligase</t>
  </si>
  <si>
    <t>alaS</t>
  </si>
  <si>
    <t>WP_009889064.1</t>
  </si>
  <si>
    <t>CDR20291_RS06235</t>
  </si>
  <si>
    <t>IreB family regulatory phosphoprotein</t>
  </si>
  <si>
    <t>WP_003419418.1</t>
  </si>
  <si>
    <t>CDR20291_RS06240</t>
  </si>
  <si>
    <t>WP_009889066.1</t>
  </si>
  <si>
    <t>CDR20291_RS06245</t>
  </si>
  <si>
    <t>Holliday junction resolvase RuvX</t>
  </si>
  <si>
    <t>ruvX</t>
  </si>
  <si>
    <t>WP_003428279.1</t>
  </si>
  <si>
    <t>CDR20291_RS06250</t>
  </si>
  <si>
    <t>DUF1292 domain-containing protein</t>
  </si>
  <si>
    <t>WP_009889069.1</t>
  </si>
  <si>
    <t>CDR20291_RS06255</t>
  </si>
  <si>
    <t>WP_003419428.1</t>
  </si>
  <si>
    <t>CDR20291_RS06260</t>
  </si>
  <si>
    <t>metal-dependent hydrolase</t>
  </si>
  <si>
    <t>WP_003428273.1</t>
  </si>
  <si>
    <t>CDR20291_RS06265</t>
  </si>
  <si>
    <t>ribonuclease J</t>
  </si>
  <si>
    <t>WP_011861169.1</t>
  </si>
  <si>
    <t>CDR20291_RS06270</t>
  </si>
  <si>
    <t>CD1290 family small acid-soluble spore protein</t>
  </si>
  <si>
    <t>WP_003428269.1</t>
  </si>
  <si>
    <t>CDR20291_RS06275</t>
  </si>
  <si>
    <t>WP_003428267.1</t>
  </si>
  <si>
    <t>CDR20291_RS06280</t>
  </si>
  <si>
    <t>DUF2000 domain-containing protein</t>
  </si>
  <si>
    <t>WP_009889078.1</t>
  </si>
  <si>
    <t>CDR20291_RS06285</t>
  </si>
  <si>
    <t>WP_003438284.1</t>
  </si>
  <si>
    <t>CDR20291_RS06290</t>
  </si>
  <si>
    <t>site-2 protease family protein</t>
  </si>
  <si>
    <t>WP_009889080.1</t>
  </si>
  <si>
    <t>CDR20291_RS06295</t>
  </si>
  <si>
    <t>segregation and condensation protein A</t>
  </si>
  <si>
    <t>WP_003419448.1</t>
  </si>
  <si>
    <t>CDR20291_RS06300</t>
  </si>
  <si>
    <t>SMC-Scp complex subunit ScpB</t>
  </si>
  <si>
    <t>scpB</t>
  </si>
  <si>
    <t>WP_003428258.1</t>
  </si>
  <si>
    <t>CDR20291_RS06305</t>
  </si>
  <si>
    <t>DUF2953 domain-containing protein</t>
  </si>
  <si>
    <t>WP_009889085.1</t>
  </si>
  <si>
    <t>CDR20291_RS06310</t>
  </si>
  <si>
    <t>spore germination protein GerW family protein</t>
  </si>
  <si>
    <t>WP_003428254.1</t>
  </si>
  <si>
    <t>CDR20291_RS06315</t>
  </si>
  <si>
    <t>WP_003419459.1</t>
  </si>
  <si>
    <t>CDR20291_RS06320</t>
  </si>
  <si>
    <t>leucyl aminopeptidase</t>
  </si>
  <si>
    <t>WP_009889091.1</t>
  </si>
  <si>
    <t>CDR20291_RS06325</t>
  </si>
  <si>
    <t>YwaF family protein</t>
  </si>
  <si>
    <t>WP_009892970.1</t>
  </si>
  <si>
    <t>CDR20291_RS06330</t>
  </si>
  <si>
    <t>WP_003419462.1</t>
  </si>
  <si>
    <t>CDR20291_RS06335</t>
  </si>
  <si>
    <t>MazG-like family protein</t>
  </si>
  <si>
    <t>WP_003428248.1</t>
  </si>
  <si>
    <t>CDR20291_RS06340</t>
  </si>
  <si>
    <t>NAD-dependent protein deacylase</t>
  </si>
  <si>
    <t>WP_003428245.1</t>
  </si>
  <si>
    <t>CDR20291_RS06345</t>
  </si>
  <si>
    <t>N-acetylglucosaminidase</t>
  </si>
  <si>
    <t>acd</t>
  </si>
  <si>
    <t>WP_009892971.1</t>
  </si>
  <si>
    <t>CDR20291_RS06350</t>
  </si>
  <si>
    <t>PolC-type DNA polymerase III</t>
  </si>
  <si>
    <t>WP_009892973.1</t>
  </si>
  <si>
    <t>CDR20291_RS06355</t>
  </si>
  <si>
    <t>ribosome maturation factor RimP</t>
  </si>
  <si>
    <t>rimP</t>
  </si>
  <si>
    <t>WP_003438303.1</t>
  </si>
  <si>
    <t>CDR20291_RS06360</t>
  </si>
  <si>
    <t>transcription termination factor NusA</t>
  </si>
  <si>
    <t>nusA</t>
  </si>
  <si>
    <t>WP_009889093.1</t>
  </si>
  <si>
    <t>CDR20291_RS06365</t>
  </si>
  <si>
    <t>RNase P modulator RnpM</t>
  </si>
  <si>
    <t>rnpM</t>
  </si>
  <si>
    <t>WP_003419469.1</t>
  </si>
  <si>
    <t>CDR20291_RS06370</t>
  </si>
  <si>
    <t>L7Ae/L30e/S12e/Gadd45 family ribosomal protein</t>
  </si>
  <si>
    <t>WP_003419470.1</t>
  </si>
  <si>
    <t>CDR20291_RS06375</t>
  </si>
  <si>
    <t>translation initiation factor IF-2</t>
  </si>
  <si>
    <t>infB</t>
  </si>
  <si>
    <t>WP_003438306.1</t>
  </si>
  <si>
    <t>CDR20291_RS06380</t>
  </si>
  <si>
    <t>30S ribosome-binding factor RbfA</t>
  </si>
  <si>
    <t>rbfA</t>
  </si>
  <si>
    <t>WP_009889095.1</t>
  </si>
  <si>
    <t>CDR20291_RS06385</t>
  </si>
  <si>
    <t>DHH family phosphoesterase</t>
  </si>
  <si>
    <t>WP_095890265.1</t>
  </si>
  <si>
    <t>CDR20291_RS06390</t>
  </si>
  <si>
    <t>tRNA pseudouridine(55) synthase TruB</t>
  </si>
  <si>
    <t>truB</t>
  </si>
  <si>
    <t>WP_009889097.1</t>
  </si>
  <si>
    <t>CDR20291_RS06395</t>
  </si>
  <si>
    <t>bifunctional riboflavin kinase/FAD synthetase</t>
  </si>
  <si>
    <t>WP_009889098.1</t>
  </si>
  <si>
    <t>CDR20291_RS06400</t>
  </si>
  <si>
    <t>30S ribosomal protein S15</t>
  </si>
  <si>
    <t>rpsO</t>
  </si>
  <si>
    <t>WP_003419491.1</t>
  </si>
  <si>
    <t>CDR20291_RS06405</t>
  </si>
  <si>
    <t>WP_009889099.1</t>
  </si>
  <si>
    <t>CDR20291_RS06410</t>
  </si>
  <si>
    <t>polyribonucleotide nucleotidyltransferase</t>
  </si>
  <si>
    <t>pnp</t>
  </si>
  <si>
    <t>WP_003438316.1</t>
  </si>
  <si>
    <t>CDR20291_RS06415</t>
  </si>
  <si>
    <t>polysaccharide deacetylase family protein</t>
  </si>
  <si>
    <t>WP_003438319.1</t>
  </si>
  <si>
    <t>CDR20291_RS06420</t>
  </si>
  <si>
    <t>M16 family metallopeptidase</t>
  </si>
  <si>
    <t>WP_009889101.1</t>
  </si>
  <si>
    <t>CDR20291_RS06425</t>
  </si>
  <si>
    <t>YlmC/YmxH family sporulation protein</t>
  </si>
  <si>
    <t>WP_003419503.1</t>
  </si>
  <si>
    <t>CDR20291_RS06430</t>
  </si>
  <si>
    <t>aspartate kinase</t>
  </si>
  <si>
    <t>dapG</t>
  </si>
  <si>
    <t>WP_009889103.1</t>
  </si>
  <si>
    <t>CDR20291_RS06435</t>
  </si>
  <si>
    <t>ClpP family protease</t>
  </si>
  <si>
    <t>WP_003428224.1</t>
  </si>
  <si>
    <t>CDR20291_RS06440</t>
  </si>
  <si>
    <t>FtsK/SpoIIIE family DNA translocase</t>
  </si>
  <si>
    <t>WP_009889104.1</t>
  </si>
  <si>
    <t>CDR20291_RS06445</t>
  </si>
  <si>
    <t>tRNA 2-selenouridine(34) synthase MnmH</t>
  </si>
  <si>
    <t>mnmH</t>
  </si>
  <si>
    <t>WP_009889105.1</t>
  </si>
  <si>
    <t>CDR20291_RS06450</t>
  </si>
  <si>
    <t>30S ribosomal protein S12 methylthiotransferase RimO</t>
  </si>
  <si>
    <t>rimO</t>
  </si>
  <si>
    <t>WP_009892976.1</t>
  </si>
  <si>
    <t>CDR20291_RS06455</t>
  </si>
  <si>
    <t>CDP-diacylglycerol--glycerol-3-phosphate 3-phosphatidyltransferase</t>
  </si>
  <si>
    <t>pgsA</t>
  </si>
  <si>
    <t>WP_009889106.1</t>
  </si>
  <si>
    <t>CDR20291_RS06460</t>
  </si>
  <si>
    <t>recombinase RecA</t>
  </si>
  <si>
    <t>recA</t>
  </si>
  <si>
    <t>WP_003428218.1</t>
  </si>
  <si>
    <t>CDR20291_RS06465</t>
  </si>
  <si>
    <t>ribonuclease Y</t>
  </si>
  <si>
    <t>rny</t>
  </si>
  <si>
    <t>WP_003428216.1</t>
  </si>
  <si>
    <t>CDR20291_RS06470</t>
  </si>
  <si>
    <t>UvrD-helicase domain-containing protein</t>
  </si>
  <si>
    <t>WP_003438344.1</t>
  </si>
  <si>
    <t>CDR20291_RS06475</t>
  </si>
  <si>
    <t>WP_009889108.1</t>
  </si>
  <si>
    <t>CDR20291_RS06480</t>
  </si>
  <si>
    <t>undecaprenyl-diphosphate phosphatase</t>
  </si>
  <si>
    <t>WP_009889109.1</t>
  </si>
  <si>
    <t>CDR20291_RS06485</t>
  </si>
  <si>
    <t>WP_009889110.1</t>
  </si>
  <si>
    <t>CDR20291_RS06490</t>
  </si>
  <si>
    <t>adenylosuccinate lyase</t>
  </si>
  <si>
    <t>purB</t>
  </si>
  <si>
    <t>WP_009889111.1</t>
  </si>
  <si>
    <t>CDR20291_RS06495</t>
  </si>
  <si>
    <t>WP_003419561.1</t>
  </si>
  <si>
    <t>CDR20291_RS06500</t>
  </si>
  <si>
    <t>PTS transporter subunit EIIC</t>
  </si>
  <si>
    <t>WP_009889112.1</t>
  </si>
  <si>
    <t>CDR20291_RS06505</t>
  </si>
  <si>
    <t>WP_009892977.1</t>
  </si>
  <si>
    <t>CDR20291_RS06510</t>
  </si>
  <si>
    <t>WP_009892979.1</t>
  </si>
  <si>
    <t>CDR20291_RS06515</t>
  </si>
  <si>
    <t>WP_003438357.1</t>
  </si>
  <si>
    <t>CDR20291_RS06520</t>
  </si>
  <si>
    <t>galactose-1-phosphate uridylyltransferase</t>
  </si>
  <si>
    <t>galT</t>
  </si>
  <si>
    <t>WP_009889113.1</t>
  </si>
  <si>
    <t>CDR20291_RS06525</t>
  </si>
  <si>
    <t>exodeoxyribonuclease III</t>
  </si>
  <si>
    <t>WP_003438367.1</t>
  </si>
  <si>
    <t>CDR20291_RS06530</t>
  </si>
  <si>
    <t>3'-5' exonuclease</t>
  </si>
  <si>
    <t>WP_009889114.1</t>
  </si>
  <si>
    <t>CDR20291_RS06535</t>
  </si>
  <si>
    <t>glutamine synthetase</t>
  </si>
  <si>
    <t>WP_003428202.1</t>
  </si>
  <si>
    <t>CDR20291_RS06540</t>
  </si>
  <si>
    <t>WP_003428201.1</t>
  </si>
  <si>
    <t>CDR20291_RS06545</t>
  </si>
  <si>
    <t>WP_009889116.1</t>
  </si>
  <si>
    <t>CDR20291_RS06550</t>
  </si>
  <si>
    <t>DUF1700 domain-containing protein</t>
  </si>
  <si>
    <t>WP_012816112.1</t>
  </si>
  <si>
    <t>CDR20291_RS06555</t>
  </si>
  <si>
    <t>WP_009889118.1</t>
  </si>
  <si>
    <t>CDR20291_RS06560</t>
  </si>
  <si>
    <t>WP_003428196.1</t>
  </si>
  <si>
    <t>CDR20291_RS06565</t>
  </si>
  <si>
    <t>WP_009889121.1</t>
  </si>
  <si>
    <t>CDR20291_RS06570</t>
  </si>
  <si>
    <t>WP_009889122.1</t>
  </si>
  <si>
    <t>CDR20291_RS06575</t>
  </si>
  <si>
    <t>WP_009889124.1</t>
  </si>
  <si>
    <t>CDR20291_RS06580</t>
  </si>
  <si>
    <t>two-component system sensor histidine kinase</t>
  </si>
  <si>
    <t>WP_009889126.1</t>
  </si>
  <si>
    <t>CDR20291_RS06585</t>
  </si>
  <si>
    <t>pyridoxamine kinase</t>
  </si>
  <si>
    <t>WP_003428191.1</t>
  </si>
  <si>
    <t>CDR20291_RS06590</t>
  </si>
  <si>
    <t>amidase domain-containing protein</t>
  </si>
  <si>
    <t>WP_009892989.1</t>
  </si>
  <si>
    <t>CDR20291_RS06595</t>
  </si>
  <si>
    <t>WP_003419624.1</t>
  </si>
  <si>
    <t>CDR20291_RS06600</t>
  </si>
  <si>
    <t>CBS domain-containing protein</t>
  </si>
  <si>
    <t>WP_009889129.1</t>
  </si>
  <si>
    <t>CDR20291_RS06605</t>
  </si>
  <si>
    <t>WP_009889131.1</t>
  </si>
  <si>
    <t>CDR20291_RS06610</t>
  </si>
  <si>
    <t>ImmA/IrrE family metallo-endopeptidase</t>
  </si>
  <si>
    <t>WP_003428186.1</t>
  </si>
  <si>
    <t>CDR20291_RS06615</t>
  </si>
  <si>
    <t>XRE family transcriptional regulator</t>
  </si>
  <si>
    <t>WP_003428185.1</t>
  </si>
  <si>
    <t>CDR20291_RS06620</t>
  </si>
  <si>
    <t>WP_003419641.1</t>
  </si>
  <si>
    <t>CDR20291_RS06625</t>
  </si>
  <si>
    <t>WP_009889133.1</t>
  </si>
  <si>
    <t>CDR20291_RS06630</t>
  </si>
  <si>
    <t>phage tail terminator family protein</t>
  </si>
  <si>
    <t>WP_009889135.1</t>
  </si>
  <si>
    <t>CDR20291_RS06635</t>
  </si>
  <si>
    <t>phage tail sheath subtilisin-like domain-containing protein</t>
  </si>
  <si>
    <t>WP_009889137.1</t>
  </si>
  <si>
    <t>CDR20291_RS06640</t>
  </si>
  <si>
    <t>phage tail tube protein</t>
  </si>
  <si>
    <t>WP_003419646.1</t>
  </si>
  <si>
    <t>CDR20291_RS06645</t>
  </si>
  <si>
    <t>phage tail assembly chaperone</t>
  </si>
  <si>
    <t>WP_009889139.1</t>
  </si>
  <si>
    <t>CDR20291_RS06650</t>
  </si>
  <si>
    <t>WP_003419648.1</t>
  </si>
  <si>
    <t>CDR20291_RS06655</t>
  </si>
  <si>
    <t>WP_009889141.1</t>
  </si>
  <si>
    <t>CDR20291_RS06660</t>
  </si>
  <si>
    <t>phage baseplate protein</t>
  </si>
  <si>
    <t>WP_009889143.1</t>
  </si>
  <si>
    <t>CDR20291_RS06665</t>
  </si>
  <si>
    <t>NlpC/P60 family protein</t>
  </si>
  <si>
    <t>WP_009889145.1</t>
  </si>
  <si>
    <t>CDR20291_RS06670</t>
  </si>
  <si>
    <t>DUF2577 domain-containing protein</t>
  </si>
  <si>
    <t>WP_003438447.1</t>
  </si>
  <si>
    <t>CDR20291_RS06675</t>
  </si>
  <si>
    <t>DUF2634 domain-containing protein</t>
  </si>
  <si>
    <t>WP_003428161.1</t>
  </si>
  <si>
    <t>CDR20291_RS06680</t>
  </si>
  <si>
    <t>baseplate J/gp47 family protein</t>
  </si>
  <si>
    <t>WP_009889148.1</t>
  </si>
  <si>
    <t>CDR20291_RS06685</t>
  </si>
  <si>
    <t>putative phage tail protein</t>
  </si>
  <si>
    <t>WP_009889149.1</t>
  </si>
  <si>
    <t>CDR20291_RS06690</t>
  </si>
  <si>
    <t>phage tail protein</t>
  </si>
  <si>
    <t>WP_009889153.1</t>
  </si>
  <si>
    <t>CDR20291_RS06695</t>
  </si>
  <si>
    <t>RCC1 domain-containing protein</t>
  </si>
  <si>
    <t>WP_009892995.1</t>
  </si>
  <si>
    <t>CDR20291_RS06700</t>
  </si>
  <si>
    <t>CD1375 family protein</t>
  </si>
  <si>
    <t>WP_009889155.1</t>
  </si>
  <si>
    <t>CDR20291_RS06705</t>
  </si>
  <si>
    <t>WP_003419670.1</t>
  </si>
  <si>
    <t>CDR20291_RS06710</t>
  </si>
  <si>
    <t>WP_003419674.1</t>
  </si>
  <si>
    <t>CDR20291_RS06715</t>
  </si>
  <si>
    <t>WP_003438466.1</t>
  </si>
  <si>
    <t>CDR20291_RS06720</t>
  </si>
  <si>
    <t>WP_003428146.1</t>
  </si>
  <si>
    <t>CDR20291_RS06725</t>
  </si>
  <si>
    <t>WP_009889160.1</t>
  </si>
  <si>
    <t>CDR20291_RS06730</t>
  </si>
  <si>
    <t>WP_009889162.1</t>
  </si>
  <si>
    <t>CDR20291_RS06735</t>
  </si>
  <si>
    <t>MDR family MFS transporter</t>
  </si>
  <si>
    <t>WP_225532660.1</t>
  </si>
  <si>
    <t>CDR20291_RS06740</t>
  </si>
  <si>
    <t>WP_003438468.1</t>
  </si>
  <si>
    <t>CDR20291_RS06745</t>
  </si>
  <si>
    <t>WP_009893012.1</t>
  </si>
  <si>
    <t>CDR20291_RS06750</t>
  </si>
  <si>
    <t>TrkA C-terminal domain-containing protein</t>
  </si>
  <si>
    <t>WP_003438469.1</t>
  </si>
  <si>
    <t>CDR20291_RS06755</t>
  </si>
  <si>
    <t>LamB/YcsF family protein</t>
  </si>
  <si>
    <t>WP_009889164.1</t>
  </si>
  <si>
    <t>CDR20291_RS06760</t>
  </si>
  <si>
    <t>NRAMP family divalent metal transporter</t>
  </si>
  <si>
    <t>WP_009889165.1</t>
  </si>
  <si>
    <t>CDR20291_RS06765</t>
  </si>
  <si>
    <t>5-oxoprolinase subunit PxpB</t>
  </si>
  <si>
    <t>pxpB</t>
  </si>
  <si>
    <t>WP_009889166.1</t>
  </si>
  <si>
    <t>CDR20291_RS06770</t>
  </si>
  <si>
    <t>biotin-dependent carboxyltransferase family protein</t>
  </si>
  <si>
    <t>WP_009889167.1</t>
  </si>
  <si>
    <t>CDR20291_RS06775</t>
  </si>
  <si>
    <t>WP_003438473.1</t>
  </si>
  <si>
    <t>CDR20291_RS06780</t>
  </si>
  <si>
    <t>mandelate racemase/muconate lactonizing enzyme family protein</t>
  </si>
  <si>
    <t>WP_009889169.1</t>
  </si>
  <si>
    <t>CDR20291_RS06785</t>
  </si>
  <si>
    <t>DUF819 domain-containing protein</t>
  </si>
  <si>
    <t>WP_009889171.1</t>
  </si>
  <si>
    <t>CDR20291_RS06790</t>
  </si>
  <si>
    <t>CocE/NonD family hydrolase</t>
  </si>
  <si>
    <t>WP_009889173.1</t>
  </si>
  <si>
    <t>CDR20291_RS06795</t>
  </si>
  <si>
    <t>RidA family protein</t>
  </si>
  <si>
    <t>WP_003428131.1</t>
  </si>
  <si>
    <t>CDR20291_RS06800</t>
  </si>
  <si>
    <t>DMT family transporter</t>
  </si>
  <si>
    <t>WP_003419730.1</t>
  </si>
  <si>
    <t>CDR20291_RS06805</t>
  </si>
  <si>
    <t>Gfo/Idh/MocA family protein</t>
  </si>
  <si>
    <t>WP_009889179.1</t>
  </si>
  <si>
    <t>CDR20291_RS06810</t>
  </si>
  <si>
    <t>regulatory YrvL family protein</t>
  </si>
  <si>
    <t>WP_003438483.1</t>
  </si>
  <si>
    <t>CDR20291_RS19475</t>
  </si>
  <si>
    <t>M55 family metallopeptidase</t>
  </si>
  <si>
    <t>WP_009889182.1</t>
  </si>
  <si>
    <t>CDR20291_RS06820</t>
  </si>
  <si>
    <t>WP_009889183.1</t>
  </si>
  <si>
    <t>CDR20291_RS06825</t>
  </si>
  <si>
    <t>WP_009893015.1</t>
  </si>
  <si>
    <t>CDR20291_RS06830</t>
  </si>
  <si>
    <t>S66 peptidase family protein</t>
  </si>
  <si>
    <t>WP_009889189.1</t>
  </si>
  <si>
    <t>CDR20291_RS06835</t>
  </si>
  <si>
    <t>DUF3867 domain-containing protein</t>
  </si>
  <si>
    <t>WP_003419758.1</t>
  </si>
  <si>
    <t>CDR20291_RS06840</t>
  </si>
  <si>
    <t>isochorismatase family cysteine hydrolase</t>
  </si>
  <si>
    <t>WP_009889192.1</t>
  </si>
  <si>
    <t>CDR20291_RS06845</t>
  </si>
  <si>
    <t>glycerophosphodiester phosphodiesterase</t>
  </si>
  <si>
    <t>WP_009889194.1</t>
  </si>
  <si>
    <t>CDR20291_RS06850</t>
  </si>
  <si>
    <t>amino acid adenylation domain-containing protein</t>
  </si>
  <si>
    <t>WP_009893017.1</t>
  </si>
  <si>
    <t>CDR20291_RS06855</t>
  </si>
  <si>
    <t>OPT family oligopeptide transporter</t>
  </si>
  <si>
    <t>WP_009893019.1</t>
  </si>
  <si>
    <t>CDR20291_RS06860</t>
  </si>
  <si>
    <t>PqqD family protein</t>
  </si>
  <si>
    <t>WP_009889198.1</t>
  </si>
  <si>
    <t>CDR20291_RS06865</t>
  </si>
  <si>
    <t>WP_009889201.1</t>
  </si>
  <si>
    <t>CDR20291_RS06870</t>
  </si>
  <si>
    <t>M15 family metallopeptidase</t>
  </si>
  <si>
    <t>WP_009889203.1</t>
  </si>
  <si>
    <t>CDR20291_RS06875</t>
  </si>
  <si>
    <t>transcriptional regulator DdlR</t>
  </si>
  <si>
    <t>ddlR</t>
  </si>
  <si>
    <t>WP_009889206.1</t>
  </si>
  <si>
    <t>CDR20291_RS06880</t>
  </si>
  <si>
    <t>D-alanine--D-alanine ligase</t>
  </si>
  <si>
    <t>WP_003429344.1</t>
  </si>
  <si>
    <t>CDR20291_RS06885</t>
  </si>
  <si>
    <t>competence/damage-inducible protein A</t>
  </si>
  <si>
    <t>WP_003438532.1</t>
  </si>
  <si>
    <t>CDR20291_RS06890</t>
  </si>
  <si>
    <t>WP_003438534.1</t>
  </si>
  <si>
    <t>CDR20291_RS06895</t>
  </si>
  <si>
    <t>zinc dependent phospholipase C family protein</t>
  </si>
  <si>
    <t>WP_003419819.1</t>
  </si>
  <si>
    <t>CDR20291_RS06900</t>
  </si>
  <si>
    <t>WP_009893025.1</t>
  </si>
  <si>
    <t>CDR20291_RS06905</t>
  </si>
  <si>
    <t>WP_009889208.1</t>
  </si>
  <si>
    <t>CDR20291_RS06910</t>
  </si>
  <si>
    <t>TIGR01212 family radical SAM protein</t>
  </si>
  <si>
    <t>WP_009893027.1</t>
  </si>
  <si>
    <t>CDR20291_RS06915</t>
  </si>
  <si>
    <t>DUF308 domain-containing protein</t>
  </si>
  <si>
    <t>WP_014466364.1</t>
  </si>
  <si>
    <t>CDR20291_RS06920</t>
  </si>
  <si>
    <t>WP_003429356.1</t>
  </si>
  <si>
    <t>CDR20291_RS06925</t>
  </si>
  <si>
    <t>diphthine--ammonia ligase</t>
  </si>
  <si>
    <t>WP_003429358.1</t>
  </si>
  <si>
    <t>CDR20291_RS06930</t>
  </si>
  <si>
    <t>WP_009893043.1</t>
  </si>
  <si>
    <t>CDR20291_RS06935</t>
  </si>
  <si>
    <t>site-specific integrase</t>
  </si>
  <si>
    <t>WP_009900959.1</t>
  </si>
  <si>
    <t>CDR20291_RS19135</t>
  </si>
  <si>
    <t>WP_009889219.1</t>
  </si>
  <si>
    <t>CDR20291_RS06945</t>
  </si>
  <si>
    <t>WP_009889221.1</t>
  </si>
  <si>
    <t>CDR20291_RS06950</t>
  </si>
  <si>
    <t>c-di-GMP diguanylate cyclase DccA</t>
  </si>
  <si>
    <t>dccA</t>
  </si>
  <si>
    <t>WP_009889222.1</t>
  </si>
  <si>
    <t>CDR20291_RS06955</t>
  </si>
  <si>
    <t>WP_009893046.1</t>
  </si>
  <si>
    <t>CDR20291_RS06960</t>
  </si>
  <si>
    <t>WP_003429371.1</t>
  </si>
  <si>
    <t>CDR20291_RS06965</t>
  </si>
  <si>
    <t>WP_003438585.1</t>
  </si>
  <si>
    <t>CDR20291_RS06970</t>
  </si>
  <si>
    <t>WP_003429374.1</t>
  </si>
  <si>
    <t>CDR20291_RS06975</t>
  </si>
  <si>
    <t>MgtC/SapB family protein</t>
  </si>
  <si>
    <t>WP_003429376.1</t>
  </si>
  <si>
    <t>CDR20291_RS06980</t>
  </si>
  <si>
    <t>cysteine hydrolase family protein</t>
  </si>
  <si>
    <t>WP_009889225.1</t>
  </si>
  <si>
    <t>CDR20291_RS06985</t>
  </si>
  <si>
    <t>WP_003429379.1</t>
  </si>
  <si>
    <t>CDR20291_RS06990</t>
  </si>
  <si>
    <t>WP_003429381.1</t>
  </si>
  <si>
    <t>CDR20291_RS19275</t>
  </si>
  <si>
    <t>WP_009889229.1</t>
  </si>
  <si>
    <t>CDR20291_RS06995</t>
  </si>
  <si>
    <t>WP_333527286.1</t>
  </si>
  <si>
    <t>CDR20291_RS07000</t>
  </si>
  <si>
    <t>WP_009889233.1</t>
  </si>
  <si>
    <t>CDR20291_RS07005</t>
  </si>
  <si>
    <t>delta-lactam-biosynthetic de-N-acetylase</t>
  </si>
  <si>
    <t>pdaA</t>
  </si>
  <si>
    <t>WP_003438596.1</t>
  </si>
  <si>
    <t>CDR20291_RS07010</t>
  </si>
  <si>
    <t>helicase C-terminal domain-containing protein</t>
  </si>
  <si>
    <t>WP_009893051.1</t>
  </si>
  <si>
    <t>CDR20291_RS07015</t>
  </si>
  <si>
    <t>viroplasmin family protein</t>
  </si>
  <si>
    <t>WP_009889235.1</t>
  </si>
  <si>
    <t>CDR20291_RS07020</t>
  </si>
  <si>
    <t>peroxiredoxin</t>
  </si>
  <si>
    <t>WP_003438605.1</t>
  </si>
  <si>
    <t>CDR20291_RS07025</t>
  </si>
  <si>
    <t>WP_021387124.1</t>
  </si>
  <si>
    <t>CDR20291_RS07030</t>
  </si>
  <si>
    <t>WP_009893053.1</t>
  </si>
  <si>
    <t>CDR20291_RS07035</t>
  </si>
  <si>
    <t>VanW family protein</t>
  </si>
  <si>
    <t>WP_009893054.1</t>
  </si>
  <si>
    <t>CDR20291_RS07040</t>
  </si>
  <si>
    <t>GAF domain-containing protein</t>
  </si>
  <si>
    <t>WP_003419857.1</t>
  </si>
  <si>
    <t>CDR20291_RS07045</t>
  </si>
  <si>
    <t>WP_012816127.1</t>
  </si>
  <si>
    <t>CDR20291_RS07050</t>
  </si>
  <si>
    <t>CidA/LrgA family protein</t>
  </si>
  <si>
    <t>WP_003419862.1</t>
  </si>
  <si>
    <t>CDR20291_RS07055</t>
  </si>
  <si>
    <t>LrgB family protein</t>
  </si>
  <si>
    <t>WP_009889244.1</t>
  </si>
  <si>
    <t>CDR20291_RS07060</t>
  </si>
  <si>
    <t>YitT family protein</t>
  </si>
  <si>
    <t>WP_003429405.1</t>
  </si>
  <si>
    <t>CDR20291_RS07065</t>
  </si>
  <si>
    <t>MORN repeat-containing protein</t>
  </si>
  <si>
    <t>WP_009889246.1</t>
  </si>
  <si>
    <t>CDR20291_RS07070</t>
  </si>
  <si>
    <t>CAP domain-containing protein</t>
  </si>
  <si>
    <t>WP_009893056.1</t>
  </si>
  <si>
    <t>CDR20291_RS07075</t>
  </si>
  <si>
    <t>WP_009893057.1</t>
  </si>
  <si>
    <t>CDR20291_RS07080</t>
  </si>
  <si>
    <t>anthranilate synthase component II</t>
  </si>
  <si>
    <t>WP_009889249.1</t>
  </si>
  <si>
    <t>CDR20291_RS07085</t>
  </si>
  <si>
    <t>aminodeoxychorismate synthase component I</t>
  </si>
  <si>
    <t>pabB</t>
  </si>
  <si>
    <t>WP_009889251.1</t>
  </si>
  <si>
    <t>CDR20291_RS07090</t>
  </si>
  <si>
    <t>aminotransferase class IV</t>
  </si>
  <si>
    <t>WP_003438634.1</t>
  </si>
  <si>
    <t>CDR20291_RS07095</t>
  </si>
  <si>
    <t>WP_009889253.1</t>
  </si>
  <si>
    <t>CDR20291_RS07100</t>
  </si>
  <si>
    <t>GTP cyclohydrolase I FolE</t>
  </si>
  <si>
    <t>folE</t>
  </si>
  <si>
    <t>WP_003429416.1</t>
  </si>
  <si>
    <t>CDR20291_RS07105</t>
  </si>
  <si>
    <t>dihydropteroate synthase</t>
  </si>
  <si>
    <t>folP</t>
  </si>
  <si>
    <t>WP_009893060.1</t>
  </si>
  <si>
    <t>CDR20291_RS07110</t>
  </si>
  <si>
    <t>dihydroneopterin aldolase</t>
  </si>
  <si>
    <t>folB</t>
  </si>
  <si>
    <t>WP_009889257.1</t>
  </si>
  <si>
    <t>CDR20291_RS07115</t>
  </si>
  <si>
    <t>2-amino-4-hydroxy-6-hydroxymethyldihydropteridine diphosphokinase</t>
  </si>
  <si>
    <t>folK</t>
  </si>
  <si>
    <t>WP_009889259.1</t>
  </si>
  <si>
    <t>CDR20291_RS07120</t>
  </si>
  <si>
    <t>3-deoxy-7-phosphoheptulonate synthase</t>
  </si>
  <si>
    <t>aroF</t>
  </si>
  <si>
    <t>WP_009893063.1</t>
  </si>
  <si>
    <t>CDR20291_RS07125</t>
  </si>
  <si>
    <t>DNA primase</t>
  </si>
  <si>
    <t>dnaG</t>
  </si>
  <si>
    <t>WP_012816130.1</t>
  </si>
  <si>
    <t>CDR20291_RS07130</t>
  </si>
  <si>
    <t>RNA polymerase sigma factor RpoD</t>
  </si>
  <si>
    <t>rpoD</t>
  </si>
  <si>
    <t>WP_003429425.1</t>
  </si>
  <si>
    <t>CDR20291_RS07135</t>
  </si>
  <si>
    <t>tRNA (adenine(22)-N(1))-methyltransferase</t>
  </si>
  <si>
    <t>WP_009889262.1</t>
  </si>
  <si>
    <t>CDR20291_RS07140</t>
  </si>
  <si>
    <t>WP_003438644.1</t>
  </si>
  <si>
    <t>CDR20291_RS07145</t>
  </si>
  <si>
    <t>WP_009889264.1</t>
  </si>
  <si>
    <t>CDR20291_RS07150</t>
  </si>
  <si>
    <t>putative 5-nitroimidazole reductase NimB-Cd</t>
  </si>
  <si>
    <t>WP_009893068.1</t>
  </si>
  <si>
    <t>CDR20291_RS07155</t>
  </si>
  <si>
    <t>WP_009893069.1</t>
  </si>
  <si>
    <t>CDR20291_RS07160</t>
  </si>
  <si>
    <t>DUF5808 domain-containing protein</t>
  </si>
  <si>
    <t>WP_009889271.1</t>
  </si>
  <si>
    <t>CDR20291_RS07165</t>
  </si>
  <si>
    <t>WP_003429441.1</t>
  </si>
  <si>
    <t>CDR20291_RS07170</t>
  </si>
  <si>
    <t>WP_009893071.1</t>
  </si>
  <si>
    <t>CDR20291_RS07175</t>
  </si>
  <si>
    <t>WP_009889278.1</t>
  </si>
  <si>
    <t>CDR20291_RS07180</t>
  </si>
  <si>
    <t>WP_012816133.1</t>
  </si>
  <si>
    <t>CDR20291_RS07185</t>
  </si>
  <si>
    <t>WP_003438655.1</t>
  </si>
  <si>
    <t>CDR20291_RS07190</t>
  </si>
  <si>
    <t>WP_009893074.1</t>
  </si>
  <si>
    <t>CDR20291_RS07195</t>
  </si>
  <si>
    <t>4Fe-4S dicluster-binding protein</t>
  </si>
  <si>
    <t>WP_003438661.1</t>
  </si>
  <si>
    <t>CDR20291_RS07200</t>
  </si>
  <si>
    <t>cell wall-binding protein Cwp20</t>
  </si>
  <si>
    <t>WP_009893076.1</t>
  </si>
  <si>
    <t>CDR20291_RS07205</t>
  </si>
  <si>
    <t>WP_009889286.1</t>
  </si>
  <si>
    <t>CDR20291_RS07210</t>
  </si>
  <si>
    <t>YhgE/Pip domain-containing protein</t>
  </si>
  <si>
    <t>WP_003438668.1</t>
  </si>
  <si>
    <t>CDR20291_RS07215</t>
  </si>
  <si>
    <t>WP_009889289.1</t>
  </si>
  <si>
    <t>CDR20291_RS07220</t>
  </si>
  <si>
    <t>WP_009889291.1</t>
  </si>
  <si>
    <t>CDR20291_RS07225</t>
  </si>
  <si>
    <t>NADH peroxidase</t>
  </si>
  <si>
    <t>WP_012816134.1</t>
  </si>
  <si>
    <t>CDR20291_RS07230</t>
  </si>
  <si>
    <t>WP_009889295.1</t>
  </si>
  <si>
    <t>CDR20291_RS07235</t>
  </si>
  <si>
    <t>WP_009889298.1</t>
  </si>
  <si>
    <t>CDR20291_RS07240</t>
  </si>
  <si>
    <t>dienelactone hydrolase family protein</t>
  </si>
  <si>
    <t>WP_009899787.1</t>
  </si>
  <si>
    <t>CDR20291_RS07245</t>
  </si>
  <si>
    <t>FeoA family protein</t>
  </si>
  <si>
    <t>WP_003419939.1</t>
  </si>
  <si>
    <t>CDR20291_RS07250</t>
  </si>
  <si>
    <t>WP_003427474.1</t>
  </si>
  <si>
    <t>CDR20291_RS07255</t>
  </si>
  <si>
    <t>ferrous iron transport protein B</t>
  </si>
  <si>
    <t>feoB</t>
  </si>
  <si>
    <t>WP_009889306.1</t>
  </si>
  <si>
    <t>CDR20291_RS07260</t>
  </si>
  <si>
    <t>FeoB-associated Cys-rich membrane protein</t>
  </si>
  <si>
    <t>WP_009889308.1</t>
  </si>
  <si>
    <t>CDR20291_RS07265</t>
  </si>
  <si>
    <t>AIM24 family protein</t>
  </si>
  <si>
    <t>WP_003434127.1</t>
  </si>
  <si>
    <t>CDR20291_RS07270</t>
  </si>
  <si>
    <t>WP_009893081.1</t>
  </si>
  <si>
    <t>CDR20291_RS07275</t>
  </si>
  <si>
    <t>WP_009893083.1</t>
  </si>
  <si>
    <t>CDR20291_RS07280</t>
  </si>
  <si>
    <t>NrtA/SsuA/CpmA family ABC transporter substrate-binding protein</t>
  </si>
  <si>
    <t>WP_012816136.1</t>
  </si>
  <si>
    <t>CDR20291_RS07285</t>
  </si>
  <si>
    <t>DUF3793 family protein</t>
  </si>
  <si>
    <t>WP_009889314.1</t>
  </si>
  <si>
    <t>CDR20291_RS07290</t>
  </si>
  <si>
    <t>WP_009889316.1</t>
  </si>
  <si>
    <t>CDR20291_RS07295</t>
  </si>
  <si>
    <t>DUF6194 family protein</t>
  </si>
  <si>
    <t>WP_009893085.1</t>
  </si>
  <si>
    <t>CDR20291_RS07300</t>
  </si>
  <si>
    <t>WP_009893086.1</t>
  </si>
  <si>
    <t>CDR20291_RS07305</t>
  </si>
  <si>
    <t>WP_014466366.1</t>
  </si>
  <si>
    <t>CDR20291_RS07310</t>
  </si>
  <si>
    <t>methionine ABC transporter ATP-binding protein</t>
  </si>
  <si>
    <t>WP_009889322.1</t>
  </si>
  <si>
    <t>CDR20291_RS07315</t>
  </si>
  <si>
    <t>methionine ABC transporter permease</t>
  </si>
  <si>
    <t>WP_003434110.1</t>
  </si>
  <si>
    <t>CDR20291_RS07320</t>
  </si>
  <si>
    <t>MetQ/NlpA family ABC transporter substrate-binding protein</t>
  </si>
  <si>
    <t>WP_003434107.1</t>
  </si>
  <si>
    <t>CDR20291_RS07325</t>
  </si>
  <si>
    <t>WP_009893087.1</t>
  </si>
  <si>
    <t>CDR20291_RS07330</t>
  </si>
  <si>
    <t>DNA-3-methyladenine glycosylase</t>
  </si>
  <si>
    <t>WP_003427435.1</t>
  </si>
  <si>
    <t>CDR20291_RS07335</t>
  </si>
  <si>
    <t>WP_003427434.1</t>
  </si>
  <si>
    <t>CDR20291_RS07340</t>
  </si>
  <si>
    <t>pyrroline-5-carboxylate reductase</t>
  </si>
  <si>
    <t>proC</t>
  </si>
  <si>
    <t>WP_009889333.1</t>
  </si>
  <si>
    <t>CDR20291_RS07345</t>
  </si>
  <si>
    <t>DUF1002 domain-containing protein</t>
  </si>
  <si>
    <t>WP_003427432.1</t>
  </si>
  <si>
    <t>CDR20291_RS07350</t>
  </si>
  <si>
    <t>type I restriction enzyme HsdR N-terminal domain-containing protein</t>
  </si>
  <si>
    <t>WP_009889335.1</t>
  </si>
  <si>
    <t>CDR20291_RS07355</t>
  </si>
  <si>
    <t>WP_009889336.1</t>
  </si>
  <si>
    <t>CDR20291_RS07360</t>
  </si>
  <si>
    <t>murein biosynthesis integral membrane protein MurJ</t>
  </si>
  <si>
    <t>murJ</t>
  </si>
  <si>
    <t>WP_009893088.1</t>
  </si>
  <si>
    <t>CDR20291_RS07365</t>
  </si>
  <si>
    <t>deoxyribose-phosphate aldolase</t>
  </si>
  <si>
    <t>deoC</t>
  </si>
  <si>
    <t>WP_003439345.1</t>
  </si>
  <si>
    <t>CDR20291_RS07370</t>
  </si>
  <si>
    <t>WP_003427427.1</t>
  </si>
  <si>
    <t>CDR20291_RS07375</t>
  </si>
  <si>
    <t>WP_009893089.1</t>
  </si>
  <si>
    <t>CDR20291_RS07380</t>
  </si>
  <si>
    <t>WP_009893090.1</t>
  </si>
  <si>
    <t>CDR20291_RS07385</t>
  </si>
  <si>
    <t>multidrug efflux MATE transporter CdeA</t>
  </si>
  <si>
    <t>cdeA</t>
  </si>
  <si>
    <t>WP_009889343.1</t>
  </si>
  <si>
    <t>CDR20291_RS07390</t>
  </si>
  <si>
    <t>TlpA family protein disulfide reductase</t>
  </si>
  <si>
    <t>WP_009893091.1</t>
  </si>
  <si>
    <t>CDR20291_RS07395</t>
  </si>
  <si>
    <t>CD1871A family CXXC motif-containing protein</t>
  </si>
  <si>
    <t>WP_009889347.1</t>
  </si>
  <si>
    <t>CDR20291_RS07400</t>
  </si>
  <si>
    <t>WP_009893092.1</t>
  </si>
  <si>
    <t>CDR20291_RS07405</t>
  </si>
  <si>
    <t>WP_009893093.1</t>
  </si>
  <si>
    <t>CDR20291_RS07410</t>
  </si>
  <si>
    <t>lactate utilization protein</t>
  </si>
  <si>
    <t>WP_009889349.1</t>
  </si>
  <si>
    <t>CDR20291_RS07415</t>
  </si>
  <si>
    <t>DUF2935 domain-containing protein</t>
  </si>
  <si>
    <t>WP_009893094.1</t>
  </si>
  <si>
    <t>CDR20291_RS07420</t>
  </si>
  <si>
    <t>WP_003439365.1</t>
  </si>
  <si>
    <t>CDR20291_RS07425</t>
  </si>
  <si>
    <t>pantoate--beta-alanine ligase</t>
  </si>
  <si>
    <t>panC</t>
  </si>
  <si>
    <t>WP_009889351.1</t>
  </si>
  <si>
    <t>CDR20291_RS07430</t>
  </si>
  <si>
    <t>3-methyl-2-oxobutanoate hydroxymethyltransferase</t>
  </si>
  <si>
    <t>panB</t>
  </si>
  <si>
    <t>WP_009889352.1</t>
  </si>
  <si>
    <t>CDR20291_RS07435</t>
  </si>
  <si>
    <t>DUF2520 domain-containing protein</t>
  </si>
  <si>
    <t>WP_009893096.1</t>
  </si>
  <si>
    <t>CDR20291_RS07440</t>
  </si>
  <si>
    <t>c-di-GMP phosphodiesterase PdcA</t>
  </si>
  <si>
    <t>pdcA</t>
  </si>
  <si>
    <t>WP_009889353.1</t>
  </si>
  <si>
    <t>CDR20291_RS07445</t>
  </si>
  <si>
    <t>WP_009889354.1</t>
  </si>
  <si>
    <t>CDR20291_RS07450</t>
  </si>
  <si>
    <t>WP_009893097.1</t>
  </si>
  <si>
    <t>CDR20291_RS07455</t>
  </si>
  <si>
    <t>WP_003439379.1</t>
  </si>
  <si>
    <t>CDR20291_RS07460</t>
  </si>
  <si>
    <t>WP_003420037.1</t>
  </si>
  <si>
    <t>CDR20291_RS07465</t>
  </si>
  <si>
    <t>WP_009889360.1</t>
  </si>
  <si>
    <t>CDR20291_RS07470</t>
  </si>
  <si>
    <t>DUF2232 domain-containing protein</t>
  </si>
  <si>
    <t>WP_009889362.1</t>
  </si>
  <si>
    <t>CDR20291_RS07475</t>
  </si>
  <si>
    <t>tyrosine--tRNA ligase</t>
  </si>
  <si>
    <t>tyrS</t>
  </si>
  <si>
    <t>WP_009889364.1</t>
  </si>
  <si>
    <t>CDR20291_RS07480</t>
  </si>
  <si>
    <t>WP_009889366.1</t>
  </si>
  <si>
    <t>CDR20291_RS07485</t>
  </si>
  <si>
    <t>WP_009893099.1</t>
  </si>
  <si>
    <t>CDR20291_RS07490</t>
  </si>
  <si>
    <t>WP_009889371.1</t>
  </si>
  <si>
    <t>CDR20291_RS07495</t>
  </si>
  <si>
    <t>WP_009889373.1</t>
  </si>
  <si>
    <t>CDR20291_RS07500</t>
  </si>
  <si>
    <t>dihydroorotase</t>
  </si>
  <si>
    <t>WP_003436747.1</t>
  </si>
  <si>
    <t>CDR20291_RS07505</t>
  </si>
  <si>
    <t>WP_003429753.1</t>
  </si>
  <si>
    <t>CDR20291_RS07510</t>
  </si>
  <si>
    <t>WP_009889377.1</t>
  </si>
  <si>
    <t>CDR20291_RS07515</t>
  </si>
  <si>
    <t>efflux RND transporter periplasmic adaptor subunit</t>
  </si>
  <si>
    <t>WP_003436742.1</t>
  </si>
  <si>
    <t>CDR20291_RS07520</t>
  </si>
  <si>
    <t>WP_009893102.1</t>
  </si>
  <si>
    <t>CDR20291_RS07525</t>
  </si>
  <si>
    <t>WP_003436727.1</t>
  </si>
  <si>
    <t>CDR20291_RS07530</t>
  </si>
  <si>
    <t>WP_009889379.1</t>
  </si>
  <si>
    <t>CDR20291_RS07535</t>
  </si>
  <si>
    <t>WP_009893105.1</t>
  </si>
  <si>
    <t>CDR20291_RS07540</t>
  </si>
  <si>
    <t>gamma-glutamyltransferase</t>
  </si>
  <si>
    <t>ggt</t>
  </si>
  <si>
    <t>WP_003436720.1</t>
  </si>
  <si>
    <t>CDR20291_RS07545</t>
  </si>
  <si>
    <t>sulfurtransferase</t>
  </si>
  <si>
    <t>WP_003436717.1</t>
  </si>
  <si>
    <t>CDR20291_RS07550</t>
  </si>
  <si>
    <t>sulfide/dihydroorotate dehydrogenase-like FAD/NAD-binding protein</t>
  </si>
  <si>
    <t>WP_009889384.1</t>
  </si>
  <si>
    <t>CDR20291_RS07555</t>
  </si>
  <si>
    <t>NADPH-dependent glutamate synthase</t>
  </si>
  <si>
    <t>gltA</t>
  </si>
  <si>
    <t>WP_009893107.1</t>
  </si>
  <si>
    <t>CDR20291_RS07560</t>
  </si>
  <si>
    <t>WP_009893108.1</t>
  </si>
  <si>
    <t>CDR20291_RS07565</t>
  </si>
  <si>
    <t>WP_014466367.1</t>
  </si>
  <si>
    <t>CDR20291_RS07570</t>
  </si>
  <si>
    <t>WP_009893110.1</t>
  </si>
  <si>
    <t>CDR20291_RS07575</t>
  </si>
  <si>
    <t>WP_003436703.1</t>
  </si>
  <si>
    <t>CDR20291_RS07580</t>
  </si>
  <si>
    <t>WP_003429766.1</t>
  </si>
  <si>
    <t>CDR20291_RS07585</t>
  </si>
  <si>
    <t>FMN-dependent NADH-azoreductase</t>
  </si>
  <si>
    <t>WP_009889393.1</t>
  </si>
  <si>
    <t>CDR20291_RS07590</t>
  </si>
  <si>
    <t>WP_003429769.1</t>
  </si>
  <si>
    <t>CDR20291_RS07595</t>
  </si>
  <si>
    <t>DUF1836 domain-containing protein</t>
  </si>
  <si>
    <t>WP_012816144.1</t>
  </si>
  <si>
    <t>CDR20291_RS07600</t>
  </si>
  <si>
    <t>PAQR family membrane homeostasis protein TrhA</t>
  </si>
  <si>
    <t>trhA</t>
  </si>
  <si>
    <t>WP_003436685.1</t>
  </si>
  <si>
    <t>CDR20291_RS07605</t>
  </si>
  <si>
    <t>WP_003420092.1</t>
  </si>
  <si>
    <t>CDR20291_RS07610</t>
  </si>
  <si>
    <t>ATP phosphoribosyltransferase regulatory subunit</t>
  </si>
  <si>
    <t>WP_003436684.1</t>
  </si>
  <si>
    <t>CDR20291_RS07615</t>
  </si>
  <si>
    <t>ATP phosphoribosyltransferase</t>
  </si>
  <si>
    <t>hisG</t>
  </si>
  <si>
    <t>WP_003436683.1</t>
  </si>
  <si>
    <t>CDR20291_RS07620</t>
  </si>
  <si>
    <t>histidinol-phosphate transaminase</t>
  </si>
  <si>
    <t>hisC</t>
  </si>
  <si>
    <t>WP_009889400.1</t>
  </si>
  <si>
    <t>CDR20291_RS07625</t>
  </si>
  <si>
    <t>imidazoleglycerol-phosphate dehydratase HisB</t>
  </si>
  <si>
    <t>hisB</t>
  </si>
  <si>
    <t>WP_373276266.1</t>
  </si>
  <si>
    <t>CDR20291_RS07630</t>
  </si>
  <si>
    <t>imidazole glycerol phosphate synthase subunit HisH</t>
  </si>
  <si>
    <t>hisH</t>
  </si>
  <si>
    <t>WP_009889404.1</t>
  </si>
  <si>
    <t>CDR20291_RS07635</t>
  </si>
  <si>
    <t>1-(5-phosphoribosyl)-5-[(5-phosphoribosylamino)methylideneamino]imidazole-4-carboxamide isomerase</t>
  </si>
  <si>
    <t>hisA</t>
  </si>
  <si>
    <t>WP_009889406.1</t>
  </si>
  <si>
    <t>CDR20291_RS07640</t>
  </si>
  <si>
    <t>imidazole glycerol phosphate synthase subunit HisF</t>
  </si>
  <si>
    <t>hisF</t>
  </si>
  <si>
    <t>WP_009893116.1</t>
  </si>
  <si>
    <t>CDR20291_RS07645</t>
  </si>
  <si>
    <t>bifunctional phosphoribosyl-AMP cyclohydrolase/phosphoribosyl-ATP diphosphatase HisIE</t>
  </si>
  <si>
    <t>hisIE</t>
  </si>
  <si>
    <t>WP_009893118.1</t>
  </si>
  <si>
    <t>CDR20291_RS07650</t>
  </si>
  <si>
    <t>WP_009889410.1</t>
  </si>
  <si>
    <t>CDR20291_RS07655</t>
  </si>
  <si>
    <t>WP_003436667.1</t>
  </si>
  <si>
    <t>CDR20291_RS07660</t>
  </si>
  <si>
    <t>WP_009893120.1</t>
  </si>
  <si>
    <t>CDR20291_RS07665</t>
  </si>
  <si>
    <t>WP_003436663.1</t>
  </si>
  <si>
    <t>CDR20291_RS07670</t>
  </si>
  <si>
    <t>anti-sigma-V factor rsiV</t>
  </si>
  <si>
    <t>WP_009889418.1</t>
  </si>
  <si>
    <t>CDR20291_RS07675</t>
  </si>
  <si>
    <t>WP_009889420.1</t>
  </si>
  <si>
    <t>CDR20291_RS07680</t>
  </si>
  <si>
    <t>XdhC family protein</t>
  </si>
  <si>
    <t>WP_009889422.1</t>
  </si>
  <si>
    <t>CDR20291_RS07685</t>
  </si>
  <si>
    <t>M48 family metallopeptidase</t>
  </si>
  <si>
    <t>WP_009889424.1</t>
  </si>
  <si>
    <t>CDR20291_RS07690</t>
  </si>
  <si>
    <t>ACT domain-containing protein</t>
  </si>
  <si>
    <t>WP_003429800.1</t>
  </si>
  <si>
    <t>CDR20291_RS07695</t>
  </si>
  <si>
    <t>ketol-acid reductoisomerase</t>
  </si>
  <si>
    <t>ilvC</t>
  </si>
  <si>
    <t>WP_225532668.1</t>
  </si>
  <si>
    <t>CDR20291_RS07700</t>
  </si>
  <si>
    <t>biosynthetic-type acetolactate synthase large subunit</t>
  </si>
  <si>
    <t>ilvB</t>
  </si>
  <si>
    <t>WP_009888799.1</t>
  </si>
  <si>
    <t>CDR20291_RS07705</t>
  </si>
  <si>
    <t>WP_003429803.1</t>
  </si>
  <si>
    <t>CDR20291_RS07710</t>
  </si>
  <si>
    <t>HIRAN domain-containing protein</t>
  </si>
  <si>
    <t>WP_009888800.1</t>
  </si>
  <si>
    <t>CDR20291_RS07715</t>
  </si>
  <si>
    <t>HipA domain-containing protein</t>
  </si>
  <si>
    <t>WP_009888801.1</t>
  </si>
  <si>
    <t>CDR20291_RS07720</t>
  </si>
  <si>
    <t>WP_003429804.1</t>
  </si>
  <si>
    <t>CDR20291_RS07725</t>
  </si>
  <si>
    <t>WP_009893126.1</t>
  </si>
  <si>
    <t>CDR20291_RS07730</t>
  </si>
  <si>
    <t>WP_009888806.1</t>
  </si>
  <si>
    <t>CDR20291_RS07735</t>
  </si>
  <si>
    <t>WP_009893129.1</t>
  </si>
  <si>
    <t>CDR20291_RS07740</t>
  </si>
  <si>
    <t>phage antirepressor</t>
  </si>
  <si>
    <t>WP_009888810.1</t>
  </si>
  <si>
    <t>CDR20291_RS07745</t>
  </si>
  <si>
    <t>WP_009888812.1</t>
  </si>
  <si>
    <t>CDR20291_RS07750</t>
  </si>
  <si>
    <t>DUF6173 family protein</t>
  </si>
  <si>
    <t>WP_003433505.1</t>
  </si>
  <si>
    <t>CDR20291_RS07755</t>
  </si>
  <si>
    <t>WP_234704199.1</t>
  </si>
  <si>
    <t>CDR20291_RS07760</t>
  </si>
  <si>
    <t>WP_009888815.1</t>
  </si>
  <si>
    <t>CDR20291_RS07765</t>
  </si>
  <si>
    <t>WP_003429817.1</t>
  </si>
  <si>
    <t>CDR20291_RS07770</t>
  </si>
  <si>
    <t>WP_003433513.1</t>
  </si>
  <si>
    <t>CDR20291_RS07775</t>
  </si>
  <si>
    <t>DUF2800 domain-containing protein</t>
  </si>
  <si>
    <t>WP_009888818.1</t>
  </si>
  <si>
    <t>CDR20291_RS07780</t>
  </si>
  <si>
    <t>WP_009888819.1</t>
  </si>
  <si>
    <t>CDR20291_RS07785</t>
  </si>
  <si>
    <t>sigma factor</t>
  </si>
  <si>
    <t>WP_003429822.1</t>
  </si>
  <si>
    <t>CDR20291_RS07790</t>
  </si>
  <si>
    <t>DUF2815 family protein</t>
  </si>
  <si>
    <t>WP_003433516.1</t>
  </si>
  <si>
    <t>CDR20291_RS07795</t>
  </si>
  <si>
    <t>DNA polymerase</t>
  </si>
  <si>
    <t>WP_009888821.1</t>
  </si>
  <si>
    <t>CDR20291_RS07800</t>
  </si>
  <si>
    <t>virulence-associated E family protein</t>
  </si>
  <si>
    <t>WP_009888822.1</t>
  </si>
  <si>
    <t>CDR20291_RS07805</t>
  </si>
  <si>
    <t>VRR-NUC domain-containing protein</t>
  </si>
  <si>
    <t>WP_003433522.1</t>
  </si>
  <si>
    <t>CDR20291_RS07810</t>
  </si>
  <si>
    <t>WP_009888823.1</t>
  </si>
  <si>
    <t>CDR20291_RS07815</t>
  </si>
  <si>
    <t>WP_009888824.1</t>
  </si>
  <si>
    <t>CDR20291_RS07820</t>
  </si>
  <si>
    <t>sigma factor-like helix-turn-helix DNA-binding protein</t>
  </si>
  <si>
    <t>WP_009888825.1</t>
  </si>
  <si>
    <t>CDR20291_RS07825</t>
  </si>
  <si>
    <t>WP_009888826.1</t>
  </si>
  <si>
    <t>CDR20291_RS07830</t>
  </si>
  <si>
    <t>WP_009888827.1</t>
  </si>
  <si>
    <t>CDR20291_RS07835</t>
  </si>
  <si>
    <t>WP_003429834.1</t>
  </si>
  <si>
    <t>CDR20291_RS07840</t>
  </si>
  <si>
    <t>phage terminase small subunit</t>
  </si>
  <si>
    <t>terS</t>
  </si>
  <si>
    <t>WP_009888829.1</t>
  </si>
  <si>
    <t>CDR20291_RS07845</t>
  </si>
  <si>
    <t>PBSX family phage terminase large subunit</t>
  </si>
  <si>
    <t>WP_012816148.1</t>
  </si>
  <si>
    <t>CDR20291_RS07850</t>
  </si>
  <si>
    <t>phage portal protein</t>
  </si>
  <si>
    <t>WP_009888831.1</t>
  </si>
  <si>
    <t>CDR20291_RS07855</t>
  </si>
  <si>
    <t>minor capsid protein</t>
  </si>
  <si>
    <t>WP_009893134.1</t>
  </si>
  <si>
    <t>CDR20291_RS07860</t>
  </si>
  <si>
    <t>WP_009888832.1</t>
  </si>
  <si>
    <t>CDR20291_RS07865</t>
  </si>
  <si>
    <t>phage scaffolding protein</t>
  </si>
  <si>
    <t>WP_009888833.1</t>
  </si>
  <si>
    <t>CDR20291_RS07870</t>
  </si>
  <si>
    <t>WP_009888834.1</t>
  </si>
  <si>
    <t>CDR20291_RS07875</t>
  </si>
  <si>
    <t>WP_009888835.1</t>
  </si>
  <si>
    <t>CDR20291_RS07880</t>
  </si>
  <si>
    <t>WP_009888836.1</t>
  </si>
  <si>
    <t>CDR20291_RS07885</t>
  </si>
  <si>
    <t>WP_003433540.1</t>
  </si>
  <si>
    <t>CDR20291_RS07890</t>
  </si>
  <si>
    <t>HK97 gp10 family phage protein</t>
  </si>
  <si>
    <t>WP_009893135.1</t>
  </si>
  <si>
    <t>CDR20291_RS07895</t>
  </si>
  <si>
    <t>WP_009888838.1</t>
  </si>
  <si>
    <t>CDR20291_RS07900</t>
  </si>
  <si>
    <t>WP_009888839.1</t>
  </si>
  <si>
    <t>CDR20291_RS07905</t>
  </si>
  <si>
    <t>WP_022620090.1</t>
  </si>
  <si>
    <t>CDR20291_RS07910</t>
  </si>
  <si>
    <t>phage tail sheath family protein</t>
  </si>
  <si>
    <t>WP_009893136.1</t>
  </si>
  <si>
    <t>CDR20291_RS07915</t>
  </si>
  <si>
    <t>WP_009888842.1</t>
  </si>
  <si>
    <t>CDR20291_RS07920</t>
  </si>
  <si>
    <t>WP_009888843.1</t>
  </si>
  <si>
    <t>CDR20291_RS07925</t>
  </si>
  <si>
    <t>WP_003429853.1</t>
  </si>
  <si>
    <t>CDR20291_RS07930</t>
  </si>
  <si>
    <t>type I toxin-antitoxin system toxin</t>
  </si>
  <si>
    <t>WP_003429855.1</t>
  </si>
  <si>
    <t>CDR20291_RS07935</t>
  </si>
  <si>
    <t>WP_003429858.1</t>
  </si>
  <si>
    <t>CDR20291_RS07940</t>
  </si>
  <si>
    <t>Bro-N domain-containing protein</t>
  </si>
  <si>
    <t>WP_009888845.1</t>
  </si>
  <si>
    <t>CDR20291_RS07945</t>
  </si>
  <si>
    <t>WP_009888846.1</t>
  </si>
  <si>
    <t>CDR20291_RS19280</t>
  </si>
  <si>
    <t>DUF4352 domain-containing protein</t>
  </si>
  <si>
    <t>WP_009888847.1</t>
  </si>
  <si>
    <t>CDR20291_RS07950</t>
  </si>
  <si>
    <t>DUF4428 domain-containing protein</t>
  </si>
  <si>
    <t>WP_009888848.1</t>
  </si>
  <si>
    <t>CDR20291_RS07955</t>
  </si>
  <si>
    <t>tape measure protein</t>
  </si>
  <si>
    <t>WP_009893138.1</t>
  </si>
  <si>
    <t>CDR20291_RS07960</t>
  </si>
  <si>
    <t>LysM peptidoglycan-binding domain-containing protein</t>
  </si>
  <si>
    <t>WP_009888849.1</t>
  </si>
  <si>
    <t>CDR20291_RS07965</t>
  </si>
  <si>
    <t>XkdQ/YqbQ family protein</t>
  </si>
  <si>
    <t>WP_009893140.1</t>
  </si>
  <si>
    <t>CDR20291_RS07970</t>
  </si>
  <si>
    <t>WP_009893142.1</t>
  </si>
  <si>
    <t>CDR20291_RS07975</t>
  </si>
  <si>
    <t>WP_009888851.1</t>
  </si>
  <si>
    <t>CDR20291_RS07980</t>
  </si>
  <si>
    <t>WP_009888852.1</t>
  </si>
  <si>
    <t>CDR20291_RS07985</t>
  </si>
  <si>
    <t>YmfQ family protein</t>
  </si>
  <si>
    <t>WP_003433579.1</t>
  </si>
  <si>
    <t>CDR20291_RS07990</t>
  </si>
  <si>
    <t>WP_009888853.1</t>
  </si>
  <si>
    <t>CDR20291_RS07995</t>
  </si>
  <si>
    <t>WP_009893144.1</t>
  </si>
  <si>
    <t>CDR20291_RS08000</t>
  </si>
  <si>
    <t>WP_009889429.1</t>
  </si>
  <si>
    <t>CDR20291_RS08005</t>
  </si>
  <si>
    <t>WP_009889431.1</t>
  </si>
  <si>
    <t>CDR20291_RS08010</t>
  </si>
  <si>
    <t>WP_009889434.1</t>
  </si>
  <si>
    <t>CDR20291_RS08015</t>
  </si>
  <si>
    <t>WP_009889435.1</t>
  </si>
  <si>
    <t>CDR20291_RS08020</t>
  </si>
  <si>
    <t>phage holin family protein</t>
  </si>
  <si>
    <t>WP_009889440.1</t>
  </si>
  <si>
    <t>CDR20291_RS08025</t>
  </si>
  <si>
    <t>Abi family protein</t>
  </si>
  <si>
    <t>WP_003429958.1</t>
  </si>
  <si>
    <t>CDR20291_RS08030</t>
  </si>
  <si>
    <t>WP_009889444.1</t>
  </si>
  <si>
    <t>CDR20291_RS08035</t>
  </si>
  <si>
    <t>cell wall-binding repeat-containing protein</t>
  </si>
  <si>
    <t>WP_009893147.1</t>
  </si>
  <si>
    <t>CDR20291_RS08040</t>
  </si>
  <si>
    <t>WP_003433687.1</t>
  </si>
  <si>
    <t>CDR20291_RS08045</t>
  </si>
  <si>
    <t>WP_003433683.1</t>
  </si>
  <si>
    <t>CDR20291_RS19285</t>
  </si>
  <si>
    <t>WP_009889448.1</t>
  </si>
  <si>
    <t>CDR20291_RS08050</t>
  </si>
  <si>
    <t>thioredoxin domain-containing protein</t>
  </si>
  <si>
    <t>WP_009889450.1</t>
  </si>
  <si>
    <t>CDR20291_RS08055</t>
  </si>
  <si>
    <t>WP_009889452.1</t>
  </si>
  <si>
    <t>CDR20291_RS08060</t>
  </si>
  <si>
    <t>WP_009889454.1</t>
  </si>
  <si>
    <t>CDR20291_RS08065</t>
  </si>
  <si>
    <t>CDR20291_RS08070</t>
  </si>
  <si>
    <t>CDR20291_RS08075</t>
  </si>
  <si>
    <t>CDR20291_RS08080</t>
  </si>
  <si>
    <t>WP_009893153.1</t>
  </si>
  <si>
    <t>CDR20291_RS08085</t>
  </si>
  <si>
    <t>WP_009889468.1</t>
  </si>
  <si>
    <t>CDR20291_RS08090</t>
  </si>
  <si>
    <t>3D domain-containing protein</t>
  </si>
  <si>
    <t>WP_003436560.1</t>
  </si>
  <si>
    <t>CDR20291_RS08095</t>
  </si>
  <si>
    <t>SGNH/GDSL hydrolase family protein</t>
  </si>
  <si>
    <t>WP_009893156.1</t>
  </si>
  <si>
    <t>CDR20291_RS08100</t>
  </si>
  <si>
    <t>phospho-sugar mutase</t>
  </si>
  <si>
    <t>WP_009893157.1</t>
  </si>
  <si>
    <t>CDR20291_RS08105</t>
  </si>
  <si>
    <t>YihY/virulence factor BrkB family protein</t>
  </si>
  <si>
    <t>WP_003436555.1</t>
  </si>
  <si>
    <t>CDR20291_RS08110</t>
  </si>
  <si>
    <t>PAS domain-containing sensor histidine kinase</t>
  </si>
  <si>
    <t>WP_009893166.1</t>
  </si>
  <si>
    <t>CDR20291_RS08115</t>
  </si>
  <si>
    <t>WP_009893168.1</t>
  </si>
  <si>
    <t>CDR20291_RS08120</t>
  </si>
  <si>
    <t>exosporium morphogenetic protein CdeM</t>
  </si>
  <si>
    <t>cdeM</t>
  </si>
  <si>
    <t>WP_009893169.1</t>
  </si>
  <si>
    <t>CDR20291_RS08125</t>
  </si>
  <si>
    <t>histidinol dehydrogenase</t>
  </si>
  <si>
    <t>hisD</t>
  </si>
  <si>
    <t>WP_003436547.1</t>
  </si>
  <si>
    <t>CDR20291_RS08130</t>
  </si>
  <si>
    <t>WP_009889472.1</t>
  </si>
  <si>
    <t>CDR20291_RS08135</t>
  </si>
  <si>
    <t>CD3324 family protein</t>
  </si>
  <si>
    <t>WP_003436543.1</t>
  </si>
  <si>
    <t>CDR20291_RS08140</t>
  </si>
  <si>
    <t>ROK family protein</t>
  </si>
  <si>
    <t>WP_009889473.1</t>
  </si>
  <si>
    <t>CDR20291_RS08145</t>
  </si>
  <si>
    <t>N-acetylglucosamine kinase</t>
  </si>
  <si>
    <t>WP_009889474.1</t>
  </si>
  <si>
    <t>CDR20291_RS08150</t>
  </si>
  <si>
    <t>WP_009889475.1</t>
  </si>
  <si>
    <t>CDR20291_RS08155</t>
  </si>
  <si>
    <t>WP_009889476.1</t>
  </si>
  <si>
    <t>CDR20291_RS08160</t>
  </si>
  <si>
    <t>WP_009889477.1</t>
  </si>
  <si>
    <t>CDR20291_RS08165</t>
  </si>
  <si>
    <t>sugar ABC transporter substrate-binding protein</t>
  </si>
  <si>
    <t>WP_003436527.1</t>
  </si>
  <si>
    <t>CDR20291_RS08170</t>
  </si>
  <si>
    <t>WP_003420189.1</t>
  </si>
  <si>
    <t>CDR20291_RS08175</t>
  </si>
  <si>
    <t>K(+)-transporting ATPase subunit F</t>
  </si>
  <si>
    <t>kdpF</t>
  </si>
  <si>
    <t>WP_353671629.1</t>
  </si>
  <si>
    <t>CDR20291_RS19575</t>
  </si>
  <si>
    <t>potassium-transporting ATPase subunit KdpA</t>
  </si>
  <si>
    <t>kdpA</t>
  </si>
  <si>
    <t>WP_003436522.1</t>
  </si>
  <si>
    <t>CDR20291_RS08185</t>
  </si>
  <si>
    <t>potassium-transporting ATPase subunit KdpB</t>
  </si>
  <si>
    <t>kdpB</t>
  </si>
  <si>
    <t>WP_009893173.1</t>
  </si>
  <si>
    <t>CDR20291_RS08190</t>
  </si>
  <si>
    <t>K(+)-transporting ATPase subunit C</t>
  </si>
  <si>
    <t>WP_009889483.1</t>
  </si>
  <si>
    <t>CDR20291_RS08195</t>
  </si>
  <si>
    <t>cysteine synthase A</t>
  </si>
  <si>
    <t>cysK</t>
  </si>
  <si>
    <t>WP_003436514.1</t>
  </si>
  <si>
    <t>CDR20291_RS08200</t>
  </si>
  <si>
    <t>serine O-acetyltransferase EpsC</t>
  </si>
  <si>
    <t>epsC</t>
  </si>
  <si>
    <t>WP_009889486.1</t>
  </si>
  <si>
    <t>CDR20291_RS08205</t>
  </si>
  <si>
    <t>ferredoxin</t>
  </si>
  <si>
    <t>WP_003430011.1</t>
  </si>
  <si>
    <t>CDR20291_RS08210</t>
  </si>
  <si>
    <t>methionyl aminopeptidase</t>
  </si>
  <si>
    <t>WP_009893177.1</t>
  </si>
  <si>
    <t>CDR20291_RS08215</t>
  </si>
  <si>
    <t>anthrax toxin lethal factor-related metalloendopeptidase</t>
  </si>
  <si>
    <t>WP_009889494.1</t>
  </si>
  <si>
    <t>CDR20291_RS08220</t>
  </si>
  <si>
    <t>WP_009889495.1</t>
  </si>
  <si>
    <t>CDR20291_RS08225</t>
  </si>
  <si>
    <t>bifunctional hydroxymethylpyrimidine kinase/phosphomethylpyrimidine kinase</t>
  </si>
  <si>
    <t>thiD</t>
  </si>
  <si>
    <t>WP_003436492.1</t>
  </si>
  <si>
    <t>CDR20291_RS08230</t>
  </si>
  <si>
    <t>hydroxyethylthiazole kinase</t>
  </si>
  <si>
    <t>thiM</t>
  </si>
  <si>
    <t>WP_009889496.1</t>
  </si>
  <si>
    <t>CDR20291_RS08235</t>
  </si>
  <si>
    <t>thiamine phosphate synthase</t>
  </si>
  <si>
    <t>thiE</t>
  </si>
  <si>
    <t>WP_009889497.1</t>
  </si>
  <si>
    <t>CDR20291_RS08240</t>
  </si>
  <si>
    <t>WP_009889498.1</t>
  </si>
  <si>
    <t>CDR20291_RS08245</t>
  </si>
  <si>
    <t>WP_009889499.1</t>
  </si>
  <si>
    <t>CDR20291_RS08250</t>
  </si>
  <si>
    <t>WP_009889501.1</t>
  </si>
  <si>
    <t>CDR20291_RS08255</t>
  </si>
  <si>
    <t>WP_009889503.1</t>
  </si>
  <si>
    <t>CDR20291_RS08260</t>
  </si>
  <si>
    <t>WP_003436478.1</t>
  </si>
  <si>
    <t>CDR20291_RS08265</t>
  </si>
  <si>
    <t>WP_009893181.1</t>
  </si>
  <si>
    <t>CDR20291_RS08270</t>
  </si>
  <si>
    <t>WP_009889506.1</t>
  </si>
  <si>
    <t>CDR20291_RS08275</t>
  </si>
  <si>
    <t>WP_009889507.1</t>
  </si>
  <si>
    <t>CDR20291_RS08280</t>
  </si>
  <si>
    <t>WP_009889510.1</t>
  </si>
  <si>
    <t>CDR20291_RS08285</t>
  </si>
  <si>
    <t>WP_009889512.1</t>
  </si>
  <si>
    <t>CDR20291_RS08290</t>
  </si>
  <si>
    <t>metal-dependent hydrolase family protein</t>
  </si>
  <si>
    <t>WP_009893182.1</t>
  </si>
  <si>
    <t>CDR20291_RS08295</t>
  </si>
  <si>
    <t>CotA family spore coat protein</t>
  </si>
  <si>
    <t>WP_003436448.1</t>
  </si>
  <si>
    <t>CDR20291_RS08300</t>
  </si>
  <si>
    <t>WP_003436445.1</t>
  </si>
  <si>
    <t>CDR20291_RS08305</t>
  </si>
  <si>
    <t>ABC transporter permease subunit/CPBP intramembrane protease</t>
  </si>
  <si>
    <t>WP_009889516.1</t>
  </si>
  <si>
    <t>CDR20291_RS08310</t>
  </si>
  <si>
    <t>putative bifunctional diguanylate cyclase/phosphodiesterase</t>
  </si>
  <si>
    <t>WP_009889520.1</t>
  </si>
  <si>
    <t>CDR20291_RS08315</t>
  </si>
  <si>
    <t>WP_003430051.1</t>
  </si>
  <si>
    <t>CDR20291_RS08320</t>
  </si>
  <si>
    <t>WP_003436372.1</t>
  </si>
  <si>
    <t>CDR20291_RS08325</t>
  </si>
  <si>
    <t>WP_003436375.1</t>
  </si>
  <si>
    <t>CDR20291_RS08330</t>
  </si>
  <si>
    <t>WP_009889522.1</t>
  </si>
  <si>
    <t>CDR20291_RS08335</t>
  </si>
  <si>
    <t>WP_009889524.1</t>
  </si>
  <si>
    <t>CDR20291_RS08340</t>
  </si>
  <si>
    <t>PepSY domain-containing protein</t>
  </si>
  <si>
    <t>WP_009889527.1</t>
  </si>
  <si>
    <t>CDR20291_RS08345</t>
  </si>
  <si>
    <t>FAD-dependent oxidoreductase</t>
  </si>
  <si>
    <t>WP_009889528.1</t>
  </si>
  <si>
    <t>CDR20291_RS08350</t>
  </si>
  <si>
    <t>VanR-ABDEGLN family response regulator transcription factor</t>
  </si>
  <si>
    <t>vanR</t>
  </si>
  <si>
    <t>WP_009889529.1</t>
  </si>
  <si>
    <t>CDR20291_RS08355</t>
  </si>
  <si>
    <t>vancomycin resistance histidine kinase VanS</t>
  </si>
  <si>
    <t>vanS</t>
  </si>
  <si>
    <t>WP_012816161.1</t>
  </si>
  <si>
    <t>CDR20291_RS08360</t>
  </si>
  <si>
    <t>D-alanine--D-serine ligase VanG</t>
  </si>
  <si>
    <t>vanG</t>
  </si>
  <si>
    <t>WP_003436404.1</t>
  </si>
  <si>
    <t>CDR20291_RS08365</t>
  </si>
  <si>
    <t>WP_003436406.1</t>
  </si>
  <si>
    <t>CDR20291_RS08370</t>
  </si>
  <si>
    <t>serine racemase VanT catalytic subunit</t>
  </si>
  <si>
    <t>vanT</t>
  </si>
  <si>
    <t>WP_009893196.1</t>
  </si>
  <si>
    <t>CDR20291_RS08375</t>
  </si>
  <si>
    <t>TVP38/TMEM64 family protein</t>
  </si>
  <si>
    <t>WP_003436409.1</t>
  </si>
  <si>
    <t>CDR20291_RS08380</t>
  </si>
  <si>
    <t>WP_009889535.1</t>
  </si>
  <si>
    <t>CDR20291_RS08385</t>
  </si>
  <si>
    <t>superoxide dismutase</t>
  </si>
  <si>
    <t>WP_009889536.1</t>
  </si>
  <si>
    <t>CDR20291_RS08390</t>
  </si>
  <si>
    <t>WP_009889538.1</t>
  </si>
  <si>
    <t>CDR20291_RS08395</t>
  </si>
  <si>
    <t>trypsin-like peptidase domain-containing protein</t>
  </si>
  <si>
    <t>WP_009889540.1</t>
  </si>
  <si>
    <t>CDR20291_RS08400</t>
  </si>
  <si>
    <t>TerD family protein</t>
  </si>
  <si>
    <t>WP_003420269.1</t>
  </si>
  <si>
    <t>CDR20291_RS08405</t>
  </si>
  <si>
    <t>WP_009889542.1</t>
  </si>
  <si>
    <t>CDR20291_RS08410</t>
  </si>
  <si>
    <t>WP_003430074.1</t>
  </si>
  <si>
    <t>CDR20291_RS08415</t>
  </si>
  <si>
    <t>calcium-translocating P-type ATPase, PMCA-type</t>
  </si>
  <si>
    <t>WP_009893200.1</t>
  </si>
  <si>
    <t>CDR20291_RS08420</t>
  </si>
  <si>
    <t>YceG family protein</t>
  </si>
  <si>
    <t>WP_009893202.1</t>
  </si>
  <si>
    <t>CDR20291_RS08425</t>
  </si>
  <si>
    <t>toxic anion resistance protein</t>
  </si>
  <si>
    <t>WP_003430084.1</t>
  </si>
  <si>
    <t>CDR20291_RS08430</t>
  </si>
  <si>
    <t>HpcH/HpaI aldolase/citrate lyase family protein</t>
  </si>
  <si>
    <t>WP_009893204.1</t>
  </si>
  <si>
    <t>CDR20291_RS08435</t>
  </si>
  <si>
    <t>phosphoribosyltransferase family protein</t>
  </si>
  <si>
    <t>WP_009893207.1</t>
  </si>
  <si>
    <t>CDR20291_RS08440</t>
  </si>
  <si>
    <t>cysteine protease StiP family protein</t>
  </si>
  <si>
    <t>WP_009889543.1</t>
  </si>
  <si>
    <t>CDR20291_RS08445</t>
  </si>
  <si>
    <t>WP_009889544.1</t>
  </si>
  <si>
    <t>CDR20291_RS08450</t>
  </si>
  <si>
    <t>cupin domain-containing protein</t>
  </si>
  <si>
    <t>WP_003430090.1</t>
  </si>
  <si>
    <t>CDR20291_RS08455</t>
  </si>
  <si>
    <t>WP_009889545.1</t>
  </si>
  <si>
    <t>CDR20291_RS08460</t>
  </si>
  <si>
    <t>dipeptidase</t>
  </si>
  <si>
    <t>WP_009889546.1</t>
  </si>
  <si>
    <t>CDR20291_RS08465</t>
  </si>
  <si>
    <t>WP_009889547.1</t>
  </si>
  <si>
    <t>CDR20291_RS08470</t>
  </si>
  <si>
    <t>iron chelate uptake ABC transporter family permease subunit</t>
  </si>
  <si>
    <t>WP_009889548.1</t>
  </si>
  <si>
    <t>CDR20291_RS08475</t>
  </si>
  <si>
    <t>WP_009889549.1</t>
  </si>
  <si>
    <t>CDR20291_RS08480</t>
  </si>
  <si>
    <t>siderophore ABC transporter substrate-binding protein</t>
  </si>
  <si>
    <t>WP_009893211.1</t>
  </si>
  <si>
    <t>CDR20291_RS08485</t>
  </si>
  <si>
    <t>WP_009893213.1</t>
  </si>
  <si>
    <t>CDR20291_RS08490</t>
  </si>
  <si>
    <t>WP_004454512.1</t>
  </si>
  <si>
    <t>CDR20291_RS08495</t>
  </si>
  <si>
    <t>WP_003420312.1</t>
  </si>
  <si>
    <t>CDR20291_RS08500</t>
  </si>
  <si>
    <t>lipoate--protein ligase</t>
  </si>
  <si>
    <t>WP_009889551.1</t>
  </si>
  <si>
    <t>CDR20291_RS08505</t>
  </si>
  <si>
    <t>Na+/H+ antiporter NhaC family protein</t>
  </si>
  <si>
    <t>WP_009889552.1</t>
  </si>
  <si>
    <t>CDR20291_RS08510</t>
  </si>
  <si>
    <t>CDR20291_RS08515</t>
  </si>
  <si>
    <t>aminomethyl-transferring glycine dehydrogenase subunit GcvPA</t>
  </si>
  <si>
    <t>gcvPA</t>
  </si>
  <si>
    <t>WP_009889553.1</t>
  </si>
  <si>
    <t>CDR20291_RS19405</t>
  </si>
  <si>
    <t>aminomethyl-transferring glycine dehydrogenase subunit GcvPB</t>
  </si>
  <si>
    <t>gcvPB</t>
  </si>
  <si>
    <t>WP_009889554.1</t>
  </si>
  <si>
    <t>CDR20291_RS08525</t>
  </si>
  <si>
    <t>HAD-IC family P-type ATPase</t>
  </si>
  <si>
    <t>WP_009893215.1</t>
  </si>
  <si>
    <t>CDR20291_RS08530</t>
  </si>
  <si>
    <t>pyrimidine/purine nucleoside phosphorylase</t>
  </si>
  <si>
    <t>WP_004454504.1</t>
  </si>
  <si>
    <t>CDR20291_RS08535</t>
  </si>
  <si>
    <t>DUF1835 domain-containing protein</t>
  </si>
  <si>
    <t>WP_009889555.1</t>
  </si>
  <si>
    <t>CDR20291_RS08540</t>
  </si>
  <si>
    <t>amidohydrolase family protein</t>
  </si>
  <si>
    <t>WP_009889556.1</t>
  </si>
  <si>
    <t>CDR20291_RS08545</t>
  </si>
  <si>
    <t>WP_022619169.1</t>
  </si>
  <si>
    <t>CDR20291_RS08550</t>
  </si>
  <si>
    <t>WP_009889559.1</t>
  </si>
  <si>
    <t>CDR20291_RS08555</t>
  </si>
  <si>
    <t>WP_004454500.1</t>
  </si>
  <si>
    <t>CDR20291_RS08560</t>
  </si>
  <si>
    <t>PLP-dependent cysteine synthase family protein</t>
  </si>
  <si>
    <t>WP_004454499.1</t>
  </si>
  <si>
    <t>CDR20291_RS08565</t>
  </si>
  <si>
    <t>WP_009893217.1</t>
  </si>
  <si>
    <t>CDR20291_RS08570</t>
  </si>
  <si>
    <t>WP_009889561.1</t>
  </si>
  <si>
    <t>CDR20291_RS08575</t>
  </si>
  <si>
    <t>WP_009889562.1</t>
  </si>
  <si>
    <t>CDR20291_RS08580</t>
  </si>
  <si>
    <t>WP_009893219.1</t>
  </si>
  <si>
    <t>CDR20291_RS08585</t>
  </si>
  <si>
    <t>WP_009889563.1</t>
  </si>
  <si>
    <t>CDR20291_RS08590</t>
  </si>
  <si>
    <t>WP_009889564.1</t>
  </si>
  <si>
    <t>CDR20291_RS08595</t>
  </si>
  <si>
    <t>WP_009893221.1</t>
  </si>
  <si>
    <t>CDR20291_RS08600</t>
  </si>
  <si>
    <t>HAMP domain-containing sensor histidine kinase</t>
  </si>
  <si>
    <t>WP_009893223.1</t>
  </si>
  <si>
    <t>CDR20291_RS08605</t>
  </si>
  <si>
    <t>TraX family protein</t>
  </si>
  <si>
    <t>WP_009893231.1</t>
  </si>
  <si>
    <t>CDR20291_RS08610</t>
  </si>
  <si>
    <t>WP_003430136.1</t>
  </si>
  <si>
    <t>CDR20291_RS08615</t>
  </si>
  <si>
    <t>WP_003420359.1</t>
  </si>
  <si>
    <t>CDR20291_RS08620</t>
  </si>
  <si>
    <t>pyroglutamyl-peptidase I</t>
  </si>
  <si>
    <t>pcp</t>
  </si>
  <si>
    <t>WP_009889566.1</t>
  </si>
  <si>
    <t>CDR20291_RS08625</t>
  </si>
  <si>
    <t>DUF979 domain-containing protein</t>
  </si>
  <si>
    <t>WP_003433654.1</t>
  </si>
  <si>
    <t>CDR20291_RS08630</t>
  </si>
  <si>
    <t>DUF969 domain-containing protein</t>
  </si>
  <si>
    <t>WP_009889567.1</t>
  </si>
  <si>
    <t>CDR20291_RS08635</t>
  </si>
  <si>
    <t>flavodoxin domain-containing protein</t>
  </si>
  <si>
    <t>WP_009889569.1</t>
  </si>
  <si>
    <t>CDR20291_RS08640</t>
  </si>
  <si>
    <t>FMN-binding protein</t>
  </si>
  <si>
    <t>WP_004454481.1</t>
  </si>
  <si>
    <t>CDR20291_RS08645</t>
  </si>
  <si>
    <t>WP_009889570.1</t>
  </si>
  <si>
    <t>CDR20291_RS08650</t>
  </si>
  <si>
    <t>nucleoside hydrolase</t>
  </si>
  <si>
    <t>WP_009889571.1</t>
  </si>
  <si>
    <t>CDR20291_RS08655</t>
  </si>
  <si>
    <t>WP_004454478.1</t>
  </si>
  <si>
    <t>CDR20291_RS08660</t>
  </si>
  <si>
    <t>WP_009889578.1</t>
  </si>
  <si>
    <t>CDR20291_RS08665</t>
  </si>
  <si>
    <t>WP_012816166.1</t>
  </si>
  <si>
    <t>CDR20291_RS08670</t>
  </si>
  <si>
    <t>DNA-binding protein</t>
  </si>
  <si>
    <t>WP_009889580.1</t>
  </si>
  <si>
    <t>CDR20291_RS08675</t>
  </si>
  <si>
    <t>WP_004454474.1</t>
  </si>
  <si>
    <t>CDR20291_RS08680</t>
  </si>
  <si>
    <t>WP_009889581.1</t>
  </si>
  <si>
    <t>CDR20291_RS08685</t>
  </si>
  <si>
    <t>WP_004454470.1</t>
  </si>
  <si>
    <t>CDR20291_RS08690</t>
  </si>
  <si>
    <t>thioredoxin</t>
  </si>
  <si>
    <t>trxA</t>
  </si>
  <si>
    <t>WP_003420374.1</t>
  </si>
  <si>
    <t>CDR20291_RS08695</t>
  </si>
  <si>
    <t>WP_003430157.1</t>
  </si>
  <si>
    <t>CDR20291_RS08700</t>
  </si>
  <si>
    <t>WP_003430158.1</t>
  </si>
  <si>
    <t>CDR20291_RS08705</t>
  </si>
  <si>
    <t>NifB/NifX family molybdenum-iron cluster-binding protein</t>
  </si>
  <si>
    <t>WP_003430159.1</t>
  </si>
  <si>
    <t>CDR20291_RS08710</t>
  </si>
  <si>
    <t>WP_003430160.1</t>
  </si>
  <si>
    <t>CDR20291_RS08715</t>
  </si>
  <si>
    <t>ArsB/NhaD family transporter</t>
  </si>
  <si>
    <t>WP_012816167.1</t>
  </si>
  <si>
    <t>CDR20291_RS08720</t>
  </si>
  <si>
    <t>alanine/glycine:cation symporter family protein</t>
  </si>
  <si>
    <t>WP_009889587.1</t>
  </si>
  <si>
    <t>CDR20291_RS08725</t>
  </si>
  <si>
    <t>6,7-dimethyl-8-ribityllumazine synthase</t>
  </si>
  <si>
    <t>ribE</t>
  </si>
  <si>
    <t>WP_009889589.1</t>
  </si>
  <si>
    <t>CDR20291_RS08730</t>
  </si>
  <si>
    <t>bifunctional 3,4-dihydroxy-2-butanone-4-phosphate synthase/GTP cyclohydrolase II</t>
  </si>
  <si>
    <t>WP_009889591.1</t>
  </si>
  <si>
    <t>CDR20291_RS08735</t>
  </si>
  <si>
    <t>riboflavin synthase</t>
  </si>
  <si>
    <t>WP_009889593.1</t>
  </si>
  <si>
    <t>CDR20291_RS08740</t>
  </si>
  <si>
    <t>bifunctional diaminohydroxyphosphoribosylaminopyrimidine deaminase/5-amino-6-(5-phosphoribosylamino)uracil reductase RibD</t>
  </si>
  <si>
    <t>ribD</t>
  </si>
  <si>
    <t>WP_009889631.1</t>
  </si>
  <si>
    <t>CDR20291_RS08745</t>
  </si>
  <si>
    <t>DNA helicase RecQ</t>
  </si>
  <si>
    <t>recQ</t>
  </si>
  <si>
    <t>WP_009893240.1</t>
  </si>
  <si>
    <t>CDR20291_RS08750</t>
  </si>
  <si>
    <t>thiC</t>
  </si>
  <si>
    <t>WP_009889633.1</t>
  </si>
  <si>
    <t>CDR20291_RS08755</t>
  </si>
  <si>
    <t>sulfur carrier protein ThiS</t>
  </si>
  <si>
    <t>thiS</t>
  </si>
  <si>
    <t>WP_003430174.1</t>
  </si>
  <si>
    <t>CDR20291_RS08760</t>
  </si>
  <si>
    <t>thiamine biosynthesis protein ThiF</t>
  </si>
  <si>
    <t>thiF</t>
  </si>
  <si>
    <t>WP_012816169.1</t>
  </si>
  <si>
    <t>CDR20291_RS08765</t>
  </si>
  <si>
    <t>thiazole synthase</t>
  </si>
  <si>
    <t>WP_009889636.1</t>
  </si>
  <si>
    <t>CDR20291_RS08770</t>
  </si>
  <si>
    <t>2-iminoacetate synthase ThiH</t>
  </si>
  <si>
    <t>thiH</t>
  </si>
  <si>
    <t>WP_009893245.1</t>
  </si>
  <si>
    <t>CDR20291_RS08775</t>
  </si>
  <si>
    <t>WP_009889638.1</t>
  </si>
  <si>
    <t>CDR20291_RS08780</t>
  </si>
  <si>
    <t>YfcC family protein</t>
  </si>
  <si>
    <t>WP_009889640.1</t>
  </si>
  <si>
    <t>CDR20291_RS08785</t>
  </si>
  <si>
    <t>WP_004454447.1</t>
  </si>
  <si>
    <t>CDR20291_RS08790</t>
  </si>
  <si>
    <t>molybdenum cofactor guanylyltransferase</t>
  </si>
  <si>
    <t>WP_234704200.1</t>
  </si>
  <si>
    <t>CDR20291_RS08795</t>
  </si>
  <si>
    <t>CoA-binding protein</t>
  </si>
  <si>
    <t>WP_004454444.1</t>
  </si>
  <si>
    <t>CDR20291_RS08800</t>
  </si>
  <si>
    <t>heavy metal-binding domain-containing protein</t>
  </si>
  <si>
    <t>WP_003420397.1</t>
  </si>
  <si>
    <t>CDR20291_RS08805</t>
  </si>
  <si>
    <t>MogA/MoaB family molybdenum cofactor biosynthesis protein</t>
  </si>
  <si>
    <t>WP_009893248.1</t>
  </si>
  <si>
    <t>CDR20291_RS08810</t>
  </si>
  <si>
    <t>GTP 3',8-cyclase MoaA</t>
  </si>
  <si>
    <t>moaA</t>
  </si>
  <si>
    <t>WP_009889647.1</t>
  </si>
  <si>
    <t>CDR20291_RS08815</t>
  </si>
  <si>
    <t>cyclic pyranopterin monophosphate synthase MoaC</t>
  </si>
  <si>
    <t>moaC</t>
  </si>
  <si>
    <t>WP_009889648.1</t>
  </si>
  <si>
    <t>CDR20291_RS08820</t>
  </si>
  <si>
    <t>MOSC domain-containing protein</t>
  </si>
  <si>
    <t>WP_009889650.1</t>
  </si>
  <si>
    <t>CDR20291_RS08825</t>
  </si>
  <si>
    <t>cytosine permease</t>
  </si>
  <si>
    <t>WP_009893249.1</t>
  </si>
  <si>
    <t>CDR20291_RS08830</t>
  </si>
  <si>
    <t>DUF917 domain-containing protein</t>
  </si>
  <si>
    <t>WP_004454434.1</t>
  </si>
  <si>
    <t>CDR20291_RS08835</t>
  </si>
  <si>
    <t>hydantoinase/oxoprolinase family protein</t>
  </si>
  <si>
    <t>WP_004454432.1</t>
  </si>
  <si>
    <t>CDR20291_RS08840</t>
  </si>
  <si>
    <t>DUF1697 domain-containing protein</t>
  </si>
  <si>
    <t>WP_009889655.1</t>
  </si>
  <si>
    <t>CDR20291_RS08845</t>
  </si>
  <si>
    <t>WP_004454429.1</t>
  </si>
  <si>
    <t>CDR20291_RS08850</t>
  </si>
  <si>
    <t>lysophospholipid acyltransferase family protein</t>
  </si>
  <si>
    <t>WP_009889659.1</t>
  </si>
  <si>
    <t>CDR20291_RS08855</t>
  </si>
  <si>
    <t>WP_009889660.1</t>
  </si>
  <si>
    <t>CDR20291_RS08860</t>
  </si>
  <si>
    <t>WP_009889665.1</t>
  </si>
  <si>
    <t>CDR20291_RS08865</t>
  </si>
  <si>
    <t>WP_003420428.1</t>
  </si>
  <si>
    <t>CDR20291_RS08870</t>
  </si>
  <si>
    <t>WP_009889672.1</t>
  </si>
  <si>
    <t>CDR20291_RS08875</t>
  </si>
  <si>
    <t>DUF6054 family protein</t>
  </si>
  <si>
    <t>WP_009889674.1</t>
  </si>
  <si>
    <t>CDR20291_RS08880</t>
  </si>
  <si>
    <t>WP_003430203.1</t>
  </si>
  <si>
    <t>CDR20291_RS08885</t>
  </si>
  <si>
    <t>Na/Pi cotransporter family protein</t>
  </si>
  <si>
    <t>WP_009889677.1</t>
  </si>
  <si>
    <t>CDR20291_RS08890</t>
  </si>
  <si>
    <t>WP_021407223.1</t>
  </si>
  <si>
    <t>CDR20291_RS19485</t>
  </si>
  <si>
    <t>WP_003430208.1</t>
  </si>
  <si>
    <t>CDR20291_RS08900</t>
  </si>
  <si>
    <t>Mrp/NBP35 family ATP-binding protein</t>
  </si>
  <si>
    <t>WP_003430209.1</t>
  </si>
  <si>
    <t>CDR20291_RS08905</t>
  </si>
  <si>
    <t>WP_009893252.1</t>
  </si>
  <si>
    <t>CDR20291_RS08910</t>
  </si>
  <si>
    <t>cobalamin B12-binding domain-containing protein</t>
  </si>
  <si>
    <t>WP_004454419.1</t>
  </si>
  <si>
    <t>CDR20291_RS08915</t>
  </si>
  <si>
    <t>uroporphyrinogen decarboxylase family protein</t>
  </si>
  <si>
    <t>WP_009893254.1</t>
  </si>
  <si>
    <t>CDR20291_RS08920</t>
  </si>
  <si>
    <t>WP_009893256.1</t>
  </si>
  <si>
    <t>CDR20291_RS08925</t>
  </si>
  <si>
    <t>YjjG family noncanonical pyrimidine nucleotidase</t>
  </si>
  <si>
    <t>WP_009889684.1</t>
  </si>
  <si>
    <t>CDR20291_RS08930</t>
  </si>
  <si>
    <t>WP_009889691.1</t>
  </si>
  <si>
    <t>CDR20291_RS08935</t>
  </si>
  <si>
    <t>WP_009893258.1</t>
  </si>
  <si>
    <t>CDR20291_RS08940</t>
  </si>
  <si>
    <t>WP_009889695.1</t>
  </si>
  <si>
    <t>CDR20291_RS08945</t>
  </si>
  <si>
    <t>WP_009893260.1</t>
  </si>
  <si>
    <t>CDR20291_RS08950</t>
  </si>
  <si>
    <t>sarcosine reductase complex component B subunit alpha</t>
  </si>
  <si>
    <t>grdG</t>
  </si>
  <si>
    <t>WP_004454406.1</t>
  </si>
  <si>
    <t>CDR20291_RS08955</t>
  </si>
  <si>
    <t>sarcosine reductase complex component B subunit beta</t>
  </si>
  <si>
    <t>grdF</t>
  </si>
  <si>
    <t>WP_077708972.1</t>
  </si>
  <si>
    <t>CDR20291_RS08960</t>
  </si>
  <si>
    <t>WP_003423664.1</t>
  </si>
  <si>
    <t>CDR20291_RS08965</t>
  </si>
  <si>
    <t>sodium/glutamate symporter</t>
  </si>
  <si>
    <t>WP_009889698.1</t>
  </si>
  <si>
    <t>CDR20291_RS08970</t>
  </si>
  <si>
    <t>adenosine deaminase</t>
  </si>
  <si>
    <t>add</t>
  </si>
  <si>
    <t>WP_009889699.1</t>
  </si>
  <si>
    <t>CDR20291_RS08975</t>
  </si>
  <si>
    <t>EcsC family protein</t>
  </si>
  <si>
    <t>WP_004454391.1</t>
  </si>
  <si>
    <t>CDR20291_RS08980</t>
  </si>
  <si>
    <t>double-cubane-cluster-containing anaerobic reductase</t>
  </si>
  <si>
    <t>WP_009893265.1</t>
  </si>
  <si>
    <t>CDR20291_RS08985</t>
  </si>
  <si>
    <t>acyl-CoA dehydratase activase</t>
  </si>
  <si>
    <t>WP_009893267.1</t>
  </si>
  <si>
    <t>CDR20291_RS08990</t>
  </si>
  <si>
    <t>cell wall-binding cysteine protease Cwp13</t>
  </si>
  <si>
    <t>WP_009893272.1</t>
  </si>
  <si>
    <t>CDR20291_RS08995</t>
  </si>
  <si>
    <t>WP_003430242.1</t>
  </si>
  <si>
    <t>CDR20291_RS09000</t>
  </si>
  <si>
    <t>WP_009893274.1</t>
  </si>
  <si>
    <t>CDR20291_RS09005</t>
  </si>
  <si>
    <t>WP_009889705.1</t>
  </si>
  <si>
    <t>CDR20291_RS09010</t>
  </si>
  <si>
    <t>WP_009889707.1</t>
  </si>
  <si>
    <t>CDR20291_RS09015</t>
  </si>
  <si>
    <t>WP_009889708.1</t>
  </si>
  <si>
    <t>CDR20291_RS09020</t>
  </si>
  <si>
    <t>WP_003423694.1</t>
  </si>
  <si>
    <t>CDR20291_RS09025</t>
  </si>
  <si>
    <t>peptide deformylase</t>
  </si>
  <si>
    <t>def</t>
  </si>
  <si>
    <t>WP_003423696.1</t>
  </si>
  <si>
    <t>CDR20291_RS09030</t>
  </si>
  <si>
    <t>pyrimidine dimer DNA glycosylase/endonuclease V</t>
  </si>
  <si>
    <t>WP_004454381.1</t>
  </si>
  <si>
    <t>CDR20291_RS09035</t>
  </si>
  <si>
    <t>WP_009893277.1</t>
  </si>
  <si>
    <t>CDR20291_RS09040</t>
  </si>
  <si>
    <t>WP_009889714.1</t>
  </si>
  <si>
    <t>CDR20291_RS09045</t>
  </si>
  <si>
    <t>WP_009889716.1</t>
  </si>
  <si>
    <t>CDR20291_RS19290</t>
  </si>
  <si>
    <t>WP_009893279.1</t>
  </si>
  <si>
    <t>CDR20291_RS09050</t>
  </si>
  <si>
    <t>CDR20291_RS09055</t>
  </si>
  <si>
    <t>YjdF family protein</t>
  </si>
  <si>
    <t>WP_009889718.1</t>
  </si>
  <si>
    <t>CDR20291_RS09060</t>
  </si>
  <si>
    <t>DUF1294 domain-containing protein</t>
  </si>
  <si>
    <t>WP_009889719.1</t>
  </si>
  <si>
    <t>CDR20291_RS09065</t>
  </si>
  <si>
    <t>B3/4 domain-containing protein</t>
  </si>
  <si>
    <t>WP_004454365.1</t>
  </si>
  <si>
    <t>CDR20291_RS09070</t>
  </si>
  <si>
    <t>WP_009889720.1</t>
  </si>
  <si>
    <t>CDR20291_RS09075</t>
  </si>
  <si>
    <t>DUF4624 family lipoprotein</t>
  </si>
  <si>
    <t>WP_009889721.1</t>
  </si>
  <si>
    <t>CDR20291_RS09080</t>
  </si>
  <si>
    <t>type I glyceraldehyde-3-phosphate dehydrogenase</t>
  </si>
  <si>
    <t>gap</t>
  </si>
  <si>
    <t>WP_009889722.1</t>
  </si>
  <si>
    <t>CDR20291_RS09085</t>
  </si>
  <si>
    <t>WP_003430260.1</t>
  </si>
  <si>
    <t>CDR20291_RS09090</t>
  </si>
  <si>
    <t>2-hydroxyacyl-CoA dehydratase</t>
  </si>
  <si>
    <t>WP_009893281.1</t>
  </si>
  <si>
    <t>CDR20291_RS09095</t>
  </si>
  <si>
    <t>WP_009889724.1</t>
  </si>
  <si>
    <t>CDR20291_RS09100</t>
  </si>
  <si>
    <t>C-GCAxxG-C-C family (seleno)protein</t>
  </si>
  <si>
    <t>WP_003430265.1</t>
  </si>
  <si>
    <t>CDR20291_RS09105</t>
  </si>
  <si>
    <t>WP_009893285.1</t>
  </si>
  <si>
    <t>CDR20291_RS09110</t>
  </si>
  <si>
    <t>WP_009889728.1</t>
  </si>
  <si>
    <t>CDR20291_RS09115</t>
  </si>
  <si>
    <t>amino acid ABC transporter substrate-binding protein</t>
  </si>
  <si>
    <t>WP_009889730.1</t>
  </si>
  <si>
    <t>CDR20291_RS09120</t>
  </si>
  <si>
    <t>WP_003430270.1</t>
  </si>
  <si>
    <t>CDR20291_RS09125</t>
  </si>
  <si>
    <t>WP_003423753.1</t>
  </si>
  <si>
    <t>CDR20291_RS09130</t>
  </si>
  <si>
    <t>arsenate reductase family protein</t>
  </si>
  <si>
    <t>WP_003433620.1</t>
  </si>
  <si>
    <t>CDR20291_RS09135</t>
  </si>
  <si>
    <t>DUF4253 domain-containing protein</t>
  </si>
  <si>
    <t>WP_009893286.1</t>
  </si>
  <si>
    <t>CDR20291_RS09140</t>
  </si>
  <si>
    <t>ATP-dependent sacrificial sulfur transferase LarE</t>
  </si>
  <si>
    <t>larE</t>
  </si>
  <si>
    <t>WP_012816174.1</t>
  </si>
  <si>
    <t>CDR20291_RS09145</t>
  </si>
  <si>
    <t>THUMP domain-containing class I SAM-dependent RNA methyltransferase</t>
  </si>
  <si>
    <t>WP_003423769.1</t>
  </si>
  <si>
    <t>CDR20291_RS09150</t>
  </si>
  <si>
    <t>WP_009893290.1</t>
  </si>
  <si>
    <t>CDR20291_RS09155</t>
  </si>
  <si>
    <t>cell wall metabolism DNA-binding response regulator WalR</t>
  </si>
  <si>
    <t>walR</t>
  </si>
  <si>
    <t>WP_009889742.1</t>
  </si>
  <si>
    <t>CDR20291_RS09160</t>
  </si>
  <si>
    <t>cell wall metabolism sensor histidine kinase WalK</t>
  </si>
  <si>
    <t>walK</t>
  </si>
  <si>
    <t>WP_003430278.1</t>
  </si>
  <si>
    <t>CDR20291_RS09165</t>
  </si>
  <si>
    <t>WP_003430279.1</t>
  </si>
  <si>
    <t>CDR20291_RS09170</t>
  </si>
  <si>
    <t>argininosuccinate synthase</t>
  </si>
  <si>
    <t>WP_003439524.1</t>
  </si>
  <si>
    <t>CDR20291_RS09175</t>
  </si>
  <si>
    <t>BtrH N-terminal domain-containing protein</t>
  </si>
  <si>
    <t>WP_009889743.1</t>
  </si>
  <si>
    <t>CDR20291_RS09180</t>
  </si>
  <si>
    <t>WP_009893294.1</t>
  </si>
  <si>
    <t>CDR20291_RS09185</t>
  </si>
  <si>
    <t>DUF4363 family protein</t>
  </si>
  <si>
    <t>WP_003439516.1</t>
  </si>
  <si>
    <t>CDR20291_RS09190</t>
  </si>
  <si>
    <t>DUF421 domain-containing protein</t>
  </si>
  <si>
    <t>WP_009889750.1</t>
  </si>
  <si>
    <t>CDR20291_RS09195</t>
  </si>
  <si>
    <t>WP_003439509.1</t>
  </si>
  <si>
    <t>CDR20291_RS09200</t>
  </si>
  <si>
    <t>WP_003433614.1</t>
  </si>
  <si>
    <t>CDR20291_RS09205</t>
  </si>
  <si>
    <t>L-threonine 3-dehydrogenase</t>
  </si>
  <si>
    <t>WP_009889752.1</t>
  </si>
  <si>
    <t>CDR20291_RS09210</t>
  </si>
  <si>
    <t>WP_009889753.1</t>
  </si>
  <si>
    <t>CDR20291_RS09215</t>
  </si>
  <si>
    <t>WP_003430297.1</t>
  </si>
  <si>
    <t>CDR20291_RS09220</t>
  </si>
  <si>
    <t>DUF1883 domain-containing protein</t>
  </si>
  <si>
    <t>WP_003439502.1</t>
  </si>
  <si>
    <t>CDR20291_RS09225</t>
  </si>
  <si>
    <t>WP_009889754.1</t>
  </si>
  <si>
    <t>CDR20291_RS09230</t>
  </si>
  <si>
    <t>WP_003439500.1</t>
  </si>
  <si>
    <t>CDR20291_RS09235</t>
  </si>
  <si>
    <t>WP_003439497.1</t>
  </si>
  <si>
    <t>CDR20291_RS09240</t>
  </si>
  <si>
    <t>WP_003430302.1</t>
  </si>
  <si>
    <t>CDR20291_RS09245</t>
  </si>
  <si>
    <t>WP_003439494.1</t>
  </si>
  <si>
    <t>CDR20291_RS09250</t>
  </si>
  <si>
    <t>WP_003430304.1</t>
  </si>
  <si>
    <t>CDR20291_RS09255</t>
  </si>
  <si>
    <t>WP_009889757.1</t>
  </si>
  <si>
    <t>CDR20291_RS09260</t>
  </si>
  <si>
    <t>cell wall-binding protein Cwp23</t>
  </si>
  <si>
    <t>WP_074014328.1</t>
  </si>
  <si>
    <t>CDR20291_RS09265</t>
  </si>
  <si>
    <t>WP_009889763.1</t>
  </si>
  <si>
    <t>CDR20291_RS09270</t>
  </si>
  <si>
    <t>glycoside hydrolase family 32 protein</t>
  </si>
  <si>
    <t>WP_009893301.1</t>
  </si>
  <si>
    <t>CDR20291_RS09280</t>
  </si>
  <si>
    <t>carbohydrate kinase family protein</t>
  </si>
  <si>
    <t>WP_009889767.1</t>
  </si>
  <si>
    <t>CDR20291_RS09285</t>
  </si>
  <si>
    <t>WP_009889770.1</t>
  </si>
  <si>
    <t>CDR20291_RS09290</t>
  </si>
  <si>
    <t>diaminopimelate decarboxylase family protein</t>
  </si>
  <si>
    <t>WP_009889772.1</t>
  </si>
  <si>
    <t>CDR20291_RS09295</t>
  </si>
  <si>
    <t>WP_003423835.1</t>
  </si>
  <si>
    <t>CDR20291_RS19410</t>
  </si>
  <si>
    <t>WP_009889773.1</t>
  </si>
  <si>
    <t>CDR20291_RS09305</t>
  </si>
  <si>
    <t>WP_003430316.1</t>
  </si>
  <si>
    <t>CDR20291_RS09310</t>
  </si>
  <si>
    <t>WP_003439467.1</t>
  </si>
  <si>
    <t>CDR20291_RS09315</t>
  </si>
  <si>
    <t>WP_009889774.1</t>
  </si>
  <si>
    <t>CDR20291_RS09320</t>
  </si>
  <si>
    <t>DUF1653 domain-containing protein</t>
  </si>
  <si>
    <t>WP_009889776.1</t>
  </si>
  <si>
    <t>CDR20291_RS09325</t>
  </si>
  <si>
    <t>histidine phosphatase family protein</t>
  </si>
  <si>
    <t>WP_003439458.1</t>
  </si>
  <si>
    <t>CDR20291_RS09330</t>
  </si>
  <si>
    <t>WP_009889777.1</t>
  </si>
  <si>
    <t>CDR20291_RS09335</t>
  </si>
  <si>
    <t>(d)CMP kinase</t>
  </si>
  <si>
    <t>cmk</t>
  </si>
  <si>
    <t>WP_009889778.1</t>
  </si>
  <si>
    <t>CDR20291_RS09340</t>
  </si>
  <si>
    <t>WP_003439452.1</t>
  </si>
  <si>
    <t>CDR20291_RS09345</t>
  </si>
  <si>
    <t>4-hydroxy-3-methylbut-2-enyl diphosphate reductase</t>
  </si>
  <si>
    <t>WP_009893304.1</t>
  </si>
  <si>
    <t>CDR20291_RS09350</t>
  </si>
  <si>
    <t>putative manganese transporter</t>
  </si>
  <si>
    <t>WP_009893305.1</t>
  </si>
  <si>
    <t>CDR20291_RS09355</t>
  </si>
  <si>
    <t>adenine deaminase</t>
  </si>
  <si>
    <t>ade</t>
  </si>
  <si>
    <t>WP_009893306.1</t>
  </si>
  <si>
    <t>CDR20291_RS09360</t>
  </si>
  <si>
    <t>thioredoxin-dependent thiol peroxidase</t>
  </si>
  <si>
    <t>bcp</t>
  </si>
  <si>
    <t>WP_003439443.1</t>
  </si>
  <si>
    <t>CDR20291_RS09365</t>
  </si>
  <si>
    <t>peroxide stress protein YaaA</t>
  </si>
  <si>
    <t>WP_009889780.1</t>
  </si>
  <si>
    <t>CDR20291_RS09370</t>
  </si>
  <si>
    <t>cation-translocating P-type ATPase</t>
  </si>
  <si>
    <t>WP_009889782.1</t>
  </si>
  <si>
    <t>CDR20291_RS09375</t>
  </si>
  <si>
    <t>O-acetylhomoserine aminocarboxypropyltransferase/cysteine synthase family protein</t>
  </si>
  <si>
    <t>WP_003439438.1</t>
  </si>
  <si>
    <t>CDR20291_RS09380</t>
  </si>
  <si>
    <t>homoserine O-succinyltransferase</t>
  </si>
  <si>
    <t>WP_003439436.1</t>
  </si>
  <si>
    <t>CDR20291_RS09385</t>
  </si>
  <si>
    <t>WP_003428618.1</t>
  </si>
  <si>
    <t>CDR20291_RS09390</t>
  </si>
  <si>
    <t>ATP-dependent zinc metalloprotease FtsH</t>
  </si>
  <si>
    <t>ftsH</t>
  </si>
  <si>
    <t>WP_003428619.1</t>
  </si>
  <si>
    <t>CDR20291_RS09395</t>
  </si>
  <si>
    <t>WP_009893308.1</t>
  </si>
  <si>
    <t>CDR20291_RS09400</t>
  </si>
  <si>
    <t>WP_003439430.1</t>
  </si>
  <si>
    <t>CDR20291_RS09405</t>
  </si>
  <si>
    <t>CorA family divalent cation transporter</t>
  </si>
  <si>
    <t>WP_009889783.1</t>
  </si>
  <si>
    <t>CDR20291_RS09410</t>
  </si>
  <si>
    <t>WP_003428626.1</t>
  </si>
  <si>
    <t>CDR20291_RS09415</t>
  </si>
  <si>
    <t>WP_003428627.1</t>
  </si>
  <si>
    <t>CDR20291_RS09420</t>
  </si>
  <si>
    <t>3-dehydroquinate synthase</t>
  </si>
  <si>
    <t>aroB</t>
  </si>
  <si>
    <t>WP_009893310.1</t>
  </si>
  <si>
    <t>CDR20291_RS09425</t>
  </si>
  <si>
    <t>3-phosphoshikimate 1-carboxyvinyltransferase</t>
  </si>
  <si>
    <t>aroA</t>
  </si>
  <si>
    <t>WP_009889786.1</t>
  </si>
  <si>
    <t>CDR20291_RS09430</t>
  </si>
  <si>
    <t>chorismate synthase</t>
  </si>
  <si>
    <t>aroC</t>
  </si>
  <si>
    <t>WP_009889788.1</t>
  </si>
  <si>
    <t>CDR20291_RS09435</t>
  </si>
  <si>
    <t>prephenate dehydratase</t>
  </si>
  <si>
    <t>pheA</t>
  </si>
  <si>
    <t>WP_009889790.1</t>
  </si>
  <si>
    <t>CDR20291_RS09440</t>
  </si>
  <si>
    <t>shikimate dehydrogenase</t>
  </si>
  <si>
    <t>aroE</t>
  </si>
  <si>
    <t>WP_009893312.1</t>
  </si>
  <si>
    <t>CDR20291_RS09445</t>
  </si>
  <si>
    <t>shikimate kinase</t>
  </si>
  <si>
    <t>WP_003439413.1</t>
  </si>
  <si>
    <t>CDR20291_RS09450</t>
  </si>
  <si>
    <t>prephenate dehydrogenase</t>
  </si>
  <si>
    <t>WP_003428643.1</t>
  </si>
  <si>
    <t>CDR20291_RS09455</t>
  </si>
  <si>
    <t>WP_009893314.1</t>
  </si>
  <si>
    <t>CDR20291_RS09460</t>
  </si>
  <si>
    <t>WP_009893315.1</t>
  </si>
  <si>
    <t>CDR20291_RS09465</t>
  </si>
  <si>
    <t>YdcF family protein</t>
  </si>
  <si>
    <t>WP_009889797.1</t>
  </si>
  <si>
    <t>CDR20291_RS09470</t>
  </si>
  <si>
    <t>WP_009889798.1</t>
  </si>
  <si>
    <t>CDR20291_RS09475</t>
  </si>
  <si>
    <t>SdrD B-like domain-containing protein</t>
  </si>
  <si>
    <t>WP_079754356.1</t>
  </si>
  <si>
    <t>CDR20291_RS09480</t>
  </si>
  <si>
    <t>CD1845 family protein</t>
  </si>
  <si>
    <t>WP_009891898.1</t>
  </si>
  <si>
    <t>CDR20291_RS09490</t>
  </si>
  <si>
    <t>DUF6017 domain-containing protein</t>
  </si>
  <si>
    <t>WP_009891897.1</t>
  </si>
  <si>
    <t>CDR20291_RS09495</t>
  </si>
  <si>
    <t>PcfB family protein</t>
  </si>
  <si>
    <t>WP_009891896.1</t>
  </si>
  <si>
    <t>CDR20291_RS09500</t>
  </si>
  <si>
    <t>CDR20291_RS09505</t>
  </si>
  <si>
    <t>WP_012816185.1</t>
  </si>
  <si>
    <t>CDR20291_RS09510</t>
  </si>
  <si>
    <t>TnpV protein</t>
  </si>
  <si>
    <t>WP_012816186.1</t>
  </si>
  <si>
    <t>CDR20291_RS09515</t>
  </si>
  <si>
    <t>WP_004612693.1</t>
  </si>
  <si>
    <t>CDR20291_RS09520</t>
  </si>
  <si>
    <t>WP_012816188.1</t>
  </si>
  <si>
    <t>CDR20291_RS09525</t>
  </si>
  <si>
    <t>WP_007884040.1</t>
  </si>
  <si>
    <t>CDR20291_RS09530</t>
  </si>
  <si>
    <t>WP_024738629.1</t>
  </si>
  <si>
    <t>CDR20291_RS09535</t>
  </si>
  <si>
    <t>WP_012816190.1</t>
  </si>
  <si>
    <t>CDR20291_RS09540</t>
  </si>
  <si>
    <t>WP_104732837.1</t>
  </si>
  <si>
    <t>CDR20291_RS09545</t>
  </si>
  <si>
    <t>WP_012816192.1</t>
  </si>
  <si>
    <t>CDR20291_RS09550</t>
  </si>
  <si>
    <t>WP_002594767.1</t>
  </si>
  <si>
    <t>CDR20291_RS09555</t>
  </si>
  <si>
    <t>WP_012816193.1</t>
  </si>
  <si>
    <t>CDR20291_RS09560</t>
  </si>
  <si>
    <t>WP_012816194.1</t>
  </si>
  <si>
    <t>CDR20291_RS09565</t>
  </si>
  <si>
    <t>sigma-24 (feci)</t>
  </si>
  <si>
    <t>WP_012816195.1</t>
  </si>
  <si>
    <t>CDR20291_RS09570</t>
  </si>
  <si>
    <t>WP_009296689.1</t>
  </si>
  <si>
    <t>CDR20291_RS09575</t>
  </si>
  <si>
    <t>DUF3847 domain-containing protein</t>
  </si>
  <si>
    <t>WP_024739841.1</t>
  </si>
  <si>
    <t>CDR20291_RS09580</t>
  </si>
  <si>
    <t>MobQ family relaxase</t>
  </si>
  <si>
    <t>mobQ</t>
  </si>
  <si>
    <t>WP_104732839.1</t>
  </si>
  <si>
    <t>CDR20291_RS09585</t>
  </si>
  <si>
    <t>type II toxin-antitoxin system YafQ family toxin</t>
  </si>
  <si>
    <t>WP_002596328.1</t>
  </si>
  <si>
    <t>CDR20291_RS09590</t>
  </si>
  <si>
    <t>type II toxin-antitoxin system RelB/DinJ family antitoxin</t>
  </si>
  <si>
    <t>WP_005924829.1</t>
  </si>
  <si>
    <t>CDR20291_RS09595</t>
  </si>
  <si>
    <t>cysteine-rich VLP domain-containing protein</t>
  </si>
  <si>
    <t>WP_012816198.1</t>
  </si>
  <si>
    <t>CDR20291_RS09600</t>
  </si>
  <si>
    <t>phage replisome organizer N-terminal domain-containing protein</t>
  </si>
  <si>
    <t>WP_012816199.1</t>
  </si>
  <si>
    <t>CDR20291_RS09605</t>
  </si>
  <si>
    <t>WP_104732840.1</t>
  </si>
  <si>
    <t>CDR20291_RS09610</t>
  </si>
  <si>
    <t>transposon-encoded TnpW family protein</t>
  </si>
  <si>
    <t>WP_104732841.1</t>
  </si>
  <si>
    <t>CDR20291_RS09615</t>
  </si>
  <si>
    <t>WP_104732842.1</t>
  </si>
  <si>
    <t>CDR20291_RS09620</t>
  </si>
  <si>
    <t>CDR20291_RS09625</t>
  </si>
  <si>
    <t>WP_009891894.1</t>
  </si>
  <si>
    <t>CDR20291_RS09630</t>
  </si>
  <si>
    <t>DUF6809 family protein</t>
  </si>
  <si>
    <t>WP_009891893.1</t>
  </si>
  <si>
    <t>CDR20291_RS09635</t>
  </si>
  <si>
    <t>WP_009891891.1</t>
  </si>
  <si>
    <t>CDR20291_RS09640</t>
  </si>
  <si>
    <t>WP_012816202.1</t>
  </si>
  <si>
    <t>CDR20291_RS19155</t>
  </si>
  <si>
    <t>molecular chaperone</t>
  </si>
  <si>
    <t>WP_074014306.1</t>
  </si>
  <si>
    <t>CDR20291_RS09650</t>
  </si>
  <si>
    <t>WP_021422885.1</t>
  </si>
  <si>
    <t>CDR20291_RS09655</t>
  </si>
  <si>
    <t>CHC2 zinc finger domain-containing protein</t>
  </si>
  <si>
    <t>WP_009893992.1</t>
  </si>
  <si>
    <t>CDR20291_RS09660</t>
  </si>
  <si>
    <t>WP_009891879.1</t>
  </si>
  <si>
    <t>CDR20291_RS09665</t>
  </si>
  <si>
    <t>WP_009891878.1</t>
  </si>
  <si>
    <t>CDR20291_RS09670</t>
  </si>
  <si>
    <t>WP_012816204.1</t>
  </si>
  <si>
    <t>CDR20291_RS09675</t>
  </si>
  <si>
    <t>WP_009901261.1</t>
  </si>
  <si>
    <t>CDR20291_RS09680</t>
  </si>
  <si>
    <t>WP_009893984.1</t>
  </si>
  <si>
    <t>CDR20291_RS09685</t>
  </si>
  <si>
    <t>WP_002604472.1</t>
  </si>
  <si>
    <t>CDR20291_RS09690</t>
  </si>
  <si>
    <t>WP_002604473.1</t>
  </si>
  <si>
    <t>CDR20291_RS09695</t>
  </si>
  <si>
    <t>WP_002604474.1</t>
  </si>
  <si>
    <t>CDR20291_RS09700</t>
  </si>
  <si>
    <t>23S rRNA (adenine(2503)-C(2))-methyltransferase RlmN</t>
  </si>
  <si>
    <t>rlmN</t>
  </si>
  <si>
    <t>WP_002584956.1</t>
  </si>
  <si>
    <t>CDR20291_RS09705</t>
  </si>
  <si>
    <t>cysteine-rich KTR domain-containing protein</t>
  </si>
  <si>
    <t>WP_003431289.1</t>
  </si>
  <si>
    <t>CDR20291_RS09710</t>
  </si>
  <si>
    <t>CDR20291_RS09715</t>
  </si>
  <si>
    <t>WP_009891854.1</t>
  </si>
  <si>
    <t>CDR20291_RS09720</t>
  </si>
  <si>
    <t>WP_002576203.1</t>
  </si>
  <si>
    <t>CDR20291_RS09725</t>
  </si>
  <si>
    <t>CDR20291_RS09730</t>
  </si>
  <si>
    <t>single-stranded DNA-binding protein</t>
  </si>
  <si>
    <t>WP_009891846.1</t>
  </si>
  <si>
    <t>CDR20291_RS09735</t>
  </si>
  <si>
    <t>CDR20291_RS09740</t>
  </si>
  <si>
    <t>WP_009274451.1</t>
  </si>
  <si>
    <t>CDR20291_RS09745</t>
  </si>
  <si>
    <t>WP_009274452.1</t>
  </si>
  <si>
    <t>CDR20291_RS09750</t>
  </si>
  <si>
    <t>WP_009274453.1</t>
  </si>
  <si>
    <t>CDR20291_RS09755</t>
  </si>
  <si>
    <t>WP_012816206.1</t>
  </si>
  <si>
    <t>CDR20291_RS09760</t>
  </si>
  <si>
    <t>WP_012816207.1</t>
  </si>
  <si>
    <t>CDR20291_RS09765</t>
  </si>
  <si>
    <t>WP_055058411.1</t>
  </si>
  <si>
    <t>CDR20291_RS09770</t>
  </si>
  <si>
    <t>DeoR family transcriptional regulator</t>
  </si>
  <si>
    <t>WP_003020305.1</t>
  </si>
  <si>
    <t>CDR20291_RS09775</t>
  </si>
  <si>
    <t>WP_012816208.1</t>
  </si>
  <si>
    <t>CDR20291_RS09780</t>
  </si>
  <si>
    <t>WP_009274458.1</t>
  </si>
  <si>
    <t>CDR20291_RS09785</t>
  </si>
  <si>
    <t>WP_042520383.1</t>
  </si>
  <si>
    <t>CDR20291_RS09790</t>
  </si>
  <si>
    <t>WP_042520382.1</t>
  </si>
  <si>
    <t>CDR20291_RS09795</t>
  </si>
  <si>
    <t>WP_042520381.1</t>
  </si>
  <si>
    <t>CDR20291_RS09800</t>
  </si>
  <si>
    <t>WP_004612761.1</t>
  </si>
  <si>
    <t>CDR20291_RS09805</t>
  </si>
  <si>
    <t>WP_012816213.1</t>
  </si>
  <si>
    <t>CDR20291_RS09810</t>
  </si>
  <si>
    <t>CDR20291_RS09815</t>
  </si>
  <si>
    <t>VirB6/TrbL-like conjugal transfer protein, CD1112 family</t>
  </si>
  <si>
    <t>WP_009893980.1</t>
  </si>
  <si>
    <t>CDR20291_RS09820</t>
  </si>
  <si>
    <t>WP_009888259.1</t>
  </si>
  <si>
    <t>CDR20291_RS09825</t>
  </si>
  <si>
    <t>PrgI family protein</t>
  </si>
  <si>
    <t>WP_009888260.1</t>
  </si>
  <si>
    <t>CDR20291_RS09830</t>
  </si>
  <si>
    <t>VirB4-like conjugal transfer ATPase, CD1110 family</t>
  </si>
  <si>
    <t>WP_009888261.1</t>
  </si>
  <si>
    <t>CDR20291_RS09835</t>
  </si>
  <si>
    <t>CHAP domain-containing protein</t>
  </si>
  <si>
    <t>WP_009888262.1</t>
  </si>
  <si>
    <t>CDR20291_RS09840</t>
  </si>
  <si>
    <t>WP_009888263.1</t>
  </si>
  <si>
    <t>CDR20291_RS09845</t>
  </si>
  <si>
    <t>CD1107 family mobile element protein</t>
  </si>
  <si>
    <t>WP_009893977.1</t>
  </si>
  <si>
    <t>CDR20291_RS09850</t>
  </si>
  <si>
    <t>DNA topoisomerase 3</t>
  </si>
  <si>
    <t>WP_009893975.1</t>
  </si>
  <si>
    <t>CDR20291_RS09855</t>
  </si>
  <si>
    <t>KilA-N domain-containing protein</t>
  </si>
  <si>
    <t>WP_004804477.1</t>
  </si>
  <si>
    <t>CDR20291_RS09860</t>
  </si>
  <si>
    <t>helicase-related protein</t>
  </si>
  <si>
    <t>WP_009893973.1</t>
  </si>
  <si>
    <t>CDR20291_RS09865</t>
  </si>
  <si>
    <t>WP_010826392.1</t>
  </si>
  <si>
    <t>CDR20291_RS09870</t>
  </si>
  <si>
    <t>WP_009889816.1</t>
  </si>
  <si>
    <t>CDR20291_RS09875</t>
  </si>
  <si>
    <t>ATP-dependent nuclease</t>
  </si>
  <si>
    <t>WP_009889819.1</t>
  </si>
  <si>
    <t>CDR20291_RS09880</t>
  </si>
  <si>
    <t>WP_009889821.1</t>
  </si>
  <si>
    <t>CDR20291_RS09885</t>
  </si>
  <si>
    <t>WP_009889823.1</t>
  </si>
  <si>
    <t>CDR20291_RS09890</t>
  </si>
  <si>
    <t>PQQ-like beta-propeller repeat protein</t>
  </si>
  <si>
    <t>WP_009889825.1</t>
  </si>
  <si>
    <t>CDR20291_RS09895</t>
  </si>
  <si>
    <t>relaxase/mobilization nuclease domain-containing protein</t>
  </si>
  <si>
    <t>WP_009889829.1</t>
  </si>
  <si>
    <t>CDR20291_RS09900</t>
  </si>
  <si>
    <t>plasmid mobilization protein</t>
  </si>
  <si>
    <t>WP_009889831.1</t>
  </si>
  <si>
    <t>CDR20291_RS09905</t>
  </si>
  <si>
    <t>WP_009893966.1</t>
  </si>
  <si>
    <t>CDR20291_RS09910</t>
  </si>
  <si>
    <t>WP_003426158.1</t>
  </si>
  <si>
    <t>CDR20291_RS19495</t>
  </si>
  <si>
    <t>WP_009889834.1</t>
  </si>
  <si>
    <t>CDR20291_RS09915</t>
  </si>
  <si>
    <t>WP_009889836.1</t>
  </si>
  <si>
    <t>CDR20291_RS09920</t>
  </si>
  <si>
    <t>WP_003426165.1</t>
  </si>
  <si>
    <t>CDR20291_RS09925</t>
  </si>
  <si>
    <t>WP_009893965.1</t>
  </si>
  <si>
    <t>CDR20291_RS09930</t>
  </si>
  <si>
    <t>WP_009889840.1</t>
  </si>
  <si>
    <t>CDR20291_RS09935</t>
  </si>
  <si>
    <t>WP_009889841.1</t>
  </si>
  <si>
    <t>CDR20291_RS09940</t>
  </si>
  <si>
    <t>WP_003426191.1</t>
  </si>
  <si>
    <t>CDR20291_RS09945</t>
  </si>
  <si>
    <t>WP_003426199.1</t>
  </si>
  <si>
    <t>CDR20291_RS09950</t>
  </si>
  <si>
    <t>WP_059109838.1</t>
  </si>
  <si>
    <t>CDR20291_RS09960</t>
  </si>
  <si>
    <t>WP_003435528.1</t>
  </si>
  <si>
    <t>CDR20291_RS09965</t>
  </si>
  <si>
    <t>WP_003423932.1</t>
  </si>
  <si>
    <t>CDR20291_RS09970</t>
  </si>
  <si>
    <t>WP_009889846.1</t>
  </si>
  <si>
    <t>CDR20291_RS09975</t>
  </si>
  <si>
    <t>prolyl-tRNA synthetase associated domain-containing protein</t>
  </si>
  <si>
    <t>WP_003428667.1</t>
  </si>
  <si>
    <t>CDR20291_RS09980</t>
  </si>
  <si>
    <t>PBECR2 nuclease fold domain-containing protein</t>
  </si>
  <si>
    <t>WP_009889847.1</t>
  </si>
  <si>
    <t>CDR20291_RS09985</t>
  </si>
  <si>
    <t>WP_003428669.1</t>
  </si>
  <si>
    <t>CDR20291_RS09990</t>
  </si>
  <si>
    <t>WP_003428670.1</t>
  </si>
  <si>
    <t>CDR20291_RS09995</t>
  </si>
  <si>
    <t>WP_003435468.1</t>
  </si>
  <si>
    <t>CDR20291_RS10000</t>
  </si>
  <si>
    <t>WP_003435466.1</t>
  </si>
  <si>
    <t>CDR20291_RS10005</t>
  </si>
  <si>
    <t>deoxycytidylate deaminase</t>
  </si>
  <si>
    <t>WP_009889849.1</t>
  </si>
  <si>
    <t>CDR20291_RS10010</t>
  </si>
  <si>
    <t>WP_009889851.1</t>
  </si>
  <si>
    <t>CDR20291_RS19300</t>
  </si>
  <si>
    <t>WP_009889853.1</t>
  </si>
  <si>
    <t>CDR20291_RS10015</t>
  </si>
  <si>
    <t>CDR20291_RS19160</t>
  </si>
  <si>
    <t>WP_003435446.1</t>
  </si>
  <si>
    <t>CDR20291_RS10020</t>
  </si>
  <si>
    <t>WP_009893325.1</t>
  </si>
  <si>
    <t>CDR20291_RS10025</t>
  </si>
  <si>
    <t>WP_009889863.1</t>
  </si>
  <si>
    <t>CDR20291_RS10030</t>
  </si>
  <si>
    <t>1-propanol dehydrogenase PduQ</t>
  </si>
  <si>
    <t>WP_009893327.1</t>
  </si>
  <si>
    <t>CDR20291_RS10035</t>
  </si>
  <si>
    <t>ethanolamine utilization microcompartment protein EutS</t>
  </si>
  <si>
    <t>eutS</t>
  </si>
  <si>
    <t>WP_009893329.1</t>
  </si>
  <si>
    <t>CDR20291_RS10040</t>
  </si>
  <si>
    <t>EutP/PduV family microcompartment system protein</t>
  </si>
  <si>
    <t>WP_009889866.1</t>
  </si>
  <si>
    <t>CDR20291_RS10045</t>
  </si>
  <si>
    <t>ANTAR domain-containing response regulator</t>
  </si>
  <si>
    <t>WP_003423977.1</t>
  </si>
  <si>
    <t>CDR20291_RS10050</t>
  </si>
  <si>
    <t>histidine kinase N-terminal domain-containing protein</t>
  </si>
  <si>
    <t>WP_009889869.1</t>
  </si>
  <si>
    <t>CDR20291_RS10055</t>
  </si>
  <si>
    <t>ethanolamine ammonia-lyase reactivating factor EutA</t>
  </si>
  <si>
    <t>eutA</t>
  </si>
  <si>
    <t>WP_009889870.1</t>
  </si>
  <si>
    <t>CDR20291_RS10060</t>
  </si>
  <si>
    <t>ethanolamine ammonia-lyase subunit EutB</t>
  </si>
  <si>
    <t>WP_009889871.1</t>
  </si>
  <si>
    <t>CDR20291_RS10065</t>
  </si>
  <si>
    <t>ethanolamine ammonia-lyase subunit EutC</t>
  </si>
  <si>
    <t>eutC</t>
  </si>
  <si>
    <t>WP_009889872.1</t>
  </si>
  <si>
    <t>CDR20291_RS10070</t>
  </si>
  <si>
    <t>ethanolamine utilization microcompartment protein EutL</t>
  </si>
  <si>
    <t>eutL</t>
  </si>
  <si>
    <t>WP_009893332.1</t>
  </si>
  <si>
    <t>CDR20291_RS10075</t>
  </si>
  <si>
    <t>BMC domain-containing protein</t>
  </si>
  <si>
    <t>WP_009889874.1</t>
  </si>
  <si>
    <t>CDR20291_RS19305</t>
  </si>
  <si>
    <t>acetaldehyde dehydrogenase (acetylating)</t>
  </si>
  <si>
    <t>WP_009889875.1</t>
  </si>
  <si>
    <t>CDR20291_RS10085</t>
  </si>
  <si>
    <t>ethanolamine utilization microcompartment protein EutM</t>
  </si>
  <si>
    <t>eutM</t>
  </si>
  <si>
    <t>WP_003423991.1</t>
  </si>
  <si>
    <t>CDR20291_RS10090</t>
  </si>
  <si>
    <t>ethanolamine/propanediol utilization cobalamin adenosyltransferase</t>
  </si>
  <si>
    <t>WP_009889876.1</t>
  </si>
  <si>
    <t>CDR20291_RS10095</t>
  </si>
  <si>
    <t>ethanolamine utilization phosphate acetyltransferase EutD</t>
  </si>
  <si>
    <t>eutD</t>
  </si>
  <si>
    <t>WP_009889877.1</t>
  </si>
  <si>
    <t>CDR20291_RS10100</t>
  </si>
  <si>
    <t>TIGR02536 family ethanolamine utilization protein</t>
  </si>
  <si>
    <t>WP_009889879.1</t>
  </si>
  <si>
    <t>CDR20291_RS10105</t>
  </si>
  <si>
    <t>EutN/CcmL family microcompartment protein</t>
  </si>
  <si>
    <t>WP_003435411.1</t>
  </si>
  <si>
    <t>CDR20291_RS10110</t>
  </si>
  <si>
    <t>WP_009889881.1</t>
  </si>
  <si>
    <t>CDR20291_RS10115</t>
  </si>
  <si>
    <t>eutH</t>
  </si>
  <si>
    <t>WP_009889882.1</t>
  </si>
  <si>
    <t>CDR20291_RS10120</t>
  </si>
  <si>
    <t>WP_009893336.1</t>
  </si>
  <si>
    <t>CDR20291_RS10125</t>
  </si>
  <si>
    <t>WP_225532606.1</t>
  </si>
  <si>
    <t>CDR20291_RS19500</t>
  </si>
  <si>
    <t>MarR family transcriptional regulator</t>
  </si>
  <si>
    <t>WP_009889887.1</t>
  </si>
  <si>
    <t>CDR20291_RS10135</t>
  </si>
  <si>
    <t>WP_012816219.1</t>
  </si>
  <si>
    <t>CDR20291_RS10140</t>
  </si>
  <si>
    <t>WP_009889889.1</t>
  </si>
  <si>
    <t>CDR20291_RS10145</t>
  </si>
  <si>
    <t>MalY/PatB family protein</t>
  </si>
  <si>
    <t>WP_009889890.1</t>
  </si>
  <si>
    <t>CDR20291_RS10150</t>
  </si>
  <si>
    <t>WP_003435382.1</t>
  </si>
  <si>
    <t>CDR20291_RS10155</t>
  </si>
  <si>
    <t>WP_009889892.1</t>
  </si>
  <si>
    <t>CDR20291_RS10160</t>
  </si>
  <si>
    <t>WP_009889894.1</t>
  </si>
  <si>
    <t>CDR20291_RS10165</t>
  </si>
  <si>
    <t>ComEC/Rec2 family competence protein</t>
  </si>
  <si>
    <t>WP_009893338.1</t>
  </si>
  <si>
    <t>CDR20291_RS10170</t>
  </si>
  <si>
    <t>transcriptional repressor LexA</t>
  </si>
  <si>
    <t>lexA</t>
  </si>
  <si>
    <t>WP_009889896.1</t>
  </si>
  <si>
    <t>CDR20291_RS10175</t>
  </si>
  <si>
    <t>WP_003435347.1</t>
  </si>
  <si>
    <t>CDR20291_RS10180</t>
  </si>
  <si>
    <t>WP_003435340.1</t>
  </si>
  <si>
    <t>CDR20291_RS10185</t>
  </si>
  <si>
    <t>WP_009889900.1</t>
  </si>
  <si>
    <t>CDR20291_RS10190</t>
  </si>
  <si>
    <t>stage V sporulation protein S</t>
  </si>
  <si>
    <t>WP_003428736.1</t>
  </si>
  <si>
    <t>CDR20291_RS10195</t>
  </si>
  <si>
    <t>acetyl-CoA carboxylase carboxyltransferase subunit alpha</t>
  </si>
  <si>
    <t>WP_009889903.1</t>
  </si>
  <si>
    <t>CDR20291_RS10200</t>
  </si>
  <si>
    <t>acetyl-CoA carboxylase, carboxyltransferase subunit beta</t>
  </si>
  <si>
    <t>accD</t>
  </si>
  <si>
    <t>WP_009893342.1</t>
  </si>
  <si>
    <t>CDR20291_RS10205</t>
  </si>
  <si>
    <t>acetyl-CoA carboxylase biotin carboxylase subunit</t>
  </si>
  <si>
    <t>accC</t>
  </si>
  <si>
    <t>WP_003435334.1</t>
  </si>
  <si>
    <t>CDR20291_RS10210</t>
  </si>
  <si>
    <t>acetyl-CoA carboxylase biotin carboxyl carrier protein</t>
  </si>
  <si>
    <t>accB</t>
  </si>
  <si>
    <t>WP_003428740.1</t>
  </si>
  <si>
    <t>CDR20291_RS10215</t>
  </si>
  <si>
    <t>WP_003435332.1</t>
  </si>
  <si>
    <t>CDR20291_RS10220</t>
  </si>
  <si>
    <t>WP_003424072.1</t>
  </si>
  <si>
    <t>CDR20291_RS10225</t>
  </si>
  <si>
    <t>WP_009889908.1</t>
  </si>
  <si>
    <t>CDR20291_RS10230</t>
  </si>
  <si>
    <t>tRNA (guanosine(46)-N7)-methyltransferase TrmB</t>
  </si>
  <si>
    <t>trmB</t>
  </si>
  <si>
    <t>WP_009889910.1</t>
  </si>
  <si>
    <t>CDR20291_RS10235</t>
  </si>
  <si>
    <t>WP_003424083.1</t>
  </si>
  <si>
    <t>CDR20291_RS10240</t>
  </si>
  <si>
    <t>WP_009889912.1</t>
  </si>
  <si>
    <t>CDR20291_RS10245</t>
  </si>
  <si>
    <t>WP_009889914.1</t>
  </si>
  <si>
    <t>CDR20291_RS10250</t>
  </si>
  <si>
    <t>WP_009889916.1</t>
  </si>
  <si>
    <t>CDR20291_RS10255</t>
  </si>
  <si>
    <t>WP_009889917.1</t>
  </si>
  <si>
    <t>CDR20291_RS10260</t>
  </si>
  <si>
    <t>WP_009893346.1</t>
  </si>
  <si>
    <t>CDR20291_RS10265</t>
  </si>
  <si>
    <t>WP_021407249.1</t>
  </si>
  <si>
    <t>CDR20291_RS10270</t>
  </si>
  <si>
    <t>WP_003424097.1</t>
  </si>
  <si>
    <t>CDR20291_RS10275</t>
  </si>
  <si>
    <t>WP_009889920.1</t>
  </si>
  <si>
    <t>CDR20291_RS10280</t>
  </si>
  <si>
    <t>WP_003435316.1</t>
  </si>
  <si>
    <t>CDR20291_RS10285</t>
  </si>
  <si>
    <t>coenzyme F420-0:L-glutamate ligase</t>
  </si>
  <si>
    <t>WP_003424103.1</t>
  </si>
  <si>
    <t>CDR20291_RS10290</t>
  </si>
  <si>
    <t>WP_009893350.1</t>
  </si>
  <si>
    <t>CDR20291_RS10295</t>
  </si>
  <si>
    <t>WP_003435313.1</t>
  </si>
  <si>
    <t>CDR20291_RS10300</t>
  </si>
  <si>
    <t>WP_009893352.1</t>
  </si>
  <si>
    <t>CDR20291_RS10305</t>
  </si>
  <si>
    <t>WP_009889923.1</t>
  </si>
  <si>
    <t>CDR20291_RS10310</t>
  </si>
  <si>
    <t>WP_009889925.1</t>
  </si>
  <si>
    <t>CDR20291_RS10315</t>
  </si>
  <si>
    <t>WP_009889929.1</t>
  </si>
  <si>
    <t>CDR20291_RS10320</t>
  </si>
  <si>
    <t>WP_009893355.1</t>
  </si>
  <si>
    <t>CDR20291_RS10325</t>
  </si>
  <si>
    <t>WP_009893356.1</t>
  </si>
  <si>
    <t>CDR20291_RS10330</t>
  </si>
  <si>
    <t>WP_009893358.1</t>
  </si>
  <si>
    <t>CDR20291_RS10335</t>
  </si>
  <si>
    <t>WP_003435288.1</t>
  </si>
  <si>
    <t>CDR20291_RS10340</t>
  </si>
  <si>
    <t>WP_003435286.1</t>
  </si>
  <si>
    <t>CDR20291_RS10345</t>
  </si>
  <si>
    <t>benzoate/H(+) symporter BenE family transporter</t>
  </si>
  <si>
    <t>WP_009889936.1</t>
  </si>
  <si>
    <t>CDR20291_RS10350</t>
  </si>
  <si>
    <t>acyl-CoA thioesterase/bile acid-CoA:amino acid N-acyltransferase family protein</t>
  </si>
  <si>
    <t>WP_009889939.1</t>
  </si>
  <si>
    <t>CDR20291_RS10355</t>
  </si>
  <si>
    <t>WP_009889941.1</t>
  </si>
  <si>
    <t>CDR20291_RS10360</t>
  </si>
  <si>
    <t>DUF554 domain-containing protein</t>
  </si>
  <si>
    <t>WP_003435276.1</t>
  </si>
  <si>
    <t>CDR20291_RS10365</t>
  </si>
  <si>
    <t>WP_009889943.1</t>
  </si>
  <si>
    <t>CDR20291_RS10370</t>
  </si>
  <si>
    <t>cyclase family protein</t>
  </si>
  <si>
    <t>WP_009889945.1</t>
  </si>
  <si>
    <t>CDR20291_RS10375</t>
  </si>
  <si>
    <t>WP_003435274.1</t>
  </si>
  <si>
    <t>CDR20291_RS10380</t>
  </si>
  <si>
    <t>dipeptidase PepV</t>
  </si>
  <si>
    <t>pepV</t>
  </si>
  <si>
    <t>WP_003435272.1</t>
  </si>
  <si>
    <t>CDR20291_RS10385</t>
  </si>
  <si>
    <t>WP_009893362.1</t>
  </si>
  <si>
    <t>CDR20291_RS10390</t>
  </si>
  <si>
    <t>RNA chaperone Hfq</t>
  </si>
  <si>
    <t>hfq</t>
  </si>
  <si>
    <t>WP_003428780.1</t>
  </si>
  <si>
    <t>CDR20291_RS10395</t>
  </si>
  <si>
    <t>tRNA (adenosine(37)-N6)-dimethylallyltransferase MiaA</t>
  </si>
  <si>
    <t>miaA</t>
  </si>
  <si>
    <t>WP_009904323.1</t>
  </si>
  <si>
    <t>CDR20291_RS10400</t>
  </si>
  <si>
    <t>DNA mismatch repair endonuclease MutL</t>
  </si>
  <si>
    <t>mutL</t>
  </si>
  <si>
    <t>WP_009889951.1</t>
  </si>
  <si>
    <t>CDR20291_RS10405</t>
  </si>
  <si>
    <t>DNA mismatch repair protein MutS</t>
  </si>
  <si>
    <t>mutS</t>
  </si>
  <si>
    <t>WP_003435264.1</t>
  </si>
  <si>
    <t>CDR20291_RS10410</t>
  </si>
  <si>
    <t>WP_003435263.1</t>
  </si>
  <si>
    <t>CDR20291_RS10415</t>
  </si>
  <si>
    <t>WP_003428792.1</t>
  </si>
  <si>
    <t>CDR20291_RS10420</t>
  </si>
  <si>
    <t>WP_009893372.1</t>
  </si>
  <si>
    <t>CDR20291_RS10425</t>
  </si>
  <si>
    <t>MTH1187 family thiamine-binding protein</t>
  </si>
  <si>
    <t>WP_003424145.1</t>
  </si>
  <si>
    <t>CDR20291_RS10430</t>
  </si>
  <si>
    <t>WP_003428796.1</t>
  </si>
  <si>
    <t>CDR20291_RS10435</t>
  </si>
  <si>
    <t>WP_009889955.1</t>
  </si>
  <si>
    <t>CDR20291_RS10440</t>
  </si>
  <si>
    <t>WP_012816228.1</t>
  </si>
  <si>
    <t>CDR20291_RS10445</t>
  </si>
  <si>
    <t>CDR20291_RS10455</t>
  </si>
  <si>
    <t>WP_009893378.1</t>
  </si>
  <si>
    <t>CDR20291_RS10460</t>
  </si>
  <si>
    <t>DUF3784 domain-containing protein</t>
  </si>
  <si>
    <t>WP_009889960.1</t>
  </si>
  <si>
    <t>CDR20291_RS10465</t>
  </si>
  <si>
    <t>tRNA (N6-isopentenyl adenosine(37)-C2)-methylthiotransferase MiaB</t>
  </si>
  <si>
    <t>miaB</t>
  </si>
  <si>
    <t>WP_003435252.1</t>
  </si>
  <si>
    <t>CDR20291_RS10470</t>
  </si>
  <si>
    <t>cell wall-binding protein Cwp28</t>
  </si>
  <si>
    <t>WP_009893380.1</t>
  </si>
  <si>
    <t>CDR20291_RS10475</t>
  </si>
  <si>
    <t>tryptophan transporter</t>
  </si>
  <si>
    <t>WP_003435247.1</t>
  </si>
  <si>
    <t>CDR20291_RS10480</t>
  </si>
  <si>
    <t>WP_012816231.1</t>
  </si>
  <si>
    <t>CDR20291_RS10485</t>
  </si>
  <si>
    <t>SH3 domain-containing protein</t>
  </si>
  <si>
    <t>WP_009889961.1</t>
  </si>
  <si>
    <t>CDR20291_RS10490</t>
  </si>
  <si>
    <t>WP_009889962.1</t>
  </si>
  <si>
    <t>CDR20291_RS19170</t>
  </si>
  <si>
    <t>WP_009889963.1</t>
  </si>
  <si>
    <t>CDR20291_RS10500</t>
  </si>
  <si>
    <t>WP_003431034.1</t>
  </si>
  <si>
    <t>CDR20291_RS10505</t>
  </si>
  <si>
    <t>WP_234702595.1</t>
  </si>
  <si>
    <t>CDR20291_RS10510</t>
  </si>
  <si>
    <t>phage integrase family protein</t>
  </si>
  <si>
    <t>WP_021370420.1</t>
  </si>
  <si>
    <t>CDR20291_RS10515</t>
  </si>
  <si>
    <t>NTF2-like N-terminal transpeptidase domain-containing protein</t>
  </si>
  <si>
    <t>WP_009889966.1</t>
  </si>
  <si>
    <t>CDR20291_RS10520</t>
  </si>
  <si>
    <t>WP_003424195.1</t>
  </si>
  <si>
    <t>CDR20291_RS10525</t>
  </si>
  <si>
    <t>carboxymuconolactone decarboxylase family protein</t>
  </si>
  <si>
    <t>WP_003428889.1</t>
  </si>
  <si>
    <t>CDR20291_RS10530</t>
  </si>
  <si>
    <t>SdpI family protein</t>
  </si>
  <si>
    <t>WP_009889968.1</t>
  </si>
  <si>
    <t>CDR20291_RS10535</t>
  </si>
  <si>
    <t>autorepressor SdpR family transcription factor</t>
  </si>
  <si>
    <t>WP_009889969.1</t>
  </si>
  <si>
    <t>CDR20291_RS10540</t>
  </si>
  <si>
    <t>WP_408639884.1</t>
  </si>
  <si>
    <t>CDR20291_RS19580</t>
  </si>
  <si>
    <t>WP_003433020.1</t>
  </si>
  <si>
    <t>CDR20291_RS19310</t>
  </si>
  <si>
    <t>WP_330360514.1</t>
  </si>
  <si>
    <t>CDR20291_RS10550</t>
  </si>
  <si>
    <t>WP_009901043.1</t>
  </si>
  <si>
    <t>CDR20291_RS19420</t>
  </si>
  <si>
    <t>WP_009889973.1</t>
  </si>
  <si>
    <t>CDR20291_RS10560</t>
  </si>
  <si>
    <t>WP_009889974.1</t>
  </si>
  <si>
    <t>CDR20291_RS10565</t>
  </si>
  <si>
    <t>HpcH/HpaI aldolase family protein</t>
  </si>
  <si>
    <t>WP_009889976.1</t>
  </si>
  <si>
    <t>CDR20291_RS10570</t>
  </si>
  <si>
    <t>flavodoxin</t>
  </si>
  <si>
    <t>WP_003435214.1</t>
  </si>
  <si>
    <t>CDR20291_RS10575</t>
  </si>
  <si>
    <t>S8 family peptidase</t>
  </si>
  <si>
    <t>WP_009889978.1</t>
  </si>
  <si>
    <t>CDR20291_RS10580</t>
  </si>
  <si>
    <t>dihydroxy-acid dehydratase</t>
  </si>
  <si>
    <t>ilvD</t>
  </si>
  <si>
    <t>WP_009889989.1</t>
  </si>
  <si>
    <t>CDR20291_RS10585</t>
  </si>
  <si>
    <t>WP_003435203.1</t>
  </si>
  <si>
    <t>CDR20291_RS10590</t>
  </si>
  <si>
    <t>VanZ family protein</t>
  </si>
  <si>
    <t>WP_009893393.1</t>
  </si>
  <si>
    <t>CDR20291_RS10595</t>
  </si>
  <si>
    <t>WP_003435199.1</t>
  </si>
  <si>
    <t>CDR20291_RS10600</t>
  </si>
  <si>
    <t>WP_003428913.1</t>
  </si>
  <si>
    <t>CDR20291_RS10605</t>
  </si>
  <si>
    <t>WP_009889993.1</t>
  </si>
  <si>
    <t>CDR20291_RS10610</t>
  </si>
  <si>
    <t>WP_009889994.1</t>
  </si>
  <si>
    <t>CDR20291_RS10615</t>
  </si>
  <si>
    <t>WP_003435195.1</t>
  </si>
  <si>
    <t>CDR20291_RS10620</t>
  </si>
  <si>
    <t>ATP-dependent chaperone ClpB</t>
  </si>
  <si>
    <t>clpB</t>
  </si>
  <si>
    <t>WP_009889995.1</t>
  </si>
  <si>
    <t>CDR20291_RS10625</t>
  </si>
  <si>
    <t>WP_003435191.1</t>
  </si>
  <si>
    <t>CDR20291_RS10630</t>
  </si>
  <si>
    <t>replication/maintenance protein RepL</t>
  </si>
  <si>
    <t>WP_009889997.1</t>
  </si>
  <si>
    <t>CDR20291_RS10635</t>
  </si>
  <si>
    <t>WP_003424232.1</t>
  </si>
  <si>
    <t>CDR20291_RS10640</t>
  </si>
  <si>
    <t>WP_012816232.1</t>
  </si>
  <si>
    <t>CDR20291_RS10645</t>
  </si>
  <si>
    <t>WP_009889999.1</t>
  </si>
  <si>
    <t>CDR20291_RS10650</t>
  </si>
  <si>
    <t>WP_009890000.1</t>
  </si>
  <si>
    <t>CDR20291_RS10655</t>
  </si>
  <si>
    <t>M20 family metallo-hydrolase</t>
  </si>
  <si>
    <t>WP_009893396.1</t>
  </si>
  <si>
    <t>CDR20291_RS10660</t>
  </si>
  <si>
    <t>aspartate/glutamate racemase family protein</t>
  </si>
  <si>
    <t>WP_003435180.1</t>
  </si>
  <si>
    <t>CDR20291_RS10665</t>
  </si>
  <si>
    <t>DUF4878 domain-containing protein</t>
  </si>
  <si>
    <t>WP_009893397.1</t>
  </si>
  <si>
    <t>CDR20291_RS10670</t>
  </si>
  <si>
    <t>ornithine carbamoyltransferase</t>
  </si>
  <si>
    <t>argF</t>
  </si>
  <si>
    <t>WP_009893398.1</t>
  </si>
  <si>
    <t>CDR20291_RS10675</t>
  </si>
  <si>
    <t>aspartate aminotransferase family protein</t>
  </si>
  <si>
    <t>WP_009893400.1</t>
  </si>
  <si>
    <t>CDR20291_RS10680</t>
  </si>
  <si>
    <t>acetylglutamate kinase</t>
  </si>
  <si>
    <t>argB</t>
  </si>
  <si>
    <t>WP_009890002.1</t>
  </si>
  <si>
    <t>CDR20291_RS10685</t>
  </si>
  <si>
    <t>bifunctional glutamate N-acetyltransferase/amino-acid acetyltransferase ArgJ</t>
  </si>
  <si>
    <t>argJ</t>
  </si>
  <si>
    <t>WP_009893402.1</t>
  </si>
  <si>
    <t>CDR20291_RS10690</t>
  </si>
  <si>
    <t>N-acetyl-gamma-glutamyl-phosphate reductase</t>
  </si>
  <si>
    <t>argC</t>
  </si>
  <si>
    <t>WP_009893404.1</t>
  </si>
  <si>
    <t>CDR20291_RS10695</t>
  </si>
  <si>
    <t>N-acetyltransferase</t>
  </si>
  <si>
    <t>WP_009890003.1</t>
  </si>
  <si>
    <t>CDR20291_RS10700</t>
  </si>
  <si>
    <t>WP_009893407.1</t>
  </si>
  <si>
    <t>CDR20291_RS10705</t>
  </si>
  <si>
    <t>WP_009890004.1</t>
  </si>
  <si>
    <t>CDR20291_RS10710</t>
  </si>
  <si>
    <t>WP_009899876.1</t>
  </si>
  <si>
    <t>CDR20291_RS10715</t>
  </si>
  <si>
    <t>WP_350256525.1</t>
  </si>
  <si>
    <t>CDR20291_RS19585</t>
  </si>
  <si>
    <t>DUF2975 domain-containing protein</t>
  </si>
  <si>
    <t>WP_003428951.1</t>
  </si>
  <si>
    <t>CDR20291_RS10720</t>
  </si>
  <si>
    <t>WP_003428954.1</t>
  </si>
  <si>
    <t>CDR20291_RS10725</t>
  </si>
  <si>
    <t>WP_003435150.1</t>
  </si>
  <si>
    <t>CDR20291_RS10730</t>
  </si>
  <si>
    <t>WP_009890006.1</t>
  </si>
  <si>
    <t>CDR20291_RS10735</t>
  </si>
  <si>
    <t>WP_003424273.1</t>
  </si>
  <si>
    <t>CDR20291_RS10740</t>
  </si>
  <si>
    <t>tRNA (mnm(5)s(2)U34)-methyltransferase</t>
  </si>
  <si>
    <t>WP_003424276.1</t>
  </si>
  <si>
    <t>CDR20291_RS10745</t>
  </si>
  <si>
    <t>pseudouridine synthase</t>
  </si>
  <si>
    <t>WP_009890007.1</t>
  </si>
  <si>
    <t>CDR20291_RS10750</t>
  </si>
  <si>
    <t>WP_009890008.1</t>
  </si>
  <si>
    <t>CDR20291_RS10755</t>
  </si>
  <si>
    <t>WP_009890009.1</t>
  </si>
  <si>
    <t>CDR20291_RS10760</t>
  </si>
  <si>
    <t>diaminopimelate decarboxylase</t>
  </si>
  <si>
    <t>lysA</t>
  </si>
  <si>
    <t>WP_009890169.1</t>
  </si>
  <si>
    <t>CDR20291_RS10765</t>
  </si>
  <si>
    <t>WP_003424287.1</t>
  </si>
  <si>
    <t>CDR20291_RS10770</t>
  </si>
  <si>
    <t>WP_003424290.1</t>
  </si>
  <si>
    <t>CDR20291_RS10775</t>
  </si>
  <si>
    <t>WP_003435136.1</t>
  </si>
  <si>
    <t>CDR20291_RS10780</t>
  </si>
  <si>
    <t>WP_003433003.1</t>
  </si>
  <si>
    <t>CDR20291_RS10785</t>
  </si>
  <si>
    <t>WP_009890174.1</t>
  </si>
  <si>
    <t>CDR20291_RS10790</t>
  </si>
  <si>
    <t>glutamine--tRNA ligase/YqeY domain fusion protein</t>
  </si>
  <si>
    <t>WP_009890175.1</t>
  </si>
  <si>
    <t>CDR20291_RS10795</t>
  </si>
  <si>
    <t>YegS/Rv2252/BmrU family lipid kinase</t>
  </si>
  <si>
    <t>WP_003435130.1</t>
  </si>
  <si>
    <t>CDR20291_RS10800</t>
  </si>
  <si>
    <t>WP_012816235.1</t>
  </si>
  <si>
    <t>CDR20291_RS10805</t>
  </si>
  <si>
    <t>DUF4003 domain-containing protein</t>
  </si>
  <si>
    <t>WP_003435128.1</t>
  </si>
  <si>
    <t>CDR20291_RS10810</t>
  </si>
  <si>
    <t>WP_003424324.1</t>
  </si>
  <si>
    <t>CDR20291_RS10815</t>
  </si>
  <si>
    <t>WP_009890184.1</t>
  </si>
  <si>
    <t>CDR20291_RS10820</t>
  </si>
  <si>
    <t>WP_003428999.1</t>
  </si>
  <si>
    <t>CDR20291_RS10825</t>
  </si>
  <si>
    <t>WP_009893419.1</t>
  </si>
  <si>
    <t>CDR20291_RS10830</t>
  </si>
  <si>
    <t>WP_009893421.1</t>
  </si>
  <si>
    <t>CDR20291_RS10835</t>
  </si>
  <si>
    <t>WP_003429004.1</t>
  </si>
  <si>
    <t>CDR20291_RS10840</t>
  </si>
  <si>
    <t>molybdopterin-binding protein</t>
  </si>
  <si>
    <t>WP_003435117.1</t>
  </si>
  <si>
    <t>CDR20291_RS10845</t>
  </si>
  <si>
    <t>molybdenum cofactor cytidylyltransferase</t>
  </si>
  <si>
    <t>mocA</t>
  </si>
  <si>
    <t>WP_009890188.1</t>
  </si>
  <si>
    <t>CDR20291_RS10850</t>
  </si>
  <si>
    <t>selenium cofactor biosynthesis protein YqeC</t>
  </si>
  <si>
    <t>yqeC</t>
  </si>
  <si>
    <t>WP_009893422.1</t>
  </si>
  <si>
    <t>CDR20291_RS10855</t>
  </si>
  <si>
    <t>RNA-guided endonuclease InsQ/TnpB family protein</t>
  </si>
  <si>
    <t>WP_009893423.1</t>
  </si>
  <si>
    <t>CDR20291_RS10860</t>
  </si>
  <si>
    <t>xanthine dehydrogenase family protein molybdopterin-binding subunit</t>
  </si>
  <si>
    <t>WP_009890192.1</t>
  </si>
  <si>
    <t>CDR20291_RS10865</t>
  </si>
  <si>
    <t>FAD binding domain-containing protein</t>
  </si>
  <si>
    <t>WP_009893424.1</t>
  </si>
  <si>
    <t>CDR20291_RS10870</t>
  </si>
  <si>
    <t>uracil-xanthine permease family protein</t>
  </si>
  <si>
    <t>WP_009890197.1</t>
  </si>
  <si>
    <t>CDR20291_RS10875</t>
  </si>
  <si>
    <t>WP_225532651.1</t>
  </si>
  <si>
    <t>CDR20291_RS10880</t>
  </si>
  <si>
    <t>WP_009890201.1</t>
  </si>
  <si>
    <t>CDR20291_RS10885</t>
  </si>
  <si>
    <t>WP_009890204.1</t>
  </si>
  <si>
    <t>CDR20291_RS10890</t>
  </si>
  <si>
    <t>WP_009890206.1</t>
  </si>
  <si>
    <t>CDR20291_RS10895</t>
  </si>
  <si>
    <t>WP_009890208.1</t>
  </si>
  <si>
    <t>CDR20291_RS10900</t>
  </si>
  <si>
    <t>(2Fe-2S)-binding protein</t>
  </si>
  <si>
    <t>WP_009890210.1</t>
  </si>
  <si>
    <t>CDR20291_RS10905</t>
  </si>
  <si>
    <t>WP_009890213.1</t>
  </si>
  <si>
    <t>CDR20291_RS10910</t>
  </si>
  <si>
    <t>dihydropyrimidinase</t>
  </si>
  <si>
    <t>hydA</t>
  </si>
  <si>
    <t>WP_009893425.1</t>
  </si>
  <si>
    <t>CDR20291_RS10915</t>
  </si>
  <si>
    <t>YgeY family selenium metabolism-linked hydrolase</t>
  </si>
  <si>
    <t>WP_009893427.1</t>
  </si>
  <si>
    <t>CDR20291_RS10920</t>
  </si>
  <si>
    <t>diaminopropionate ammonia-lyase</t>
  </si>
  <si>
    <t>dpaL</t>
  </si>
  <si>
    <t>WP_009890217.1</t>
  </si>
  <si>
    <t>CDR20291_RS10925</t>
  </si>
  <si>
    <t>WP_003424384.1</t>
  </si>
  <si>
    <t>CDR20291_RS10930</t>
  </si>
  <si>
    <t>WP_009890220.1</t>
  </si>
  <si>
    <t>CDR20291_RS10935</t>
  </si>
  <si>
    <t>WP_009890222.1</t>
  </si>
  <si>
    <t>CDR20291_RS10940</t>
  </si>
  <si>
    <t>WP_009893428.1</t>
  </si>
  <si>
    <t>CDR20291_RS10945</t>
  </si>
  <si>
    <t>WP_003434075.1</t>
  </si>
  <si>
    <t>CDR20291_RS10950</t>
  </si>
  <si>
    <t>WP_003430656.1</t>
  </si>
  <si>
    <t>CDR20291_RS10955</t>
  </si>
  <si>
    <t>WP_003434073.1</t>
  </si>
  <si>
    <t>CDR20291_RS10960</t>
  </si>
  <si>
    <t>McrC family protein</t>
  </si>
  <si>
    <t>WP_009893435.1</t>
  </si>
  <si>
    <t>CDR20291_RS10965</t>
  </si>
  <si>
    <t>McrB family protein</t>
  </si>
  <si>
    <t>WP_009893437.1</t>
  </si>
  <si>
    <t>CDR20291_RS10970</t>
  </si>
  <si>
    <t>cell division protein</t>
  </si>
  <si>
    <t>WP_009893439.1</t>
  </si>
  <si>
    <t>CDR20291_RS10975</t>
  </si>
  <si>
    <t>WP_009893441.1</t>
  </si>
  <si>
    <t>CDR20291_RS10980</t>
  </si>
  <si>
    <t>QueT transporter family protein</t>
  </si>
  <si>
    <t>WP_009890234.1</t>
  </si>
  <si>
    <t>CDR20291_RS10985</t>
  </si>
  <si>
    <t>WP_003433131.1</t>
  </si>
  <si>
    <t>CDR20291_RS10990</t>
  </si>
  <si>
    <t>WP_009893443.1</t>
  </si>
  <si>
    <t>CDR20291_RS10995</t>
  </si>
  <si>
    <t>WP_003434060.1</t>
  </si>
  <si>
    <t>CDR20291_RS11000</t>
  </si>
  <si>
    <t>WP_003434058.1</t>
  </si>
  <si>
    <t>CDR20291_RS11005</t>
  </si>
  <si>
    <t>WP_003433135.1</t>
  </si>
  <si>
    <t>CDR20291_RS11010</t>
  </si>
  <si>
    <t>WP_003434055.1</t>
  </si>
  <si>
    <t>CDR20291_RS11015</t>
  </si>
  <si>
    <t>lysylphosphatidylglycerol synthase transmembrane domain-containing protein</t>
  </si>
  <si>
    <t>WP_003434053.1</t>
  </si>
  <si>
    <t>CDR20291_RS11020</t>
  </si>
  <si>
    <t>putative ABC transporter permease subunit</t>
  </si>
  <si>
    <t>WP_009890235.1</t>
  </si>
  <si>
    <t>CDR20291_RS11025</t>
  </si>
  <si>
    <t>WP_003434049.1</t>
  </si>
  <si>
    <t>CDR20291_RS11030</t>
  </si>
  <si>
    <t>WP_009890236.1</t>
  </si>
  <si>
    <t>CDR20291_RS11035</t>
  </si>
  <si>
    <t>NCS2 family permease</t>
  </si>
  <si>
    <t>WP_009890237.1</t>
  </si>
  <si>
    <t>CDR20291_RS11040</t>
  </si>
  <si>
    <t>WP_009893448.1</t>
  </si>
  <si>
    <t>CDR20291_RS11045</t>
  </si>
  <si>
    <t>WP_009893453.1</t>
  </si>
  <si>
    <t>CDR20291_RS11050</t>
  </si>
  <si>
    <t>fructose-6-phosphate aldolase</t>
  </si>
  <si>
    <t>fsa</t>
  </si>
  <si>
    <t>WP_009890239.1</t>
  </si>
  <si>
    <t>CDR20291_RS11055</t>
  </si>
  <si>
    <t>WP_003430625.1</t>
  </si>
  <si>
    <t>CDR20291_RS11060</t>
  </si>
  <si>
    <t>WP_009890241.1</t>
  </si>
  <si>
    <t>CDR20291_RS11065</t>
  </si>
  <si>
    <t>WP_009890242.1</t>
  </si>
  <si>
    <t>CDR20291_RS11070</t>
  </si>
  <si>
    <t>WP_003424455.1</t>
  </si>
  <si>
    <t>CDR20291_RS11075</t>
  </si>
  <si>
    <t>WP_009890244.1</t>
  </si>
  <si>
    <t>CDR20291_RS11080</t>
  </si>
  <si>
    <t>WP_003424459.1</t>
  </si>
  <si>
    <t>CDR20291_RS11085</t>
  </si>
  <si>
    <t>WP_022619208.1</t>
  </si>
  <si>
    <t>CDR20291_RS11090</t>
  </si>
  <si>
    <t>translational GTPase TypA</t>
  </si>
  <si>
    <t>typA</t>
  </si>
  <si>
    <t>WP_003430621.1</t>
  </si>
  <si>
    <t>CDR20291_RS11095</t>
  </si>
  <si>
    <t>thioredoxin-disulfide reductase</t>
  </si>
  <si>
    <t>trxB</t>
  </si>
  <si>
    <t>WP_003434033.1</t>
  </si>
  <si>
    <t>CDR20291_RS11100</t>
  </si>
  <si>
    <t>threonine synthase</t>
  </si>
  <si>
    <t>thrC</t>
  </si>
  <si>
    <t>WP_009893456.1</t>
  </si>
  <si>
    <t>CDR20291_RS11105</t>
  </si>
  <si>
    <t>homoserine kinase</t>
  </si>
  <si>
    <t>thrB</t>
  </si>
  <si>
    <t>WP_009890249.1</t>
  </si>
  <si>
    <t>CDR20291_RS11110</t>
  </si>
  <si>
    <t>NAD(P)H-dependent flavin oxidoreductase</t>
  </si>
  <si>
    <t>WP_003430617.1</t>
  </si>
  <si>
    <t>CDR20291_RS11115</t>
  </si>
  <si>
    <t>flavin reductase family protein</t>
  </si>
  <si>
    <t>WP_009890251.1</t>
  </si>
  <si>
    <t>CDR20291_RS11120</t>
  </si>
  <si>
    <t>magnesium transporter CorA family protein</t>
  </si>
  <si>
    <t>WP_003430615.1</t>
  </si>
  <si>
    <t>CDR20291_RS11125</t>
  </si>
  <si>
    <t>WP_009890256.1</t>
  </si>
  <si>
    <t>CDR20291_RS11130</t>
  </si>
  <si>
    <t>AEC family transporter</t>
  </si>
  <si>
    <t>WP_009893461.1</t>
  </si>
  <si>
    <t>CDR20291_RS11135</t>
  </si>
  <si>
    <t>WP_009890260.1</t>
  </si>
  <si>
    <t>CDR20291_RS11140</t>
  </si>
  <si>
    <t>WP_009890262.1</t>
  </si>
  <si>
    <t>CDR20291_RS11145</t>
  </si>
  <si>
    <t>WP_003434018.1</t>
  </si>
  <si>
    <t>CDR20291_RS11150</t>
  </si>
  <si>
    <t>DUF3810 family protein</t>
  </si>
  <si>
    <t>WP_009893464.1</t>
  </si>
  <si>
    <t>CDR20291_RS19315</t>
  </si>
  <si>
    <t>DUF3810 domain-containing protein</t>
  </si>
  <si>
    <t>WP_074431726.1</t>
  </si>
  <si>
    <t>CDR20291_RS11155</t>
  </si>
  <si>
    <t>DUF5780 domain-containing protein</t>
  </si>
  <si>
    <t>WP_009893472.1</t>
  </si>
  <si>
    <t>CDR20291_RS11160</t>
  </si>
  <si>
    <t>flavodoxin-dependent (E)-4-hydroxy-3-methylbut-2-enyl-diphosphate synthase</t>
  </si>
  <si>
    <t>ispG</t>
  </si>
  <si>
    <t>WP_009890268.1</t>
  </si>
  <si>
    <t>CDR20291_RS11165</t>
  </si>
  <si>
    <t>RIP metalloprotease RseP</t>
  </si>
  <si>
    <t>rseP</t>
  </si>
  <si>
    <t>WP_009890270.1</t>
  </si>
  <si>
    <t>CDR20291_RS11170</t>
  </si>
  <si>
    <t>1-deoxy-D-xylulose-5-phosphate reductoisomerase</t>
  </si>
  <si>
    <t>WP_009890272.1</t>
  </si>
  <si>
    <t>CDR20291_RS11175</t>
  </si>
  <si>
    <t>WP_009890274.1</t>
  </si>
  <si>
    <t>CDR20291_RS11180</t>
  </si>
  <si>
    <t>WP_012816246.1</t>
  </si>
  <si>
    <t>CDR20291_RS11185</t>
  </si>
  <si>
    <t>WP_009893475.1</t>
  </si>
  <si>
    <t>CDR20291_RS11190</t>
  </si>
  <si>
    <t>phosphatidate cytidylyltransferase</t>
  </si>
  <si>
    <t>WP_003434000.1</t>
  </si>
  <si>
    <t>CDR20291_RS11195</t>
  </si>
  <si>
    <t>isoprenyl transferase</t>
  </si>
  <si>
    <t>WP_003424529.1</t>
  </si>
  <si>
    <t>CDR20291_RS11200</t>
  </si>
  <si>
    <t>WP_003433997.1</t>
  </si>
  <si>
    <t>CDR20291_RS11205</t>
  </si>
  <si>
    <t>ribosome recycling factor</t>
  </si>
  <si>
    <t>frr</t>
  </si>
  <si>
    <t>WP_003430598.1</t>
  </si>
  <si>
    <t>CDR20291_RS11210</t>
  </si>
  <si>
    <t>UMP kinase</t>
  </si>
  <si>
    <t>pyrH</t>
  </si>
  <si>
    <t>WP_003430597.1</t>
  </si>
  <si>
    <t>CDR20291_RS11215</t>
  </si>
  <si>
    <t>translation elongation factor Ts</t>
  </si>
  <si>
    <t>tsf</t>
  </si>
  <si>
    <t>WP_003424535.1</t>
  </si>
  <si>
    <t>CDR20291_RS11220</t>
  </si>
  <si>
    <t>30S ribosomal protein S2</t>
  </si>
  <si>
    <t>rpsB</t>
  </si>
  <si>
    <t>WP_003424537.1</t>
  </si>
  <si>
    <t>CDR20291_RS11225</t>
  </si>
  <si>
    <t>WP_009890281.1</t>
  </si>
  <si>
    <t>CDR20291_RS11230</t>
  </si>
  <si>
    <t>WP_009893483.1</t>
  </si>
  <si>
    <t>CDR20291_RS11235</t>
  </si>
  <si>
    <t>WP_009890288.1</t>
  </si>
  <si>
    <t>CDR20291_RS11240</t>
  </si>
  <si>
    <t>sporulation membrane protein YtaF</t>
  </si>
  <si>
    <t>ytaF</t>
  </si>
  <si>
    <t>WP_009893485.1</t>
  </si>
  <si>
    <t>CDR20291_RS11245</t>
  </si>
  <si>
    <t>WP_009890292.1</t>
  </si>
  <si>
    <t>CDR20291_RS11250</t>
  </si>
  <si>
    <t>RNA ligase RtcB family protein</t>
  </si>
  <si>
    <t>WP_009890294.1</t>
  </si>
  <si>
    <t>CDR20291_RS11255</t>
  </si>
  <si>
    <t>protein kinase domain-containing protein</t>
  </si>
  <si>
    <t>WP_225532652.1</t>
  </si>
  <si>
    <t>CDR20291_RS11260</t>
  </si>
  <si>
    <t>WP_009890298.1</t>
  </si>
  <si>
    <t>CDR20291_RS11265</t>
  </si>
  <si>
    <t>endonuclease/exonuclease/phosphatase family protein</t>
  </si>
  <si>
    <t>WP_003433980.1</t>
  </si>
  <si>
    <t>CDR20291_RS11270</t>
  </si>
  <si>
    <t>WP_003424559.1</t>
  </si>
  <si>
    <t>CDR20291_RS11275</t>
  </si>
  <si>
    <t>WP_009890306.1</t>
  </si>
  <si>
    <t>CDR20291_RS11280</t>
  </si>
  <si>
    <t>M42 family metallopeptidase</t>
  </si>
  <si>
    <t>WP_003433978.1</t>
  </si>
  <si>
    <t>CDR20291_RS11285</t>
  </si>
  <si>
    <t>TM1266 family iron-only hydrogenase system putative regulator</t>
  </si>
  <si>
    <t>WP_003433976.1</t>
  </si>
  <si>
    <t>CDR20291_RS11290</t>
  </si>
  <si>
    <t>[FeFe] hydrogenase H-cluster maturation GTPase HydF</t>
  </si>
  <si>
    <t>hydF</t>
  </si>
  <si>
    <t>WP_009890310.1</t>
  </si>
  <si>
    <t>CDR20291_RS11295</t>
  </si>
  <si>
    <t>[FeFe] hydrogenase H-cluster radical SAM maturase HydE</t>
  </si>
  <si>
    <t>hydE</t>
  </si>
  <si>
    <t>WP_009890312.1</t>
  </si>
  <si>
    <t>CDR20291_RS11300</t>
  </si>
  <si>
    <t>[FeFe] hydrogenase H-cluster radical SAM maturase HydG</t>
  </si>
  <si>
    <t>hydG</t>
  </si>
  <si>
    <t>WP_003430581.1</t>
  </si>
  <si>
    <t>CDR20291_RS11305</t>
  </si>
  <si>
    <t>WP_003433970.1</t>
  </si>
  <si>
    <t>CDR20291_RS11310</t>
  </si>
  <si>
    <t>aminotransferase class III-fold pyridoxal phosphate-dependent enzyme</t>
  </si>
  <si>
    <t>WP_009893495.1</t>
  </si>
  <si>
    <t>CDR20291_RS11315</t>
  </si>
  <si>
    <t>putative ABC transporter permease</t>
  </si>
  <si>
    <t>WP_009890315.1</t>
  </si>
  <si>
    <t>CDR20291_RS11320</t>
  </si>
  <si>
    <t>WP_009890317.1</t>
  </si>
  <si>
    <t>CDR20291_RS11325</t>
  </si>
  <si>
    <t>WP_003430572.1</t>
  </si>
  <si>
    <t>CDR20291_RS11330</t>
  </si>
  <si>
    <t>WP_009893498.1</t>
  </si>
  <si>
    <t>CDR20291_RS11335</t>
  </si>
  <si>
    <t>alanyl-tRNA editing protein</t>
  </si>
  <si>
    <t>WP_009890322.1</t>
  </si>
  <si>
    <t>CDR20291_RS11340</t>
  </si>
  <si>
    <t>WP_009890324.1</t>
  </si>
  <si>
    <t>CDR20291_RS11345</t>
  </si>
  <si>
    <t>L-lactate dehydrogenase</t>
  </si>
  <si>
    <t>WP_009890325.1</t>
  </si>
  <si>
    <t>CDR20291_RS11350</t>
  </si>
  <si>
    <t>WP_009890330.1</t>
  </si>
  <si>
    <t>CDR20291_RS11355</t>
  </si>
  <si>
    <t>peptide-methionine (S)-S-oxide reductase MsrA</t>
  </si>
  <si>
    <t>msrA</t>
  </si>
  <si>
    <t>WP_009893500.1</t>
  </si>
  <si>
    <t>CDR20291_RS11360</t>
  </si>
  <si>
    <t>WP_009890334.1</t>
  </si>
  <si>
    <t>CDR20291_RS11365</t>
  </si>
  <si>
    <t>hydroxylamine reductase</t>
  </si>
  <si>
    <t>hcp</t>
  </si>
  <si>
    <t>WP_009890336.1</t>
  </si>
  <si>
    <t>CDR20291_RS11370</t>
  </si>
  <si>
    <t>WP_009890339.1</t>
  </si>
  <si>
    <t>CDR20291_RS11375</t>
  </si>
  <si>
    <t>WP_009890340.1</t>
  </si>
  <si>
    <t>CDR20291_RS11380</t>
  </si>
  <si>
    <t>CDR20291_RS11385</t>
  </si>
  <si>
    <t>WP_009890348.1</t>
  </si>
  <si>
    <t>CDR20291_RS11390</t>
  </si>
  <si>
    <t>WP_009893503.1</t>
  </si>
  <si>
    <t>CDR20291_RS11395</t>
  </si>
  <si>
    <t>WP_009890349.1</t>
  </si>
  <si>
    <t>CDR20291_RS11400</t>
  </si>
  <si>
    <t>WP_009890351.1</t>
  </si>
  <si>
    <t>CDR20291_RS11405</t>
  </si>
  <si>
    <t>WP_009890353.1</t>
  </si>
  <si>
    <t>CDR20291_RS11410</t>
  </si>
  <si>
    <t>WP_009890355.1</t>
  </si>
  <si>
    <t>CDR20291_RS11415</t>
  </si>
  <si>
    <t>WP_009890356.1</t>
  </si>
  <si>
    <t>CDR20291_RS11420</t>
  </si>
  <si>
    <t>molybdopterin-containing oxidoreductase family protein</t>
  </si>
  <si>
    <t>WP_012816254.1</t>
  </si>
  <si>
    <t>CDR20291_RS11425</t>
  </si>
  <si>
    <t>WP_009893508.1</t>
  </si>
  <si>
    <t>CDR20291_RS11430</t>
  </si>
  <si>
    <t>WP_009890358.1</t>
  </si>
  <si>
    <t>CDR20291_RS11435</t>
  </si>
  <si>
    <t>WP_009893511.1</t>
  </si>
  <si>
    <t>CDR20291_RS11440</t>
  </si>
  <si>
    <t>WP_003433910.1</t>
  </si>
  <si>
    <t>CDR20291_RS11445</t>
  </si>
  <si>
    <t>WP_009890361.1</t>
  </si>
  <si>
    <t>CDR20291_RS11450</t>
  </si>
  <si>
    <t>DUF3794 domain-containing protein</t>
  </si>
  <si>
    <t>WP_009890363.1</t>
  </si>
  <si>
    <t>CDR20291_RS11455</t>
  </si>
  <si>
    <t>glycoside hydrolase</t>
  </si>
  <si>
    <t>WP_009890364.1</t>
  </si>
  <si>
    <t>CDR20291_RS11460</t>
  </si>
  <si>
    <t>WP_009890365.1</t>
  </si>
  <si>
    <t>CDR20291_RS11465</t>
  </si>
  <si>
    <t>glycoside hydrolase family 65 protein</t>
  </si>
  <si>
    <t>WP_009893513.1</t>
  </si>
  <si>
    <t>CDR20291_RS11470</t>
  </si>
  <si>
    <t>beta-phosphoglucomutase</t>
  </si>
  <si>
    <t>pgmB</t>
  </si>
  <si>
    <t>WP_003433900.1</t>
  </si>
  <si>
    <t>CDR20291_RS11475</t>
  </si>
  <si>
    <t>WP_009893515.1</t>
  </si>
  <si>
    <t>CDR20291_RS11480</t>
  </si>
  <si>
    <t>WP_009890366.1</t>
  </si>
  <si>
    <t>CDR20291_RS11485</t>
  </si>
  <si>
    <t>WP_009890367.1</t>
  </si>
  <si>
    <t>CDR20291_RS11490</t>
  </si>
  <si>
    <t>WP_003433893.1</t>
  </si>
  <si>
    <t>CDR20291_RS11495</t>
  </si>
  <si>
    <t>ROK family transcriptional regulator</t>
  </si>
  <si>
    <t>WP_009890368.1</t>
  </si>
  <si>
    <t>CDR20291_RS11500</t>
  </si>
  <si>
    <t>ferritin</t>
  </si>
  <si>
    <t>WP_003433890.1</t>
  </si>
  <si>
    <t>CDR20291_RS11505</t>
  </si>
  <si>
    <t>acetate--CoA ligase family protein</t>
  </si>
  <si>
    <t>WP_009890371.1</t>
  </si>
  <si>
    <t>CDR20291_RS11510</t>
  </si>
  <si>
    <t>WP_009893518.1</t>
  </si>
  <si>
    <t>CDR20291_RS11515</t>
  </si>
  <si>
    <t>WP_003433887.1</t>
  </si>
  <si>
    <t>CDR20291_RS11520</t>
  </si>
  <si>
    <t>vorB</t>
  </si>
  <si>
    <t>WP_003433885.1</t>
  </si>
  <si>
    <t>CDR20291_RS11525</t>
  </si>
  <si>
    <t>WP_009893520.1</t>
  </si>
  <si>
    <t>CDR20291_RS11530</t>
  </si>
  <si>
    <t>WP_009893521.1</t>
  </si>
  <si>
    <t>CDR20291_RS11535</t>
  </si>
  <si>
    <t>WP_003433880.1</t>
  </si>
  <si>
    <t>CDR20291_RS11540</t>
  </si>
  <si>
    <t>sodium:solute symporter family protein</t>
  </si>
  <si>
    <t>WP_003433878.1</t>
  </si>
  <si>
    <t>CDR20291_RS11545</t>
  </si>
  <si>
    <t>WP_003423398.1</t>
  </si>
  <si>
    <t>CDR20291_RS11550</t>
  </si>
  <si>
    <t>WP_009890379.1</t>
  </si>
  <si>
    <t>CDR20291_RS11555</t>
  </si>
  <si>
    <t>WP_003433873.1</t>
  </si>
  <si>
    <t>CDR20291_RS11560</t>
  </si>
  <si>
    <t>aldehyde dehydrogenase</t>
  </si>
  <si>
    <t>WP_009893523.1</t>
  </si>
  <si>
    <t>CDR20291_RS11565</t>
  </si>
  <si>
    <t>WP_009890381.1</t>
  </si>
  <si>
    <t>CDR20291_RS11570</t>
  </si>
  <si>
    <t>WP_009890383.1</t>
  </si>
  <si>
    <t>CDR20291_RS11575</t>
  </si>
  <si>
    <t>WP_009890385.1</t>
  </si>
  <si>
    <t>CDR20291_RS11580</t>
  </si>
  <si>
    <t>WP_009890387.1</t>
  </si>
  <si>
    <t>CDR20291_RS11585</t>
  </si>
  <si>
    <t>WP_003433859.1</t>
  </si>
  <si>
    <t>CDR20291_RS11590</t>
  </si>
  <si>
    <t>WP_003433857.1</t>
  </si>
  <si>
    <t>CDR20291_RS11595</t>
  </si>
  <si>
    <t>beta-class carbonic anhydrase</t>
  </si>
  <si>
    <t>WP_003423380.1</t>
  </si>
  <si>
    <t>CDR20291_RS11600</t>
  </si>
  <si>
    <t>WP_003423377.1</t>
  </si>
  <si>
    <t>CDR20291_RS11605</t>
  </si>
  <si>
    <t>WP_003433853.1</t>
  </si>
  <si>
    <t>CDR20291_RS11610</t>
  </si>
  <si>
    <t>WP_003433851.1</t>
  </si>
  <si>
    <t>CDR20291_RS11615</t>
  </si>
  <si>
    <t>type I 3-dehydroquinate dehydratase</t>
  </si>
  <si>
    <t>aroD</t>
  </si>
  <si>
    <t>WP_009890399.1</t>
  </si>
  <si>
    <t>CDR20291_RS11620</t>
  </si>
  <si>
    <t>CatB-related O-acetyltransferase</t>
  </si>
  <si>
    <t>WP_009890401.1</t>
  </si>
  <si>
    <t>CDR20291_RS11625</t>
  </si>
  <si>
    <t>WP_003433836.1</t>
  </si>
  <si>
    <t>CDR20291_RS11630</t>
  </si>
  <si>
    <t>WP_009890403.1</t>
  </si>
  <si>
    <t>CDR20291_RS11635</t>
  </si>
  <si>
    <t>FUSC family protein</t>
  </si>
  <si>
    <t>WP_009893531.1</t>
  </si>
  <si>
    <t>CDR20291_RS11640</t>
  </si>
  <si>
    <t>formate/nitrite transporter family protein</t>
  </si>
  <si>
    <t>WP_009890410.1</t>
  </si>
  <si>
    <t>CDR20291_RS11645</t>
  </si>
  <si>
    <t>sulfite reductase subunit C</t>
  </si>
  <si>
    <t>asrC</t>
  </si>
  <si>
    <t>WP_003433832.1</t>
  </si>
  <si>
    <t>CDR20291_RS11650</t>
  </si>
  <si>
    <t>anaerobic sulfite reductase subunit AsrB</t>
  </si>
  <si>
    <t>asrB</t>
  </si>
  <si>
    <t>WP_003433831.1</t>
  </si>
  <si>
    <t>CDR20291_RS11655</t>
  </si>
  <si>
    <t>anaerobic sulfite reductase subunit AsrA</t>
  </si>
  <si>
    <t>asrA</t>
  </si>
  <si>
    <t>WP_009890415.1</t>
  </si>
  <si>
    <t>CDR20291_RS11660</t>
  </si>
  <si>
    <t>WP_009890417.1</t>
  </si>
  <si>
    <t>CDR20291_RS11665</t>
  </si>
  <si>
    <t>WP_003423346.1</t>
  </si>
  <si>
    <t>CDR20291_RS11670</t>
  </si>
  <si>
    <t>WP_009893533.1</t>
  </si>
  <si>
    <t>CDR20291_RS11675</t>
  </si>
  <si>
    <t>sialate O-acetylesterase</t>
  </si>
  <si>
    <t>WP_009890421.1</t>
  </si>
  <si>
    <t>CDR20291_RS11680</t>
  </si>
  <si>
    <t>YhcH/YjgK/YiaL family protein</t>
  </si>
  <si>
    <t>WP_009890423.1</t>
  </si>
  <si>
    <t>CDR20291_RS11685</t>
  </si>
  <si>
    <t>sodium:solute symporter</t>
  </si>
  <si>
    <t>WP_009890425.1</t>
  </si>
  <si>
    <t>CDR20291_RS11690</t>
  </si>
  <si>
    <t>N-acetylneuraminate lyase</t>
  </si>
  <si>
    <t>WP_009890428.1</t>
  </si>
  <si>
    <t>CDR20291_RS11695</t>
  </si>
  <si>
    <t>N-acetylmannosamine-6-phosphate 2-epimerase</t>
  </si>
  <si>
    <t>WP_003430452.1</t>
  </si>
  <si>
    <t>CDR20291_RS11700</t>
  </si>
  <si>
    <t>WP_009893535.1</t>
  </si>
  <si>
    <t>CDR20291_RS11705</t>
  </si>
  <si>
    <t>WP_009890430.1</t>
  </si>
  <si>
    <t>CDR20291_RS11710</t>
  </si>
  <si>
    <t>WP_009893536.1</t>
  </si>
  <si>
    <t>CDR20291_RS11715</t>
  </si>
  <si>
    <t>asparagine--tRNA ligase</t>
  </si>
  <si>
    <t>asnS</t>
  </si>
  <si>
    <t>WP_003430444.1</t>
  </si>
  <si>
    <t>CDR20291_RS11720</t>
  </si>
  <si>
    <t>CDIF630_02480 family spore surface protein</t>
  </si>
  <si>
    <t>WP_009890435.1</t>
  </si>
  <si>
    <t>CDR20291_RS11725</t>
  </si>
  <si>
    <t>bile acid germinant receptor pseudoprotease CspC</t>
  </si>
  <si>
    <t>cspC</t>
  </si>
  <si>
    <t>WP_009890437.1</t>
  </si>
  <si>
    <t>CDR20291_RS11730</t>
  </si>
  <si>
    <t>bifunctional germination protease/germinant receptor pseudoprotease CspBA</t>
  </si>
  <si>
    <t>cspBA</t>
  </si>
  <si>
    <t>WP_009893539.1</t>
  </si>
  <si>
    <t>CDR20291_RS11735</t>
  </si>
  <si>
    <t>vWA domain-containing protein</t>
  </si>
  <si>
    <t>WP_009893541.1</t>
  </si>
  <si>
    <t>CDR20291_RS11740</t>
  </si>
  <si>
    <t>WP_003433818.1</t>
  </si>
  <si>
    <t>CDR20291_RS11745</t>
  </si>
  <si>
    <t>WP_021408451.1</t>
  </si>
  <si>
    <t>CDR20291_RS11750</t>
  </si>
  <si>
    <t>WP_009890447.1</t>
  </si>
  <si>
    <t>CDR20291_RS11755</t>
  </si>
  <si>
    <t>glutamate 2,3-aminomutase</t>
  </si>
  <si>
    <t>eam</t>
  </si>
  <si>
    <t>WP_003430434.1</t>
  </si>
  <si>
    <t>CDR20291_RS11760</t>
  </si>
  <si>
    <t>WP_003440226.1</t>
  </si>
  <si>
    <t>CDR20291_RS11765</t>
  </si>
  <si>
    <t>WP_009890451.1</t>
  </si>
  <si>
    <t>CDR20291_RS11770</t>
  </si>
  <si>
    <t>WP_009893543.1</t>
  </si>
  <si>
    <t>CDR20291_RS11775</t>
  </si>
  <si>
    <t>PTS transporter subunit IIC</t>
  </si>
  <si>
    <t>WP_009890453.1</t>
  </si>
  <si>
    <t>CDR20291_RS11780</t>
  </si>
  <si>
    <t>DUF6398 domain-containing protein</t>
  </si>
  <si>
    <t>WP_009893544.1</t>
  </si>
  <si>
    <t>CDR20291_RS11785</t>
  </si>
  <si>
    <t>WP_003440244.1</t>
  </si>
  <si>
    <t>CDR20291_RS11790</t>
  </si>
  <si>
    <t>peptide MFS transporter</t>
  </si>
  <si>
    <t>WP_009893547.1</t>
  </si>
  <si>
    <t>CDR20291_RS11795</t>
  </si>
  <si>
    <t>aminopeptidase P family protein</t>
  </si>
  <si>
    <t>WP_009893549.1</t>
  </si>
  <si>
    <t>CDR20291_RS11800</t>
  </si>
  <si>
    <t>WP_003430410.1</t>
  </si>
  <si>
    <t>CDR20291_RS11805</t>
  </si>
  <si>
    <t>WP_009890455.1</t>
  </si>
  <si>
    <t>CDR20291_RS11810</t>
  </si>
  <si>
    <t>WP_009890456.1</t>
  </si>
  <si>
    <t>CDR20291_RS11815</t>
  </si>
  <si>
    <t>WP_009890457.1</t>
  </si>
  <si>
    <t>CDR20291_RS11820</t>
  </si>
  <si>
    <t>WP_009893550.1</t>
  </si>
  <si>
    <t>CDR20291_RS11825</t>
  </si>
  <si>
    <t>WP_009893551.1</t>
  </si>
  <si>
    <t>CDR20291_RS11830</t>
  </si>
  <si>
    <t>PTS fructose transporter subunit IIABC</t>
  </si>
  <si>
    <t>WP_009890459.1</t>
  </si>
  <si>
    <t>CDR20291_RS11835</t>
  </si>
  <si>
    <t>1-phosphofructokinase</t>
  </si>
  <si>
    <t>pfkB</t>
  </si>
  <si>
    <t>WP_009890461.1</t>
  </si>
  <si>
    <t>CDR20291_RS11840</t>
  </si>
  <si>
    <t>WP_009893554.1</t>
  </si>
  <si>
    <t>CDR20291_RS11845</t>
  </si>
  <si>
    <t>tyrosine-protein phosphatase</t>
  </si>
  <si>
    <t>WP_009890462.1</t>
  </si>
  <si>
    <t>CDR20291_RS11850</t>
  </si>
  <si>
    <t>sporulation integral membrane protein YtvI</t>
  </si>
  <si>
    <t>ytvI</t>
  </si>
  <si>
    <t>WP_009890464.1</t>
  </si>
  <si>
    <t>CDR20291_RS11855</t>
  </si>
  <si>
    <t>WP_009890466.1</t>
  </si>
  <si>
    <t>CDR20291_RS11860</t>
  </si>
  <si>
    <t>DNA topoisomerase III</t>
  </si>
  <si>
    <t>WP_009890468.1</t>
  </si>
  <si>
    <t>CDR20291_RS11865</t>
  </si>
  <si>
    <t>WP_009893558.1</t>
  </si>
  <si>
    <t>CDR20291_RS11870</t>
  </si>
  <si>
    <t>WP_009890472.1</t>
  </si>
  <si>
    <t>CDR20291_RS11875</t>
  </si>
  <si>
    <t>L-ribulose-5-phosphate 4-epimerase</t>
  </si>
  <si>
    <t>araD</t>
  </si>
  <si>
    <t>WP_009890474.1</t>
  </si>
  <si>
    <t>CDR20291_RS11880</t>
  </si>
  <si>
    <t>WP_009890476.1</t>
  </si>
  <si>
    <t>CDR20291_RS11885</t>
  </si>
  <si>
    <t>WP_009890478.1</t>
  </si>
  <si>
    <t>CDR20291_RS11890</t>
  </si>
  <si>
    <t>WP_003423222.1</t>
  </si>
  <si>
    <t>CDR20291_RS11895</t>
  </si>
  <si>
    <t>WP_009890480.1</t>
  </si>
  <si>
    <t>CDR20291_RS11900</t>
  </si>
  <si>
    <t>WP_009893559.1</t>
  </si>
  <si>
    <t>CDR20291_RS11905</t>
  </si>
  <si>
    <t>DUF3284 domain-containing protein</t>
  </si>
  <si>
    <t>WP_004454558.1</t>
  </si>
  <si>
    <t>CDR20291_RS11910</t>
  </si>
  <si>
    <t>WP_004454560.1</t>
  </si>
  <si>
    <t>CDR20291_RS11915</t>
  </si>
  <si>
    <t>WP_234702599.1</t>
  </si>
  <si>
    <t>CDR20291_RS11920</t>
  </si>
  <si>
    <t>WP_009893561.1</t>
  </si>
  <si>
    <t>CDR20291_RS11925</t>
  </si>
  <si>
    <t>AzlC family ABC transporter permease</t>
  </si>
  <si>
    <t>WP_004454563.1</t>
  </si>
  <si>
    <t>CDR20291_RS11930</t>
  </si>
  <si>
    <t>AzlD domain-containing protein</t>
  </si>
  <si>
    <t>WP_004454564.1</t>
  </si>
  <si>
    <t>CDR20291_RS11935</t>
  </si>
  <si>
    <t>WP_009890490.1</t>
  </si>
  <si>
    <t>CDR20291_RS11940</t>
  </si>
  <si>
    <t>WP_004454566.1</t>
  </si>
  <si>
    <t>CDR20291_RS11945</t>
  </si>
  <si>
    <t>CDR20291_RS19505</t>
  </si>
  <si>
    <t>WP_009890495.1</t>
  </si>
  <si>
    <t>CDR20291_RS11955</t>
  </si>
  <si>
    <t>WP_009890496.1</t>
  </si>
  <si>
    <t>CDR20291_RS11960</t>
  </si>
  <si>
    <t>CDR20291_RS19510</t>
  </si>
  <si>
    <t>transposase</t>
  </si>
  <si>
    <t>WP_009890498.1</t>
  </si>
  <si>
    <t>CDR20291_RS11970</t>
  </si>
  <si>
    <t>DUF3796 domain-containing protein</t>
  </si>
  <si>
    <t>WP_009890499.1</t>
  </si>
  <si>
    <t>CDR20291_RS11975</t>
  </si>
  <si>
    <t>WP_003423163.1</t>
  </si>
  <si>
    <t>CDR20291_RS11980</t>
  </si>
  <si>
    <t>WP_014466374.1</t>
  </si>
  <si>
    <t>CDR20291_RS11985</t>
  </si>
  <si>
    <t>WP_009893571.1</t>
  </si>
  <si>
    <t>CDR20291_RS11990</t>
  </si>
  <si>
    <t>WP_009890506.1</t>
  </si>
  <si>
    <t>CDR20291_RS11995</t>
  </si>
  <si>
    <t>WP_003423148.1</t>
  </si>
  <si>
    <t>CDR20291_RS12000</t>
  </si>
  <si>
    <t>WP_004454609.1</t>
  </si>
  <si>
    <t>CDR20291_RS12005</t>
  </si>
  <si>
    <t>WP_225532675.1</t>
  </si>
  <si>
    <t>CDR20291_RS12010</t>
  </si>
  <si>
    <t>WP_009893573.1</t>
  </si>
  <si>
    <t>CDR20291_RS12015</t>
  </si>
  <si>
    <t>Rossmann-like domain-containing protein</t>
  </si>
  <si>
    <t>WP_009890514.1</t>
  </si>
  <si>
    <t>CDR20291_RS12020</t>
  </si>
  <si>
    <t>PIG-L family deacetylase</t>
  </si>
  <si>
    <t>WP_009890515.1</t>
  </si>
  <si>
    <t>CDR20291_RS12025</t>
  </si>
  <si>
    <t>WP_009890517.1</t>
  </si>
  <si>
    <t>CDR20291_RS12030</t>
  </si>
  <si>
    <t>WP_009893576.1</t>
  </si>
  <si>
    <t>CDR20291_RS12035</t>
  </si>
  <si>
    <t>phosphoglucomutase</t>
  </si>
  <si>
    <t>WP_009890519.1</t>
  </si>
  <si>
    <t>CDR20291_RS12040</t>
  </si>
  <si>
    <t>ribulose-phosphate 3-epimerase</t>
  </si>
  <si>
    <t>WP_003430699.1</t>
  </si>
  <si>
    <t>CDR20291_RS12045</t>
  </si>
  <si>
    <t>ribose 5-phosphate isomerase B</t>
  </si>
  <si>
    <t>rpiB</t>
  </si>
  <si>
    <t>WP_003430700.1</t>
  </si>
  <si>
    <t>CDR20291_RS12050</t>
  </si>
  <si>
    <t>transketolase family protein</t>
  </si>
  <si>
    <t>WP_003430702.1</t>
  </si>
  <si>
    <t>CDR20291_RS12055</t>
  </si>
  <si>
    <t>transketolase</t>
  </si>
  <si>
    <t>WP_003430704.1</t>
  </si>
  <si>
    <t>CDR20291_RS12060</t>
  </si>
  <si>
    <t>zinc-binding dehydrogenase</t>
  </si>
  <si>
    <t>WP_009893579.1</t>
  </si>
  <si>
    <t>CDR20291_RS12065</t>
  </si>
  <si>
    <t>WP_009890524.1</t>
  </si>
  <si>
    <t>CDR20291_RS12070</t>
  </si>
  <si>
    <t>WP_003430710.1</t>
  </si>
  <si>
    <t>CDR20291_RS12075</t>
  </si>
  <si>
    <t>WP_003430711.1</t>
  </si>
  <si>
    <t>CDR20291_RS12080</t>
  </si>
  <si>
    <t>WP_009890527.1</t>
  </si>
  <si>
    <t>CDR20291_RS12085</t>
  </si>
  <si>
    <t>WP_009893582.1</t>
  </si>
  <si>
    <t>CDR20291_RS12090</t>
  </si>
  <si>
    <t>WP_009890531.1</t>
  </si>
  <si>
    <t>CDR20291_RS12095</t>
  </si>
  <si>
    <t>xanthine phosphoribosyltransferase</t>
  </si>
  <si>
    <t>WP_004454633.1</t>
  </si>
  <si>
    <t>CDR20291_RS12100</t>
  </si>
  <si>
    <t>mannitol-1-phosphate 5-dehydrogenase</t>
  </si>
  <si>
    <t>WP_009893584.1</t>
  </si>
  <si>
    <t>CDR20291_RS12105</t>
  </si>
  <si>
    <t>WP_004454636.1</t>
  </si>
  <si>
    <t>CDR20291_RS12110</t>
  </si>
  <si>
    <t>WP_012816270.1</t>
  </si>
  <si>
    <t>CDR20291_RS12115</t>
  </si>
  <si>
    <t>PTS mannitol transporter subunit IICB</t>
  </si>
  <si>
    <t>WP_009890533.1</t>
  </si>
  <si>
    <t>CDR20291_RS12120</t>
  </si>
  <si>
    <t>IMP dehydrogenase</t>
  </si>
  <si>
    <t>WP_003423106.1</t>
  </si>
  <si>
    <t>CDR20291_RS12125</t>
  </si>
  <si>
    <t>WP_004454642.1</t>
  </si>
  <si>
    <t>CDR20291_RS12130</t>
  </si>
  <si>
    <t>5-bromo-4-chloroindolyl phosphate hydrolysis family protein</t>
  </si>
  <si>
    <t>WP_009890534.1</t>
  </si>
  <si>
    <t>CDR20291_RS12135</t>
  </si>
  <si>
    <t>4-hydroxybutyrate dehydrogenase</t>
  </si>
  <si>
    <t>WP_009890535.1</t>
  </si>
  <si>
    <t>CDR20291_RS12140</t>
  </si>
  <si>
    <t>acetyl-CoA hydrolase/transferase family protein</t>
  </si>
  <si>
    <t>WP_004454645.1</t>
  </si>
  <si>
    <t>CDR20291_RS12145</t>
  </si>
  <si>
    <t>WP_003430736.1</t>
  </si>
  <si>
    <t>CDR20291_RS12150</t>
  </si>
  <si>
    <t>4-hydroxybutyryl-CoA dehydratase/vinylacetyl-CoA-Delta-isomerase</t>
  </si>
  <si>
    <t>abfD</t>
  </si>
  <si>
    <t>WP_003430738.1</t>
  </si>
  <si>
    <t>CDR20291_RS12155</t>
  </si>
  <si>
    <t>aldehyde dehydrogenase family protein</t>
  </si>
  <si>
    <t>WP_004454646.1</t>
  </si>
  <si>
    <t>CDR20291_RS12160</t>
  </si>
  <si>
    <t>WP_004454647.1</t>
  </si>
  <si>
    <t>CDR20291_RS12165</t>
  </si>
  <si>
    <t>WP_003430743.1</t>
  </si>
  <si>
    <t>CDR20291_RS12170</t>
  </si>
  <si>
    <t>WP_009893591.1</t>
  </si>
  <si>
    <t>CDR20291_RS12175</t>
  </si>
  <si>
    <t>WP_009893593.1</t>
  </si>
  <si>
    <t>CDR20291_RS12180</t>
  </si>
  <si>
    <t>M24 family metallopeptidase</t>
  </si>
  <si>
    <t>WP_009890539.1</t>
  </si>
  <si>
    <t>CDR20291_RS12185</t>
  </si>
  <si>
    <t>glycine/sarcosine/betaine reductase complex component C subunit alpha</t>
  </si>
  <si>
    <t>grdD</t>
  </si>
  <si>
    <t>WP_003430750.1</t>
  </si>
  <si>
    <t>CDR20291_RS12190</t>
  </si>
  <si>
    <t>glycine/sarcosine/betaine reductase complex component C subunit beta</t>
  </si>
  <si>
    <t>grdC</t>
  </si>
  <si>
    <t>WP_009890541.1</t>
  </si>
  <si>
    <t>CDR20291_RS12195</t>
  </si>
  <si>
    <t>glycine reductase complex selenoprotein B</t>
  </si>
  <si>
    <t>grdB</t>
  </si>
  <si>
    <t>WP_011861534.1</t>
  </si>
  <si>
    <t>CDR20291_RS12200</t>
  </si>
  <si>
    <t>glycine/sarcosine/betaine reductase complex selenoprotein A</t>
  </si>
  <si>
    <t>grdA</t>
  </si>
  <si>
    <t>WP_011861535.1</t>
  </si>
  <si>
    <t>CDR20291_RS12205</t>
  </si>
  <si>
    <t>glycine/sarcosine/betaine reductase component B subunit</t>
  </si>
  <si>
    <t>WP_003416871.1</t>
  </si>
  <si>
    <t>CDR20291_RS12210</t>
  </si>
  <si>
    <t>thioredoxin TrxA</t>
  </si>
  <si>
    <t>WP_003416870.1</t>
  </si>
  <si>
    <t>CDR20291_RS12215</t>
  </si>
  <si>
    <t>WP_003416869.1</t>
  </si>
  <si>
    <t>CDR20291_RS12220</t>
  </si>
  <si>
    <t>GrdX family protein</t>
  </si>
  <si>
    <t>WP_009890552.1</t>
  </si>
  <si>
    <t>CDR20291_RS12225</t>
  </si>
  <si>
    <t>M3 family oligoendopeptidase</t>
  </si>
  <si>
    <t>WP_009890554.1</t>
  </si>
  <si>
    <t>CDR20291_RS12230</t>
  </si>
  <si>
    <t>sugar-phosphatase</t>
  </si>
  <si>
    <t>yidA</t>
  </si>
  <si>
    <t>WP_009890557.1</t>
  </si>
  <si>
    <t>CDR20291_RS12235</t>
  </si>
  <si>
    <t>MerB-like organometallic lyase SaoL</t>
  </si>
  <si>
    <t>saoL</t>
  </si>
  <si>
    <t>WP_238476746.1</t>
  </si>
  <si>
    <t>CDR20291_RS12245</t>
  </si>
  <si>
    <t>ABC transporter ATP-binding protein SaoA</t>
  </si>
  <si>
    <t>saoA</t>
  </si>
  <si>
    <t>WP_003430772.1</t>
  </si>
  <si>
    <t>CDR20291_RS12250</t>
  </si>
  <si>
    <t>ABC transporter permease subunit SaoP</t>
  </si>
  <si>
    <t>saoP</t>
  </si>
  <si>
    <t>WP_248845765.1</t>
  </si>
  <si>
    <t>CDR20291_RS12260</t>
  </si>
  <si>
    <t>ABC transporter substrate-binding (seleno)protein SaoB</t>
  </si>
  <si>
    <t>saoB</t>
  </si>
  <si>
    <t>WP_239591066.1</t>
  </si>
  <si>
    <t>CDR20291_RS12265</t>
  </si>
  <si>
    <t>ABC transporter substrate-binding subunit SaoX</t>
  </si>
  <si>
    <t>saoX</t>
  </si>
  <si>
    <t>WP_009890562.1</t>
  </si>
  <si>
    <t>CDR20291_RS12275</t>
  </si>
  <si>
    <t>Cys-Cys-COOH (seleno)protein SaoC</t>
  </si>
  <si>
    <t>saoC</t>
  </si>
  <si>
    <t>WP_003416836.1</t>
  </si>
  <si>
    <t>CDR20291_RS12280</t>
  </si>
  <si>
    <t>efflux transporter SaoE</t>
  </si>
  <si>
    <t>saoE</t>
  </si>
  <si>
    <t>WP_009890563.1</t>
  </si>
  <si>
    <t>CDR20291_RS12285</t>
  </si>
  <si>
    <t>thioredoxin-like (seleno)protein SaoT</t>
  </si>
  <si>
    <t>saoT</t>
  </si>
  <si>
    <t>WP_240067706.1</t>
  </si>
  <si>
    <t>CDR20291_RS12290</t>
  </si>
  <si>
    <t>DsrE-related protein SaoD</t>
  </si>
  <si>
    <t>saoD</t>
  </si>
  <si>
    <t>WP_003430785.1</t>
  </si>
  <si>
    <t>CDR20291_RS12295</t>
  </si>
  <si>
    <t>carboxylating nicotinate-nucleotide diphosphorylase</t>
  </si>
  <si>
    <t>nadC</t>
  </si>
  <si>
    <t>WP_004454666.1</t>
  </si>
  <si>
    <t>CDR20291_RS12300</t>
  </si>
  <si>
    <t>L-aspartate oxidase</t>
  </si>
  <si>
    <t>WP_003430790.1</t>
  </si>
  <si>
    <t>CDR20291_RS12305</t>
  </si>
  <si>
    <t>quinolinate synthase NadA</t>
  </si>
  <si>
    <t>nadA</t>
  </si>
  <si>
    <t>WP_009890564.1</t>
  </si>
  <si>
    <t>CDR20291_RS12310</t>
  </si>
  <si>
    <t>carbon starvation protein A</t>
  </si>
  <si>
    <t>WP_009890565.1</t>
  </si>
  <si>
    <t>CDR20291_RS12315</t>
  </si>
  <si>
    <t>WP_003430796.1</t>
  </si>
  <si>
    <t>CDR20291_RS12320</t>
  </si>
  <si>
    <t>DUF1540 domain-containing protein</t>
  </si>
  <si>
    <t>WP_003430798.1</t>
  </si>
  <si>
    <t>CDR20291_RS12325</t>
  </si>
  <si>
    <t>WP_003430799.1</t>
  </si>
  <si>
    <t>CDR20291_RS12330</t>
  </si>
  <si>
    <t>WP_009890566.1</t>
  </si>
  <si>
    <t>CDR20291_RS12335</t>
  </si>
  <si>
    <t>WP_009893594.1</t>
  </si>
  <si>
    <t>CDR20291_RS12340</t>
  </si>
  <si>
    <t>WP_004454677.1</t>
  </si>
  <si>
    <t>CDR20291_RS12345</t>
  </si>
  <si>
    <t>indolepyruvate oxidoreductase subunit beta</t>
  </si>
  <si>
    <t>WP_003430806.1</t>
  </si>
  <si>
    <t>CDR20291_RS12350</t>
  </si>
  <si>
    <t>indolepyruvate ferredoxin oxidoreductase subunit alpha</t>
  </si>
  <si>
    <t>iorA</t>
  </si>
  <si>
    <t>WP_009890567.1</t>
  </si>
  <si>
    <t>CDR20291_RS12355</t>
  </si>
  <si>
    <t>WP_009890569.1</t>
  </si>
  <si>
    <t>CDR20291_RS12360</t>
  </si>
  <si>
    <t>WP_012816275.1</t>
  </si>
  <si>
    <t>CDR20291_RS12365</t>
  </si>
  <si>
    <t>WP_306316136.1</t>
  </si>
  <si>
    <t>CDR20291_RS12370</t>
  </si>
  <si>
    <t>WP_009893596.1</t>
  </si>
  <si>
    <t>CDR20291_RS12375</t>
  </si>
  <si>
    <t>DUF3785 domain-containing protein</t>
  </si>
  <si>
    <t>WP_004454682.1</t>
  </si>
  <si>
    <t>CDR20291_RS12380</t>
  </si>
  <si>
    <t>WP_003430814.1</t>
  </si>
  <si>
    <t>CDR20291_RS12385</t>
  </si>
  <si>
    <t>WP_009890571.1</t>
  </si>
  <si>
    <t>CDR20291_RS12390</t>
  </si>
  <si>
    <t>peptidoglycan-binding domain-containing protein</t>
  </si>
  <si>
    <t>WP_009890572.1</t>
  </si>
  <si>
    <t>CDR20291_RS12395</t>
  </si>
  <si>
    <t>WP_366150869.1</t>
  </si>
  <si>
    <t>CDR20291_RS19590</t>
  </si>
  <si>
    <t>WP_009890573.1</t>
  </si>
  <si>
    <t>CDR20291_RS12400</t>
  </si>
  <si>
    <t>WP_012816278.1</t>
  </si>
  <si>
    <t>CDR20291_RS12405</t>
  </si>
  <si>
    <t>CDR20291_RS19595</t>
  </si>
  <si>
    <t>WP_009890580.1</t>
  </si>
  <si>
    <t>CDR20291_RS12415</t>
  </si>
  <si>
    <t>WP_012816280.1</t>
  </si>
  <si>
    <t>CDR20291_RS12420</t>
  </si>
  <si>
    <t>WP_004454687.1</t>
  </si>
  <si>
    <t>CDR20291_RS12425</t>
  </si>
  <si>
    <t>WP_009890586.1</t>
  </si>
  <si>
    <t>CDR20291_RS12430</t>
  </si>
  <si>
    <t>WP_009890588.1</t>
  </si>
  <si>
    <t>CDR20291_RS12435</t>
  </si>
  <si>
    <t>biosynthetic peptidoglycan transglycosylase</t>
  </si>
  <si>
    <t>WP_004454690.1</t>
  </si>
  <si>
    <t>CDR20291_RS12440</t>
  </si>
  <si>
    <t>WP_004454691.1</t>
  </si>
  <si>
    <t>CDR20291_RS12445</t>
  </si>
  <si>
    <t>WP_009890593.1</t>
  </si>
  <si>
    <t>CDR20291_RS12450</t>
  </si>
  <si>
    <t>flavin reductase</t>
  </si>
  <si>
    <t>WP_003416740.1</t>
  </si>
  <si>
    <t>CDR20291_RS12455</t>
  </si>
  <si>
    <t>WP_009893599.1</t>
  </si>
  <si>
    <t>CDR20291_RS12460</t>
  </si>
  <si>
    <t>tRNA 2-thiocytidine(32) synthetase TtcA</t>
  </si>
  <si>
    <t>WP_009890594.1</t>
  </si>
  <si>
    <t>CDR20291_RS12465</t>
  </si>
  <si>
    <t>WP_003416732.1</t>
  </si>
  <si>
    <t>CDR20291_RS12470</t>
  </si>
  <si>
    <t>WP_004454698.1</t>
  </si>
  <si>
    <t>CDR20291_RS12475</t>
  </si>
  <si>
    <t>WP_003416728.1</t>
  </si>
  <si>
    <t>CDR20291_RS12480</t>
  </si>
  <si>
    <t>WP_009890599.1</t>
  </si>
  <si>
    <t>CDR20291_RS12485</t>
  </si>
  <si>
    <t>dUTP diphosphatase</t>
  </si>
  <si>
    <t>dut</t>
  </si>
  <si>
    <t>WP_004454700.1</t>
  </si>
  <si>
    <t>CDR20291_RS12490</t>
  </si>
  <si>
    <t>type IA DNA topoisomerase</t>
  </si>
  <si>
    <t>WP_009893600.1</t>
  </si>
  <si>
    <t>CDR20291_RS12495</t>
  </si>
  <si>
    <t>WP_004454702.1</t>
  </si>
  <si>
    <t>CDR20291_RS12500</t>
  </si>
  <si>
    <t>WP_009890602.1</t>
  </si>
  <si>
    <t>CDR20291_RS12505</t>
  </si>
  <si>
    <t>efflux RND transporter permease subunit</t>
  </si>
  <si>
    <t>WP_003430847.1</t>
  </si>
  <si>
    <t>CDR20291_RS12510</t>
  </si>
  <si>
    <t>TolC family protein</t>
  </si>
  <si>
    <t>WP_009893601.1</t>
  </si>
  <si>
    <t>CDR20291_RS12515</t>
  </si>
  <si>
    <t>WP_139142283.1</t>
  </si>
  <si>
    <t>CDR20291_RS12520</t>
  </si>
  <si>
    <t>WP_009890608.1</t>
  </si>
  <si>
    <t>CDR20291_RS12525</t>
  </si>
  <si>
    <t>WP_009890610.1</t>
  </si>
  <si>
    <t>CDR20291_RS12530</t>
  </si>
  <si>
    <t>pyruvate, phosphate dikinase</t>
  </si>
  <si>
    <t>ppdK</t>
  </si>
  <si>
    <t>WP_009890612.1</t>
  </si>
  <si>
    <t>CDR20291_RS12535</t>
  </si>
  <si>
    <t>pyruvate, water dikinase regulatory protein</t>
  </si>
  <si>
    <t>WP_004454708.1</t>
  </si>
  <si>
    <t>CDR20291_RS12540</t>
  </si>
  <si>
    <t>WP_003416703.1</t>
  </si>
  <si>
    <t>CDR20291_RS12545</t>
  </si>
  <si>
    <t>NAD(P)H-dependent oxidoreductase</t>
  </si>
  <si>
    <t>WP_004454709.1</t>
  </si>
  <si>
    <t>CDR20291_RS12550</t>
  </si>
  <si>
    <t>WP_003430855.1</t>
  </si>
  <si>
    <t>CDR20291_RS12555</t>
  </si>
  <si>
    <t>WP_004454711.1</t>
  </si>
  <si>
    <t>CDR20291_RS12560</t>
  </si>
  <si>
    <t>WP_009890619.1</t>
  </si>
  <si>
    <t>CDR20291_RS12565</t>
  </si>
  <si>
    <t>PTS glucitol/sorbitol transporter subunit IIB</t>
  </si>
  <si>
    <t>WP_004454715.1</t>
  </si>
  <si>
    <t>CDR20291_RS12570</t>
  </si>
  <si>
    <t>WP_003430863.1</t>
  </si>
  <si>
    <t>CDR20291_RS12575</t>
  </si>
  <si>
    <t>WP_009893602.1</t>
  </si>
  <si>
    <t>CDR20291_RS12580</t>
  </si>
  <si>
    <t>C45 family autoproteolytic acyltransferase/hydolase</t>
  </si>
  <si>
    <t>WP_009890622.1</t>
  </si>
  <si>
    <t>CDR20291_RS12585</t>
  </si>
  <si>
    <t>WP_009893603.1</t>
  </si>
  <si>
    <t>CDR20291_RS12590</t>
  </si>
  <si>
    <t>WP_009890624.1</t>
  </si>
  <si>
    <t>CDR20291_RS12595</t>
  </si>
  <si>
    <t>WP_009890626.1</t>
  </si>
  <si>
    <t>CDR20291_RS12600</t>
  </si>
  <si>
    <t>WP_009890629.1</t>
  </si>
  <si>
    <t>CDR20291_RS12605</t>
  </si>
  <si>
    <t>WP_004454723.1</t>
  </si>
  <si>
    <t>CDR20291_RS12610</t>
  </si>
  <si>
    <t>WP_009890632.1</t>
  </si>
  <si>
    <t>CDR20291_RS12615</t>
  </si>
  <si>
    <t>WP_003430880.1</t>
  </si>
  <si>
    <t>CDR20291_RS12620</t>
  </si>
  <si>
    <t>WP_004454726.1</t>
  </si>
  <si>
    <t>CDR20291_RS12625</t>
  </si>
  <si>
    <t>WP_009890635.1</t>
  </si>
  <si>
    <t>CDR20291_RS12630</t>
  </si>
  <si>
    <t>WP_003416663.1</t>
  </si>
  <si>
    <t>CDR20291_RS12635</t>
  </si>
  <si>
    <t>IclR family transcriptional regulator</t>
  </si>
  <si>
    <t>WP_003416661.1</t>
  </si>
  <si>
    <t>CDR20291_RS12640</t>
  </si>
  <si>
    <t>nitrite/sulfite reductase</t>
  </si>
  <si>
    <t>WP_009890637.1</t>
  </si>
  <si>
    <t>CDR20291_RS12645</t>
  </si>
  <si>
    <t>glycine--tRNA ligase subunit beta</t>
  </si>
  <si>
    <t>glyS</t>
  </si>
  <si>
    <t>WP_009890638.1</t>
  </si>
  <si>
    <t>CDR20291_RS12650</t>
  </si>
  <si>
    <t>glycine--tRNA ligase subunit alpha</t>
  </si>
  <si>
    <t>glyQ</t>
  </si>
  <si>
    <t>WP_003416656.1</t>
  </si>
  <si>
    <t>CDR20291_RS12655</t>
  </si>
  <si>
    <t>DUF4342 domain-containing protein</t>
  </si>
  <si>
    <t>WP_009890640.1</t>
  </si>
  <si>
    <t>CDR20291_RS12660</t>
  </si>
  <si>
    <t>DNA repair protein RecO</t>
  </si>
  <si>
    <t>recO</t>
  </si>
  <si>
    <t>WP_003430885.1</t>
  </si>
  <si>
    <t>CDR20291_RS12665</t>
  </si>
  <si>
    <t>YqzL family protein</t>
  </si>
  <si>
    <t>WP_003416649.1</t>
  </si>
  <si>
    <t>CDR20291_RS12670</t>
  </si>
  <si>
    <t>magnesium transporter</t>
  </si>
  <si>
    <t>mgtE</t>
  </si>
  <si>
    <t>WP_003432938.1</t>
  </si>
  <si>
    <t>CDR20291_RS12675</t>
  </si>
  <si>
    <t>GTPase Era</t>
  </si>
  <si>
    <t>era</t>
  </si>
  <si>
    <t>WP_003416645.1</t>
  </si>
  <si>
    <t>CDR20291_RS12680</t>
  </si>
  <si>
    <t>WP_009890647.1</t>
  </si>
  <si>
    <t>CDR20291_RS12685</t>
  </si>
  <si>
    <t>diacylglycerol kinase</t>
  </si>
  <si>
    <t>WP_003416641.1</t>
  </si>
  <si>
    <t>CDR20291_RS12690</t>
  </si>
  <si>
    <t>rRNA maturation RNase YbeY</t>
  </si>
  <si>
    <t>ybeY</t>
  </si>
  <si>
    <t>WP_003430894.1</t>
  </si>
  <si>
    <t>CDR20291_RS12695</t>
  </si>
  <si>
    <t>PhoH family protein</t>
  </si>
  <si>
    <t>WP_009890649.1</t>
  </si>
  <si>
    <t>CDR20291_RS12700</t>
  </si>
  <si>
    <t>sporulation protein YqfD</t>
  </si>
  <si>
    <t>yqfD</t>
  </si>
  <si>
    <t>WP_009890651.1</t>
  </si>
  <si>
    <t>CDR20291_RS12705</t>
  </si>
  <si>
    <t>YabP/YqfC family sporulation protein</t>
  </si>
  <si>
    <t>WP_009890653.1</t>
  </si>
  <si>
    <t>CDR20291_RS12710</t>
  </si>
  <si>
    <t>WP_003430900.1</t>
  </si>
  <si>
    <t>CDR20291_RS12715</t>
  </si>
  <si>
    <t>TspO/MBR family protein</t>
  </si>
  <si>
    <t>WP_009890655.1</t>
  </si>
  <si>
    <t>CDR20291_RS12720</t>
  </si>
  <si>
    <t>GatB/YqeY domain-containing protein</t>
  </si>
  <si>
    <t>WP_003430905.1</t>
  </si>
  <si>
    <t>CDR20291_RS12725</t>
  </si>
  <si>
    <t>30S ribosomal protein S21</t>
  </si>
  <si>
    <t>rpsU</t>
  </si>
  <si>
    <t>WP_003416618.1</t>
  </si>
  <si>
    <t>CDR20291_RS12730</t>
  </si>
  <si>
    <t>histidine triad nucleotide-binding protein</t>
  </si>
  <si>
    <t>WP_003430911.1</t>
  </si>
  <si>
    <t>CDR20291_RS12735</t>
  </si>
  <si>
    <t>tRNA (N(6)-L-threonylcarbamoyladenosine(37)-C(2))-methylthiotransferase MtaB</t>
  </si>
  <si>
    <t>mtaB</t>
  </si>
  <si>
    <t>WP_004454735.1</t>
  </si>
  <si>
    <t>CDR20291_RS12740</t>
  </si>
  <si>
    <t>16S rRNA (uracil(1498)-N(3))-methyltransferase</t>
  </si>
  <si>
    <t>WP_003430913.1</t>
  </si>
  <si>
    <t>CDR20291_RS12745</t>
  </si>
  <si>
    <t>50S ribosomal protein L11 methyltransferase</t>
  </si>
  <si>
    <t>prmA</t>
  </si>
  <si>
    <t>WP_009890656.1</t>
  </si>
  <si>
    <t>CDR20291_RS12750</t>
  </si>
  <si>
    <t>CRISPR-associated helicase/endonuclease Cas3</t>
  </si>
  <si>
    <t>WP_009893604.1</t>
  </si>
  <si>
    <t>CDR20291_RS12755</t>
  </si>
  <si>
    <t>CRISPR-associated protein Cas5</t>
  </si>
  <si>
    <t>cas5</t>
  </si>
  <si>
    <t>WP_009890657.1</t>
  </si>
  <si>
    <t>CDR20291_RS12760</t>
  </si>
  <si>
    <t>CRISPR-associated protein</t>
  </si>
  <si>
    <t>WP_009890659.1</t>
  </si>
  <si>
    <t>CDR20291_RS12765</t>
  </si>
  <si>
    <t>WP_009890662.1</t>
  </si>
  <si>
    <t>CDR20291_RS12770</t>
  </si>
  <si>
    <t>CRISPR-associated endoribonuclease Cas6</t>
  </si>
  <si>
    <t>cas6</t>
  </si>
  <si>
    <t>WP_009890664.1</t>
  </si>
  <si>
    <t>CDR20291_RS12775</t>
  </si>
  <si>
    <t>WP_009890666.1</t>
  </si>
  <si>
    <t>CDR20291_RS12780</t>
  </si>
  <si>
    <t>PucR family transcriptional regulator</t>
  </si>
  <si>
    <t>WP_009893605.1</t>
  </si>
  <si>
    <t>CDR20291_RS12785</t>
  </si>
  <si>
    <t>WP_009893606.1</t>
  </si>
  <si>
    <t>CDR20291_RS12790</t>
  </si>
  <si>
    <t>WP_009890668.1</t>
  </si>
  <si>
    <t>CDR20291_RS12795</t>
  </si>
  <si>
    <t>molecular chaperone DnaJ</t>
  </si>
  <si>
    <t>dnaJ</t>
  </si>
  <si>
    <t>WP_009890672.1</t>
  </si>
  <si>
    <t>CDR20291_RS12800</t>
  </si>
  <si>
    <t>molecular chaperone DnaK</t>
  </si>
  <si>
    <t>dnaK</t>
  </si>
  <si>
    <t>WP_009890674.1</t>
  </si>
  <si>
    <t>CDR20291_RS12805</t>
  </si>
  <si>
    <t>nucleotide exchange factor GrpE</t>
  </si>
  <si>
    <t>grpE</t>
  </si>
  <si>
    <t>WP_004454752.1</t>
  </si>
  <si>
    <t>CDR20291_RS12810</t>
  </si>
  <si>
    <t>heat-inducible transcriptional repressor HrcA</t>
  </si>
  <si>
    <t>hrcA</t>
  </si>
  <si>
    <t>WP_004454754.1</t>
  </si>
  <si>
    <t>CDR20291_RS12815</t>
  </si>
  <si>
    <t>radical SAM family heme chaperone HemW</t>
  </si>
  <si>
    <t>hemW</t>
  </si>
  <si>
    <t>WP_003430938.1</t>
  </si>
  <si>
    <t>CDR20291_RS12820</t>
  </si>
  <si>
    <t>WP_009893607.1</t>
  </si>
  <si>
    <t>CDR20291_RS12825</t>
  </si>
  <si>
    <t>CCA tRNA nucleotidyltransferase</t>
  </si>
  <si>
    <t>WP_009893608.1</t>
  </si>
  <si>
    <t>CDR20291_RS12830</t>
  </si>
  <si>
    <t>translation elongation factor 4</t>
  </si>
  <si>
    <t>lepA</t>
  </si>
  <si>
    <t>WP_003416556.1</t>
  </si>
  <si>
    <t>CDR20291_RS12835</t>
  </si>
  <si>
    <t>WP_009890680.1</t>
  </si>
  <si>
    <t>CDR20291_RS12840</t>
  </si>
  <si>
    <t>stage II sporulation protein P</t>
  </si>
  <si>
    <t>spoIIP</t>
  </si>
  <si>
    <t>WP_009893609.1</t>
  </si>
  <si>
    <t>CDR20291_RS12845</t>
  </si>
  <si>
    <t>GPR endopeptidase</t>
  </si>
  <si>
    <t>gpr</t>
  </si>
  <si>
    <t>WP_009890681.1</t>
  </si>
  <si>
    <t>CDR20291_RS12850</t>
  </si>
  <si>
    <t>WP_009890682.1</t>
  </si>
  <si>
    <t>CDR20291_RS12855</t>
  </si>
  <si>
    <t>WP_009890684.1</t>
  </si>
  <si>
    <t>CDR20291_RS12860</t>
  </si>
  <si>
    <t>30S ribosomal protein S20</t>
  </si>
  <si>
    <t>rpsT</t>
  </si>
  <si>
    <t>WP_009890686.1</t>
  </si>
  <si>
    <t>CDR20291_RS12865</t>
  </si>
  <si>
    <t>DNA polymerase III subunit delta</t>
  </si>
  <si>
    <t>holA</t>
  </si>
  <si>
    <t>WP_003430958.1</t>
  </si>
  <si>
    <t>CDR20291_RS12870</t>
  </si>
  <si>
    <t>CDR20291_RS19515</t>
  </si>
  <si>
    <t>WP_009893611.1</t>
  </si>
  <si>
    <t>CDR20291_RS12880</t>
  </si>
  <si>
    <t>DUF2156 domain-containing protein</t>
  </si>
  <si>
    <t>WP_004454768.1</t>
  </si>
  <si>
    <t>CDR20291_RS12885</t>
  </si>
  <si>
    <t>WP_009893612.1</t>
  </si>
  <si>
    <t>CDR20291_RS12890</t>
  </si>
  <si>
    <t>tRNA threonylcarbamoyladenosine dehydratase</t>
  </si>
  <si>
    <t>WP_003430963.1</t>
  </si>
  <si>
    <t>CDR20291_RS12895</t>
  </si>
  <si>
    <t>tRNA-Sec</t>
  </si>
  <si>
    <t>CDR20291_RS12900</t>
  </si>
  <si>
    <t>G5 domain-containing protein</t>
  </si>
  <si>
    <t>WP_009890693.1</t>
  </si>
  <si>
    <t>CDR20291_RS12905</t>
  </si>
  <si>
    <t>uracil-DNA glycosylase</t>
  </si>
  <si>
    <t>WP_003416528.1</t>
  </si>
  <si>
    <t>CDR20291_RS12910</t>
  </si>
  <si>
    <t>NusG domain II-containing protein</t>
  </si>
  <si>
    <t>WP_009890696.1</t>
  </si>
  <si>
    <t>CDR20291_RS12915</t>
  </si>
  <si>
    <t>FAD:protein FMN transferase</t>
  </si>
  <si>
    <t>WP_009893613.1</t>
  </si>
  <si>
    <t>CDR20291_RS12920</t>
  </si>
  <si>
    <t>WP_009893614.1</t>
  </si>
  <si>
    <t>CDR20291_RS12925</t>
  </si>
  <si>
    <t>WP_009893615.1</t>
  </si>
  <si>
    <t>CDR20291_RS12930</t>
  </si>
  <si>
    <t>PTS fructose transporter subunit IIC</t>
  </si>
  <si>
    <t>WP_009890699.1</t>
  </si>
  <si>
    <t>CDR20291_RS12935</t>
  </si>
  <si>
    <t>PTS fructose transporter subunit IIB</t>
  </si>
  <si>
    <t>WP_003416512.1</t>
  </si>
  <si>
    <t>CDR20291_RS12940</t>
  </si>
  <si>
    <t>WP_004454777.1</t>
  </si>
  <si>
    <t>CDR20291_RS12945</t>
  </si>
  <si>
    <t>WP_009890703.1</t>
  </si>
  <si>
    <t>CDR20291_RS12950</t>
  </si>
  <si>
    <t>WP_009890705.1</t>
  </si>
  <si>
    <t>CDR20291_RS12955</t>
  </si>
  <si>
    <t>mannose-6-phosphate isomerase, class I</t>
  </si>
  <si>
    <t>manA</t>
  </si>
  <si>
    <t>WP_004454782.1</t>
  </si>
  <si>
    <t>CDR20291_RS12960</t>
  </si>
  <si>
    <t>sporulation-associated two-component system sensor histidine kinase</t>
  </si>
  <si>
    <t>WP_009893616.1</t>
  </si>
  <si>
    <t>CDR20291_RS12965</t>
  </si>
  <si>
    <t>selenocysteine-specific translation elongation factor</t>
  </si>
  <si>
    <t>selB</t>
  </si>
  <si>
    <t>WP_009893618.1</t>
  </si>
  <si>
    <t>CDR20291_RS12970</t>
  </si>
  <si>
    <t>L-seryl-tRNA(Sec) selenium transferase</t>
  </si>
  <si>
    <t>selA</t>
  </si>
  <si>
    <t>WP_009899958.1</t>
  </si>
  <si>
    <t>CDR20291_RS12975</t>
  </si>
  <si>
    <t>selenide, water dikinase SelD</t>
  </si>
  <si>
    <t>selD</t>
  </si>
  <si>
    <t>WP_079254692.1</t>
  </si>
  <si>
    <t>CDR20291_RS12980</t>
  </si>
  <si>
    <t>helix-hairpin-helix domain-containing protein</t>
  </si>
  <si>
    <t>WP_009890711.1</t>
  </si>
  <si>
    <t>CDR20291_RS12985</t>
  </si>
  <si>
    <t>WP_009893620.1</t>
  </si>
  <si>
    <t>CDR20291_RS12990</t>
  </si>
  <si>
    <t>DUF2325 domain-containing protein</t>
  </si>
  <si>
    <t>WP_009890712.1</t>
  </si>
  <si>
    <t>CDR20291_RS12995</t>
  </si>
  <si>
    <t>argininosuccinate lyase</t>
  </si>
  <si>
    <t>argH</t>
  </si>
  <si>
    <t>WP_009890714.1</t>
  </si>
  <si>
    <t>CDR20291_RS13000</t>
  </si>
  <si>
    <t>WP_004454798.1</t>
  </si>
  <si>
    <t>CDR20291_RS13005</t>
  </si>
  <si>
    <t>WP_009890715.1</t>
  </si>
  <si>
    <t>CDR20291_RS13010</t>
  </si>
  <si>
    <t>WP_009893623.1</t>
  </si>
  <si>
    <t>CDR20291_RS13015</t>
  </si>
  <si>
    <t>WP_004454801.1</t>
  </si>
  <si>
    <t>CDR20291_RS13020</t>
  </si>
  <si>
    <t>WP_009890716.1</t>
  </si>
  <si>
    <t>CDR20291_RS13025</t>
  </si>
  <si>
    <t>WP_004454803.1</t>
  </si>
  <si>
    <t>CDR20291_RS13030</t>
  </si>
  <si>
    <t>WP_004454804.1</t>
  </si>
  <si>
    <t>CDR20291_RS13035</t>
  </si>
  <si>
    <t>WP_009893626.1</t>
  </si>
  <si>
    <t>CDR20291_RS13040</t>
  </si>
  <si>
    <t>WP_009893628.1</t>
  </si>
  <si>
    <t>CDR20291_RS13045</t>
  </si>
  <si>
    <t>WP_009890719.1</t>
  </si>
  <si>
    <t>CDR20291_RS13050</t>
  </si>
  <si>
    <t>WP_003431027.1</t>
  </si>
  <si>
    <t>CDR20291_RS13055</t>
  </si>
  <si>
    <t>WP_009890720.1</t>
  </si>
  <si>
    <t>CDR20291_RS13060</t>
  </si>
  <si>
    <t>WP_003416451.1</t>
  </si>
  <si>
    <t>CDR20291_RS13065</t>
  </si>
  <si>
    <t>threonine ammonia-lyase</t>
  </si>
  <si>
    <t>ilvA</t>
  </si>
  <si>
    <t>WP_009890721.1</t>
  </si>
  <si>
    <t>CDR20291_RS13070</t>
  </si>
  <si>
    <t>aspartate 4-decarboxylase</t>
  </si>
  <si>
    <t>aspD</t>
  </si>
  <si>
    <t>WP_009893631.1</t>
  </si>
  <si>
    <t>CDR20291_RS13075</t>
  </si>
  <si>
    <t>asparaginase</t>
  </si>
  <si>
    <t>WP_009890722.1</t>
  </si>
  <si>
    <t>CDR20291_RS13080</t>
  </si>
  <si>
    <t>WP_009890723.1</t>
  </si>
  <si>
    <t>CDR20291_RS13085</t>
  </si>
  <si>
    <t>WP_021397148.1</t>
  </si>
  <si>
    <t>CDR20291_RS19325</t>
  </si>
  <si>
    <t>leucine--tRNA ligase</t>
  </si>
  <si>
    <t>leuS</t>
  </si>
  <si>
    <t>WP_003416419.1</t>
  </si>
  <si>
    <t>CDR20291_RS13095</t>
  </si>
  <si>
    <t>ribosome silencing factor</t>
  </si>
  <si>
    <t>rsfS</t>
  </si>
  <si>
    <t>WP_003416416.1</t>
  </si>
  <si>
    <t>CDR20291_RS13100</t>
  </si>
  <si>
    <t>bis(5'-nucleosyl)-tetraphosphatase (symmetrical) YqeK</t>
  </si>
  <si>
    <t>yqeK</t>
  </si>
  <si>
    <t>WP_009890726.1</t>
  </si>
  <si>
    <t>CDR20291_RS13105</t>
  </si>
  <si>
    <t>nicotinate-nucleotide adenylyltransferase</t>
  </si>
  <si>
    <t>nadD</t>
  </si>
  <si>
    <t>WP_003416411.1</t>
  </si>
  <si>
    <t>CDR20291_RS13110</t>
  </si>
  <si>
    <t>recombination regulator RecX</t>
  </si>
  <si>
    <t>recX</t>
  </si>
  <si>
    <t>WP_004454825.1</t>
  </si>
  <si>
    <t>CDR20291_RS13115</t>
  </si>
  <si>
    <t>alpha-amylase family glycosyl hydrolase</t>
  </si>
  <si>
    <t>WP_009893637.1</t>
  </si>
  <si>
    <t>CDR20291_RS13120</t>
  </si>
  <si>
    <t>antibiotic biosynthesis monooxygenase</t>
  </si>
  <si>
    <t>WP_003431059.1</t>
  </si>
  <si>
    <t>CDR20291_RS13125</t>
  </si>
  <si>
    <t>WP_009890729.1</t>
  </si>
  <si>
    <t>CDR20291_RS13130</t>
  </si>
  <si>
    <t>WP_009890730.1</t>
  </si>
  <si>
    <t>CDR20291_RS13135</t>
  </si>
  <si>
    <t>WP_009890731.1</t>
  </si>
  <si>
    <t>CDR20291_RS13140</t>
  </si>
  <si>
    <t>WP_012816298.1</t>
  </si>
  <si>
    <t>CDR20291_RS13145</t>
  </si>
  <si>
    <t>WP_009890735.1</t>
  </si>
  <si>
    <t>CDR20291_RS13150</t>
  </si>
  <si>
    <t>WP_009893643.1</t>
  </si>
  <si>
    <t>CDR20291_RS13155</t>
  </si>
  <si>
    <t>WP_009890737.1</t>
  </si>
  <si>
    <t>CDR20291_RS13160</t>
  </si>
  <si>
    <t>bifunctional metallophosphatase/5'-nucleotidase</t>
  </si>
  <si>
    <t>WP_009890739.1</t>
  </si>
  <si>
    <t>CDR20291_RS13165</t>
  </si>
  <si>
    <t>DUF4846 domain-containing protein</t>
  </si>
  <si>
    <t>WP_009890741.1</t>
  </si>
  <si>
    <t>CDR20291_RS13170</t>
  </si>
  <si>
    <t>ribonuclease Z</t>
  </si>
  <si>
    <t>WP_009890742.1</t>
  </si>
  <si>
    <t>CDR20291_RS13175</t>
  </si>
  <si>
    <t>CoA-disulfide reductase</t>
  </si>
  <si>
    <t>WP_009893646.1</t>
  </si>
  <si>
    <t>CDR20291_RS13180</t>
  </si>
  <si>
    <t>cation:dicarboxylate symporter family transporter</t>
  </si>
  <si>
    <t>WP_009890745.1</t>
  </si>
  <si>
    <t>CDR20291_RS13185</t>
  </si>
  <si>
    <t>alginate O-acetyltransferase AlgX-related protein</t>
  </si>
  <si>
    <t>WP_009890746.1</t>
  </si>
  <si>
    <t>CDR20291_RS13190</t>
  </si>
  <si>
    <t>WP_009893649.1</t>
  </si>
  <si>
    <t>CDR20291_RS13195</t>
  </si>
  <si>
    <t>putative membrane protein</t>
  </si>
  <si>
    <t>WP_021397149.1</t>
  </si>
  <si>
    <t>CDR20291_RS13200</t>
  </si>
  <si>
    <t>WP_009893651.1</t>
  </si>
  <si>
    <t>CDR20291_RS13205</t>
  </si>
  <si>
    <t>WP_021397143.1</t>
  </si>
  <si>
    <t>CDR20291_RS13210</t>
  </si>
  <si>
    <t>DUF4091 domain-containing protein</t>
  </si>
  <si>
    <t>WP_009893653.1</t>
  </si>
  <si>
    <t>CDR20291_RS13215</t>
  </si>
  <si>
    <t>carbohydrate ABC transporter permease</t>
  </si>
  <si>
    <t>WP_004454862.1</t>
  </si>
  <si>
    <t>CDR20291_RS13220</t>
  </si>
  <si>
    <t>WP_009893655.1</t>
  </si>
  <si>
    <t>CDR20291_RS13225</t>
  </si>
  <si>
    <t>WP_004454864.1</t>
  </si>
  <si>
    <t>CDR20291_RS13230</t>
  </si>
  <si>
    <t>SIS domain-containing protein</t>
  </si>
  <si>
    <t>WP_009890755.1</t>
  </si>
  <si>
    <t>CDR20291_RS13235</t>
  </si>
  <si>
    <t>PTS ascorbate transporter subunit IIC</t>
  </si>
  <si>
    <t>WP_009890757.1</t>
  </si>
  <si>
    <t>CDR20291_RS13240</t>
  </si>
  <si>
    <t>WP_004454867.1</t>
  </si>
  <si>
    <t>CDR20291_RS13245</t>
  </si>
  <si>
    <t>WP_009890760.1</t>
  </si>
  <si>
    <t>CDR20291_RS13250</t>
  </si>
  <si>
    <t>WP_004454870.1</t>
  </si>
  <si>
    <t>CDR20291_RS13255</t>
  </si>
  <si>
    <t>pantetheine-phosphate adenylyltransferase</t>
  </si>
  <si>
    <t>coaD</t>
  </si>
  <si>
    <t>WP_003416314.1</t>
  </si>
  <si>
    <t>CDR20291_RS13260</t>
  </si>
  <si>
    <t>16S rRNA (guanine(966)-N(2))-methyltransferase RsmD</t>
  </si>
  <si>
    <t>rsmD</t>
  </si>
  <si>
    <t>WP_009890764.1</t>
  </si>
  <si>
    <t>CDR20291_RS13265</t>
  </si>
  <si>
    <t>ATP-dependent DNA helicase RecG</t>
  </si>
  <si>
    <t>recG</t>
  </si>
  <si>
    <t>WP_009890766.1</t>
  </si>
  <si>
    <t>CDR20291_RS13270</t>
  </si>
  <si>
    <t>DAK2 domain-containing protein</t>
  </si>
  <si>
    <t>WP_004454872.1</t>
  </si>
  <si>
    <t>CDR20291_RS13275</t>
  </si>
  <si>
    <t>WP_003431114.1</t>
  </si>
  <si>
    <t>CDR20291_RS13280</t>
  </si>
  <si>
    <t>50S ribosomal protein L28</t>
  </si>
  <si>
    <t>rpmB</t>
  </si>
  <si>
    <t>WP_009890770.1</t>
  </si>
  <si>
    <t>CDR20291_RS13285</t>
  </si>
  <si>
    <t>WP_009893656.1</t>
  </si>
  <si>
    <t>CDR20291_RS13290</t>
  </si>
  <si>
    <t>WP_004454873.1</t>
  </si>
  <si>
    <t>CDR20291_RS13295</t>
  </si>
  <si>
    <t>WP_009890775.1</t>
  </si>
  <si>
    <t>CDR20291_RS13300</t>
  </si>
  <si>
    <t>WP_009890777.1</t>
  </si>
  <si>
    <t>CDR20291_RS13305</t>
  </si>
  <si>
    <t>WP_009890778.1</t>
  </si>
  <si>
    <t>CDR20291_RS13310</t>
  </si>
  <si>
    <t>WP_004454881.1</t>
  </si>
  <si>
    <t>CDR20291_RS13315</t>
  </si>
  <si>
    <t>WP_009893660.1</t>
  </si>
  <si>
    <t>CDR20291_RS13320</t>
  </si>
  <si>
    <t>mannosylglycerate hydrolase</t>
  </si>
  <si>
    <t>mngB</t>
  </si>
  <si>
    <t>WP_009893662.1</t>
  </si>
  <si>
    <t>CDR20291_RS13325</t>
  </si>
  <si>
    <t>WP_012816303.1</t>
  </si>
  <si>
    <t>CDR20291_RS13330</t>
  </si>
  <si>
    <t>WP_009893664.1</t>
  </si>
  <si>
    <t>CDR20291_RS13335</t>
  </si>
  <si>
    <t>WP_009893666.1</t>
  </si>
  <si>
    <t>CDR20291_RS13340</t>
  </si>
  <si>
    <t>WP_009890785.1</t>
  </si>
  <si>
    <t>CDR20291_RS13345</t>
  </si>
  <si>
    <t>thiamine diphosphokinase</t>
  </si>
  <si>
    <t>WP_009890787.1</t>
  </si>
  <si>
    <t>CDR20291_RS13350</t>
  </si>
  <si>
    <t>rpe</t>
  </si>
  <si>
    <t>WP_003431138.1</t>
  </si>
  <si>
    <t>CDR20291_RS13355</t>
  </si>
  <si>
    <t>ribosome small subunit-dependent GTPase A</t>
  </si>
  <si>
    <t>rsgA</t>
  </si>
  <si>
    <t>WP_009893669.1</t>
  </si>
  <si>
    <t>CDR20291_RS13360</t>
  </si>
  <si>
    <t>elongation factor P 5-aminopentanone reductase</t>
  </si>
  <si>
    <t>ymfI</t>
  </si>
  <si>
    <t>WP_009890791.1</t>
  </si>
  <si>
    <t>CDR20291_RS13365</t>
  </si>
  <si>
    <t>PASTA domain-containing Ser/Thr kinase PrkC</t>
  </si>
  <si>
    <t>prkC</t>
  </si>
  <si>
    <t>WP_009890792.1</t>
  </si>
  <si>
    <t>CDR20291_RS13370</t>
  </si>
  <si>
    <t>Stp1/IreP family PP2C-type Ser/Thr phosphatase</t>
  </si>
  <si>
    <t>WP_003416261.1</t>
  </si>
  <si>
    <t>CDR20291_RS13375</t>
  </si>
  <si>
    <t>WP_009893671.1</t>
  </si>
  <si>
    <t>CDR20291_RS13380</t>
  </si>
  <si>
    <t>16S rRNA (cytosine(967)-C(5))-methyltransferase RsmB</t>
  </si>
  <si>
    <t>rsmB</t>
  </si>
  <si>
    <t>WP_004454898.1</t>
  </si>
  <si>
    <t>CDR20291_RS13385</t>
  </si>
  <si>
    <t>zinc metallopeptidase</t>
  </si>
  <si>
    <t>WP_003416253.1</t>
  </si>
  <si>
    <t>CDR20291_RS13390</t>
  </si>
  <si>
    <t>DUF116 domain-containing protein</t>
  </si>
  <si>
    <t>WP_009890793.1</t>
  </si>
  <si>
    <t>CDR20291_RS13395</t>
  </si>
  <si>
    <t>methionyl-tRNA formyltransferase</t>
  </si>
  <si>
    <t>fmt</t>
  </si>
  <si>
    <t>WP_009890794.1</t>
  </si>
  <si>
    <t>CDR20291_RS13400</t>
  </si>
  <si>
    <t>WP_003431159.1</t>
  </si>
  <si>
    <t>CDR20291_RS13405</t>
  </si>
  <si>
    <t>primosomal protein N'</t>
  </si>
  <si>
    <t>priA</t>
  </si>
  <si>
    <t>WP_009890796.1</t>
  </si>
  <si>
    <t>CDR20291_RS13410</t>
  </si>
  <si>
    <t>bifunctional phosphopantothenoylcysteine decarboxylase/phosphopantothenate--cysteine ligase CoaBC</t>
  </si>
  <si>
    <t>coaBC</t>
  </si>
  <si>
    <t>WP_009890797.1</t>
  </si>
  <si>
    <t>CDR20291_RS13415</t>
  </si>
  <si>
    <t>DNA-directed RNA polymerase subunit omega</t>
  </si>
  <si>
    <t>rpoZ</t>
  </si>
  <si>
    <t>WP_003431167.1</t>
  </si>
  <si>
    <t>CDR20291_RS13420</t>
  </si>
  <si>
    <t>guanylate kinase</t>
  </si>
  <si>
    <t>gmk</t>
  </si>
  <si>
    <t>WP_003431170.1</t>
  </si>
  <si>
    <t>CDR20291_RS13425</t>
  </si>
  <si>
    <t>YicC/YloC family endoribonuclease</t>
  </si>
  <si>
    <t>WP_003416240.1</t>
  </si>
  <si>
    <t>CDR20291_RS13430</t>
  </si>
  <si>
    <t>diaminopimelate epimerase</t>
  </si>
  <si>
    <t>dapF</t>
  </si>
  <si>
    <t>WP_009890798.1</t>
  </si>
  <si>
    <t>CDR20291_RS13435</t>
  </si>
  <si>
    <t>low-specificity L-threonine aldolase</t>
  </si>
  <si>
    <t>ltaE</t>
  </si>
  <si>
    <t>WP_003431180.1</t>
  </si>
  <si>
    <t>CDR20291_RS13440</t>
  </si>
  <si>
    <t>Rqc2 family fibronectin-binding protein</t>
  </si>
  <si>
    <t>WP_009890800.1</t>
  </si>
  <si>
    <t>CDR20291_RS13445</t>
  </si>
  <si>
    <t>ABC-F type ribosomal protection protein CplR</t>
  </si>
  <si>
    <t>cplR</t>
  </si>
  <si>
    <t>WP_009893675.1</t>
  </si>
  <si>
    <t>CDR20291_RS13450</t>
  </si>
  <si>
    <t>WP_009890804.1</t>
  </si>
  <si>
    <t>CDR20291_RS13455</t>
  </si>
  <si>
    <t>bifunctional pyr operon transcriptional regulator/uracil phosphoribosyltransferase PyrR</t>
  </si>
  <si>
    <t>pyrR</t>
  </si>
  <si>
    <t>WP_003431186.1</t>
  </si>
  <si>
    <t>CDR20291_RS13460</t>
  </si>
  <si>
    <t>WP_009893677.1</t>
  </si>
  <si>
    <t>CDR20291_RS13465</t>
  </si>
  <si>
    <t>signal peptidase II</t>
  </si>
  <si>
    <t>lspA</t>
  </si>
  <si>
    <t>WP_009893679.1</t>
  </si>
  <si>
    <t>CDR20291_RS13470</t>
  </si>
  <si>
    <t>WP_009890812.1</t>
  </si>
  <si>
    <t>CDR20291_RS13475</t>
  </si>
  <si>
    <t>TraR/DksA C4-type zinc finger protein</t>
  </si>
  <si>
    <t>WP_009890813.1</t>
  </si>
  <si>
    <t>CDR20291_RS13480</t>
  </si>
  <si>
    <t>WP_009890814.1</t>
  </si>
  <si>
    <t>CDR20291_RS13485</t>
  </si>
  <si>
    <t>WP_009890815.1</t>
  </si>
  <si>
    <t>CDR20291_RS13490</t>
  </si>
  <si>
    <t>WP_009890816.1</t>
  </si>
  <si>
    <t>CDR20291_RS13495</t>
  </si>
  <si>
    <t>LytTR family response regulator CdtR</t>
  </si>
  <si>
    <t>cdtR</t>
  </si>
  <si>
    <t>WP_009893681.1</t>
  </si>
  <si>
    <t>CDR20291_RS13500</t>
  </si>
  <si>
    <t>ADP-ribosylating binary toxin enzymatic subunit CdtA</t>
  </si>
  <si>
    <t>cdtA</t>
  </si>
  <si>
    <t>WP_009890822.1</t>
  </si>
  <si>
    <t>CDR20291_RS13505</t>
  </si>
  <si>
    <t>ADP-ribosylating binary toxin binding subunit CdtB</t>
  </si>
  <si>
    <t>cdtB</t>
  </si>
  <si>
    <t>WP_009890823.1</t>
  </si>
  <si>
    <t>CDR20291_RS13510</t>
  </si>
  <si>
    <t>tryptophan--tRNA ligase</t>
  </si>
  <si>
    <t>trpS</t>
  </si>
  <si>
    <t>WP_003416190.1</t>
  </si>
  <si>
    <t>CDR20291_RS13515</t>
  </si>
  <si>
    <t>5'-methylthioadenosine/adenosylhomocysteine nucleosidase</t>
  </si>
  <si>
    <t>WP_009890826.1</t>
  </si>
  <si>
    <t>CDR20291_RS13520</t>
  </si>
  <si>
    <t>WP_009893682.1</t>
  </si>
  <si>
    <t>CDR20291_RS13525</t>
  </si>
  <si>
    <t>WP_003426912.1</t>
  </si>
  <si>
    <t>CDR20291_RS13530</t>
  </si>
  <si>
    <t>WP_009890830.1</t>
  </si>
  <si>
    <t>CDR20291_RS13535</t>
  </si>
  <si>
    <t>WP_004454936.1</t>
  </si>
  <si>
    <t>CDR20291_RS13540</t>
  </si>
  <si>
    <t>WP_009890831.1</t>
  </si>
  <si>
    <t>CDR20291_RS13545</t>
  </si>
  <si>
    <t>WP_012816310.1</t>
  </si>
  <si>
    <t>CDR20291_RS13550</t>
  </si>
  <si>
    <t>WP_012816311.1</t>
  </si>
  <si>
    <t>CDR20291_RS13555</t>
  </si>
  <si>
    <t>isoleucine--tRNA ligase</t>
  </si>
  <si>
    <t>ileS</t>
  </si>
  <si>
    <t>WP_004454939.1</t>
  </si>
  <si>
    <t>CDR20291_RS13560</t>
  </si>
  <si>
    <t>DivIVA domain-containing protein</t>
  </si>
  <si>
    <t>WP_003426928.1</t>
  </si>
  <si>
    <t>CDR20291_RS13565</t>
  </si>
  <si>
    <t>RNA-binding protein</t>
  </si>
  <si>
    <t>WP_004454940.1</t>
  </si>
  <si>
    <t>CDR20291_RS13570</t>
  </si>
  <si>
    <t>YggT family protein</t>
  </si>
  <si>
    <t>WP_009890838.1</t>
  </si>
  <si>
    <t>CDR20291_RS13575</t>
  </si>
  <si>
    <t>cell division protein SepF</t>
  </si>
  <si>
    <t>WP_003416162.1</t>
  </si>
  <si>
    <t>CDR20291_RS13580</t>
  </si>
  <si>
    <t>YggS family pyridoxal phosphate-dependent enzyme</t>
  </si>
  <si>
    <t>WP_009893687.1</t>
  </si>
  <si>
    <t>CDR20291_RS13585</t>
  </si>
  <si>
    <t>HlyD family efflux transporter periplasmic adaptor subunit</t>
  </si>
  <si>
    <t>WP_009890840.1</t>
  </si>
  <si>
    <t>CDR20291_RS13590</t>
  </si>
  <si>
    <t>WP_009890841.1</t>
  </si>
  <si>
    <t>CDR20291_RS13595</t>
  </si>
  <si>
    <t>PFL family protein</t>
  </si>
  <si>
    <t>WP_202400558.1</t>
  </si>
  <si>
    <t>CDR20291_RS13600</t>
  </si>
  <si>
    <t>WP_003416152.1</t>
  </si>
  <si>
    <t>CDR20291_RS13605</t>
  </si>
  <si>
    <t>WP_009893688.1</t>
  </si>
  <si>
    <t>CDR20291_RS13610</t>
  </si>
  <si>
    <t>stage IV sporulation protein A</t>
  </si>
  <si>
    <t>spoIVA</t>
  </si>
  <si>
    <t>WP_004454943.1</t>
  </si>
  <si>
    <t>CDR20291_RS13615</t>
  </si>
  <si>
    <t>WP_009890847.1</t>
  </si>
  <si>
    <t>CDR20291_RS13620</t>
  </si>
  <si>
    <t>WP_012816315.1</t>
  </si>
  <si>
    <t>CDR20291_RS13625</t>
  </si>
  <si>
    <t>WP_004454949.1</t>
  </si>
  <si>
    <t>CDR20291_RS13630</t>
  </si>
  <si>
    <t>WP_009890852.1</t>
  </si>
  <si>
    <t>CDR20291_RS13635</t>
  </si>
  <si>
    <t>NAD(P)H-dependent glycerol-3-phosphate dehydrogenase</t>
  </si>
  <si>
    <t>WP_009890854.1</t>
  </si>
  <si>
    <t>CDR20291_RS13640</t>
  </si>
  <si>
    <t>glycerol-3-phosphate 1-O-acyltransferase PlsY</t>
  </si>
  <si>
    <t>plsY</t>
  </si>
  <si>
    <t>WP_003426957.1</t>
  </si>
  <si>
    <t>CDR20291_RS13645</t>
  </si>
  <si>
    <t>ribosome biogenesis GTPase Der</t>
  </si>
  <si>
    <t>der</t>
  </si>
  <si>
    <t>WP_003426959.1</t>
  </si>
  <si>
    <t>CDR20291_RS13650</t>
  </si>
  <si>
    <t>DUF512 domain-containing protein</t>
  </si>
  <si>
    <t>WP_009890856.1</t>
  </si>
  <si>
    <t>CDR20291_RS13655</t>
  </si>
  <si>
    <t>capping complex subunit for YIEGIA</t>
  </si>
  <si>
    <t>WP_004454951.1</t>
  </si>
  <si>
    <t>CDR20291_RS13660</t>
  </si>
  <si>
    <t>YIEGIA family protein</t>
  </si>
  <si>
    <t>WP_009893689.1</t>
  </si>
  <si>
    <t>CDR20291_RS13665</t>
  </si>
  <si>
    <t>WP_009893690.1</t>
  </si>
  <si>
    <t>CDR20291_RS13670</t>
  </si>
  <si>
    <t>WP_003426968.1</t>
  </si>
  <si>
    <t>CDR20291_RS13675</t>
  </si>
  <si>
    <t>winged helix-turn-helix domain-containing protein</t>
  </si>
  <si>
    <t>WP_003416112.1</t>
  </si>
  <si>
    <t>CDR20291_RS13680</t>
  </si>
  <si>
    <t>peptidoglycan editing factor PgeF</t>
  </si>
  <si>
    <t>pgeF</t>
  </si>
  <si>
    <t>WP_021419397.1</t>
  </si>
  <si>
    <t>CDR20291_RS13685</t>
  </si>
  <si>
    <t>transcriptional regulator NrdR</t>
  </si>
  <si>
    <t>nrdR</t>
  </si>
  <si>
    <t>WP_003426974.1</t>
  </si>
  <si>
    <t>CDR20291_RS13690</t>
  </si>
  <si>
    <t>WP_003416105.1</t>
  </si>
  <si>
    <t>CDR20291_RS13695</t>
  </si>
  <si>
    <t>RNA polymerase sporulation sigma factor SigG</t>
  </si>
  <si>
    <t>sigG</t>
  </si>
  <si>
    <t>WP_003416101.1</t>
  </si>
  <si>
    <t>CDR20291_RS13700</t>
  </si>
  <si>
    <t>RNA polymerase sporulation sigma factor SigE</t>
  </si>
  <si>
    <t>sigE</t>
  </si>
  <si>
    <t>WP_003416098.1</t>
  </si>
  <si>
    <t>CDR20291_RS13705</t>
  </si>
  <si>
    <t>sigma-E processing peptidase SpoIIGA</t>
  </si>
  <si>
    <t>WP_022619236.1</t>
  </si>
  <si>
    <t>CDR20291_RS13710</t>
  </si>
  <si>
    <t>WP_004454961.1</t>
  </si>
  <si>
    <t>CDR20291_RS13715</t>
  </si>
  <si>
    <t>cell division protein FtsZ</t>
  </si>
  <si>
    <t>ftsZ</t>
  </si>
  <si>
    <t>WP_009890867.1</t>
  </si>
  <si>
    <t>CDR20291_RS13720</t>
  </si>
  <si>
    <t>small basic family protein</t>
  </si>
  <si>
    <t>WP_004454962.1</t>
  </si>
  <si>
    <t>CDR20291_RS13725</t>
  </si>
  <si>
    <t>DUF881 domain-containing protein</t>
  </si>
  <si>
    <t>WP_009893702.1</t>
  </si>
  <si>
    <t>CDR20291_RS13730</t>
  </si>
  <si>
    <t>WP_009890868.1</t>
  </si>
  <si>
    <t>CDR20291_RS13735</t>
  </si>
  <si>
    <t>cell division protein FtsQ/DivIB</t>
  </si>
  <si>
    <t>WP_003416077.1</t>
  </si>
  <si>
    <t>CDR20291_RS13740</t>
  </si>
  <si>
    <t>undecaprenyldiphospho-muramoylpentapeptide beta-N-acetylglucosaminyltransferase</t>
  </si>
  <si>
    <t>murG</t>
  </si>
  <si>
    <t>WP_009893705.1</t>
  </si>
  <si>
    <t>CDR20291_RS13745</t>
  </si>
  <si>
    <t>stage V sporulation protein E</t>
  </si>
  <si>
    <t>spoVE</t>
  </si>
  <si>
    <t>WP_003426995.1</t>
  </si>
  <si>
    <t>CDR20291_RS13750</t>
  </si>
  <si>
    <t>UDP-N-acetylmuramoyl-L-alanine--D-glutamate ligase</t>
  </si>
  <si>
    <t>murD</t>
  </si>
  <si>
    <t>WP_012816318.1</t>
  </si>
  <si>
    <t>CDR20291_RS13755</t>
  </si>
  <si>
    <t>phospho-N-acetylmuramoyl-pentapeptide-transferase</t>
  </si>
  <si>
    <t>mraY</t>
  </si>
  <si>
    <t>WP_003427000.1</t>
  </si>
  <si>
    <t>CDR20291_RS13760</t>
  </si>
  <si>
    <t>UDP-N-acetylmuramoyl-tripeptide--D-alanyl-D-alanine ligase</t>
  </si>
  <si>
    <t>WP_009890872.1</t>
  </si>
  <si>
    <t>CDR20291_RS13765</t>
  </si>
  <si>
    <t>stage V sporulation protein D</t>
  </si>
  <si>
    <t>WP_009893708.1</t>
  </si>
  <si>
    <t>CDR20291_RS13770</t>
  </si>
  <si>
    <t>WP_009890875.1</t>
  </si>
  <si>
    <t>CDR20291_RS13775</t>
  </si>
  <si>
    <t>16S rRNA (cytosine(1402)-N(4))-methyltransferase RsmH</t>
  </si>
  <si>
    <t>rsmH</t>
  </si>
  <si>
    <t>WP_009890876.1</t>
  </si>
  <si>
    <t>CDR20291_RS13780</t>
  </si>
  <si>
    <t>prolipoprotein diacylglyceryl transferase</t>
  </si>
  <si>
    <t>lgt</t>
  </si>
  <si>
    <t>WP_009890879.1</t>
  </si>
  <si>
    <t>CDR20291_RS13785</t>
  </si>
  <si>
    <t>EF-P 5-aminopentanol modification-associated protein YfmH</t>
  </si>
  <si>
    <t>yfmH</t>
  </si>
  <si>
    <t>WP_009890881.1</t>
  </si>
  <si>
    <t>CDR20291_RS13790</t>
  </si>
  <si>
    <t>EF-P 5-aminopentanol modification-associated protein YfmF</t>
  </si>
  <si>
    <t>yfmF</t>
  </si>
  <si>
    <t>WP_004454972.1</t>
  </si>
  <si>
    <t>CDR20291_RS13795</t>
  </si>
  <si>
    <t>redox-regulated ATPase YchF</t>
  </si>
  <si>
    <t>ychF</t>
  </si>
  <si>
    <t>WP_003427022.1</t>
  </si>
  <si>
    <t>CDR20291_RS13800</t>
  </si>
  <si>
    <t>WP_009890887.1</t>
  </si>
  <si>
    <t>CDR20291_RS13805</t>
  </si>
  <si>
    <t>UDP-N-acetylmuramoyl-L-alanyl-D-glutamate--2,6-diaminopimelate ligase</t>
  </si>
  <si>
    <t>WP_009890889.1</t>
  </si>
  <si>
    <t>CDR20291_RS13810</t>
  </si>
  <si>
    <t>WP_009890891.1</t>
  </si>
  <si>
    <t>CDR20291_RS13815</t>
  </si>
  <si>
    <t>glucose-specific PTS transporter subunit IIBC</t>
  </si>
  <si>
    <t>ptsG</t>
  </si>
  <si>
    <t>WP_009893709.1</t>
  </si>
  <si>
    <t>CDR20291_RS13820</t>
  </si>
  <si>
    <t>BglG family transcription antiterminator LicT</t>
  </si>
  <si>
    <t>licT</t>
  </si>
  <si>
    <t>WP_009890895.1</t>
  </si>
  <si>
    <t>CDR20291_RS13825</t>
  </si>
  <si>
    <t>WP_009890896.1</t>
  </si>
  <si>
    <t>CDR20291_RS13830</t>
  </si>
  <si>
    <t>WP_009890898.1</t>
  </si>
  <si>
    <t>CDR20291_RS13835</t>
  </si>
  <si>
    <t>WP_009890899.1</t>
  </si>
  <si>
    <t>CDR20291_RS13840</t>
  </si>
  <si>
    <t>WP_009893710.1</t>
  </si>
  <si>
    <t>CDR20291_RS13845</t>
  </si>
  <si>
    <t>WP_004454987.1</t>
  </si>
  <si>
    <t>CDR20291_RS13850</t>
  </si>
  <si>
    <t>WP_009890901.1</t>
  </si>
  <si>
    <t>CDR20291_RS13855</t>
  </si>
  <si>
    <t>WP_004454990.1</t>
  </si>
  <si>
    <t>CDR20291_RS13860</t>
  </si>
  <si>
    <t>WP_009890902.1</t>
  </si>
  <si>
    <t>CDR20291_RS13865</t>
  </si>
  <si>
    <t>CoA transferase subunit A</t>
  </si>
  <si>
    <t>WP_004454993.1</t>
  </si>
  <si>
    <t>CDR20291_RS13870</t>
  </si>
  <si>
    <t>3-oxoacid CoA-transferase subunit B</t>
  </si>
  <si>
    <t>WP_009890904.1</t>
  </si>
  <si>
    <t>CDR20291_RS13875</t>
  </si>
  <si>
    <t>3-hydroxybutyrate dehydrogenase</t>
  </si>
  <si>
    <t>WP_009890906.1</t>
  </si>
  <si>
    <t>CDR20291_RS13880</t>
  </si>
  <si>
    <t>WP_009890908.1</t>
  </si>
  <si>
    <t>CDR20291_RS13885</t>
  </si>
  <si>
    <t>WP_012816324.1</t>
  </si>
  <si>
    <t>CDR20291_RS13890</t>
  </si>
  <si>
    <t>pyruvate:ferredoxin (flavodoxin) oxidoreductase</t>
  </si>
  <si>
    <t>nifJ</t>
  </si>
  <si>
    <t>WP_003427073.1</t>
  </si>
  <si>
    <t>CDR20291_RS13895</t>
  </si>
  <si>
    <t>phosphate propanoyltransferase</t>
  </si>
  <si>
    <t>pduL</t>
  </si>
  <si>
    <t>WP_003416023.1</t>
  </si>
  <si>
    <t>CDR20291_RS13900</t>
  </si>
  <si>
    <t>WP_009890914.1</t>
  </si>
  <si>
    <t>CDR20291_RS13905</t>
  </si>
  <si>
    <t>GAF domain-containing SpoIIE family protein phosphatase</t>
  </si>
  <si>
    <t>WP_009890916.1</t>
  </si>
  <si>
    <t>CDR20291_RS13910</t>
  </si>
  <si>
    <t>WP_009890918.1</t>
  </si>
  <si>
    <t>CDR20291_RS13915</t>
  </si>
  <si>
    <t>WP_009890919.1</t>
  </si>
  <si>
    <t>CDR20291_RS13920</t>
  </si>
  <si>
    <t>WP_003416012.1</t>
  </si>
  <si>
    <t>CDR20291_RS13925</t>
  </si>
  <si>
    <t>alpha/beta-type small acid-soluble spore protein</t>
  </si>
  <si>
    <t>WP_003416009.1</t>
  </si>
  <si>
    <t>CDR20291_RS13930</t>
  </si>
  <si>
    <t>WP_009890924.1</t>
  </si>
  <si>
    <t>CDR20291_RS13935</t>
  </si>
  <si>
    <t>phosphatase PAP2 family protein</t>
  </si>
  <si>
    <t>WP_009890926.1</t>
  </si>
  <si>
    <t>CDR20291_RS13940</t>
  </si>
  <si>
    <t>hypoxanthine phosphoribosyltransferase</t>
  </si>
  <si>
    <t>hpt</t>
  </si>
  <si>
    <t>WP_003416006.1</t>
  </si>
  <si>
    <t>CDR20291_RS13945</t>
  </si>
  <si>
    <t>WP_003427095.1</t>
  </si>
  <si>
    <t>CDR20291_RS13950</t>
  </si>
  <si>
    <t>dicarboxylate/amino acid:cation symporter</t>
  </si>
  <si>
    <t>WP_009893711.1</t>
  </si>
  <si>
    <t>CDR20291_RS13955</t>
  </si>
  <si>
    <t>YkvA family protein</t>
  </si>
  <si>
    <t>WP_009893712.1</t>
  </si>
  <si>
    <t>CDR20291_RS13960</t>
  </si>
  <si>
    <t>aspartate--ammonia ligase</t>
  </si>
  <si>
    <t>asnA</t>
  </si>
  <si>
    <t>WP_003427105.1</t>
  </si>
  <si>
    <t>CDR20291_RS13965</t>
  </si>
  <si>
    <t>WP_009890930.1</t>
  </si>
  <si>
    <t>CDR20291_RS13970</t>
  </si>
  <si>
    <t>M20 peptidase aminoacylase family protein</t>
  </si>
  <si>
    <t>WP_009890931.1</t>
  </si>
  <si>
    <t>CDR20291_RS13975</t>
  </si>
  <si>
    <t>YjiG family protein</t>
  </si>
  <si>
    <t>WP_004455006.1</t>
  </si>
  <si>
    <t>CDR20291_RS13980</t>
  </si>
  <si>
    <t>nucleoside recognition domain-containing protein</t>
  </si>
  <si>
    <t>WP_009890933.1</t>
  </si>
  <si>
    <t>CDR20291_RS13985</t>
  </si>
  <si>
    <t>WP_009899983.1</t>
  </si>
  <si>
    <t>CDR20291_RS13990</t>
  </si>
  <si>
    <t>DUF3798 domain-containing protein</t>
  </si>
  <si>
    <t>WP_009890935.1</t>
  </si>
  <si>
    <t>CDR20291_RS13995</t>
  </si>
  <si>
    <t>WP_012816328.1</t>
  </si>
  <si>
    <t>CDR20291_RS14000</t>
  </si>
  <si>
    <t>pentapeptide repeat-containing protein</t>
  </si>
  <si>
    <t>WP_009893713.1</t>
  </si>
  <si>
    <t>CDR20291_RS14005</t>
  </si>
  <si>
    <t>WP_009890940.1</t>
  </si>
  <si>
    <t>CDR20291_RS14010</t>
  </si>
  <si>
    <t>WP_009890943.1</t>
  </si>
  <si>
    <t>CDR20291_RS14015</t>
  </si>
  <si>
    <t>WP_009890945.1</t>
  </si>
  <si>
    <t>CDR20291_RS14020</t>
  </si>
  <si>
    <t>WP_009890947.1</t>
  </si>
  <si>
    <t>CDR20291_RS14025</t>
  </si>
  <si>
    <t>WP_009893714.1</t>
  </si>
  <si>
    <t>CDR20291_RS14030</t>
  </si>
  <si>
    <t>WP_009890951.1</t>
  </si>
  <si>
    <t>CDR20291_RS14035</t>
  </si>
  <si>
    <t>WP_009890953.1</t>
  </si>
  <si>
    <t>CDR20291_RS14040</t>
  </si>
  <si>
    <t>WP_009890955.1</t>
  </si>
  <si>
    <t>CDR20291_RS14045</t>
  </si>
  <si>
    <t>DUF3800 domain-containing protein</t>
  </si>
  <si>
    <t>WP_004455022.1</t>
  </si>
  <si>
    <t>CDR20291_RS14050</t>
  </si>
  <si>
    <t>cell wall-binding protein Cwp22</t>
  </si>
  <si>
    <t>WP_009890957.1</t>
  </si>
  <si>
    <t>CDR20291_RS14055</t>
  </si>
  <si>
    <t>UDP-glucose 4-epimerase GalE</t>
  </si>
  <si>
    <t>galE</t>
  </si>
  <si>
    <t>WP_003431452.1</t>
  </si>
  <si>
    <t>CDR20291_RS14060</t>
  </si>
  <si>
    <t>UTP--glucose-1-phosphate uridylyltransferase GalU</t>
  </si>
  <si>
    <t>galU</t>
  </si>
  <si>
    <t>WP_009890959.1</t>
  </si>
  <si>
    <t>CDR20291_RS14065</t>
  </si>
  <si>
    <t>WP_004455025.1</t>
  </si>
  <si>
    <t>CDR20291_RS14070</t>
  </si>
  <si>
    <t>WP_009893716.1</t>
  </si>
  <si>
    <t>CDR20291_RS14075</t>
  </si>
  <si>
    <t>SPOR domain-containing protein</t>
  </si>
  <si>
    <t>WP_012816330.1</t>
  </si>
  <si>
    <t>CDR20291_RS14080</t>
  </si>
  <si>
    <t>RNase P RNA component class A</t>
  </si>
  <si>
    <t>rnpB</t>
  </si>
  <si>
    <t>RNase_P_RNA</t>
  </si>
  <si>
    <t>CDR20291_RS14085</t>
  </si>
  <si>
    <t>sortase SrtB</t>
  </si>
  <si>
    <t>srtB</t>
  </si>
  <si>
    <t>WP_009890964.1</t>
  </si>
  <si>
    <t>CDR20291_RS14090</t>
  </si>
  <si>
    <t>CDR20291_RS14095</t>
  </si>
  <si>
    <t>CDR20291_RS14100</t>
  </si>
  <si>
    <t>CDR20291_RS14105</t>
  </si>
  <si>
    <t>WP_009890967.1</t>
  </si>
  <si>
    <t>CDR20291_RS14110</t>
  </si>
  <si>
    <t>WP_009890970.1</t>
  </si>
  <si>
    <t>CDR20291_RS14115</t>
  </si>
  <si>
    <t>WP_004454160.1</t>
  </si>
  <si>
    <t>CDR20291_RS14120</t>
  </si>
  <si>
    <t>WP_003426384.1</t>
  </si>
  <si>
    <t>CDR20291_RS14125</t>
  </si>
  <si>
    <t>WP_009890975.1</t>
  </si>
  <si>
    <t>CDR20291_RS14130</t>
  </si>
  <si>
    <t>WP_009890976.1</t>
  </si>
  <si>
    <t>CDR20291_RS14135</t>
  </si>
  <si>
    <t>WP_009893718.1</t>
  </si>
  <si>
    <t>CDR20291_RS14140</t>
  </si>
  <si>
    <t>serine hydroxymethyltransferase</t>
  </si>
  <si>
    <t>glyA</t>
  </si>
  <si>
    <t>WP_009890977.1</t>
  </si>
  <si>
    <t>CDR20291_RS14145</t>
  </si>
  <si>
    <t>WP_003422952.1</t>
  </si>
  <si>
    <t>CDR20291_RS14150</t>
  </si>
  <si>
    <t>WP_004454155.1</t>
  </si>
  <si>
    <t>CDR20291_RS14155</t>
  </si>
  <si>
    <t>SoxR reducing system RseC family protein</t>
  </si>
  <si>
    <t>WP_004454154.1</t>
  </si>
  <si>
    <t>CDR20291_RS14160</t>
  </si>
  <si>
    <t>metal-sensitive transcriptional regulator</t>
  </si>
  <si>
    <t>WP_003422948.1</t>
  </si>
  <si>
    <t>CDR20291_RS14165</t>
  </si>
  <si>
    <t>WP_003426410.1</t>
  </si>
  <si>
    <t>CDR20291_RS14170</t>
  </si>
  <si>
    <t>WP_009893719.1</t>
  </si>
  <si>
    <t>CDR20291_RS14175</t>
  </si>
  <si>
    <t>WP_009890987.1</t>
  </si>
  <si>
    <t>CDR20291_RS14180</t>
  </si>
  <si>
    <t>WP_009890988.1</t>
  </si>
  <si>
    <t>CDR20291_RS14185</t>
  </si>
  <si>
    <t>WP_009890989.1</t>
  </si>
  <si>
    <t>CDR20291_RS14190</t>
  </si>
  <si>
    <t>cell wall-binding protein Cwp14</t>
  </si>
  <si>
    <t>WP_009890991.1</t>
  </si>
  <si>
    <t>CDR20291_RS14195</t>
  </si>
  <si>
    <t>WP_004454143.1</t>
  </si>
  <si>
    <t>CDR20291_RS14200</t>
  </si>
  <si>
    <t>nitrilase-related carbon-nitrogen hydrolase</t>
  </si>
  <si>
    <t>WP_009890994.1</t>
  </si>
  <si>
    <t>CDR20291_RS14205</t>
  </si>
  <si>
    <t>WP_009890996.1</t>
  </si>
  <si>
    <t>CDR20291_RS14210</t>
  </si>
  <si>
    <t>aspartate--tRNA ligase</t>
  </si>
  <si>
    <t>aspS</t>
  </si>
  <si>
    <t>WP_009890998.1</t>
  </si>
  <si>
    <t>CDR20291_RS14215</t>
  </si>
  <si>
    <t>histidine--tRNA ligase</t>
  </si>
  <si>
    <t>hisS</t>
  </si>
  <si>
    <t>WP_003422928.1</t>
  </si>
  <si>
    <t>CDR20291_RS14220</t>
  </si>
  <si>
    <t>coproporphyrinogen III oxidase</t>
  </si>
  <si>
    <t>WP_009893720.1</t>
  </si>
  <si>
    <t>CDR20291_RS14225</t>
  </si>
  <si>
    <t>WP_009891001.1</t>
  </si>
  <si>
    <t>CDR20291_RS14230</t>
  </si>
  <si>
    <t>dtd</t>
  </si>
  <si>
    <t>WP_009891003.1</t>
  </si>
  <si>
    <t>CDR20291_RS14235</t>
  </si>
  <si>
    <t>RelA/SpoT family protein</t>
  </si>
  <si>
    <t>WP_003422921.1</t>
  </si>
  <si>
    <t>CDR20291_RS14240</t>
  </si>
  <si>
    <t>adenine phosphoribosyltransferase</t>
  </si>
  <si>
    <t>WP_003426450.1</t>
  </si>
  <si>
    <t>CDR20291_RS14245</t>
  </si>
  <si>
    <t>single-stranded-DNA-specific exonuclease RecJ</t>
  </si>
  <si>
    <t>recJ</t>
  </si>
  <si>
    <t>WP_004454135.1</t>
  </si>
  <si>
    <t>CDR20291_RS14250</t>
  </si>
  <si>
    <t>ABC1 kinase family protein</t>
  </si>
  <si>
    <t>WP_009891005.1</t>
  </si>
  <si>
    <t>CDR20291_RS14255</t>
  </si>
  <si>
    <t>gamma carbonic anhydrase family protein</t>
  </si>
  <si>
    <t>WP_004454132.1</t>
  </si>
  <si>
    <t>CDR20291_RS14260</t>
  </si>
  <si>
    <t>thioether cross-link-forming SCIFF peptide maturase</t>
  </si>
  <si>
    <t>scfB</t>
  </si>
  <si>
    <t>WP_003426456.1</t>
  </si>
  <si>
    <t>CDR20291_RS14265</t>
  </si>
  <si>
    <t>cyclic lactone autoinducer peptide</t>
  </si>
  <si>
    <t>WP_021414489.1</t>
  </si>
  <si>
    <t>CDR20291_RS14270</t>
  </si>
  <si>
    <t>accessory gene regulator ArgB-like protein</t>
  </si>
  <si>
    <t>WP_009891008.1</t>
  </si>
  <si>
    <t>CDR20291_RS14275</t>
  </si>
  <si>
    <t>WP_009891010.1</t>
  </si>
  <si>
    <t>CDR20291_RS14280</t>
  </si>
  <si>
    <t>WP_009891012.1</t>
  </si>
  <si>
    <t>CDR20291_RS14285</t>
  </si>
  <si>
    <t>phosphoenolpyruvate--protein phosphotransferase</t>
  </si>
  <si>
    <t>ptsP</t>
  </si>
  <si>
    <t>WP_009891014.1</t>
  </si>
  <si>
    <t>CDR20291_RS14290</t>
  </si>
  <si>
    <t>HPr family phosphocarrier protein</t>
  </si>
  <si>
    <t>WP_003422895.1</t>
  </si>
  <si>
    <t>CDR20291_RS14295</t>
  </si>
  <si>
    <t>WP_003431793.1</t>
  </si>
  <si>
    <t>CDR20291_RS14300</t>
  </si>
  <si>
    <t>Eco57I restriction-modification methylase domain-containing protein</t>
  </si>
  <si>
    <t>WP_009893721.1</t>
  </si>
  <si>
    <t>CDR20291_RS14305</t>
  </si>
  <si>
    <t>WP_003426473.1</t>
  </si>
  <si>
    <t>CDR20291_RS14310</t>
  </si>
  <si>
    <t>WP_009893722.1</t>
  </si>
  <si>
    <t>CDR20291_RS14315</t>
  </si>
  <si>
    <t>N-acetylmuramoyl-L-alanine amidase family protein</t>
  </si>
  <si>
    <t>WP_021422873.1</t>
  </si>
  <si>
    <t>CDR20291_RS14320</t>
  </si>
  <si>
    <t>polyprenyl diphosphate synthase</t>
  </si>
  <si>
    <t>uppS</t>
  </si>
  <si>
    <t>WP_003422884.1</t>
  </si>
  <si>
    <t>CDR20291_RS14325</t>
  </si>
  <si>
    <t>DUF4358 domain-containing protein</t>
  </si>
  <si>
    <t>WP_009891020.1</t>
  </si>
  <si>
    <t>CDR20291_RS14330</t>
  </si>
  <si>
    <t>WP_009893724.1</t>
  </si>
  <si>
    <t>CDR20291_RS14335</t>
  </si>
  <si>
    <t>LCP family protein</t>
  </si>
  <si>
    <t>WP_009891022.1</t>
  </si>
  <si>
    <t>CDR20291_RS14340</t>
  </si>
  <si>
    <t>WP_004454115.1</t>
  </si>
  <si>
    <t>CDR20291_RS14345</t>
  </si>
  <si>
    <t>cell wall-binding glycosyl-hydrolase Cwp19</t>
  </si>
  <si>
    <t>WP_009891024.1</t>
  </si>
  <si>
    <t>CDR20291_RS14350</t>
  </si>
  <si>
    <t>WP_003426490.1</t>
  </si>
  <si>
    <t>CDR20291_RS14355</t>
  </si>
  <si>
    <t>WP_009891028.1</t>
  </si>
  <si>
    <t>CDR20291_RS14360</t>
  </si>
  <si>
    <t>WP_003431768.1</t>
  </si>
  <si>
    <t>CDR20291_RS14365</t>
  </si>
  <si>
    <t>UDP-glucose dehydrogenase family protein</t>
  </si>
  <si>
    <t>WP_009893725.1</t>
  </si>
  <si>
    <t>CDR20291_RS14370</t>
  </si>
  <si>
    <t>WP_003426498.1</t>
  </si>
  <si>
    <t>CDR20291_RS14375</t>
  </si>
  <si>
    <t>glycosyltransferase family A protein</t>
  </si>
  <si>
    <t>WP_004454111.1</t>
  </si>
  <si>
    <t>CDR20291_RS14380</t>
  </si>
  <si>
    <t>WP_003426502.1</t>
  </si>
  <si>
    <t>CDR20291_RS14385</t>
  </si>
  <si>
    <t>CDP-glycerol glycerophosphotransferase family protein</t>
  </si>
  <si>
    <t>WP_009891031.1</t>
  </si>
  <si>
    <t>CDR20291_RS14390</t>
  </si>
  <si>
    <t>WP_009891033.1</t>
  </si>
  <si>
    <t>CDR20291_RS14395</t>
  </si>
  <si>
    <t>WP_009891035.1</t>
  </si>
  <si>
    <t>CDR20291_RS14400</t>
  </si>
  <si>
    <t>WP_003426509.1</t>
  </si>
  <si>
    <t>CDR20291_RS14405</t>
  </si>
  <si>
    <t>mannose-1-phosphate guanylyltransferase</t>
  </si>
  <si>
    <t>WP_009893726.1</t>
  </si>
  <si>
    <t>CDR20291_RS14410</t>
  </si>
  <si>
    <t>WP_009891039.1</t>
  </si>
  <si>
    <t>CDR20291_RS14415</t>
  </si>
  <si>
    <t>WP_009893727.1</t>
  </si>
  <si>
    <t>CDR20291_RS14420</t>
  </si>
  <si>
    <t>cell wall-binding protein Cwp7</t>
  </si>
  <si>
    <t>WP_009891041.1</t>
  </si>
  <si>
    <t>CDR20291_RS14425</t>
  </si>
  <si>
    <t>sugar transferase</t>
  </si>
  <si>
    <t>WP_009891044.1</t>
  </si>
  <si>
    <t>CDR20291_RS14430</t>
  </si>
  <si>
    <t>WP_009891045.1</t>
  </si>
  <si>
    <t>CDR20291_RS14435</t>
  </si>
  <si>
    <t>acyltransferase family protein</t>
  </si>
  <si>
    <t>WP_186832517.1</t>
  </si>
  <si>
    <t>CDR20291_RS14440</t>
  </si>
  <si>
    <t>cell wall-binding protein Cwp5</t>
  </si>
  <si>
    <t>WP_009891046.1</t>
  </si>
  <si>
    <t>CDR20291_RS14445</t>
  </si>
  <si>
    <t>cell wall-binding cysteine protease Cwp84</t>
  </si>
  <si>
    <t>WP_009891047.1</t>
  </si>
  <si>
    <t>CDR20291_RS14450</t>
  </si>
  <si>
    <t>GtrA family protein</t>
  </si>
  <si>
    <t>WP_009891048.1</t>
  </si>
  <si>
    <t>CDR20291_RS14455</t>
  </si>
  <si>
    <t>WP_009891050.1</t>
  </si>
  <si>
    <t>CDR20291_RS14460</t>
  </si>
  <si>
    <t>WP_009891052.1</t>
  </si>
  <si>
    <t>CDR20291_RS14465</t>
  </si>
  <si>
    <t>cell wall-binding protein Cwp2</t>
  </si>
  <si>
    <t>WP_009891054.1</t>
  </si>
  <si>
    <t>CDR20291_RS14470</t>
  </si>
  <si>
    <t>WP_009891056.1</t>
  </si>
  <si>
    <t>CDR20291_RS14475</t>
  </si>
  <si>
    <t>S-layer protein SlpA</t>
  </si>
  <si>
    <t>slpA</t>
  </si>
  <si>
    <t>WP_009891059.1</t>
  </si>
  <si>
    <t>CDR20291_RS14480</t>
  </si>
  <si>
    <t>cell wall-binding protein Cwp12</t>
  </si>
  <si>
    <t>WP_009893729.1</t>
  </si>
  <si>
    <t>CDR20291_RS14485</t>
  </si>
  <si>
    <t>cell wall-binding protein Cwp11</t>
  </si>
  <si>
    <t>WP_012816337.1</t>
  </si>
  <si>
    <t>CDR20291_RS14490</t>
  </si>
  <si>
    <t>cell wall-binding protein Cwp10</t>
  </si>
  <si>
    <t>WP_009891063.1</t>
  </si>
  <si>
    <t>CDR20291_RS14495</t>
  </si>
  <si>
    <t>M60 family metallopeptidase</t>
  </si>
  <si>
    <t>WP_009893730.1</t>
  </si>
  <si>
    <t>CDR20291_RS14500</t>
  </si>
  <si>
    <t>cell wall-binding protein Cwp9</t>
  </si>
  <si>
    <t>WP_009891065.1</t>
  </si>
  <si>
    <t>CDR20291_RS14505</t>
  </si>
  <si>
    <t>cell wall-binding protein Cwp8</t>
  </si>
  <si>
    <t>WP_009891066.1</t>
  </si>
  <si>
    <t>CDR20291_RS14510</t>
  </si>
  <si>
    <t>six-cysteine ranthipeptide SCIFF</t>
  </si>
  <si>
    <t>scfA</t>
  </si>
  <si>
    <t>WP_009891067.1</t>
  </si>
  <si>
    <t>CDR20291_RS14515</t>
  </si>
  <si>
    <t>TIGR04086 family membrane protein</t>
  </si>
  <si>
    <t>WP_003422821.1</t>
  </si>
  <si>
    <t>CDR20291_RS14520</t>
  </si>
  <si>
    <t>preprotein translocase subunit YajC</t>
  </si>
  <si>
    <t>yajC</t>
  </si>
  <si>
    <t>WP_003426573.1</t>
  </si>
  <si>
    <t>CDR20291_RS14525</t>
  </si>
  <si>
    <t>tRNA guanosine(34) transglycosylase Tgt</t>
  </si>
  <si>
    <t>tgt</t>
  </si>
  <si>
    <t>WP_009891071.1</t>
  </si>
  <si>
    <t>CDR20291_RS14530</t>
  </si>
  <si>
    <t>phosphate-starvation-inducible PsiE family protein</t>
  </si>
  <si>
    <t>WP_003426576.1</t>
  </si>
  <si>
    <t>CDR20291_RS14535</t>
  </si>
  <si>
    <t>tRNA preQ1(34) S-adenosylmethionine ribosyltransferase-isomerase QueA</t>
  </si>
  <si>
    <t>queA</t>
  </si>
  <si>
    <t>WP_009891074.1</t>
  </si>
  <si>
    <t>CDR20291_RS14540</t>
  </si>
  <si>
    <t>Holliday junction branch migration DNA helicase RuvB</t>
  </si>
  <si>
    <t>ruvB</t>
  </si>
  <si>
    <t>WP_003426579.1</t>
  </si>
  <si>
    <t>CDR20291_RS14545</t>
  </si>
  <si>
    <t>Holliday junction branch migration protein RuvA</t>
  </si>
  <si>
    <t>ruvA</t>
  </si>
  <si>
    <t>WP_009891076.1</t>
  </si>
  <si>
    <t>CDR20291_RS14550</t>
  </si>
  <si>
    <t>crossover junction endodeoxyribonuclease RuvC</t>
  </si>
  <si>
    <t>ruvC</t>
  </si>
  <si>
    <t>WP_003422814.1</t>
  </si>
  <si>
    <t>CDR20291_RS14555</t>
  </si>
  <si>
    <t>WP_009891078.1</t>
  </si>
  <si>
    <t>CDR20291_RS14560</t>
  </si>
  <si>
    <t>WP_003422812.1</t>
  </si>
  <si>
    <t>CDR20291_RS14565</t>
  </si>
  <si>
    <t>WP_004454079.1</t>
  </si>
  <si>
    <t>CDR20291_RS14570</t>
  </si>
  <si>
    <t>four-carbon acid sugar kinase family protein</t>
  </si>
  <si>
    <t>WP_009893731.1</t>
  </si>
  <si>
    <t>CDR20291_RS14575</t>
  </si>
  <si>
    <t>WP_009891081.1</t>
  </si>
  <si>
    <t>CDR20291_RS14580</t>
  </si>
  <si>
    <t>2-hydroxy-3-oxopropionate reductase</t>
  </si>
  <si>
    <t>garR</t>
  </si>
  <si>
    <t>WP_009891083.1</t>
  </si>
  <si>
    <t>CDR20291_RS14585</t>
  </si>
  <si>
    <t>WP_009891085.1</t>
  </si>
  <si>
    <t>CDR20291_RS14590</t>
  </si>
  <si>
    <t>WP_012816340.1</t>
  </si>
  <si>
    <t>CDR20291_RS14595</t>
  </si>
  <si>
    <t>WP_003426603.1</t>
  </si>
  <si>
    <t>CDR20291_RS14600</t>
  </si>
  <si>
    <t>WP_003426617.1</t>
  </si>
  <si>
    <t>CDR20291_RS14605</t>
  </si>
  <si>
    <t>WP_009891091.1</t>
  </si>
  <si>
    <t>CDR20291_RS14610</t>
  </si>
  <si>
    <t>dihydrofolate reductase family protein</t>
  </si>
  <si>
    <t>WP_009893732.1</t>
  </si>
  <si>
    <t>CDR20291_RS19195</t>
  </si>
  <si>
    <t>WP_009891095.1</t>
  </si>
  <si>
    <t>CDR20291_RS19200</t>
  </si>
  <si>
    <t>alanine racemase</t>
  </si>
  <si>
    <t>WP_003426625.1</t>
  </si>
  <si>
    <t>CDR20291_RS14620</t>
  </si>
  <si>
    <t>WP_139142266.1</t>
  </si>
  <si>
    <t>CDR20291_RS14625</t>
  </si>
  <si>
    <t>WP_009891099.1</t>
  </si>
  <si>
    <t>CDR20291_RS14630</t>
  </si>
  <si>
    <t>WP_003426630.1</t>
  </si>
  <si>
    <t>CDR20291_RS14635</t>
  </si>
  <si>
    <t>WP_003431751.1</t>
  </si>
  <si>
    <t>CDR20291_RS14640</t>
  </si>
  <si>
    <t>WP_009891103.1</t>
  </si>
  <si>
    <t>CDR20291_RS14645</t>
  </si>
  <si>
    <t>WP_009891106.1</t>
  </si>
  <si>
    <t>CDR20291_RS14650</t>
  </si>
  <si>
    <t>WP_009891108.1</t>
  </si>
  <si>
    <t>CDR20291_RS14655</t>
  </si>
  <si>
    <t>WP_009901191.1</t>
  </si>
  <si>
    <t>CDR20291_RS14660</t>
  </si>
  <si>
    <t>WP_012816344.1</t>
  </si>
  <si>
    <t>CDR20291_RS14665</t>
  </si>
  <si>
    <t>WP_009891112.1</t>
  </si>
  <si>
    <t>CDR20291_RS14670</t>
  </si>
  <si>
    <t>bilirubin reductase</t>
  </si>
  <si>
    <t>bilR</t>
  </si>
  <si>
    <t>WP_009893735.1</t>
  </si>
  <si>
    <t>CDR20291_RS14675</t>
  </si>
  <si>
    <t>bilirubin utilization transcriptional regulator BilQ</t>
  </si>
  <si>
    <t>bilQ</t>
  </si>
  <si>
    <t>WP_009891114.1</t>
  </si>
  <si>
    <t>CDR20291_RS14680</t>
  </si>
  <si>
    <t>WP_003436139.1</t>
  </si>
  <si>
    <t>CDR20291_RS14685</t>
  </si>
  <si>
    <t>WP_009891115.1</t>
  </si>
  <si>
    <t>CDR20291_RS14690</t>
  </si>
  <si>
    <t>zinc metalloprotease Zmp1</t>
  </si>
  <si>
    <t>zmp1</t>
  </si>
  <si>
    <t>WP_009891116.1</t>
  </si>
  <si>
    <t>CDR20291_RS14695</t>
  </si>
  <si>
    <t>SrtB-anchored collagen-binding adhesin</t>
  </si>
  <si>
    <t>WP_009893736.1</t>
  </si>
  <si>
    <t>CDR20291_RS14700</t>
  </si>
  <si>
    <t>WP_009891122.1</t>
  </si>
  <si>
    <t>CDR20291_RS14705</t>
  </si>
  <si>
    <t>WP_009891124.1</t>
  </si>
  <si>
    <t>CDR20291_RS14710</t>
  </si>
  <si>
    <t>WP_009891126.1</t>
  </si>
  <si>
    <t>CDR20291_RS14715</t>
  </si>
  <si>
    <t>WP_003436123.1</t>
  </si>
  <si>
    <t>CDR20291_RS14720</t>
  </si>
  <si>
    <t>WP_009891132.1</t>
  </si>
  <si>
    <t>CDR20291_RS14725</t>
  </si>
  <si>
    <t>WP_009891134.1</t>
  </si>
  <si>
    <t>CDR20291_RS14730</t>
  </si>
  <si>
    <t>WP_003436120.1</t>
  </si>
  <si>
    <t>CDR20291_RS14735</t>
  </si>
  <si>
    <t>WP_003436119.1</t>
  </si>
  <si>
    <t>CDR20291_RS14740</t>
  </si>
  <si>
    <t>histidine kinase</t>
  </si>
  <si>
    <t>WP_003436118.1</t>
  </si>
  <si>
    <t>CDR20291_RS14745</t>
  </si>
  <si>
    <t>WP_009891137.1</t>
  </si>
  <si>
    <t>CDR20291_RS14750</t>
  </si>
  <si>
    <t>WP_009891139.1</t>
  </si>
  <si>
    <t>CDR20291_RS14755</t>
  </si>
  <si>
    <t>WP_009891141.1</t>
  </si>
  <si>
    <t>CDR20291_RS14760</t>
  </si>
  <si>
    <t>YhdH/YhfP family quinone oxidoreductase</t>
  </si>
  <si>
    <t>WP_009891143.1</t>
  </si>
  <si>
    <t>CDR20291_RS14765</t>
  </si>
  <si>
    <t>WP_003436793.1</t>
  </si>
  <si>
    <t>CDR20291_RS14770</t>
  </si>
  <si>
    <t>WP_003426696.1</t>
  </si>
  <si>
    <t>CDR20291_RS14775</t>
  </si>
  <si>
    <t>YhbD family protein</t>
  </si>
  <si>
    <t>WP_009891147.1</t>
  </si>
  <si>
    <t>CDR20291_RS14780</t>
  </si>
  <si>
    <t>polymer-forming cytoskeletal protein</t>
  </si>
  <si>
    <t>WP_009893737.1</t>
  </si>
  <si>
    <t>CDR20291_RS14785</t>
  </si>
  <si>
    <t>WP_009891149.1</t>
  </si>
  <si>
    <t>CDR20291_RS14790</t>
  </si>
  <si>
    <t>2-aminoethylphosphonate--pyruvate transaminase</t>
  </si>
  <si>
    <t>phnW</t>
  </si>
  <si>
    <t>WP_009891151.1</t>
  </si>
  <si>
    <t>CDR20291_RS19430</t>
  </si>
  <si>
    <t>WP_003439571.1</t>
  </si>
  <si>
    <t>CDR20291_RS14800</t>
  </si>
  <si>
    <t>D-alanine--poly(phosphoribitol) ligase subunit DltC</t>
  </si>
  <si>
    <t>dltC</t>
  </si>
  <si>
    <t>WP_003422749.1</t>
  </si>
  <si>
    <t>CDR20291_RS14805</t>
  </si>
  <si>
    <t>D-alanyl-lipoteichoic acid biosynthesis protein DltB</t>
  </si>
  <si>
    <t>dltB</t>
  </si>
  <si>
    <t>WP_009891152.1</t>
  </si>
  <si>
    <t>CDR20291_RS14810</t>
  </si>
  <si>
    <t>D-alanine--poly(phosphoribitol) ligase</t>
  </si>
  <si>
    <t>WP_009893738.1</t>
  </si>
  <si>
    <t>CDR20291_RS14815</t>
  </si>
  <si>
    <t>D-alanyl-lipoteichoic acid biosynthesis protein DltD</t>
  </si>
  <si>
    <t>dltD</t>
  </si>
  <si>
    <t>WP_009891156.1</t>
  </si>
  <si>
    <t>CDR20291_RS14820</t>
  </si>
  <si>
    <t>WP_012816347.1</t>
  </si>
  <si>
    <t>CDR20291_RS14825</t>
  </si>
  <si>
    <t>WP_009891160.1</t>
  </si>
  <si>
    <t>CDR20291_RS14830</t>
  </si>
  <si>
    <t>WP_009891161.1</t>
  </si>
  <si>
    <t>CDR20291_RS14835</t>
  </si>
  <si>
    <t>hemolysin family protein</t>
  </si>
  <si>
    <t>WP_014466382.1</t>
  </si>
  <si>
    <t>CDR20291_RS14840</t>
  </si>
  <si>
    <t>WP_009891163.1</t>
  </si>
  <si>
    <t>CDR20291_RS14845</t>
  </si>
  <si>
    <t>WP_003426728.1</t>
  </si>
  <si>
    <t>CDR20291_RS14850</t>
  </si>
  <si>
    <t>WP_003426729.1</t>
  </si>
  <si>
    <t>CDR20291_RS14855</t>
  </si>
  <si>
    <t>WP_009891166.1</t>
  </si>
  <si>
    <t>CDR20291_RS14860</t>
  </si>
  <si>
    <t>WP_009893739.1</t>
  </si>
  <si>
    <t>CDR20291_RS14865</t>
  </si>
  <si>
    <t>WP_009891168.1</t>
  </si>
  <si>
    <t>CDR20291_RS14870</t>
  </si>
  <si>
    <t>ferritin-like domain-containing protein</t>
  </si>
  <si>
    <t>WP_009891170.1</t>
  </si>
  <si>
    <t>CDR20291_RS14875</t>
  </si>
  <si>
    <t>WP_009893740.1</t>
  </si>
  <si>
    <t>CDR20291_RS14880</t>
  </si>
  <si>
    <t>WP_009891172.1</t>
  </si>
  <si>
    <t>CDR20291_RS14885</t>
  </si>
  <si>
    <t>WP_009893741.1</t>
  </si>
  <si>
    <t>CDR20291_RS14890</t>
  </si>
  <si>
    <t>WP_225532670.1</t>
  </si>
  <si>
    <t>CDR20291_RS14895</t>
  </si>
  <si>
    <t>WP_022619262.1</t>
  </si>
  <si>
    <t>CDR20291_RS14900</t>
  </si>
  <si>
    <t>TldD/PmbA family protein</t>
  </si>
  <si>
    <t>WP_009891176.1</t>
  </si>
  <si>
    <t>CDR20291_RS14905</t>
  </si>
  <si>
    <t>WP_009891177.1</t>
  </si>
  <si>
    <t>CDR20291_RS14910</t>
  </si>
  <si>
    <t>WP_009891179.1</t>
  </si>
  <si>
    <t>CDR20291_RS14915</t>
  </si>
  <si>
    <t>WP_012816349.1</t>
  </si>
  <si>
    <t>CDR20291_RS14920</t>
  </si>
  <si>
    <t>2-keto-3-deoxygluconate permease</t>
  </si>
  <si>
    <t>WP_009893742.1</t>
  </si>
  <si>
    <t>CDR20291_RS14925</t>
  </si>
  <si>
    <t>UxaA family hydrolase</t>
  </si>
  <si>
    <t>WP_009891186.1</t>
  </si>
  <si>
    <t>CDR20291_RS14930</t>
  </si>
  <si>
    <t>WP_009891187.1</t>
  </si>
  <si>
    <t>CDR20291_RS14935</t>
  </si>
  <si>
    <t>WP_009891189.1</t>
  </si>
  <si>
    <t>CDR20291_RS14940</t>
  </si>
  <si>
    <t>WP_009891190.1</t>
  </si>
  <si>
    <t>CDR20291_RS19330</t>
  </si>
  <si>
    <t>WP_009891192.1</t>
  </si>
  <si>
    <t>CDR20291_RS14945</t>
  </si>
  <si>
    <t>WP_003439676.1</t>
  </si>
  <si>
    <t>CDR20291_RS14950</t>
  </si>
  <si>
    <t>FecCD family ABC transporter permease</t>
  </si>
  <si>
    <t>WP_003439679.1</t>
  </si>
  <si>
    <t>CDR20291_RS14955</t>
  </si>
  <si>
    <t>WP_009891196.1</t>
  </si>
  <si>
    <t>CDR20291_RS14960</t>
  </si>
  <si>
    <t>WP_009891198.1</t>
  </si>
  <si>
    <t>CDR20291_RS14965</t>
  </si>
  <si>
    <t>WP_009893743.1</t>
  </si>
  <si>
    <t>CDR20291_RS14970</t>
  </si>
  <si>
    <t>WP_003422696.1</t>
  </si>
  <si>
    <t>CDR20291_RS14975</t>
  </si>
  <si>
    <t>chitin disaccharide deacetylase</t>
  </si>
  <si>
    <t>chbG</t>
  </si>
  <si>
    <t>WP_009891205.1</t>
  </si>
  <si>
    <t>CDR20291_RS14980</t>
  </si>
  <si>
    <t>6-phospho-beta-glucosidase</t>
  </si>
  <si>
    <t>WP_009891206.1</t>
  </si>
  <si>
    <t>CDR20291_RS14985</t>
  </si>
  <si>
    <t>WP_003439696.1</t>
  </si>
  <si>
    <t>CDR20291_RS14990</t>
  </si>
  <si>
    <t>WP_003422688.1</t>
  </si>
  <si>
    <t>CDR20291_RS14995</t>
  </si>
  <si>
    <t>WP_003426754.1</t>
  </si>
  <si>
    <t>CDR20291_RS15000</t>
  </si>
  <si>
    <t>WP_009893744.1</t>
  </si>
  <si>
    <t>CDR20291_RS15005</t>
  </si>
  <si>
    <t>WP_009891214.1</t>
  </si>
  <si>
    <t>CDR20291_RS15010</t>
  </si>
  <si>
    <t>putative 2-aminoethylphosphonate ABC transporter permease subunit</t>
  </si>
  <si>
    <t>WP_009893745.1</t>
  </si>
  <si>
    <t>CDR20291_RS15015</t>
  </si>
  <si>
    <t>WP_009891216.1</t>
  </si>
  <si>
    <t>CDR20291_RS15020</t>
  </si>
  <si>
    <t>putative 2-aminoethylphosphonate ABC transporter substrate-binding protein</t>
  </si>
  <si>
    <t>WP_009891219.1</t>
  </si>
  <si>
    <t>CDR20291_RS15025</t>
  </si>
  <si>
    <t>V-type ATP synthase subunit D</t>
  </si>
  <si>
    <t>WP_009891221.1</t>
  </si>
  <si>
    <t>CDR20291_RS15030</t>
  </si>
  <si>
    <t>V-type ATP synthase subunit B</t>
  </si>
  <si>
    <t>WP_003422669.1</t>
  </si>
  <si>
    <t>CDR20291_RS15035</t>
  </si>
  <si>
    <t>V-type ATP synthase subunit A</t>
  </si>
  <si>
    <t>WP_003426762.1</t>
  </si>
  <si>
    <t>CDR20291_RS15040</t>
  </si>
  <si>
    <t>V-type ATP synthase subunit F</t>
  </si>
  <si>
    <t>WP_009893746.1</t>
  </si>
  <si>
    <t>CDR20291_RS15045</t>
  </si>
  <si>
    <t>V-type ATP synthase subunit C</t>
  </si>
  <si>
    <t>WP_003439726.1</t>
  </si>
  <si>
    <t>CDR20291_RS15050</t>
  </si>
  <si>
    <t>V-type ATP synthase subunit E</t>
  </si>
  <si>
    <t>WP_003422659.1</t>
  </si>
  <si>
    <t>CDR20291_RS15055</t>
  </si>
  <si>
    <t>V-type ATP synthase subunit K</t>
  </si>
  <si>
    <t>WP_003422657.1</t>
  </si>
  <si>
    <t>CDR20291_RS15060</t>
  </si>
  <si>
    <t>V-type ATP synthase subunit I</t>
  </si>
  <si>
    <t>WP_009891231.1</t>
  </si>
  <si>
    <t>CDR20291_RS15065</t>
  </si>
  <si>
    <t>WP_009891232.1</t>
  </si>
  <si>
    <t>CDR20291_RS15070</t>
  </si>
  <si>
    <t>Nif11-like leader peptide family natural product precursor</t>
  </si>
  <si>
    <t>WP_009891233.1</t>
  </si>
  <si>
    <t>CDR20291_RS15075</t>
  </si>
  <si>
    <t>L,D-transpeptidase family protein</t>
  </si>
  <si>
    <t>WP_009893747.1</t>
  </si>
  <si>
    <t>CDR20291_RS15080</t>
  </si>
  <si>
    <t>WP_009891235.1</t>
  </si>
  <si>
    <t>CDR20291_RS15085</t>
  </si>
  <si>
    <t>WP_009891236.1</t>
  </si>
  <si>
    <t>CDR20291_RS15090</t>
  </si>
  <si>
    <t>WP_021407419.1</t>
  </si>
  <si>
    <t>CDR20291_RS15095</t>
  </si>
  <si>
    <t>WP_009893748.1</t>
  </si>
  <si>
    <t>CDR20291_RS15100</t>
  </si>
  <si>
    <t>dipicolinate synthase subunit B</t>
  </si>
  <si>
    <t>WP_003429956.1</t>
  </si>
  <si>
    <t>CDR20291_RS15105</t>
  </si>
  <si>
    <t>dipicolinate synthase subunit DpsA</t>
  </si>
  <si>
    <t>dpsA</t>
  </si>
  <si>
    <t>WP_009891250.1</t>
  </si>
  <si>
    <t>CDR20291_RS15110</t>
  </si>
  <si>
    <t>AMP-binding protein</t>
  </si>
  <si>
    <t>WP_009893750.1</t>
  </si>
  <si>
    <t>CDR20291_RS15115</t>
  </si>
  <si>
    <t>thiolase family protein</t>
  </si>
  <si>
    <t>WP_009891252.1</t>
  </si>
  <si>
    <t>CDR20291_RS15120</t>
  </si>
  <si>
    <t>biotin transporter BioY</t>
  </si>
  <si>
    <t>WP_009891255.1</t>
  </si>
  <si>
    <t>CDR20291_RS15125</t>
  </si>
  <si>
    <t>WP_009891257.1</t>
  </si>
  <si>
    <t>CDR20291_RS15130</t>
  </si>
  <si>
    <t>WP_009891259.1</t>
  </si>
  <si>
    <t>CDR20291_RS15135</t>
  </si>
  <si>
    <t>CRISPR-associated endonuclease Cas2</t>
  </si>
  <si>
    <t>cas2</t>
  </si>
  <si>
    <t>WP_009891261.1</t>
  </si>
  <si>
    <t>CDR20291_RS15140</t>
  </si>
  <si>
    <t>type I-B CRISPR-associated endonuclease Cas1b</t>
  </si>
  <si>
    <t>cas1b</t>
  </si>
  <si>
    <t>WP_009891263.1</t>
  </si>
  <si>
    <t>CDR20291_RS15145</t>
  </si>
  <si>
    <t>CRISPR-associated protein Cas4</t>
  </si>
  <si>
    <t>cas4</t>
  </si>
  <si>
    <t>WP_014466383.1</t>
  </si>
  <si>
    <t>CDR20291_RS15150</t>
  </si>
  <si>
    <t>WP_009893752.1</t>
  </si>
  <si>
    <t>CDR20291_RS15155</t>
  </si>
  <si>
    <t>type I-B CRISPR-associated protein Cas5b</t>
  </si>
  <si>
    <t>cas5b</t>
  </si>
  <si>
    <t>WP_003439785.1</t>
  </si>
  <si>
    <t>CDR20291_RS15160</t>
  </si>
  <si>
    <t>type I-B CRISPR-associated protein Cas7/Cst2/DevR</t>
  </si>
  <si>
    <t>cas7i</t>
  </si>
  <si>
    <t>WP_009891268.1</t>
  </si>
  <si>
    <t>CDR20291_RS15165</t>
  </si>
  <si>
    <t>type I-B CRISPR-associated protein Cas8b1/Cst1</t>
  </si>
  <si>
    <t>cas8a1</t>
  </si>
  <si>
    <t>WP_009893753.1</t>
  </si>
  <si>
    <t>CDR20291_RS15170</t>
  </si>
  <si>
    <t>WP_009891270.1</t>
  </si>
  <si>
    <t>CDR20291_RS15175</t>
  </si>
  <si>
    <t>WP_012816356.1</t>
  </si>
  <si>
    <t>CDR20291_RS15180</t>
  </si>
  <si>
    <t>WP_009891274.1</t>
  </si>
  <si>
    <t>CDR20291_RS15185</t>
  </si>
  <si>
    <t>WP_003439795.1</t>
  </si>
  <si>
    <t>CDR20291_RS15190</t>
  </si>
  <si>
    <t>WP_009891276.1</t>
  </si>
  <si>
    <t>CDR20291_RS15195</t>
  </si>
  <si>
    <t>WP_330360517.1</t>
  </si>
  <si>
    <t>CDR20291_RS15200</t>
  </si>
  <si>
    <t>WP_003429090.1</t>
  </si>
  <si>
    <t>CDR20291_RS15205</t>
  </si>
  <si>
    <t>WP_009893754.1</t>
  </si>
  <si>
    <t>CDR20291_RS15210</t>
  </si>
  <si>
    <t>WP_009891281.1</t>
  </si>
  <si>
    <t>CDR20291_RS15215</t>
  </si>
  <si>
    <t>WP_009891283.1</t>
  </si>
  <si>
    <t>CDR20291_RS15220</t>
  </si>
  <si>
    <t>WP_009891285.1</t>
  </si>
  <si>
    <t>CDR20291_RS15225</t>
  </si>
  <si>
    <t>WP_009891287.1</t>
  </si>
  <si>
    <t>CDR20291_RS15230</t>
  </si>
  <si>
    <t>class 1b ribonucleoside-diphosphate reductase subunit beta</t>
  </si>
  <si>
    <t>nrdF</t>
  </si>
  <si>
    <t>WP_009893755.1</t>
  </si>
  <si>
    <t>CDR20291_RS15235</t>
  </si>
  <si>
    <t>class 1b ribonucleoside-diphosphate reductase subunit alpha</t>
  </si>
  <si>
    <t>nrdE</t>
  </si>
  <si>
    <t>WP_009891289.1</t>
  </si>
  <si>
    <t>CDR20291_RS15240</t>
  </si>
  <si>
    <t>WP_009891291.1</t>
  </si>
  <si>
    <t>CDR20291_RS15245</t>
  </si>
  <si>
    <t>WP_004453865.1</t>
  </si>
  <si>
    <t>CDR20291_RS15250</t>
  </si>
  <si>
    <t>WP_009901211.1</t>
  </si>
  <si>
    <t>CDR20291_RS15255</t>
  </si>
  <si>
    <t>WP_012816358.1</t>
  </si>
  <si>
    <t>CDR20291_RS15260</t>
  </si>
  <si>
    <t>CDR20291_RS15265</t>
  </si>
  <si>
    <t>WP_009891300.1</t>
  </si>
  <si>
    <t>CDR20291_RS15270</t>
  </si>
  <si>
    <t>WP_009891301.1</t>
  </si>
  <si>
    <t>CDR20291_RS15275</t>
  </si>
  <si>
    <t>dihydrodipicolinate synthase family protein</t>
  </si>
  <si>
    <t>WP_009891302.1</t>
  </si>
  <si>
    <t>CDR20291_RS15280</t>
  </si>
  <si>
    <t>WP_009891303.1</t>
  </si>
  <si>
    <t>CDR20291_RS15285</t>
  </si>
  <si>
    <t>WP_003439842.1</t>
  </si>
  <si>
    <t>CDR20291_RS15290</t>
  </si>
  <si>
    <t>WP_009891309.1</t>
  </si>
  <si>
    <t>CDR20291_RS15295</t>
  </si>
  <si>
    <t>WP_003422586.1</t>
  </si>
  <si>
    <t>CDR20291_RS15300</t>
  </si>
  <si>
    <t>WP_003439844.1</t>
  </si>
  <si>
    <t>CDR20291_RS15305</t>
  </si>
  <si>
    <t>WP_009891310.1</t>
  </si>
  <si>
    <t>CDR20291_RS15310</t>
  </si>
  <si>
    <t>WP_012816359.1</t>
  </si>
  <si>
    <t>CDR20291_RS15315</t>
  </si>
  <si>
    <t>DUF5616 domain-containing protein</t>
  </si>
  <si>
    <t>WP_009891313.1</t>
  </si>
  <si>
    <t>CDR20291_RS19600</t>
  </si>
  <si>
    <t>CDR20291_RS19605</t>
  </si>
  <si>
    <t>dihydrolipoyl dehydrogenase family protein</t>
  </si>
  <si>
    <t>WP_009891315.1</t>
  </si>
  <si>
    <t>CDR20291_RS15325</t>
  </si>
  <si>
    <t>cytochrome c biogenesis protein/redoxin</t>
  </si>
  <si>
    <t>WP_009891317.1</t>
  </si>
  <si>
    <t>CDR20291_RS15330</t>
  </si>
  <si>
    <t>WP_003431984.1</t>
  </si>
  <si>
    <t>CDR20291_RS15335</t>
  </si>
  <si>
    <t>alpha-mannosidase</t>
  </si>
  <si>
    <t>WP_009891320.1</t>
  </si>
  <si>
    <t>CDR20291_RS15340</t>
  </si>
  <si>
    <t>WP_009891322.1</t>
  </si>
  <si>
    <t>CDR20291_RS15345</t>
  </si>
  <si>
    <t>WP_003422575.1</t>
  </si>
  <si>
    <t>CDR20291_RS15350</t>
  </si>
  <si>
    <t>WP_009891329.1</t>
  </si>
  <si>
    <t>CDR20291_RS15355</t>
  </si>
  <si>
    <t>WP_009891330.1</t>
  </si>
  <si>
    <t>CDR20291_RS15360</t>
  </si>
  <si>
    <t>WP_012816360.1</t>
  </si>
  <si>
    <t>CDR20291_RS15365</t>
  </si>
  <si>
    <t>C-GCAxxG-C-C family protein</t>
  </si>
  <si>
    <t>WP_009891332.1</t>
  </si>
  <si>
    <t>CDR20291_RS15370</t>
  </si>
  <si>
    <t>TDT family transporter</t>
  </si>
  <si>
    <t>WP_003432002.1</t>
  </si>
  <si>
    <t>CDR20291_RS15375</t>
  </si>
  <si>
    <t>DUF1848 domain-containing protein</t>
  </si>
  <si>
    <t>WP_003439868.1</t>
  </si>
  <si>
    <t>CDR20291_RS15380</t>
  </si>
  <si>
    <t>glycoside hydrolase family 55 protein</t>
  </si>
  <si>
    <t>WP_009891333.1</t>
  </si>
  <si>
    <t>CDR20291_RS15385</t>
  </si>
  <si>
    <t>glycosyl hydrolase family 28-related protein</t>
  </si>
  <si>
    <t>WP_009893762.1</t>
  </si>
  <si>
    <t>CDR20291_RS15390</t>
  </si>
  <si>
    <t>WP_009893764.1</t>
  </si>
  <si>
    <t>CDR20291_RS15395</t>
  </si>
  <si>
    <t>WP_009891334.1</t>
  </si>
  <si>
    <t>CDR20291_RS15400</t>
  </si>
  <si>
    <t>DUF2087 domain-containing protein</t>
  </si>
  <si>
    <t>WP_009891335.1</t>
  </si>
  <si>
    <t>CDR20291_RS15405</t>
  </si>
  <si>
    <t>WP_009891336.1</t>
  </si>
  <si>
    <t>CDR20291_RS15410</t>
  </si>
  <si>
    <t>KpsF/GutQ family sugar-phosphate isomerase</t>
  </si>
  <si>
    <t>WP_003432026.1</t>
  </si>
  <si>
    <t>CDR20291_RS15415</t>
  </si>
  <si>
    <t>WP_009891337.1</t>
  </si>
  <si>
    <t>CDR20291_RS15420</t>
  </si>
  <si>
    <t>WP_009893767.1</t>
  </si>
  <si>
    <t>CDR20291_RS15425</t>
  </si>
  <si>
    <t>WP_009891338.1</t>
  </si>
  <si>
    <t>CDR20291_RS15430</t>
  </si>
  <si>
    <t>aminotransferase class V-fold PLP-dependent enzyme</t>
  </si>
  <si>
    <t>WP_009891339.1</t>
  </si>
  <si>
    <t>CDR20291_RS15435</t>
  </si>
  <si>
    <t>WP_004453775.1</t>
  </si>
  <si>
    <t>CDR20291_RS15440</t>
  </si>
  <si>
    <t>TrmB family transcriptional regulator</t>
  </si>
  <si>
    <t>WP_009893770.1</t>
  </si>
  <si>
    <t>CDR20291_RS15445</t>
  </si>
  <si>
    <t>PhzF family phenazine biosynthesis protein</t>
  </si>
  <si>
    <t>WP_009891342.1</t>
  </si>
  <si>
    <t>CDR20291_RS15450</t>
  </si>
  <si>
    <t>WP_009891344.1</t>
  </si>
  <si>
    <t>CDR20291_RS15455</t>
  </si>
  <si>
    <t>WP_022620328.1</t>
  </si>
  <si>
    <t>CDR20291_RS15460</t>
  </si>
  <si>
    <t>VWA-like domain-containing protein</t>
  </si>
  <si>
    <t>WP_009891349.1</t>
  </si>
  <si>
    <t>CDR20291_RS15465</t>
  </si>
  <si>
    <t>WP_009891351.1</t>
  </si>
  <si>
    <t>CDR20291_RS15470</t>
  </si>
  <si>
    <t>WP_003432058.1</t>
  </si>
  <si>
    <t>CDR20291_RS15475</t>
  </si>
  <si>
    <t>proline iminopeptidase</t>
  </si>
  <si>
    <t>pepI</t>
  </si>
  <si>
    <t>WP_009891352.1</t>
  </si>
  <si>
    <t>CDR20291_RS15480</t>
  </si>
  <si>
    <t>aromatic acid exporter family protein</t>
  </si>
  <si>
    <t>WP_009891354.1</t>
  </si>
  <si>
    <t>CDR20291_RS15485</t>
  </si>
  <si>
    <t>WP_009891355.1</t>
  </si>
  <si>
    <t>CDR20291_RS15490</t>
  </si>
  <si>
    <t>WP_009891356.1</t>
  </si>
  <si>
    <t>CDR20291_RS15495</t>
  </si>
  <si>
    <t>WP_009891357.1</t>
  </si>
  <si>
    <t>CDR20291_RS15500</t>
  </si>
  <si>
    <t>N-acetylmuramic acid 6-phosphate etherase</t>
  </si>
  <si>
    <t>murQ</t>
  </si>
  <si>
    <t>WP_009891358.1</t>
  </si>
  <si>
    <t>CDR20291_RS15505</t>
  </si>
  <si>
    <t>DUF871 domain-containing protein</t>
  </si>
  <si>
    <t>WP_009891359.1</t>
  </si>
  <si>
    <t>CDR20291_RS15510</t>
  </si>
  <si>
    <t>WP_009893774.1</t>
  </si>
  <si>
    <t>CDR20291_RS15515</t>
  </si>
  <si>
    <t>WP_009891360.1</t>
  </si>
  <si>
    <t>CDR20291_RS15520</t>
  </si>
  <si>
    <t>WP_009891362.1</t>
  </si>
  <si>
    <t>CDR20291_RS15525</t>
  </si>
  <si>
    <t>anhydro-N-acetylmuramic acid kinase AnmK</t>
  </si>
  <si>
    <t>anmK</t>
  </si>
  <si>
    <t>WP_021422876.1</t>
  </si>
  <si>
    <t>CDR20291_RS15530</t>
  </si>
  <si>
    <t>WP_009891365.1</t>
  </si>
  <si>
    <t>CDR20291_RS15535</t>
  </si>
  <si>
    <t>WP_009891366.1</t>
  </si>
  <si>
    <t>CDR20291_RS15540</t>
  </si>
  <si>
    <t>WP_009891367.1</t>
  </si>
  <si>
    <t>CDR20291_RS15545</t>
  </si>
  <si>
    <t>WP_003422523.1</t>
  </si>
  <si>
    <t>CDR20291_RS15550</t>
  </si>
  <si>
    <t>WP_012816368.1</t>
  </si>
  <si>
    <t>CDR20291_RS15555</t>
  </si>
  <si>
    <t>PTS glucose transporter subunit IIA</t>
  </si>
  <si>
    <t>WP_009891369.1</t>
  </si>
  <si>
    <t>CDR20291_RS15560</t>
  </si>
  <si>
    <t>WP_003439922.1</t>
  </si>
  <si>
    <t>CDR20291_RS15565</t>
  </si>
  <si>
    <t>WP_009891372.1</t>
  </si>
  <si>
    <t>CDR20291_RS15570</t>
  </si>
  <si>
    <t>alpha-glucoside-specific PTS transporter subunit IIBC</t>
  </si>
  <si>
    <t>WP_009891374.1</t>
  </si>
  <si>
    <t>CDR20291_RS15575</t>
  </si>
  <si>
    <t>WP_003431361.1</t>
  </si>
  <si>
    <t>CDR20291_RS15580</t>
  </si>
  <si>
    <t>S41 family peptidase</t>
  </si>
  <si>
    <t>WP_009893779.1</t>
  </si>
  <si>
    <t>CDR20291_RS15585</t>
  </si>
  <si>
    <t>xylose isomerase</t>
  </si>
  <si>
    <t>xylA</t>
  </si>
  <si>
    <t>WP_009891378.1</t>
  </si>
  <si>
    <t>CDR20291_RS15590</t>
  </si>
  <si>
    <t>xylulokinase</t>
  </si>
  <si>
    <t>xylB</t>
  </si>
  <si>
    <t>WP_012816371.1</t>
  </si>
  <si>
    <t>CDR20291_RS15595</t>
  </si>
  <si>
    <t>WP_009891380.1</t>
  </si>
  <si>
    <t>CDR20291_RS15600</t>
  </si>
  <si>
    <t>WP_009891382.1</t>
  </si>
  <si>
    <t>CDR20291_RS15605</t>
  </si>
  <si>
    <t>WP_009891383.1</t>
  </si>
  <si>
    <t>CDR20291_RS15610</t>
  </si>
  <si>
    <t>WP_003427216.1</t>
  </si>
  <si>
    <t>CDR20291_RS15615</t>
  </si>
  <si>
    <t>WP_003431349.1</t>
  </si>
  <si>
    <t>CDR20291_RS15620</t>
  </si>
  <si>
    <t>glycosyl hydrolase</t>
  </si>
  <si>
    <t>WP_003439934.1</t>
  </si>
  <si>
    <t>CDR20291_RS15625</t>
  </si>
  <si>
    <t>CD3072 family TudS-related putative desulfidase</t>
  </si>
  <si>
    <t>WP_009891384.1</t>
  </si>
  <si>
    <t>CDR20291_RS15630</t>
  </si>
  <si>
    <t>CD3073 family putative ECF transporter S component</t>
  </si>
  <si>
    <t>WP_009891385.1</t>
  </si>
  <si>
    <t>CDR20291_RS15635</t>
  </si>
  <si>
    <t>DUF262 domain-containing protein</t>
  </si>
  <si>
    <t>WP_009891386.1</t>
  </si>
  <si>
    <t>CDR20291_RS15640</t>
  </si>
  <si>
    <t>DEAD/DEAH box helicase family protein</t>
  </si>
  <si>
    <t>WP_009893787.1</t>
  </si>
  <si>
    <t>CDR20291_RS15645</t>
  </si>
  <si>
    <t>WP_003439943.1</t>
  </si>
  <si>
    <t>CDR20291_RS15650</t>
  </si>
  <si>
    <t>nucleotidyltransferase domain-containing protein</t>
  </si>
  <si>
    <t>WP_003439944.1</t>
  </si>
  <si>
    <t>CDR20291_RS15655</t>
  </si>
  <si>
    <t>WP_003427235.1</t>
  </si>
  <si>
    <t>CDR20291_RS15660</t>
  </si>
  <si>
    <t>restriction endonuclease subunit S</t>
  </si>
  <si>
    <t>WP_009891387.1</t>
  </si>
  <si>
    <t>CDR20291_RS15665</t>
  </si>
  <si>
    <t>type I restriction-modification system subunit M</t>
  </si>
  <si>
    <t>WP_009891388.1</t>
  </si>
  <si>
    <t>CDR20291_RS15670</t>
  </si>
  <si>
    <t>tagatose-bisphosphate aldolase subunit GatY</t>
  </si>
  <si>
    <t>WP_009891389.1</t>
  </si>
  <si>
    <t>CDR20291_RS15675</t>
  </si>
  <si>
    <t>WP_009891390.1</t>
  </si>
  <si>
    <t>CDR20291_RS15680</t>
  </si>
  <si>
    <t>1-phosphofructokinase family hexose kinase</t>
  </si>
  <si>
    <t>WP_009891391.1</t>
  </si>
  <si>
    <t>CDR20291_RS15685</t>
  </si>
  <si>
    <t>WP_003427244.1</t>
  </si>
  <si>
    <t>CDR20291_RS15690</t>
  </si>
  <si>
    <t>WP_009891393.1</t>
  </si>
  <si>
    <t>CDR20291_RS15695</t>
  </si>
  <si>
    <t>WP_012816374.1</t>
  </si>
  <si>
    <t>CDR20291_RS15700</t>
  </si>
  <si>
    <t>WP_009891397.1</t>
  </si>
  <si>
    <t>CDR20291_RS15705</t>
  </si>
  <si>
    <t>WP_009891399.1</t>
  </si>
  <si>
    <t>CDR20291_RS15710</t>
  </si>
  <si>
    <t>WP_009891401.1</t>
  </si>
  <si>
    <t>CDR20291_RS15715</t>
  </si>
  <si>
    <t>WP_009891403.1</t>
  </si>
  <si>
    <t>CDR20291_RS15720</t>
  </si>
  <si>
    <t>glycerate kinase</t>
  </si>
  <si>
    <t>WP_009891405.1</t>
  </si>
  <si>
    <t>CDR20291_RS15725</t>
  </si>
  <si>
    <t>WP_009891407.1</t>
  </si>
  <si>
    <t>CDR20291_RS15730</t>
  </si>
  <si>
    <t>PTS 2-O-a-mannosyl-D-glycerate transporter subunit IIABC</t>
  </si>
  <si>
    <t>mngA</t>
  </si>
  <si>
    <t>WP_009891409.1</t>
  </si>
  <si>
    <t>CDR20291_RS15735</t>
  </si>
  <si>
    <t>WP_009891411.1</t>
  </si>
  <si>
    <t>CDR20291_RS15740</t>
  </si>
  <si>
    <t>ChbG/HpnK family deacetylase</t>
  </si>
  <si>
    <t>WP_003439975.1</t>
  </si>
  <si>
    <t>CDR20291_RS15745</t>
  </si>
  <si>
    <t>WP_009893793.1</t>
  </si>
  <si>
    <t>CDR20291_RS15750</t>
  </si>
  <si>
    <t>WP_009891417.1</t>
  </si>
  <si>
    <t>CDR20291_RS15755</t>
  </si>
  <si>
    <t>alpha,alpha-phosphotrehalase</t>
  </si>
  <si>
    <t>WP_009891419.1</t>
  </si>
  <si>
    <t>CDR20291_RS15760</t>
  </si>
  <si>
    <t>WP_009891421.1</t>
  </si>
  <si>
    <t>CDR20291_RS15765</t>
  </si>
  <si>
    <t>WP_009891423.1</t>
  </si>
  <si>
    <t>CDR20291_RS15770</t>
  </si>
  <si>
    <t>WP_009891425.1</t>
  </si>
  <si>
    <t>CDR20291_RS15775</t>
  </si>
  <si>
    <t>WP_009893800.1</t>
  </si>
  <si>
    <t>CDR20291_RS15780</t>
  </si>
  <si>
    <t>WP_009891429.1</t>
  </si>
  <si>
    <t>CDR20291_RS15785</t>
  </si>
  <si>
    <t>WP_009891431.1</t>
  </si>
  <si>
    <t>CDR20291_RS15790</t>
  </si>
  <si>
    <t>WP_009891433.1</t>
  </si>
  <si>
    <t>CDR20291_RS15795</t>
  </si>
  <si>
    <t>WP_009891435.1</t>
  </si>
  <si>
    <t>CDR20291_RS15800</t>
  </si>
  <si>
    <t>WP_012816378.1</t>
  </si>
  <si>
    <t>CDR20291_RS15805</t>
  </si>
  <si>
    <t>WP_009891439.1</t>
  </si>
  <si>
    <t>CDR20291_RS15810</t>
  </si>
  <si>
    <t>WP_009891441.1</t>
  </si>
  <si>
    <t>CDR20291_RS15815</t>
  </si>
  <si>
    <t>WP_009891443.1</t>
  </si>
  <si>
    <t>CDR20291_RS15820</t>
  </si>
  <si>
    <t>WP_003440005.1</t>
  </si>
  <si>
    <t>CDR20291_RS15825</t>
  </si>
  <si>
    <t>transaldolase family protein</t>
  </si>
  <si>
    <t>WP_009893807.1</t>
  </si>
  <si>
    <t>CDR20291_RS15830</t>
  </si>
  <si>
    <t>WP_009891448.1</t>
  </si>
  <si>
    <t>CDR20291_RS15835</t>
  </si>
  <si>
    <t>WP_003440008.1</t>
  </si>
  <si>
    <t>CDR20291_RS15840</t>
  </si>
  <si>
    <t>WP_009891451.1</t>
  </si>
  <si>
    <t>CDR20291_RS15845</t>
  </si>
  <si>
    <t>6-phosphofructokinase</t>
  </si>
  <si>
    <t>WP_009891452.1</t>
  </si>
  <si>
    <t>CDR20291_RS15850</t>
  </si>
  <si>
    <t>WP_016728635.1</t>
  </si>
  <si>
    <t>CDR20291_RS15855</t>
  </si>
  <si>
    <t>CDR20291_RS15860</t>
  </si>
  <si>
    <t>WP_012816380.1</t>
  </si>
  <si>
    <t>CDR20291_RS15865</t>
  </si>
  <si>
    <t>WP_009893816.1</t>
  </si>
  <si>
    <t>CDR20291_RS15870</t>
  </si>
  <si>
    <t>WP_009891456.1</t>
  </si>
  <si>
    <t>CDR20291_RS15875</t>
  </si>
  <si>
    <t>WP_009891457.1</t>
  </si>
  <si>
    <t>CDR20291_RS15880</t>
  </si>
  <si>
    <t>WP_009891458.1</t>
  </si>
  <si>
    <t>CDR20291_RS15885</t>
  </si>
  <si>
    <t>WP_009893818.1</t>
  </si>
  <si>
    <t>CDR20291_RS15890</t>
  </si>
  <si>
    <t>WP_009891459.1</t>
  </si>
  <si>
    <t>CDR20291_RS15895</t>
  </si>
  <si>
    <t>WP_009891460.1</t>
  </si>
  <si>
    <t>CDR20291_RS15900</t>
  </si>
  <si>
    <t>DUF3139 domain-containing protein</t>
  </si>
  <si>
    <t>WP_009891461.1</t>
  </si>
  <si>
    <t>CDR20291_RS15905</t>
  </si>
  <si>
    <t>macrolide family glycosyltransferase</t>
  </si>
  <si>
    <t>WP_009891463.1</t>
  </si>
  <si>
    <t>CDR20291_RS15910</t>
  </si>
  <si>
    <t>AbrB/MazE/SpoVT family DNA-binding domain-containing protein</t>
  </si>
  <si>
    <t>WP_333527299.1</t>
  </si>
  <si>
    <t>CDR20291_RS15915</t>
  </si>
  <si>
    <t>WP_009893821.1</t>
  </si>
  <si>
    <t>CDR20291_RS15920</t>
  </si>
  <si>
    <t>CDR20291_RS15925</t>
  </si>
  <si>
    <t>WP_009891468.1</t>
  </si>
  <si>
    <t>CDR20291_RS15930</t>
  </si>
  <si>
    <t>DUF6518 family protein</t>
  </si>
  <si>
    <t>WP_009891471.1</t>
  </si>
  <si>
    <t>CDR20291_RS15935</t>
  </si>
  <si>
    <t>DUF2500 domain-containing protein</t>
  </si>
  <si>
    <t>WP_032508362.1</t>
  </si>
  <si>
    <t>CDR20291_RS15940</t>
  </si>
  <si>
    <t>CDR20291_RS15945</t>
  </si>
  <si>
    <t>WP_009891477.1</t>
  </si>
  <si>
    <t>CDR20291_RS15950</t>
  </si>
  <si>
    <t>OFA family MFS transporter</t>
  </si>
  <si>
    <t>WP_009891479.1</t>
  </si>
  <si>
    <t>CDR20291_RS15955</t>
  </si>
  <si>
    <t>WP_009893826.1</t>
  </si>
  <si>
    <t>CDR20291_RS15960</t>
  </si>
  <si>
    <t>WP_021419418.1</t>
  </si>
  <si>
    <t>CDR20291_RS15965</t>
  </si>
  <si>
    <t>WP_003440040.1</t>
  </si>
  <si>
    <t>CDR20291_RS15970</t>
  </si>
  <si>
    <t>WP_009891484.1</t>
  </si>
  <si>
    <t>CDR20291_RS15975</t>
  </si>
  <si>
    <t>WP_009891485.1</t>
  </si>
  <si>
    <t>CDR20291_RS15980</t>
  </si>
  <si>
    <t>WP_012816382.1</t>
  </si>
  <si>
    <t>CDR20291_RS15985</t>
  </si>
  <si>
    <t>WP_003440056.1</t>
  </si>
  <si>
    <t>CDR20291_RS15990</t>
  </si>
  <si>
    <t>WP_009891492.1</t>
  </si>
  <si>
    <t>CDR20291_RS15995</t>
  </si>
  <si>
    <t>WP_009891494.1</t>
  </si>
  <si>
    <t>CDR20291_RS16000</t>
  </si>
  <si>
    <t>WP_009893828.1</t>
  </si>
  <si>
    <t>CDR20291_RS16005</t>
  </si>
  <si>
    <t>family 1 glycosylhydrolase</t>
  </si>
  <si>
    <t>WP_009893830.1</t>
  </si>
  <si>
    <t>CDR20291_RS16010</t>
  </si>
  <si>
    <t>WP_009893832.1</t>
  </si>
  <si>
    <t>CDR20291_RS16015</t>
  </si>
  <si>
    <t>WP_009891496.1</t>
  </si>
  <si>
    <t>CDR20291_RS16020</t>
  </si>
  <si>
    <t>WP_009891498.1</t>
  </si>
  <si>
    <t>CDR20291_RS16025</t>
  </si>
  <si>
    <t>WP_009891500.1</t>
  </si>
  <si>
    <t>CDR20291_RS16030</t>
  </si>
  <si>
    <t>ketose-bisphosphate aldolase</t>
  </si>
  <si>
    <t>WP_009891502.1</t>
  </si>
  <si>
    <t>CDR20291_RS16035</t>
  </si>
  <si>
    <t>WP_012816383.1</t>
  </si>
  <si>
    <t>CDR20291_RS16040</t>
  </si>
  <si>
    <t>WP_009891504.1</t>
  </si>
  <si>
    <t>CDR20291_RS16045</t>
  </si>
  <si>
    <t>WP_009893835.1</t>
  </si>
  <si>
    <t>CDR20291_RS19225</t>
  </si>
  <si>
    <t>WP_009893837.1</t>
  </si>
  <si>
    <t>CDR20291_RS19230</t>
  </si>
  <si>
    <t>WP_009891505.1</t>
  </si>
  <si>
    <t>CDR20291_RS16055</t>
  </si>
  <si>
    <t>WP_021397358.1</t>
  </si>
  <si>
    <t>CDR20291_RS16060</t>
  </si>
  <si>
    <t>WP_009891507.1</t>
  </si>
  <si>
    <t>CDR20291_RS16065</t>
  </si>
  <si>
    <t>type 1 glutamine amidotransferase family protein</t>
  </si>
  <si>
    <t>WP_009891508.1</t>
  </si>
  <si>
    <t>CDR20291_RS16070</t>
  </si>
  <si>
    <t>WP_009891509.1</t>
  </si>
  <si>
    <t>CDR20291_RS16075</t>
  </si>
  <si>
    <t>CDR20291_RS16080</t>
  </si>
  <si>
    <t>WP_009891513.1</t>
  </si>
  <si>
    <t>CDR20291_RS16090</t>
  </si>
  <si>
    <t>DUF6063 family protein</t>
  </si>
  <si>
    <t>WP_009891514.1</t>
  </si>
  <si>
    <t>CDR20291_RS16095</t>
  </si>
  <si>
    <t>WP_009891515.1</t>
  </si>
  <si>
    <t>CDR20291_RS16100</t>
  </si>
  <si>
    <t>Wadjet anti-phage system protein JetD domain-containing protein</t>
  </si>
  <si>
    <t>WP_009891516.1</t>
  </si>
  <si>
    <t>CDR20291_RS16105</t>
  </si>
  <si>
    <t>WP_009891517.1</t>
  </si>
  <si>
    <t>CDR20291_RS19235</t>
  </si>
  <si>
    <t>DDE-type integrase/transposase/recombinase</t>
  </si>
  <si>
    <t>WP_021397345.1</t>
  </si>
  <si>
    <t>CDR20291_RS16115</t>
  </si>
  <si>
    <t>WP_021397354.1</t>
  </si>
  <si>
    <t>CDR20291_RS16120</t>
  </si>
  <si>
    <t>WP_009891519.1</t>
  </si>
  <si>
    <t>CDR20291_RS16125</t>
  </si>
  <si>
    <t>FRG domain-containing protein</t>
  </si>
  <si>
    <t>WP_009893840.1</t>
  </si>
  <si>
    <t>CDR20291_RS16130</t>
  </si>
  <si>
    <t>CDR20291_RS19520</t>
  </si>
  <si>
    <t>WP_009891522.1</t>
  </si>
  <si>
    <t>CDR20291_RS19435</t>
  </si>
  <si>
    <t>WP_009891523.1</t>
  </si>
  <si>
    <t>CDR20291_RS19440</t>
  </si>
  <si>
    <t>WP_234707247.1</t>
  </si>
  <si>
    <t>CDR20291_RS19610</t>
  </si>
  <si>
    <t>WP_009891526.1</t>
  </si>
  <si>
    <t>CDR20291_RS16140</t>
  </si>
  <si>
    <t>DNA repair protein</t>
  </si>
  <si>
    <t>WP_009891530.1</t>
  </si>
  <si>
    <t>CDR20291_RS16145</t>
  </si>
  <si>
    <t>WP_009893841.1</t>
  </si>
  <si>
    <t>CDR20291_RS16150</t>
  </si>
  <si>
    <t>WP_009891533.1</t>
  </si>
  <si>
    <t>CDR20291_RS16155</t>
  </si>
  <si>
    <t>WP_009891534.1</t>
  </si>
  <si>
    <t>CDR20291_RS16160</t>
  </si>
  <si>
    <t>HNH endonuclease</t>
  </si>
  <si>
    <t>WP_009893844.1</t>
  </si>
  <si>
    <t>CDR20291_RS16165</t>
  </si>
  <si>
    <t>WP_009891535.1</t>
  </si>
  <si>
    <t>CDR20291_RS16170</t>
  </si>
  <si>
    <t>WP_306418694.1</t>
  </si>
  <si>
    <t>CDR20291_RS16175</t>
  </si>
  <si>
    <t>WP_009891538.1</t>
  </si>
  <si>
    <t>CDR20291_RS16180</t>
  </si>
  <si>
    <t>WP_003433761.1</t>
  </si>
  <si>
    <t>CDR20291_RS16185</t>
  </si>
  <si>
    <t>WP_009891540.1</t>
  </si>
  <si>
    <t>CDR20291_RS16190</t>
  </si>
  <si>
    <t>WP_225532654.1</t>
  </si>
  <si>
    <t>CDR20291_RS16195</t>
  </si>
  <si>
    <t>WP_009891546.1</t>
  </si>
  <si>
    <t>CDR20291_RS16205</t>
  </si>
  <si>
    <t>WP_009891548.1</t>
  </si>
  <si>
    <t>CDR20291_RS16210</t>
  </si>
  <si>
    <t>WP_009891550.1</t>
  </si>
  <si>
    <t>CDR20291_RS16215</t>
  </si>
  <si>
    <t>WP_009891551.1</t>
  </si>
  <si>
    <t>CDR20291_RS16220</t>
  </si>
  <si>
    <t>DUF3990 domain-containing protein</t>
  </si>
  <si>
    <t>WP_009891553.1</t>
  </si>
  <si>
    <t>CDR20291_RS16225</t>
  </si>
  <si>
    <t>DUF3791 domain-containing protein</t>
  </si>
  <si>
    <t>WP_009891555.1</t>
  </si>
  <si>
    <t>CDR20291_RS16230</t>
  </si>
  <si>
    <t>P63C domain-containing protein</t>
  </si>
  <si>
    <t>WP_009893846.1</t>
  </si>
  <si>
    <t>CDR20291_RS16235</t>
  </si>
  <si>
    <t>transfer-messenger RNA</t>
  </si>
  <si>
    <t>ssrA</t>
  </si>
  <si>
    <t>CDR20291_RS16240</t>
  </si>
  <si>
    <t>SsrA-binding protein SmpB</t>
  </si>
  <si>
    <t>smpB</t>
  </si>
  <si>
    <t>WP_003421925.1</t>
  </si>
  <si>
    <t>CDR20291_RS16245</t>
  </si>
  <si>
    <t>WP_003433741.1</t>
  </si>
  <si>
    <t>CDR20291_RS16250</t>
  </si>
  <si>
    <t>WP_021407457.1</t>
  </si>
  <si>
    <t>CDR20291_RS16255</t>
  </si>
  <si>
    <t>WP_009891562.1</t>
  </si>
  <si>
    <t>CDR20291_RS16260</t>
  </si>
  <si>
    <t>WP_009891563.1</t>
  </si>
  <si>
    <t>CDR20291_RS16265</t>
  </si>
  <si>
    <t>WP_009891564.1</t>
  </si>
  <si>
    <t>CDR20291_RS16270</t>
  </si>
  <si>
    <t>YfbM family protein</t>
  </si>
  <si>
    <t>WP_009893847.1</t>
  </si>
  <si>
    <t>CDR20291_RS16275</t>
  </si>
  <si>
    <t>ribonuclease R</t>
  </si>
  <si>
    <t>rnr</t>
  </si>
  <si>
    <t>WP_009893856.1</t>
  </si>
  <si>
    <t>CDR20291_RS16280</t>
  </si>
  <si>
    <t>WP_009891568.1</t>
  </si>
  <si>
    <t>CDR20291_RS16285</t>
  </si>
  <si>
    <t>WP_009891569.1</t>
  </si>
  <si>
    <t>CDR20291_RS16290</t>
  </si>
  <si>
    <t>YbhB/YbcL family Raf kinase inhibitor-like protein</t>
  </si>
  <si>
    <t>WP_003434976.1</t>
  </si>
  <si>
    <t>CDR20291_RS16295</t>
  </si>
  <si>
    <t>WP_009893858.1</t>
  </si>
  <si>
    <t>CDR20291_RS16300</t>
  </si>
  <si>
    <t>WP_009891573.1</t>
  </si>
  <si>
    <t>CDR20291_RS16305</t>
  </si>
  <si>
    <t>preprotein translocase subunit SecG</t>
  </si>
  <si>
    <t>secG</t>
  </si>
  <si>
    <t>WP_003421948.1</t>
  </si>
  <si>
    <t>CDR20291_RS16310</t>
  </si>
  <si>
    <t>WP_009891576.1</t>
  </si>
  <si>
    <t>CDR20291_RS16315</t>
  </si>
  <si>
    <t>WP_074098222.1</t>
  </si>
  <si>
    <t>CDR20291_RS16320</t>
  </si>
  <si>
    <t>phosphopyruvate hydratase</t>
  </si>
  <si>
    <t>eno</t>
  </si>
  <si>
    <t>WP_009893861.1</t>
  </si>
  <si>
    <t>CDR20291_RS16325</t>
  </si>
  <si>
    <t>2,3-bisphosphoglycerate-independent phosphoglycerate mutase</t>
  </si>
  <si>
    <t>gpmI</t>
  </si>
  <si>
    <t>WP_009893863.1</t>
  </si>
  <si>
    <t>CDR20291_RS16330</t>
  </si>
  <si>
    <t>triose-phosphate isomerase</t>
  </si>
  <si>
    <t>tpiA</t>
  </si>
  <si>
    <t>WP_009891583.1</t>
  </si>
  <si>
    <t>CDR20291_RS16335</t>
  </si>
  <si>
    <t>phosphoglycerate kinase</t>
  </si>
  <si>
    <t>WP_009891585.1</t>
  </si>
  <si>
    <t>CDR20291_RS16340</t>
  </si>
  <si>
    <t>WP_003421962.1</t>
  </si>
  <si>
    <t>CDR20291_RS16345</t>
  </si>
  <si>
    <t>WP_003429564.1</t>
  </si>
  <si>
    <t>CDR20291_RS16350</t>
  </si>
  <si>
    <t>RNA polymerase factor sigma-54</t>
  </si>
  <si>
    <t>rpoN</t>
  </si>
  <si>
    <t>WP_003421965.1</t>
  </si>
  <si>
    <t>CDR20291_RS16355</t>
  </si>
  <si>
    <t>selenium-dependent xanthine dehydrogenase</t>
  </si>
  <si>
    <t>xdh</t>
  </si>
  <si>
    <t>WP_009891588.1</t>
  </si>
  <si>
    <t>CDR20291_RS16360</t>
  </si>
  <si>
    <t>WP_009891590.1</t>
  </si>
  <si>
    <t>CDR20291_RS16365</t>
  </si>
  <si>
    <t>WP_009891591.1</t>
  </si>
  <si>
    <t>CDR20291_RS16370</t>
  </si>
  <si>
    <t>nucleobase:cation symporter-2 family protein</t>
  </si>
  <si>
    <t>WP_009891593.1</t>
  </si>
  <si>
    <t>CDR20291_RS16375</t>
  </si>
  <si>
    <t>putative aminohydrolase SsnA</t>
  </si>
  <si>
    <t>ssnA</t>
  </si>
  <si>
    <t>WP_009891595.1</t>
  </si>
  <si>
    <t>CDR20291_RS16380</t>
  </si>
  <si>
    <t>WP_009893877.1</t>
  </si>
  <si>
    <t>CDR20291_RS16385</t>
  </si>
  <si>
    <t>WP_009893879.1</t>
  </si>
  <si>
    <t>CDR20291_RS16390</t>
  </si>
  <si>
    <t>WP_009891598.1</t>
  </si>
  <si>
    <t>CDR20291_RS16395</t>
  </si>
  <si>
    <t>2'-5' RNA ligase family protein</t>
  </si>
  <si>
    <t>WP_003427977.1</t>
  </si>
  <si>
    <t>CDR20291_RS16400</t>
  </si>
  <si>
    <t>sigma-54-dependent Fis family transcriptional regulator</t>
  </si>
  <si>
    <t>WP_009891601.1</t>
  </si>
  <si>
    <t>CDR20291_RS16405</t>
  </si>
  <si>
    <t>WP_003421988.1</t>
  </si>
  <si>
    <t>CDR20291_RS16410</t>
  </si>
  <si>
    <t>WP_009891604.1</t>
  </si>
  <si>
    <t>CDR20291_RS16415</t>
  </si>
  <si>
    <t>WP_009891606.1</t>
  </si>
  <si>
    <t>CDR20291_RS16420</t>
  </si>
  <si>
    <t>WP_003434285.1</t>
  </si>
  <si>
    <t>CDR20291_RS16425</t>
  </si>
  <si>
    <t>WP_009891610.1</t>
  </si>
  <si>
    <t>CDR20291_RS16430</t>
  </si>
  <si>
    <t>cell wall-binding protein Cwp21</t>
  </si>
  <si>
    <t>WP_009893883.1</t>
  </si>
  <si>
    <t>CDR20291_RS16435</t>
  </si>
  <si>
    <t>WP_009891612.1</t>
  </si>
  <si>
    <t>CDR20291_RS16440</t>
  </si>
  <si>
    <t>WP_009891614.1</t>
  </si>
  <si>
    <t>CDR20291_RS16445</t>
  </si>
  <si>
    <t>WP_225532655.1</t>
  </si>
  <si>
    <t>CDR20291_RS16450</t>
  </si>
  <si>
    <t>WP_330360518.1</t>
  </si>
  <si>
    <t>CDR20291_RS16455</t>
  </si>
  <si>
    <t>WP_009891622.1</t>
  </si>
  <si>
    <t>CDR20291_RS16460</t>
  </si>
  <si>
    <t>WP_009891624.1</t>
  </si>
  <si>
    <t>CDR20291_RS16465</t>
  </si>
  <si>
    <t>WP_009891626.1</t>
  </si>
  <si>
    <t>CDR20291_RS16470</t>
  </si>
  <si>
    <t>serine hydrolase domain-containing protein</t>
  </si>
  <si>
    <t>WP_009891628.1</t>
  </si>
  <si>
    <t>CDR20291_RS16475</t>
  </si>
  <si>
    <t>WP_009891631.1</t>
  </si>
  <si>
    <t>CDR20291_RS16480</t>
  </si>
  <si>
    <t>multidrug efflux MFS transporter Cme</t>
  </si>
  <si>
    <t>cme</t>
  </si>
  <si>
    <t>WP_009893886.1</t>
  </si>
  <si>
    <t>CDR20291_RS16485</t>
  </si>
  <si>
    <t>WP_009893888.1</t>
  </si>
  <si>
    <t>CDR20291_RS16490</t>
  </si>
  <si>
    <t>WP_009891640.1</t>
  </si>
  <si>
    <t>CDR20291_RS16495</t>
  </si>
  <si>
    <t>WP_009891642.1</t>
  </si>
  <si>
    <t>CDR20291_RS16500</t>
  </si>
  <si>
    <t>WP_003434297.1</t>
  </si>
  <si>
    <t>CDR20291_RS19335</t>
  </si>
  <si>
    <t>WP_009891645.1</t>
  </si>
  <si>
    <t>CDR20291_RS16505</t>
  </si>
  <si>
    <t>WP_009891647.1</t>
  </si>
  <si>
    <t>CDR20291_RS16510</t>
  </si>
  <si>
    <t>YidC/Oxa1 family membrane protein insertase</t>
  </si>
  <si>
    <t>WP_009891649.1</t>
  </si>
  <si>
    <t>CDR20291_RS16515</t>
  </si>
  <si>
    <t>WP_009891651.1</t>
  </si>
  <si>
    <t>CDR20291_RS16520</t>
  </si>
  <si>
    <t>WP_003434301.1</t>
  </si>
  <si>
    <t>CDR20291_RS16525</t>
  </si>
  <si>
    <t>WP_009891654.1</t>
  </si>
  <si>
    <t>CDR20291_RS16530</t>
  </si>
  <si>
    <t>WP_012816396.1</t>
  </si>
  <si>
    <t>CDR20291_RS16535</t>
  </si>
  <si>
    <t>WP_009891656.1</t>
  </si>
  <si>
    <t>CDR20291_RS16540</t>
  </si>
  <si>
    <t>WP_009891657.1</t>
  </si>
  <si>
    <t>CDR20291_RS16545</t>
  </si>
  <si>
    <t>WP_009893894.1</t>
  </si>
  <si>
    <t>CDR20291_RS16550</t>
  </si>
  <si>
    <t>WP_009891659.1</t>
  </si>
  <si>
    <t>CDR20291_RS16555</t>
  </si>
  <si>
    <t>DUF3781 domain-containing protein</t>
  </si>
  <si>
    <t>WP_003438776.1</t>
  </si>
  <si>
    <t>CDR20291_RS16560</t>
  </si>
  <si>
    <t>WP_071587383.1</t>
  </si>
  <si>
    <t>CDR20291_RS19525</t>
  </si>
  <si>
    <t>WP_009893896.1</t>
  </si>
  <si>
    <t>CDR20291_RS16565</t>
  </si>
  <si>
    <t>WP_003438780.1</t>
  </si>
  <si>
    <t>CDR20291_RS16570</t>
  </si>
  <si>
    <t>WP_009891662.1</t>
  </si>
  <si>
    <t>CDR20291_RS16575</t>
  </si>
  <si>
    <t>WP_009893899.1</t>
  </si>
  <si>
    <t>CDR20291_RS16580</t>
  </si>
  <si>
    <t>WP_003438785.1</t>
  </si>
  <si>
    <t>CDR20291_RS16585</t>
  </si>
  <si>
    <t>Hsp33 family molecular chaperone HslO</t>
  </si>
  <si>
    <t>hslO</t>
  </si>
  <si>
    <t>WP_009891670.1</t>
  </si>
  <si>
    <t>CDR20291_RS16590</t>
  </si>
  <si>
    <t>WP_009891672.1</t>
  </si>
  <si>
    <t>CDR20291_RS16595</t>
  </si>
  <si>
    <t>small, acid-soluble spore protein, alpha/beta type</t>
  </si>
  <si>
    <t>WP_009891674.1</t>
  </si>
  <si>
    <t>CDR20291_RS16600</t>
  </si>
  <si>
    <t>N-acetyldiaminopimelate deacetylase</t>
  </si>
  <si>
    <t>WP_009891676.1</t>
  </si>
  <si>
    <t>CDR20291_RS16605</t>
  </si>
  <si>
    <t>L-serine ammonia-lyase</t>
  </si>
  <si>
    <t>WP_003422058.1</t>
  </si>
  <si>
    <t>CDR20291_RS16610</t>
  </si>
  <si>
    <t>4-hydroxy-tetrahydrodipicolinate synthase</t>
  </si>
  <si>
    <t>dapA</t>
  </si>
  <si>
    <t>WP_003438799.1</t>
  </si>
  <si>
    <t>CDR20291_RS16615</t>
  </si>
  <si>
    <t>aspartate-semialdehyde dehydrogenase</t>
  </si>
  <si>
    <t>WP_003422061.1</t>
  </si>
  <si>
    <t>CDR20291_RS16620</t>
  </si>
  <si>
    <t>WP_003422063.1</t>
  </si>
  <si>
    <t>CDR20291_RS16625</t>
  </si>
  <si>
    <t>4-hydroxy-tetrahydrodipicolinate reductase</t>
  </si>
  <si>
    <t>dapB</t>
  </si>
  <si>
    <t>WP_009891682.1</t>
  </si>
  <si>
    <t>CDR20291_RS16630</t>
  </si>
  <si>
    <t>2,3,4,5-tetrahydropyridine-2,6-dicarboxylate N-acetyltransferase</t>
  </si>
  <si>
    <t>dapD</t>
  </si>
  <si>
    <t>WP_009891684.1</t>
  </si>
  <si>
    <t>CDR20291_RS16635</t>
  </si>
  <si>
    <t>WP_009893905.1</t>
  </si>
  <si>
    <t>CDR20291_RS16640</t>
  </si>
  <si>
    <t>WP_021408848.1</t>
  </si>
  <si>
    <t>CDR20291_RS16645</t>
  </si>
  <si>
    <t>collagen-like exosporium glycoprotein BclA2</t>
  </si>
  <si>
    <t>bclA2</t>
  </si>
  <si>
    <t>WP_009893907.1</t>
  </si>
  <si>
    <t>CDR20291_RS16650</t>
  </si>
  <si>
    <t>WP_009891688.1</t>
  </si>
  <si>
    <t>CDR20291_RS16655</t>
  </si>
  <si>
    <t>serine dehydratase subunit alpha family protein</t>
  </si>
  <si>
    <t>WP_009893909.1</t>
  </si>
  <si>
    <t>CDR20291_RS16660</t>
  </si>
  <si>
    <t>WP_009891691.1</t>
  </si>
  <si>
    <t>CDR20291_RS16665</t>
  </si>
  <si>
    <t>WP_003422082.1</t>
  </si>
  <si>
    <t>CDR20291_RS16670</t>
  </si>
  <si>
    <t>WP_003422084.1</t>
  </si>
  <si>
    <t>CDR20291_RS16675</t>
  </si>
  <si>
    <t>WP_003422086.1</t>
  </si>
  <si>
    <t>CDR20291_RS16680</t>
  </si>
  <si>
    <t>TSUP family transporter</t>
  </si>
  <si>
    <t>WP_009891694.1</t>
  </si>
  <si>
    <t>CDR20291_RS16685</t>
  </si>
  <si>
    <t>proline racemase</t>
  </si>
  <si>
    <t>WP_003422090.1</t>
  </si>
  <si>
    <t>CDR20291_RS16690</t>
  </si>
  <si>
    <t>WP_009891697.1</t>
  </si>
  <si>
    <t>CDR20291_RS16695</t>
  </si>
  <si>
    <t>WP_003422094.1</t>
  </si>
  <si>
    <t>CDR20291_RS19340</t>
  </si>
  <si>
    <t>proline reductase cluster protein PrdD</t>
  </si>
  <si>
    <t>prdD</t>
  </si>
  <si>
    <t>WP_003428092.1</t>
  </si>
  <si>
    <t>CDR20291_RS19345</t>
  </si>
  <si>
    <t>D-proline reductase (dithiol) protein PrdB</t>
  </si>
  <si>
    <t>prdB</t>
  </si>
  <si>
    <t>WP_011861888.1</t>
  </si>
  <si>
    <t>CDR20291_RS16710</t>
  </si>
  <si>
    <t>CBO2463/CBO2479 domain-containing protein</t>
  </si>
  <si>
    <t>WP_003422102.1</t>
  </si>
  <si>
    <t>CDR20291_RS16715</t>
  </si>
  <si>
    <t>D-proline reductase (dithiol) proprotein PrdA</t>
  </si>
  <si>
    <t>prdA</t>
  </si>
  <si>
    <t>WP_003422104.1</t>
  </si>
  <si>
    <t>CDR20291_RS16720</t>
  </si>
  <si>
    <t>sigma-54 dependent transcriptional regulator PrdR</t>
  </si>
  <si>
    <t>prdR</t>
  </si>
  <si>
    <t>WP_003428097.1</t>
  </si>
  <si>
    <t>CDR20291_RS16725</t>
  </si>
  <si>
    <t>WP_071587384.1</t>
  </si>
  <si>
    <t>CDR20291_RS16730</t>
  </si>
  <si>
    <t>proline reductase-associated electron transfer protein PrdC</t>
  </si>
  <si>
    <t>prdC</t>
  </si>
  <si>
    <t>WP_003431873.1</t>
  </si>
  <si>
    <t>CDR20291_RS16735</t>
  </si>
  <si>
    <t>WP_009891705.1</t>
  </si>
  <si>
    <t>CDR20291_RS16740</t>
  </si>
  <si>
    <t>WP_003422115.1</t>
  </si>
  <si>
    <t>CDR20291_RS16745</t>
  </si>
  <si>
    <t>DUF4364 family protein</t>
  </si>
  <si>
    <t>WP_009891708.1</t>
  </si>
  <si>
    <t>CDR20291_RS16750</t>
  </si>
  <si>
    <t>YncE family protein</t>
  </si>
  <si>
    <t>WP_003422120.1</t>
  </si>
  <si>
    <t>CDR20291_RS16755</t>
  </si>
  <si>
    <t>WP_009891710.1</t>
  </si>
  <si>
    <t>CDR20291_RS16760</t>
  </si>
  <si>
    <t>bifunctional folylpolyglutamate synthase/dihydrofolate synthase</t>
  </si>
  <si>
    <t>WP_004454015.1</t>
  </si>
  <si>
    <t>CDR20291_RS16765</t>
  </si>
  <si>
    <t>WP_009891713.1</t>
  </si>
  <si>
    <t>CDR20291_RS16770</t>
  </si>
  <si>
    <t>two-component system response regulator RgaR</t>
  </si>
  <si>
    <t>rgaR</t>
  </si>
  <si>
    <t>WP_009893916.1</t>
  </si>
  <si>
    <t>CDR20291_RS16775</t>
  </si>
  <si>
    <t>valine--tRNA ligase</t>
  </si>
  <si>
    <t>WP_009893918.1</t>
  </si>
  <si>
    <t>CDR20291_RS16780</t>
  </si>
  <si>
    <t>WP_003432345.1</t>
  </si>
  <si>
    <t>CDR20291_RS16785</t>
  </si>
  <si>
    <t>[Fe-Fe] hydrogenase large subunit C-terminal domain-containing protein</t>
  </si>
  <si>
    <t>WP_009891715.1</t>
  </si>
  <si>
    <t>CDR20291_RS16790</t>
  </si>
  <si>
    <t>WP_009891717.1</t>
  </si>
  <si>
    <t>CDR20291_RS16795</t>
  </si>
  <si>
    <t>phosphate signaling complex protein PhoU</t>
  </si>
  <si>
    <t>phoU</t>
  </si>
  <si>
    <t>WP_003432348.1</t>
  </si>
  <si>
    <t>CDR20291_RS16800</t>
  </si>
  <si>
    <t>phosphate ABC transporter ATP-binding protein PstB</t>
  </si>
  <si>
    <t>pstB</t>
  </si>
  <si>
    <t>WP_003432349.1</t>
  </si>
  <si>
    <t>CDR20291_RS16805</t>
  </si>
  <si>
    <t>phosphate ABC transporter permease PstA</t>
  </si>
  <si>
    <t>pstA</t>
  </si>
  <si>
    <t>WP_009891720.1</t>
  </si>
  <si>
    <t>CDR20291_RS16810</t>
  </si>
  <si>
    <t>phosphate ABC transporter permease subunit PstC</t>
  </si>
  <si>
    <t>pstC</t>
  </si>
  <si>
    <t>WP_004454007.1</t>
  </si>
  <si>
    <t>CDR20291_RS16815</t>
  </si>
  <si>
    <t>WP_009891723.1</t>
  </si>
  <si>
    <t>CDR20291_RS16820</t>
  </si>
  <si>
    <t>WP_009891724.1</t>
  </si>
  <si>
    <t>CDR20291_RS16825</t>
  </si>
  <si>
    <t>WP_009891726.1</t>
  </si>
  <si>
    <t>CDR20291_RS16830</t>
  </si>
  <si>
    <t>WP_009891729.1</t>
  </si>
  <si>
    <t>CDR20291_RS16835</t>
  </si>
  <si>
    <t>WP_009891737.1</t>
  </si>
  <si>
    <t>CDR20291_RS16840</t>
  </si>
  <si>
    <t>WP_009893921.1</t>
  </si>
  <si>
    <t>CDR20291_RS16845</t>
  </si>
  <si>
    <t>WP_009891739.1</t>
  </si>
  <si>
    <t>CDR20291_RS16850</t>
  </si>
  <si>
    <t>phosphate ABC transporter substrate-binding protein</t>
  </si>
  <si>
    <t>WP_009893923.1</t>
  </si>
  <si>
    <t>CDR20291_RS16855</t>
  </si>
  <si>
    <t>oligoendopeptidase F</t>
  </si>
  <si>
    <t>pepF</t>
  </si>
  <si>
    <t>WP_009891743.1</t>
  </si>
  <si>
    <t>CDR20291_RS16860</t>
  </si>
  <si>
    <t>WP_004453991.1</t>
  </si>
  <si>
    <t>CDR20291_RS16865</t>
  </si>
  <si>
    <t>aspartyl-phosphate phosphatase Spo0E family protein</t>
  </si>
  <si>
    <t>WP_009891746.1</t>
  </si>
  <si>
    <t>CDR20291_RS16870</t>
  </si>
  <si>
    <t>Gx transporter family protein</t>
  </si>
  <si>
    <t>WP_003432371.1</t>
  </si>
  <si>
    <t>CDR20291_RS16875</t>
  </si>
  <si>
    <t>WP_003417194.1</t>
  </si>
  <si>
    <t>CDR20291_RS16880</t>
  </si>
  <si>
    <t>WP_009891748.1</t>
  </si>
  <si>
    <t>CDR20291_RS16885</t>
  </si>
  <si>
    <t>WP_009891749.1</t>
  </si>
  <si>
    <t>CDR20291_RS16890</t>
  </si>
  <si>
    <t>WP_009891750.1</t>
  </si>
  <si>
    <t>CDR20291_RS16895</t>
  </si>
  <si>
    <t>WP_009891751.1</t>
  </si>
  <si>
    <t>CDR20291_RS16900</t>
  </si>
  <si>
    <t>WP_009891752.1</t>
  </si>
  <si>
    <t>CDR20291_RS16905</t>
  </si>
  <si>
    <t>WP_009891754.1</t>
  </si>
  <si>
    <t>CDR20291_RS16910</t>
  </si>
  <si>
    <t>WP_009893929.1</t>
  </si>
  <si>
    <t>CDR20291_RS16915</t>
  </si>
  <si>
    <t>WP_009891755.1</t>
  </si>
  <si>
    <t>CDR20291_RS16920</t>
  </si>
  <si>
    <t>trans-4-hydroxy-L-proline dehydratase</t>
  </si>
  <si>
    <t>hypD</t>
  </si>
  <si>
    <t>WP_009891756.1</t>
  </si>
  <si>
    <t>CDR20291_RS16925</t>
  </si>
  <si>
    <t>trans-4-hydroxy-L-proline dehydratase activase</t>
  </si>
  <si>
    <t>WP_009891757.1</t>
  </si>
  <si>
    <t>CDR20291_RS16930</t>
  </si>
  <si>
    <t>serine protease HtrA</t>
  </si>
  <si>
    <t>htrA</t>
  </si>
  <si>
    <t>WP_003435637.1</t>
  </si>
  <si>
    <t>CDR20291_RS16935</t>
  </si>
  <si>
    <t>glucose-6-phosphate isomerase</t>
  </si>
  <si>
    <t>WP_003435635.1</t>
  </si>
  <si>
    <t>CDR20291_RS16940</t>
  </si>
  <si>
    <t>WP_009891758.1</t>
  </si>
  <si>
    <t>CDR20291_RS16945</t>
  </si>
  <si>
    <t>WP_009891759.1</t>
  </si>
  <si>
    <t>CDR20291_RS16950</t>
  </si>
  <si>
    <t>WP_003435631.1</t>
  </si>
  <si>
    <t>CDR20291_RS16955</t>
  </si>
  <si>
    <t>WP_009891762.1</t>
  </si>
  <si>
    <t>CDR20291_RS16960</t>
  </si>
  <si>
    <t>YecA family protein</t>
  </si>
  <si>
    <t>WP_009891764.1</t>
  </si>
  <si>
    <t>CDR20291_RS16965</t>
  </si>
  <si>
    <t>WP_009891765.1</t>
  </si>
  <si>
    <t>CDR20291_RS16970</t>
  </si>
  <si>
    <t>WP_234702616.1</t>
  </si>
  <si>
    <t>CDR20291_RS16975</t>
  </si>
  <si>
    <t>WP_009893933.1</t>
  </si>
  <si>
    <t>CDR20291_RS16980</t>
  </si>
  <si>
    <t>type II secretion system protein</t>
  </si>
  <si>
    <t>WP_009891768.1</t>
  </si>
  <si>
    <t>CDR20291_RS16985</t>
  </si>
  <si>
    <t>type II secretion system F family protein</t>
  </si>
  <si>
    <t>WP_009891769.1</t>
  </si>
  <si>
    <t>CDR20291_RS16990</t>
  </si>
  <si>
    <t>GspE/PulE family protein</t>
  </si>
  <si>
    <t>WP_012816412.1</t>
  </si>
  <si>
    <t>CDR20291_RS16995</t>
  </si>
  <si>
    <t>WP_003427945.1</t>
  </si>
  <si>
    <t>CDR20291_RS17000</t>
  </si>
  <si>
    <t>WP_009891772.1</t>
  </si>
  <si>
    <t>CDR20291_RS17005</t>
  </si>
  <si>
    <t>WP_009891773.1</t>
  </si>
  <si>
    <t>CDR20291_RS17010</t>
  </si>
  <si>
    <t>ribosome biogenesis GTP-binding protein YihA/YsxC</t>
  </si>
  <si>
    <t>yihA</t>
  </si>
  <si>
    <t>WP_009891775.1</t>
  </si>
  <si>
    <t>CDR20291_RS17015</t>
  </si>
  <si>
    <t>endopeptidase La</t>
  </si>
  <si>
    <t>lon</t>
  </si>
  <si>
    <t>WP_009893936.1</t>
  </si>
  <si>
    <t>CDR20291_RS17020</t>
  </si>
  <si>
    <t>WP_003417110.1</t>
  </si>
  <si>
    <t>CDR20291_RS17025</t>
  </si>
  <si>
    <t>WP_003427941.1</t>
  </si>
  <si>
    <t>CDR20291_RS17030</t>
  </si>
  <si>
    <t>ATP-dependent Clp protease ATP-binding subunit ClpX</t>
  </si>
  <si>
    <t>clpX</t>
  </si>
  <si>
    <t>WP_003417105.1</t>
  </si>
  <si>
    <t>CDR20291_RS17035</t>
  </si>
  <si>
    <t>ATP-dependent Clp endopeptidase proteolytic subunit ClpP</t>
  </si>
  <si>
    <t>clpP</t>
  </si>
  <si>
    <t>WP_003417102.1</t>
  </si>
  <si>
    <t>CDR20291_RS17040</t>
  </si>
  <si>
    <t>trigger factor</t>
  </si>
  <si>
    <t>tig</t>
  </si>
  <si>
    <t>WP_003417090.1</t>
  </si>
  <si>
    <t>CDR20291_RS17045</t>
  </si>
  <si>
    <t>metallophosphoesterase family protein</t>
  </si>
  <si>
    <t>WP_003435609.1</t>
  </si>
  <si>
    <t>CDR20291_RS17050</t>
  </si>
  <si>
    <t>ribonuclease PH</t>
  </si>
  <si>
    <t>rph</t>
  </si>
  <si>
    <t>WP_009891778.1</t>
  </si>
  <si>
    <t>CDR20291_RS17055</t>
  </si>
  <si>
    <t>NAD-dependent DNA ligase LigA</t>
  </si>
  <si>
    <t>ligA</t>
  </si>
  <si>
    <t>WP_009891779.1</t>
  </si>
  <si>
    <t>CDR20291_RS17060</t>
  </si>
  <si>
    <t>phosphoglycerate dehydrogenase</t>
  </si>
  <si>
    <t>WP_009891785.1</t>
  </si>
  <si>
    <t>CDR20291_RS17065</t>
  </si>
  <si>
    <t>DUF3783 domain-containing protein</t>
  </si>
  <si>
    <t>WP_009891788.1</t>
  </si>
  <si>
    <t>CDR20291_RS17070</t>
  </si>
  <si>
    <t>conjugated bile salt MFS transporter</t>
  </si>
  <si>
    <t>WP_009891790.1</t>
  </si>
  <si>
    <t>CDR20291_RS17075</t>
  </si>
  <si>
    <t>WP_003417046.1</t>
  </si>
  <si>
    <t>CDR20291_RS17080</t>
  </si>
  <si>
    <t>[FeFe] hydrogenase, group A</t>
  </si>
  <si>
    <t>WP_003417040.1</t>
  </si>
  <si>
    <t>CDR20291_RS17085</t>
  </si>
  <si>
    <t>WP_009891793.1</t>
  </si>
  <si>
    <t>CDR20291_RS17090</t>
  </si>
  <si>
    <t>WP_009891795.1</t>
  </si>
  <si>
    <t>CDR20291_RS17095</t>
  </si>
  <si>
    <t>formate dehydrogenase accessory sulfurtransferase FdhD</t>
  </si>
  <si>
    <t>fdhD</t>
  </si>
  <si>
    <t>WP_009891797.1</t>
  </si>
  <si>
    <t>CDR20291_RS17100</t>
  </si>
  <si>
    <t>formate dehydrogenase subunit alpha</t>
  </si>
  <si>
    <t>fdhF</t>
  </si>
  <si>
    <t>WP_079254696.1</t>
  </si>
  <si>
    <t>CDR20291_RS17105</t>
  </si>
  <si>
    <t>WP_003429718.1</t>
  </si>
  <si>
    <t>CDR20291_RS17110</t>
  </si>
  <si>
    <t>two-component system response regulator CprR</t>
  </si>
  <si>
    <t>cprR</t>
  </si>
  <si>
    <t>WP_003437316.1</t>
  </si>
  <si>
    <t>CDR20291_RS17115</t>
  </si>
  <si>
    <t>DUF3786 domain-containing protein</t>
  </si>
  <si>
    <t>WP_009893944.1</t>
  </si>
  <si>
    <t>CDR20291_RS17120</t>
  </si>
  <si>
    <t>WP_330360519.1</t>
  </si>
  <si>
    <t>CDR20291_RS17125</t>
  </si>
  <si>
    <t>WP_009891802.1</t>
  </si>
  <si>
    <t>CDR20291_RS17130</t>
  </si>
  <si>
    <t>WP_009891804.1</t>
  </si>
  <si>
    <t>CDR20291_RS17135</t>
  </si>
  <si>
    <t>WP_009891807.1</t>
  </si>
  <si>
    <t>CDR20291_RS17140</t>
  </si>
  <si>
    <t>WP_009891808.1</t>
  </si>
  <si>
    <t>CDR20291_RS17145</t>
  </si>
  <si>
    <t>WP_003437290.1</t>
  </si>
  <si>
    <t>CDR20291_RS17150</t>
  </si>
  <si>
    <t>WP_009893947.1</t>
  </si>
  <si>
    <t>CDR20291_RS17155</t>
  </si>
  <si>
    <t>WP_009893949.1</t>
  </si>
  <si>
    <t>CDR20291_RS17160</t>
  </si>
  <si>
    <t>DUF1062 domain-containing protein</t>
  </si>
  <si>
    <t>WP_009891809.1</t>
  </si>
  <si>
    <t>CDR20291_RS17165</t>
  </si>
  <si>
    <t>WP_009891811.1</t>
  </si>
  <si>
    <t>CDR20291_RS17170</t>
  </si>
  <si>
    <t>epoxyqueuosine reductase</t>
  </si>
  <si>
    <t>WP_009891813.1</t>
  </si>
  <si>
    <t>CDR20291_RS17175</t>
  </si>
  <si>
    <t>collagen-like exosporium glycoprotein BclA3</t>
  </si>
  <si>
    <t>bclA3</t>
  </si>
  <si>
    <t>WP_104732845.1</t>
  </si>
  <si>
    <t>CDR20291_RS17180</t>
  </si>
  <si>
    <t>WP_009891817.1</t>
  </si>
  <si>
    <t>CDR20291_RS17185</t>
  </si>
  <si>
    <t>WP_003436212.1</t>
  </si>
  <si>
    <t>CDR20291_RS17190</t>
  </si>
  <si>
    <t>WP_009891821.1</t>
  </si>
  <si>
    <t>CDR20291_RS17195</t>
  </si>
  <si>
    <t>WP_009891823.1</t>
  </si>
  <si>
    <t>CDR20291_RS17200</t>
  </si>
  <si>
    <t>phenylalanine--tRNA ligase beta subunit-related protein</t>
  </si>
  <si>
    <t>WP_009891824.1</t>
  </si>
  <si>
    <t>CDR20291_RS17205</t>
  </si>
  <si>
    <t>WP_009891825.1</t>
  </si>
  <si>
    <t>CDR20291_RS17210</t>
  </si>
  <si>
    <t>WP_009891827.1</t>
  </si>
  <si>
    <t>CDR20291_RS17215</t>
  </si>
  <si>
    <t>DJ-1/PfpI family protein</t>
  </si>
  <si>
    <t>WP_009891829.1</t>
  </si>
  <si>
    <t>CDR20291_RS17220</t>
  </si>
  <si>
    <t>Lrp/AsnC ligand binding domain-containing protein</t>
  </si>
  <si>
    <t>WP_003436219.1</t>
  </si>
  <si>
    <t>CDR20291_RS19445</t>
  </si>
  <si>
    <t>CDR20291_RS19615</t>
  </si>
  <si>
    <t>WP_009893954.1</t>
  </si>
  <si>
    <t>CDR20291_RS17230</t>
  </si>
  <si>
    <t>WP_009891834.1</t>
  </si>
  <si>
    <t>CDR20291_RS17235</t>
  </si>
  <si>
    <t>WP_009891836.1</t>
  </si>
  <si>
    <t>CDR20291_RS17240</t>
  </si>
  <si>
    <t>WP_021407497.1</t>
  </si>
  <si>
    <t>CDR20291_RS17245</t>
  </si>
  <si>
    <t>WP_009893957.1</t>
  </si>
  <si>
    <t>CDR20291_RS17250</t>
  </si>
  <si>
    <t>WP_009893959.1</t>
  </si>
  <si>
    <t>CDR20291_RS17255</t>
  </si>
  <si>
    <t>WP_009891838.1</t>
  </si>
  <si>
    <t>CDR20291_RS17260</t>
  </si>
  <si>
    <t>WP_009891840.1</t>
  </si>
  <si>
    <t>CDR20291_RS17265</t>
  </si>
  <si>
    <t>WP_009893962.1</t>
  </si>
  <si>
    <t>CDR20291_RS17270</t>
  </si>
  <si>
    <t>WP_009891841.1</t>
  </si>
  <si>
    <t>CDR20291_RS17275</t>
  </si>
  <si>
    <t>RNHCP domain-containing protein</t>
  </si>
  <si>
    <t>WP_003436247.1</t>
  </si>
  <si>
    <t>CDR20291_RS17280</t>
  </si>
  <si>
    <t>WP_003416990.1</t>
  </si>
  <si>
    <t>CDR20291_RS17285</t>
  </si>
  <si>
    <t>WP_009889844.1</t>
  </si>
  <si>
    <t>CDR20291_RS17290</t>
  </si>
  <si>
    <t>WP_009900055.1</t>
  </si>
  <si>
    <t>CDR20291_RS17295</t>
  </si>
  <si>
    <t>pyruvate kinase</t>
  </si>
  <si>
    <t>pyk</t>
  </si>
  <si>
    <t>WP_009891902.1</t>
  </si>
  <si>
    <t>CDR20291_RS17300</t>
  </si>
  <si>
    <t>pfkA</t>
  </si>
  <si>
    <t>WP_003429132.1</t>
  </si>
  <si>
    <t>CDR20291_RS17305</t>
  </si>
  <si>
    <t>DNA polymerase III subunit alpha</t>
  </si>
  <si>
    <t>WP_003436251.1</t>
  </si>
  <si>
    <t>CDR20291_RS17310</t>
  </si>
  <si>
    <t>DNA-binding protein WhiA</t>
  </si>
  <si>
    <t>whiA</t>
  </si>
  <si>
    <t>WP_003436252.1</t>
  </si>
  <si>
    <t>CDR20291_RS17315</t>
  </si>
  <si>
    <t>WP_003416968.1</t>
  </si>
  <si>
    <t>CDR20291_RS17320</t>
  </si>
  <si>
    <t>gluconeogenesis factor YvcK family protein</t>
  </si>
  <si>
    <t>WP_009891913.1</t>
  </si>
  <si>
    <t>CDR20291_RS17325</t>
  </si>
  <si>
    <t>RNase adapter RapZ</t>
  </si>
  <si>
    <t>rapZ</t>
  </si>
  <si>
    <t>WP_003429119.1</t>
  </si>
  <si>
    <t>CDR20291_RS17330</t>
  </si>
  <si>
    <t>PHP domain-containing protein</t>
  </si>
  <si>
    <t>WP_009891915.1</t>
  </si>
  <si>
    <t>CDR20291_RS17335</t>
  </si>
  <si>
    <t>UDP-N-acetylmuramate dehydrogenase</t>
  </si>
  <si>
    <t>murB</t>
  </si>
  <si>
    <t>WP_009894000.1</t>
  </si>
  <si>
    <t>CDR20291_RS17340</t>
  </si>
  <si>
    <t>WP_003429111.1</t>
  </si>
  <si>
    <t>CDR20291_RS17345</t>
  </si>
  <si>
    <t>WP_003429110.1</t>
  </si>
  <si>
    <t>CDR20291_RS17350</t>
  </si>
  <si>
    <t>complex I 24 kDa subunit family protein</t>
  </si>
  <si>
    <t>WP_009891918.1</t>
  </si>
  <si>
    <t>CDR20291_RS17355</t>
  </si>
  <si>
    <t>NADH-quinone oxidoreductase subunit NuoF</t>
  </si>
  <si>
    <t>WP_003416938.1</t>
  </si>
  <si>
    <t>CDR20291_RS17360</t>
  </si>
  <si>
    <t>NADH-dependent [FeFe] hydrogenase, group A6</t>
  </si>
  <si>
    <t>WP_009891928.1</t>
  </si>
  <si>
    <t>CDR20291_RS17365</t>
  </si>
  <si>
    <t>MutS-related protein</t>
  </si>
  <si>
    <t>WP_009891931.1</t>
  </si>
  <si>
    <t>CDR20291_RS17370</t>
  </si>
  <si>
    <t>HPr(Ser) kinase/phosphatase</t>
  </si>
  <si>
    <t>hprK</t>
  </si>
  <si>
    <t>WP_003416935.1</t>
  </si>
  <si>
    <t>CDR20291_RS17375</t>
  </si>
  <si>
    <t>excinuclease ABC subunit UvrC</t>
  </si>
  <si>
    <t>uvrC</t>
  </si>
  <si>
    <t>WP_009894004.1</t>
  </si>
  <si>
    <t>CDR20291_RS17380</t>
  </si>
  <si>
    <t>WP_003436266.1</t>
  </si>
  <si>
    <t>CDR20291_RS17385</t>
  </si>
  <si>
    <t>excinuclease ABC subunit UvrB</t>
  </si>
  <si>
    <t>uvrB</t>
  </si>
  <si>
    <t>WP_009891935.1</t>
  </si>
  <si>
    <t>CDR20291_RS17390</t>
  </si>
  <si>
    <t>alkaline phosphatase family protein</t>
  </si>
  <si>
    <t>WP_009891937.1</t>
  </si>
  <si>
    <t>CDR20291_RS17395</t>
  </si>
  <si>
    <t>WP_009891939.1</t>
  </si>
  <si>
    <t>CDR20291_RS17400</t>
  </si>
  <si>
    <t>WP_009891940.1</t>
  </si>
  <si>
    <t>CDR20291_RS17405</t>
  </si>
  <si>
    <t>WP_003416903.1</t>
  </si>
  <si>
    <t>CDR20291_RS17410</t>
  </si>
  <si>
    <t>WP_009891942.1</t>
  </si>
  <si>
    <t>CDR20291_RS17415</t>
  </si>
  <si>
    <t>CDR20291_RS17420</t>
  </si>
  <si>
    <t>CDR20291_RS17425</t>
  </si>
  <si>
    <t>CDR20291_RS17430</t>
  </si>
  <si>
    <t>precorrin-2 dehydrogenase/sirohydrochlorin ferrochelatase family protein</t>
  </si>
  <si>
    <t>WP_003437720.1</t>
  </si>
  <si>
    <t>CDR20291_RS17435</t>
  </si>
  <si>
    <t>porphobilinogen synthase</t>
  </si>
  <si>
    <t>hemB</t>
  </si>
  <si>
    <t>WP_009891946.1</t>
  </si>
  <si>
    <t>CDR20291_RS17440</t>
  </si>
  <si>
    <t>uroporphyrinogen-III C-methyltransferase</t>
  </si>
  <si>
    <t>cobA</t>
  </si>
  <si>
    <t>WP_009891947.1</t>
  </si>
  <si>
    <t>CDR20291_RS17445</t>
  </si>
  <si>
    <t>hydroxymethylbilane synthase</t>
  </si>
  <si>
    <t>hemC</t>
  </si>
  <si>
    <t>WP_009891949.1</t>
  </si>
  <si>
    <t>CDR20291_RS17450</t>
  </si>
  <si>
    <t>cobalt-factor II C(20)-methyltransferase</t>
  </si>
  <si>
    <t>WP_009891951.1</t>
  </si>
  <si>
    <t>CDR20291_RS17455</t>
  </si>
  <si>
    <t>precorrin-6A reductase</t>
  </si>
  <si>
    <t>cobK</t>
  </si>
  <si>
    <t>WP_003437730.1</t>
  </si>
  <si>
    <t>CDR20291_RS17460</t>
  </si>
  <si>
    <t>precorrin-3B C(17)-methyltransferase</t>
  </si>
  <si>
    <t>cobJ</t>
  </si>
  <si>
    <t>WP_003437732.1</t>
  </si>
  <si>
    <t>CDR20291_RS17465</t>
  </si>
  <si>
    <t>cobalt-precorrin 5A hydrolase</t>
  </si>
  <si>
    <t>cbiG</t>
  </si>
  <si>
    <t>WP_009891954.1</t>
  </si>
  <si>
    <t>CDR20291_RS17470</t>
  </si>
  <si>
    <t>cobalt-precorrin-4 methyltransferase</t>
  </si>
  <si>
    <t>WP_009891957.1</t>
  </si>
  <si>
    <t>CDR20291_RS17475</t>
  </si>
  <si>
    <t>decarboxylating cobalt-precorrin-6B (C(15))-methyltransferase</t>
  </si>
  <si>
    <t>WP_003425742.1</t>
  </si>
  <si>
    <t>CDR20291_RS17480</t>
  </si>
  <si>
    <t>cobalt-precorrin-7 (C(5))-methyltransferase</t>
  </si>
  <si>
    <t>WP_009891963.1</t>
  </si>
  <si>
    <t>CDR20291_RS17485</t>
  </si>
  <si>
    <t>cobalt-precorrin-5B (C(1))-methyltransferase CbiD</t>
  </si>
  <si>
    <t>cbiD</t>
  </si>
  <si>
    <t>WP_009891964.1</t>
  </si>
  <si>
    <t>CDR20291_RS17490</t>
  </si>
  <si>
    <t>cobalt-precorrin-8 methylmutase</t>
  </si>
  <si>
    <t>WP_003437747.1</t>
  </si>
  <si>
    <t>CDR20291_RS17495</t>
  </si>
  <si>
    <t>serine/threonine protein kinase</t>
  </si>
  <si>
    <t>WP_009891968.1</t>
  </si>
  <si>
    <t>CDR20291_RS17500</t>
  </si>
  <si>
    <t>WP_009894008.1</t>
  </si>
  <si>
    <t>CDR20291_RS17505</t>
  </si>
  <si>
    <t>adenosylcobinamide-phosphate synthase CbiB</t>
  </si>
  <si>
    <t>cbiB</t>
  </si>
  <si>
    <t>WP_009891970.1</t>
  </si>
  <si>
    <t>CDR20291_RS17510</t>
  </si>
  <si>
    <t>cobyrinate a,c-diamide synthase</t>
  </si>
  <si>
    <t>WP_009894010.1</t>
  </si>
  <si>
    <t>CDR20291_RS17515</t>
  </si>
  <si>
    <t>cobyric acid synthase</t>
  </si>
  <si>
    <t>WP_009891978.1</t>
  </si>
  <si>
    <t>CDR20291_RS17520</t>
  </si>
  <si>
    <t>WP_009894012.1</t>
  </si>
  <si>
    <t>CDR20291_RS17525</t>
  </si>
  <si>
    <t>adenosylcobinamide-GDP ribazoletransferase</t>
  </si>
  <si>
    <t>cobS</t>
  </si>
  <si>
    <t>WP_009894014.1</t>
  </si>
  <si>
    <t>CDR20291_RS17530</t>
  </si>
  <si>
    <t>bifunctional adenosylcobinamide kinase/adenosylcobinamide-phosphate guanylyltransferase</t>
  </si>
  <si>
    <t>cobU</t>
  </si>
  <si>
    <t>WP_009891982.1</t>
  </si>
  <si>
    <t>CDR20291_RS17535</t>
  </si>
  <si>
    <t>nicotinate-nucleotide--dimethylbenzimidazole phosphoribosyltransferase</t>
  </si>
  <si>
    <t>cobT</t>
  </si>
  <si>
    <t>WP_003437772.1</t>
  </si>
  <si>
    <t>CDR20291_RS17540</t>
  </si>
  <si>
    <t>WP_003421310.1</t>
  </si>
  <si>
    <t>CDR20291_RS17545</t>
  </si>
  <si>
    <t>aldose 1-epimerase family protein</t>
  </si>
  <si>
    <t>WP_009891987.1</t>
  </si>
  <si>
    <t>CDR20291_RS17550</t>
  </si>
  <si>
    <t>WP_009891988.1</t>
  </si>
  <si>
    <t>CDR20291_RS17555</t>
  </si>
  <si>
    <t>WP_009894018.1</t>
  </si>
  <si>
    <t>CDR20291_RS17560</t>
  </si>
  <si>
    <t>WP_009891989.1</t>
  </si>
  <si>
    <t>CDR20291_RS17565</t>
  </si>
  <si>
    <t>WP_003421322.1</t>
  </si>
  <si>
    <t>CDR20291_RS17570</t>
  </si>
  <si>
    <t>WP_009891990.1</t>
  </si>
  <si>
    <t>CDR20291_RS17575</t>
  </si>
  <si>
    <t>ypdE</t>
  </si>
  <si>
    <t>WP_009891992.1</t>
  </si>
  <si>
    <t>CDR20291_RS17580</t>
  </si>
  <si>
    <t>WP_009891994.1</t>
  </si>
  <si>
    <t>CDR20291_RS17585</t>
  </si>
  <si>
    <t>gatY</t>
  </si>
  <si>
    <t>WP_009892002.1</t>
  </si>
  <si>
    <t>CDR20291_RS17590</t>
  </si>
  <si>
    <t>WP_009892003.1</t>
  </si>
  <si>
    <t>CDR20291_RS17595</t>
  </si>
  <si>
    <t>WP_009892005.1</t>
  </si>
  <si>
    <t>CDR20291_RS17600</t>
  </si>
  <si>
    <t>WP_009892007.1</t>
  </si>
  <si>
    <t>CDR20291_RS17605</t>
  </si>
  <si>
    <t>WP_009892009.1</t>
  </si>
  <si>
    <t>CDR20291_RS17610</t>
  </si>
  <si>
    <t>WP_009892011.1</t>
  </si>
  <si>
    <t>CDR20291_RS17615</t>
  </si>
  <si>
    <t>CDR20291_RS17620</t>
  </si>
  <si>
    <t>WP_009888240.1</t>
  </si>
  <si>
    <t>CDR20291_RS17625</t>
  </si>
  <si>
    <t>WP_009892499.1</t>
  </si>
  <si>
    <t>CDR20291_RS17630</t>
  </si>
  <si>
    <t>WP_225532666.1</t>
  </si>
  <si>
    <t>CDR20291_RS17635</t>
  </si>
  <si>
    <t>WP_009888245.1</t>
  </si>
  <si>
    <t>CDR20291_RS17640</t>
  </si>
  <si>
    <t>WP_009888246.1</t>
  </si>
  <si>
    <t>CDR20291_RS17645</t>
  </si>
  <si>
    <t>WP_009888247.1</t>
  </si>
  <si>
    <t>CDR20291_RS17650</t>
  </si>
  <si>
    <t>WP_012816430.1</t>
  </si>
  <si>
    <t>CDR20291_RS17655</t>
  </si>
  <si>
    <t>WP_021396478.1</t>
  </si>
  <si>
    <t>CDR20291_RS17660</t>
  </si>
  <si>
    <t>WP_012816431.1</t>
  </si>
  <si>
    <t>CDR20291_RS17665</t>
  </si>
  <si>
    <t>CDR20291_RS17670</t>
  </si>
  <si>
    <t>CDR20291_RS19535</t>
  </si>
  <si>
    <t>WP_009888251.1</t>
  </si>
  <si>
    <t>CDR20291_RS17680</t>
  </si>
  <si>
    <t>WP_009888252.1</t>
  </si>
  <si>
    <t>CDR20291_RS17685</t>
  </si>
  <si>
    <t>HTH domain-containing protein</t>
  </si>
  <si>
    <t>WP_009888253.1</t>
  </si>
  <si>
    <t>CDR20291_RS17690</t>
  </si>
  <si>
    <t>DUF4367 domain-containing protein</t>
  </si>
  <si>
    <t>WP_009888254.1</t>
  </si>
  <si>
    <t>CDR20291_RS17695</t>
  </si>
  <si>
    <t>WP_009888255.1</t>
  </si>
  <si>
    <t>CDR20291_RS17700</t>
  </si>
  <si>
    <t>WP_009888256.1</t>
  </si>
  <si>
    <t>CDR20291_RS17705</t>
  </si>
  <si>
    <t>WP_009888257.1</t>
  </si>
  <si>
    <t>CDR20291_RS17710</t>
  </si>
  <si>
    <t>IS256 family transposase</t>
  </si>
  <si>
    <t>WP_012816433.1</t>
  </si>
  <si>
    <t>CDR20291_RS17715</t>
  </si>
  <si>
    <t>WP_003437815.1</t>
  </si>
  <si>
    <t>CDR20291_RS17720</t>
  </si>
  <si>
    <t>5-formyltetrahydrofolate cyclo-ligase</t>
  </si>
  <si>
    <t>WP_009892015.1</t>
  </si>
  <si>
    <t>CDR20291_RS17725</t>
  </si>
  <si>
    <t>WP_009894025.1</t>
  </si>
  <si>
    <t>CDR20291_RS17730</t>
  </si>
  <si>
    <t>WP_003437819.1</t>
  </si>
  <si>
    <t>CDR20291_RS17735</t>
  </si>
  <si>
    <t>WP_009892019.1</t>
  </si>
  <si>
    <t>CDR20291_RS17740</t>
  </si>
  <si>
    <t>WP_003421354.1</t>
  </si>
  <si>
    <t>CDR20291_RS17745</t>
  </si>
  <si>
    <t>type II toxin-antitoxin system PemK/MazF family toxin</t>
  </si>
  <si>
    <t>WP_003421356.1</t>
  </si>
  <si>
    <t>CDR20291_RS17750</t>
  </si>
  <si>
    <t>ribbon-helix-helix protein, CopG family</t>
  </si>
  <si>
    <t>WP_003421359.1</t>
  </si>
  <si>
    <t>CDR20291_RS17755</t>
  </si>
  <si>
    <t>alr</t>
  </si>
  <si>
    <t>WP_003437830.1</t>
  </si>
  <si>
    <t>CDR20291_RS17760</t>
  </si>
  <si>
    <t>germination lipoprotein GerS</t>
  </si>
  <si>
    <t>gerS</t>
  </si>
  <si>
    <t>WP_009892025.1</t>
  </si>
  <si>
    <t>CDR20291_RS17765</t>
  </si>
  <si>
    <t>WP_003421362.1</t>
  </si>
  <si>
    <t>CDR20291_RS17770</t>
  </si>
  <si>
    <t>holo-ACP synthase</t>
  </si>
  <si>
    <t>acpS</t>
  </si>
  <si>
    <t>WP_003437831.1</t>
  </si>
  <si>
    <t>CDR20291_RS17775</t>
  </si>
  <si>
    <t>ATP synthase F1 subunit epsilon</t>
  </si>
  <si>
    <t>atpC</t>
  </si>
  <si>
    <t>WP_003425849.1</t>
  </si>
  <si>
    <t>CDR20291_RS17780</t>
  </si>
  <si>
    <t>F0F1 ATP synthase subunit beta</t>
  </si>
  <si>
    <t>atpD</t>
  </si>
  <si>
    <t>WP_003425850.1</t>
  </si>
  <si>
    <t>CDR20291_RS17785</t>
  </si>
  <si>
    <t>ATP synthase F1 subunit gamma</t>
  </si>
  <si>
    <t>atpG</t>
  </si>
  <si>
    <t>WP_003437835.1</t>
  </si>
  <si>
    <t>CDR20291_RS17790</t>
  </si>
  <si>
    <t>F0F1 ATP synthase subunit alpha</t>
  </si>
  <si>
    <t>atpA</t>
  </si>
  <si>
    <t>WP_003421367.1</t>
  </si>
  <si>
    <t>CDR20291_RS17795</t>
  </si>
  <si>
    <t>F0F1 ATP synthase subunit delta</t>
  </si>
  <si>
    <t>WP_003425856.1</t>
  </si>
  <si>
    <t>CDR20291_RS17800</t>
  </si>
  <si>
    <t>F0F1 ATP synthase subunit B</t>
  </si>
  <si>
    <t>atpF</t>
  </si>
  <si>
    <t>WP_009892033.1</t>
  </si>
  <si>
    <t>CDR20291_RS17805</t>
  </si>
  <si>
    <t>ATP synthase F0 subunit C</t>
  </si>
  <si>
    <t>atpE</t>
  </si>
  <si>
    <t>WP_003421370.1</t>
  </si>
  <si>
    <t>CDR20291_RS17810</t>
  </si>
  <si>
    <t>F0F1 ATP synthase subunit A</t>
  </si>
  <si>
    <t>atpB</t>
  </si>
  <si>
    <t>WP_003437836.1</t>
  </si>
  <si>
    <t>CDR20291_RS17815</t>
  </si>
  <si>
    <t>ATP synthase subunit I</t>
  </si>
  <si>
    <t>WP_003425864.1</t>
  </si>
  <si>
    <t>CDR20291_RS17820</t>
  </si>
  <si>
    <t>AtpZ/AtpI family protein</t>
  </si>
  <si>
    <t>WP_003421373.1</t>
  </si>
  <si>
    <t>CDR20291_RS17825</t>
  </si>
  <si>
    <t>WP_003421374.1</t>
  </si>
  <si>
    <t>CDR20291_RS17830</t>
  </si>
  <si>
    <t>selenium-dependent molybdenum cofactor biosynthesis protein YqeB</t>
  </si>
  <si>
    <t>yqeB</t>
  </si>
  <si>
    <t>WP_009892040.1</t>
  </si>
  <si>
    <t>CDR20291_RS17835</t>
  </si>
  <si>
    <t>uracil phosphoribosyltransferase</t>
  </si>
  <si>
    <t>upp</t>
  </si>
  <si>
    <t>WP_003437840.1</t>
  </si>
  <si>
    <t>CDR20291_RS17840</t>
  </si>
  <si>
    <t>WP_003437841.1</t>
  </si>
  <si>
    <t>CDR20291_RS17845</t>
  </si>
  <si>
    <t>low molecular weight protein arginine phosphatase</t>
  </si>
  <si>
    <t>WP_003437844.1</t>
  </si>
  <si>
    <t>CDR20291_RS17850</t>
  </si>
  <si>
    <t>L-threonylcarbamoyladenylate synthase</t>
  </si>
  <si>
    <t>WP_009892045.1</t>
  </si>
  <si>
    <t>CDR20291_RS17855</t>
  </si>
  <si>
    <t>ZIP family metal transporter</t>
  </si>
  <si>
    <t>WP_003425887.1</t>
  </si>
  <si>
    <t>CDR20291_RS17860</t>
  </si>
  <si>
    <t>peptide chain release factor 1</t>
  </si>
  <si>
    <t>prfA</t>
  </si>
  <si>
    <t>WP_003421389.1</t>
  </si>
  <si>
    <t>CDR20291_RS17865</t>
  </si>
  <si>
    <t>peptide chain release factor N(5)-glutamine methyltransferase</t>
  </si>
  <si>
    <t>prmC</t>
  </si>
  <si>
    <t>WP_003437849.1</t>
  </si>
  <si>
    <t>CDR20291_RS17870</t>
  </si>
  <si>
    <t>DUF1385 domain-containing protein</t>
  </si>
  <si>
    <t>WP_003421392.1</t>
  </si>
  <si>
    <t>CDR20291_RS17875</t>
  </si>
  <si>
    <t>50S ribosomal protein L31</t>
  </si>
  <si>
    <t>rpmE</t>
  </si>
  <si>
    <t>WP_003421397.1</t>
  </si>
  <si>
    <t>CDR20291_RS17880</t>
  </si>
  <si>
    <t>transcription termination factor Rho</t>
  </si>
  <si>
    <t>rho</t>
  </si>
  <si>
    <t>WP_012816436.1</t>
  </si>
  <si>
    <t>CDR20291_RS17885</t>
  </si>
  <si>
    <t>WP_009892053.1</t>
  </si>
  <si>
    <t>CDR20291_RS17890</t>
  </si>
  <si>
    <t>WP_009894026.1</t>
  </si>
  <si>
    <t>CDR20291_RS17895</t>
  </si>
  <si>
    <t>stage II sporulation protein E</t>
  </si>
  <si>
    <t>spoIIE</t>
  </si>
  <si>
    <t>WP_009894027.1</t>
  </si>
  <si>
    <t>CDR20291_RS17900</t>
  </si>
  <si>
    <t>Ppx/GppA phosphatase family protein</t>
  </si>
  <si>
    <t>WP_009894028.1</t>
  </si>
  <si>
    <t>CDR20291_RS17905</t>
  </si>
  <si>
    <t>FtsB family cell division protein</t>
  </si>
  <si>
    <t>WP_003437861.1</t>
  </si>
  <si>
    <t>CDR20291_RS17910</t>
  </si>
  <si>
    <t>spore cortex biosynthesis protein YabQ</t>
  </si>
  <si>
    <t>yabQ</t>
  </si>
  <si>
    <t>WP_003425904.1</t>
  </si>
  <si>
    <t>CDR20291_RS19540</t>
  </si>
  <si>
    <t>WP_003421411.1</t>
  </si>
  <si>
    <t>CDR20291_RS17920</t>
  </si>
  <si>
    <t>RNA-binding S4 domain-containing protein</t>
  </si>
  <si>
    <t>WP_003421412.1</t>
  </si>
  <si>
    <t>CDR20291_RS17925</t>
  </si>
  <si>
    <t>HU family DNA-binding protein</t>
  </si>
  <si>
    <t>WP_003421415.1</t>
  </si>
  <si>
    <t>CDR20291_RS17930</t>
  </si>
  <si>
    <t>nucleoside triphosphate pyrophosphohydrolase</t>
  </si>
  <si>
    <t>mazG</t>
  </si>
  <si>
    <t>WP_009894031.1</t>
  </si>
  <si>
    <t>CDR20291_RS17935</t>
  </si>
  <si>
    <t>putative polysaccharide biosynthesis protein</t>
  </si>
  <si>
    <t>WP_003425909.1</t>
  </si>
  <si>
    <t>CDR20291_RS17940</t>
  </si>
  <si>
    <t>stage V sporulation protein T</t>
  </si>
  <si>
    <t>spoVT</t>
  </si>
  <si>
    <t>WP_009892063.1</t>
  </si>
  <si>
    <t>CDR20291_RS17945</t>
  </si>
  <si>
    <t>WP_009892066.1</t>
  </si>
  <si>
    <t>CDR20291_RS17950</t>
  </si>
  <si>
    <t>transcription-repair coupling factor</t>
  </si>
  <si>
    <t>mfd</t>
  </si>
  <si>
    <t>WP_009894034.1</t>
  </si>
  <si>
    <t>CDR20291_RS17955</t>
  </si>
  <si>
    <t>aminoacyl-tRNA hydrolase</t>
  </si>
  <si>
    <t>pth</t>
  </si>
  <si>
    <t>WP_009892068.1</t>
  </si>
  <si>
    <t>CDR20291_RS17960</t>
  </si>
  <si>
    <t>prepilin peptidase</t>
  </si>
  <si>
    <t>WP_009892070.1</t>
  </si>
  <si>
    <t>CDR20291_RS19545</t>
  </si>
  <si>
    <t>WP_009892072.1</t>
  </si>
  <si>
    <t>CDR20291_RS17970</t>
  </si>
  <si>
    <t>type IV pilus twitching motility protein PilT</t>
  </si>
  <si>
    <t>WP_009892074.1</t>
  </si>
  <si>
    <t>CDR20291_RS17975</t>
  </si>
  <si>
    <t>WP_009892076.1</t>
  </si>
  <si>
    <t>CDR20291_RS17980</t>
  </si>
  <si>
    <t>WP_003437875.1</t>
  </si>
  <si>
    <t>CDR20291_RS17985</t>
  </si>
  <si>
    <t>PulJ/GspJ family protein</t>
  </si>
  <si>
    <t>WP_003437877.1</t>
  </si>
  <si>
    <t>CDR20291_RS17990</t>
  </si>
  <si>
    <t>type 4a pilus biogenesis protein PilO</t>
  </si>
  <si>
    <t>pilO</t>
  </si>
  <si>
    <t>WP_009894038.1</t>
  </si>
  <si>
    <t>CDR20291_RS17995</t>
  </si>
  <si>
    <t>PilN domain-containing protein</t>
  </si>
  <si>
    <t>WP_009892079.1</t>
  </si>
  <si>
    <t>CDR20291_RS18000</t>
  </si>
  <si>
    <t>WP_009892080.1</t>
  </si>
  <si>
    <t>CDR20291_RS18005</t>
  </si>
  <si>
    <t>WP_009892081.1</t>
  </si>
  <si>
    <t>CDR20291_RS18010</t>
  </si>
  <si>
    <t>WP_009892082.1</t>
  </si>
  <si>
    <t>CDR20291_RS18015</t>
  </si>
  <si>
    <t>ribose-phosphate diphosphokinase</t>
  </si>
  <si>
    <t>WP_003421448.1</t>
  </si>
  <si>
    <t>CDR20291_RS18020</t>
  </si>
  <si>
    <t>bifunctional UDP-N-acetylglucosamine diphosphorylase/glucosamine-1-phosphate N-acetyltransferase GlmU</t>
  </si>
  <si>
    <t>glmU</t>
  </si>
  <si>
    <t>WP_009892083.1</t>
  </si>
  <si>
    <t>CDR20291_RS18025</t>
  </si>
  <si>
    <t>septation regulator SpoVG</t>
  </si>
  <si>
    <t>spoVG</t>
  </si>
  <si>
    <t>WP_003421453.1</t>
  </si>
  <si>
    <t>CDR20291_RS18030</t>
  </si>
  <si>
    <t>pur operon repressor</t>
  </si>
  <si>
    <t>purR</t>
  </si>
  <si>
    <t>WP_003425934.1</t>
  </si>
  <si>
    <t>CDR20291_RS18035</t>
  </si>
  <si>
    <t>UDP-N-acetylmuramate--L-alanine ligase</t>
  </si>
  <si>
    <t>murC</t>
  </si>
  <si>
    <t>WP_003425936.1</t>
  </si>
  <si>
    <t>CDR20291_RS18040</t>
  </si>
  <si>
    <t>WP_003425938.1</t>
  </si>
  <si>
    <t>CDR20291_RS18045</t>
  </si>
  <si>
    <t>WP_009892084.1</t>
  </si>
  <si>
    <t>CDR20291_RS18050</t>
  </si>
  <si>
    <t>WP_003437895.1</t>
  </si>
  <si>
    <t>CDR20291_RS18055</t>
  </si>
  <si>
    <t>WP_009892085.1</t>
  </si>
  <si>
    <t>CDR20291_RS18060</t>
  </si>
  <si>
    <t>16S rRNA (adenine(1518)-N(6)/adenine(1519)-N(6))-dimethyltransferase RsmA</t>
  </si>
  <si>
    <t>rsmA</t>
  </si>
  <si>
    <t>WP_009892086.1</t>
  </si>
  <si>
    <t>CDR20291_RS18065</t>
  </si>
  <si>
    <t>ribonuclease M5</t>
  </si>
  <si>
    <t>rnmV</t>
  </si>
  <si>
    <t>WP_009892087.1</t>
  </si>
  <si>
    <t>CDR20291_RS18070</t>
  </si>
  <si>
    <t>WP_009892088.1</t>
  </si>
  <si>
    <t>CDR20291_RS18075</t>
  </si>
  <si>
    <t>WP_009892091.1</t>
  </si>
  <si>
    <t>CDR20291_RS19550</t>
  </si>
  <si>
    <t>WP_009892094.1</t>
  </si>
  <si>
    <t>CDR20291_RS18085</t>
  </si>
  <si>
    <t>WP_009894042.1</t>
  </si>
  <si>
    <t>CDR20291_RS18090</t>
  </si>
  <si>
    <t>WP_003427697.1</t>
  </si>
  <si>
    <t>CDR20291_RS18095</t>
  </si>
  <si>
    <t>WP_009894043.1</t>
  </si>
  <si>
    <t>CDR20291_RS18100</t>
  </si>
  <si>
    <t>alpha-D-ribose 1-methylphosphonate 5-triphosphate diphosphatase</t>
  </si>
  <si>
    <t>WP_009894044.1</t>
  </si>
  <si>
    <t>CDR20291_RS18105</t>
  </si>
  <si>
    <t>phosphonate C-P lyase system protein PhnL</t>
  </si>
  <si>
    <t>WP_009892101.1</t>
  </si>
  <si>
    <t>CDR20291_RS18110</t>
  </si>
  <si>
    <t>WP_009894050.1</t>
  </si>
  <si>
    <t>CDR20291_RS18115</t>
  </si>
  <si>
    <t>alpha-D-ribose 1-methylphosphonate 5-phosphate C-P-lyase PhnJ</t>
  </si>
  <si>
    <t>WP_003435861.1</t>
  </si>
  <si>
    <t>CDR20291_RS18120</t>
  </si>
  <si>
    <t>carbon-phosphorus lyase complex subunit PhnI</t>
  </si>
  <si>
    <t>WP_009892103.1</t>
  </si>
  <si>
    <t>CDR20291_RS18125</t>
  </si>
  <si>
    <t>phosphonate C-P lyase system protein PhnH</t>
  </si>
  <si>
    <t>phnH</t>
  </si>
  <si>
    <t>WP_009892104.1</t>
  </si>
  <si>
    <t>CDR20291_RS18130</t>
  </si>
  <si>
    <t>phosphonate C-P lyase system protein PhnG</t>
  </si>
  <si>
    <t>phnG</t>
  </si>
  <si>
    <t>WP_009892105.1</t>
  </si>
  <si>
    <t>CDR20291_RS18135</t>
  </si>
  <si>
    <t>TatD family hydrolase</t>
  </si>
  <si>
    <t>WP_009892106.1</t>
  </si>
  <si>
    <t>CDR20291_RS18140</t>
  </si>
  <si>
    <t>methionine--tRNA ligase</t>
  </si>
  <si>
    <t>metG</t>
  </si>
  <si>
    <t>WP_009894056.1</t>
  </si>
  <si>
    <t>CDR20291_RS18145</t>
  </si>
  <si>
    <t>spore maturation protein</t>
  </si>
  <si>
    <t>WP_003421489.1</t>
  </si>
  <si>
    <t>CDR20291_RS18150</t>
  </si>
  <si>
    <t>spore maturation protein A</t>
  </si>
  <si>
    <t>WP_003427659.1</t>
  </si>
  <si>
    <t>CDR20291_RS18155</t>
  </si>
  <si>
    <t>nicotinate phosphoribosyltransferase</t>
  </si>
  <si>
    <t>WP_003427657.1</t>
  </si>
  <si>
    <t>CDR20291_RS18160</t>
  </si>
  <si>
    <t>Lrp/AsnC family transcriptional regulator</t>
  </si>
  <si>
    <t>WP_003421494.1</t>
  </si>
  <si>
    <t>CDR20291_RS18165</t>
  </si>
  <si>
    <t>HDIG domain-containing metalloprotein</t>
  </si>
  <si>
    <t>WP_003435869.1</t>
  </si>
  <si>
    <t>CDR20291_RS18170</t>
  </si>
  <si>
    <t>16S rRNA (cytidine(1402)-2'-O)-methyltransferase</t>
  </si>
  <si>
    <t>rsmI</t>
  </si>
  <si>
    <t>WP_003435873.1</t>
  </si>
  <si>
    <t>CDR20291_RS18175</t>
  </si>
  <si>
    <t>tRNA1(Val) (adenine(37)-N6)-methyltransferase</t>
  </si>
  <si>
    <t>WP_009892111.1</t>
  </si>
  <si>
    <t>CDR20291_RS18180</t>
  </si>
  <si>
    <t>PSP1 domain-containing protein</t>
  </si>
  <si>
    <t>WP_003427637.1</t>
  </si>
  <si>
    <t>CDR20291_RS18185</t>
  </si>
  <si>
    <t>WP_003435878.1</t>
  </si>
  <si>
    <t>CDR20291_RS18190</t>
  </si>
  <si>
    <t>dTMP kinase</t>
  </si>
  <si>
    <t>WP_009892113.1</t>
  </si>
  <si>
    <t>CDR20291_RS18195</t>
  </si>
  <si>
    <t>WP_009892114.1</t>
  </si>
  <si>
    <t>CDR20291_RS18200</t>
  </si>
  <si>
    <t>DUF378 domain-containing protein</t>
  </si>
  <si>
    <t>WP_003427633.1</t>
  </si>
  <si>
    <t>CDR20291_RS18205</t>
  </si>
  <si>
    <t>CDR20291_RS18210</t>
  </si>
  <si>
    <t>CDR20291_RS18215</t>
  </si>
  <si>
    <t>CDR20291_RS18220</t>
  </si>
  <si>
    <t>WP_009892116.1</t>
  </si>
  <si>
    <t>CDR20291_RS18225</t>
  </si>
  <si>
    <t>lysine--tRNA ligase</t>
  </si>
  <si>
    <t>lysS</t>
  </si>
  <si>
    <t>WP_003434963.1</t>
  </si>
  <si>
    <t>CDR20291_RS18230</t>
  </si>
  <si>
    <t>transcription elongation factor GreA</t>
  </si>
  <si>
    <t>greA</t>
  </si>
  <si>
    <t>WP_003422204.1</t>
  </si>
  <si>
    <t>CDR20291_RS18235</t>
  </si>
  <si>
    <t>tRNA dihydrouridine synthase DusB</t>
  </si>
  <si>
    <t>dusB</t>
  </si>
  <si>
    <t>WP_003434962.1</t>
  </si>
  <si>
    <t>CDR20291_RS18240</t>
  </si>
  <si>
    <t>type III pantothenate kinase</t>
  </si>
  <si>
    <t>WP_003425980.1</t>
  </si>
  <si>
    <t>CDR20291_RS18245</t>
  </si>
  <si>
    <t>WP_009892118.1</t>
  </si>
  <si>
    <t>CDR20291_RS18250</t>
  </si>
  <si>
    <t>P1 family peptidase</t>
  </si>
  <si>
    <t>WP_009892121.1</t>
  </si>
  <si>
    <t>CDR20291_RS18255</t>
  </si>
  <si>
    <t>biotin--[acetyl-CoA-carboxylase] ligase</t>
  </si>
  <si>
    <t>WP_009892123.1</t>
  </si>
  <si>
    <t>CDR20291_RS18260</t>
  </si>
  <si>
    <t>WP_009892124.1</t>
  </si>
  <si>
    <t>CDR20291_RS18265</t>
  </si>
  <si>
    <t>tRNA lysidine(34) synthetase TilS</t>
  </si>
  <si>
    <t>tilS</t>
  </si>
  <si>
    <t>WP_003434952.1</t>
  </si>
  <si>
    <t>CDR20291_RS18270</t>
  </si>
  <si>
    <t>DUF1934 domain-containing protein</t>
  </si>
  <si>
    <t>WP_012816442.1</t>
  </si>
  <si>
    <t>CDR20291_RS18275</t>
  </si>
  <si>
    <t>glutamate racemase</t>
  </si>
  <si>
    <t>murI</t>
  </si>
  <si>
    <t>WP_003425992.1</t>
  </si>
  <si>
    <t>CDR20291_RS18280</t>
  </si>
  <si>
    <t>cell wall hydrolase</t>
  </si>
  <si>
    <t>WP_009892129.1</t>
  </si>
  <si>
    <t>CDR20291_RS18285</t>
  </si>
  <si>
    <t>stage II sporulation protein R</t>
  </si>
  <si>
    <t>spoIIR</t>
  </si>
  <si>
    <t>WP_003425996.1</t>
  </si>
  <si>
    <t>CDR20291_RS18290</t>
  </si>
  <si>
    <t>WP_009892132.1</t>
  </si>
  <si>
    <t>CDR20291_RS18295</t>
  </si>
  <si>
    <t>4-(cytidine 5'-diphospho)-2-C-methyl-D-erythritol kinase</t>
  </si>
  <si>
    <t>ispE</t>
  </si>
  <si>
    <t>WP_009894070.1</t>
  </si>
  <si>
    <t>CDR20291_RS18300</t>
  </si>
  <si>
    <t>DUF3794 and LysM peptidoglycan-binding domain-containing protein</t>
  </si>
  <si>
    <t>WP_003422227.1</t>
  </si>
  <si>
    <t>CDR20291_RS18305</t>
  </si>
  <si>
    <t>Veg family protein</t>
  </si>
  <si>
    <t>WP_009892135.1</t>
  </si>
  <si>
    <t>CDR20291_RS18310</t>
  </si>
  <si>
    <t>sporulation peptidase YabG</t>
  </si>
  <si>
    <t>yabG</t>
  </si>
  <si>
    <t>WP_003422239.1</t>
  </si>
  <si>
    <t>CDR20291_RS18315</t>
  </si>
  <si>
    <t>WP_003434938.1</t>
  </si>
  <si>
    <t>CDR20291_RS18320</t>
  </si>
  <si>
    <t>WP_003426006.1</t>
  </si>
  <si>
    <t>CDR20291_RS18325</t>
  </si>
  <si>
    <t>SEC-C metal-binding domain-containing protein</t>
  </si>
  <si>
    <t>WP_003434936.1</t>
  </si>
  <si>
    <t>CDR20291_RS18330</t>
  </si>
  <si>
    <t>UPF0489 family protein</t>
  </si>
  <si>
    <t>WP_003434933.1</t>
  </si>
  <si>
    <t>CDR20291_RS18335</t>
  </si>
  <si>
    <t>WP_009892147.1</t>
  </si>
  <si>
    <t>CDR20291_RS18340</t>
  </si>
  <si>
    <t>WP_009892149.1</t>
  </si>
  <si>
    <t>CDR20291_RS18345</t>
  </si>
  <si>
    <t>WP_009892151.1</t>
  </si>
  <si>
    <t>CDR20291_RS18350</t>
  </si>
  <si>
    <t>WP_009892153.1</t>
  </si>
  <si>
    <t>CDR20291_RS18355</t>
  </si>
  <si>
    <t>trans-sulfuration enzyme family protein</t>
  </si>
  <si>
    <t>WP_009892155.1</t>
  </si>
  <si>
    <t>CDR20291_RS18360</t>
  </si>
  <si>
    <t>WP_021361592.1</t>
  </si>
  <si>
    <t>CDR20291_RS18365</t>
  </si>
  <si>
    <t>WP_009892158.1</t>
  </si>
  <si>
    <t>CDR20291_RS18370</t>
  </si>
  <si>
    <t>WP_009892159.1</t>
  </si>
  <si>
    <t>CDR20291_RS18375</t>
  </si>
  <si>
    <t>WP_003434910.1</t>
  </si>
  <si>
    <t>CDR20291_RS18380</t>
  </si>
  <si>
    <t>WP_009892161.1</t>
  </si>
  <si>
    <t>CDR20291_RS18385</t>
  </si>
  <si>
    <t>WP_009892163.1</t>
  </si>
  <si>
    <t>CDR20291_RS18390</t>
  </si>
  <si>
    <t>WP_009892169.1</t>
  </si>
  <si>
    <t>CDR20291_RS18395</t>
  </si>
  <si>
    <t>WP_003426034.1</t>
  </si>
  <si>
    <t>CDR20291_RS18400</t>
  </si>
  <si>
    <t>WP_009892170.1</t>
  </si>
  <si>
    <t>CDR20291_RS18405</t>
  </si>
  <si>
    <t>WP_003434895.1</t>
  </si>
  <si>
    <t>CDR20291_RS18410</t>
  </si>
  <si>
    <t>WP_009892171.1</t>
  </si>
  <si>
    <t>CDR20291_RS19350</t>
  </si>
  <si>
    <t>carbamoyl-phosphate synthase large subunit</t>
  </si>
  <si>
    <t>carB</t>
  </si>
  <si>
    <t>WP_009892173.1</t>
  </si>
  <si>
    <t>CDR20291_RS18415</t>
  </si>
  <si>
    <t>glutamine-hydrolyzing carbamoyl-phosphate synthase small subunit</t>
  </si>
  <si>
    <t>carA</t>
  </si>
  <si>
    <t>WP_003429883.1</t>
  </si>
  <si>
    <t>CDR20291_RS18420</t>
  </si>
  <si>
    <t>WP_009892175.1</t>
  </si>
  <si>
    <t>CDR20291_RS18425</t>
  </si>
  <si>
    <t>WP_009892176.1</t>
  </si>
  <si>
    <t>CDR20291_RS18430</t>
  </si>
  <si>
    <t>orotidine-5'-phosphate decarboxylase</t>
  </si>
  <si>
    <t>pyrF</t>
  </si>
  <si>
    <t>WP_009892177.1</t>
  </si>
  <si>
    <t>CDR20291_RS18435</t>
  </si>
  <si>
    <t>DUF1847 domain-containing protein</t>
  </si>
  <si>
    <t>WP_009892178.1</t>
  </si>
  <si>
    <t>CDR20291_RS18440</t>
  </si>
  <si>
    <t>WP_009892179.1</t>
  </si>
  <si>
    <t>CDR20291_RS18445</t>
  </si>
  <si>
    <t>WP_003429165.1</t>
  </si>
  <si>
    <t>CDR20291_RS18450</t>
  </si>
  <si>
    <t>homocysteine S-methyltransferase family protein</t>
  </si>
  <si>
    <t>WP_009892182.1</t>
  </si>
  <si>
    <t>CDR20291_RS18455</t>
  </si>
  <si>
    <t>vitamin B12 dependent-methionine synthase activation domain-containing protein</t>
  </si>
  <si>
    <t>WP_009892183.1</t>
  </si>
  <si>
    <t>CDR20291_RS18460</t>
  </si>
  <si>
    <t>S-ribosylhomocysteine lyase</t>
  </si>
  <si>
    <t>WP_003422312.1</t>
  </si>
  <si>
    <t>CDR20291_RS18465</t>
  </si>
  <si>
    <t>WP_009894075.1</t>
  </si>
  <si>
    <t>CDR20291_RS18470</t>
  </si>
  <si>
    <t>WP_003435805.1</t>
  </si>
  <si>
    <t>CDR20291_RS18475</t>
  </si>
  <si>
    <t>WP_003435804.1</t>
  </si>
  <si>
    <t>CDR20291_RS18480</t>
  </si>
  <si>
    <t>tRNA 2-thiocytidine biosynthesis TtcA family protein</t>
  </si>
  <si>
    <t>WP_009894078.1</t>
  </si>
  <si>
    <t>CDR20291_RS18485</t>
  </si>
  <si>
    <t>WP_021407542.1</t>
  </si>
  <si>
    <t>CDR20291_RS18490</t>
  </si>
  <si>
    <t>SDR family oxidoreductase</t>
  </si>
  <si>
    <t>WP_003429183.1</t>
  </si>
  <si>
    <t>CDR20291_RS18495</t>
  </si>
  <si>
    <t>WP_009892188.1</t>
  </si>
  <si>
    <t>CDR20291_RS18500</t>
  </si>
  <si>
    <t>WP_003422320.1</t>
  </si>
  <si>
    <t>CDR20291_RS18505</t>
  </si>
  <si>
    <t>WP_009894081.1</t>
  </si>
  <si>
    <t>CDR20291_RS18510</t>
  </si>
  <si>
    <t>SufB/SufD family protein</t>
  </si>
  <si>
    <t>WP_003435793.1</t>
  </si>
  <si>
    <t>CDR20291_RS18515</t>
  </si>
  <si>
    <t>WP_003429190.1</t>
  </si>
  <si>
    <t>CDR20291_RS18520</t>
  </si>
  <si>
    <t>WP_003420681.1</t>
  </si>
  <si>
    <t>CDR20291_RS18525</t>
  </si>
  <si>
    <t>WP_009892190.1</t>
  </si>
  <si>
    <t>CDR20291_RS18530</t>
  </si>
  <si>
    <t>WP_009894082.1</t>
  </si>
  <si>
    <t>CDR20291_RS18535</t>
  </si>
  <si>
    <t>staygreen family protein</t>
  </si>
  <si>
    <t>WP_009892191.1</t>
  </si>
  <si>
    <t>CDR20291_RS18540</t>
  </si>
  <si>
    <t>DUF488 family protein</t>
  </si>
  <si>
    <t>WP_009892192.1</t>
  </si>
  <si>
    <t>CDR20291_RS18545</t>
  </si>
  <si>
    <t>SpaA isopeptide-forming pilin-related protein</t>
  </si>
  <si>
    <t>WP_009892193.1</t>
  </si>
  <si>
    <t>CDR20291_RS18550</t>
  </si>
  <si>
    <t>YdcP family protein</t>
  </si>
  <si>
    <t>WP_009892195.1</t>
  </si>
  <si>
    <t>CDR20291_RS18555</t>
  </si>
  <si>
    <t>WP_009892197.1</t>
  </si>
  <si>
    <t>CDR20291_RS18560</t>
  </si>
  <si>
    <t>WP_009892199.1</t>
  </si>
  <si>
    <t>CDR20291_RS18565</t>
  </si>
  <si>
    <t>WP_009892201.1</t>
  </si>
  <si>
    <t>CDR20291_RS18570</t>
  </si>
  <si>
    <t>WP_009892206.1</t>
  </si>
  <si>
    <t>CDR20291_RS18575</t>
  </si>
  <si>
    <t>YcxB family protein</t>
  </si>
  <si>
    <t>WP_009892207.1</t>
  </si>
  <si>
    <t>CDR20291_RS18580</t>
  </si>
  <si>
    <t>FtsK/SpoIIIE domain-containing protein</t>
  </si>
  <si>
    <t>WP_012816450.1</t>
  </si>
  <si>
    <t>CDR20291_RS18585</t>
  </si>
  <si>
    <t>MobT family relaxase</t>
  </si>
  <si>
    <t>mobT</t>
  </si>
  <si>
    <t>WP_275477539.1</t>
  </si>
  <si>
    <t>CDR20291_RS18590</t>
  </si>
  <si>
    <t>DUF3789 domain-containing protein</t>
  </si>
  <si>
    <t>WP_009892216.1</t>
  </si>
  <si>
    <t>CDR20291_RS18595</t>
  </si>
  <si>
    <t>WP_006354966.1</t>
  </si>
  <si>
    <t>CDR20291_RS18600</t>
  </si>
  <si>
    <t>CatA-like O-acetyltransferase</t>
  </si>
  <si>
    <t>WP_009892220.1</t>
  </si>
  <si>
    <t>CDR20291_RS18605</t>
  </si>
  <si>
    <t>WP_009892222.1</t>
  </si>
  <si>
    <t>CDR20291_RS18610</t>
  </si>
  <si>
    <t>antirestriction protein ArdA</t>
  </si>
  <si>
    <t>WP_009892224.1</t>
  </si>
  <si>
    <t>CDR20291_RS18615</t>
  </si>
  <si>
    <t>WP_009892226.1</t>
  </si>
  <si>
    <t>CDR20291_RS18620</t>
  </si>
  <si>
    <t>conjugal transfer protein</t>
  </si>
  <si>
    <t>WP_009892227.1</t>
  </si>
  <si>
    <t>CDR20291_RS18625</t>
  </si>
  <si>
    <t>WP_009892228.1</t>
  </si>
  <si>
    <t>CDR20291_RS18630</t>
  </si>
  <si>
    <t>CD3337/EF1877 family mobilome membrane protein</t>
  </si>
  <si>
    <t>WP_009892229.1</t>
  </si>
  <si>
    <t>CDR20291_RS18635</t>
  </si>
  <si>
    <t>lysozyme family protein</t>
  </si>
  <si>
    <t>WP_009892230.1</t>
  </si>
  <si>
    <t>CDR20291_RS18640</t>
  </si>
  <si>
    <t>WP_009892232.1</t>
  </si>
  <si>
    <t>CDR20291_RS18645</t>
  </si>
  <si>
    <t>WP_009892234.1</t>
  </si>
  <si>
    <t>CDR20291_RS18650</t>
  </si>
  <si>
    <t>WP_009892236.1</t>
  </si>
  <si>
    <t>CDR20291_RS18655</t>
  </si>
  <si>
    <t>WP_009892238.1</t>
  </si>
  <si>
    <t>CDR20291_RS18660</t>
  </si>
  <si>
    <t>WP_009894084.1</t>
  </si>
  <si>
    <t>CDR20291_RS18665</t>
  </si>
  <si>
    <t>WP_009892242.1</t>
  </si>
  <si>
    <t>CDR20291_RS18670</t>
  </si>
  <si>
    <t>WP_009892244.1</t>
  </si>
  <si>
    <t>CDR20291_RS18675</t>
  </si>
  <si>
    <t>WP_009892246.1</t>
  </si>
  <si>
    <t>CDR20291_RS18680</t>
  </si>
  <si>
    <t>DUF4177 domain-containing protein</t>
  </si>
  <si>
    <t>WP_003434344.1</t>
  </si>
  <si>
    <t>CDR20291_RS18685</t>
  </si>
  <si>
    <t>WP_006354942.1</t>
  </si>
  <si>
    <t>CDR20291_RS18690</t>
  </si>
  <si>
    <t>CDR20291_RS18695</t>
  </si>
  <si>
    <t>WP_009892253.1</t>
  </si>
  <si>
    <t>CDR20291_RS18705</t>
  </si>
  <si>
    <t>WP_009892255.1</t>
  </si>
  <si>
    <t>CDR20291_RS18710</t>
  </si>
  <si>
    <t>potassium/proton antiporter</t>
  </si>
  <si>
    <t>WP_014466387.1</t>
  </si>
  <si>
    <t>CDR20291_RS18715</t>
  </si>
  <si>
    <t>WP_012816456.1</t>
  </si>
  <si>
    <t>CDR20291_RS18720</t>
  </si>
  <si>
    <t>CDR20291_RS18725</t>
  </si>
  <si>
    <t>WP_009901320.1</t>
  </si>
  <si>
    <t>CDR20291_RS18730</t>
  </si>
  <si>
    <t>DUF2268 domain-containing protein</t>
  </si>
  <si>
    <t>WP_009894090.1</t>
  </si>
  <si>
    <t>CDR20291_RS18735</t>
  </si>
  <si>
    <t>WP_003435779.1</t>
  </si>
  <si>
    <t>CDR20291_RS18740</t>
  </si>
  <si>
    <t>WP_003435776.1</t>
  </si>
  <si>
    <t>CDR20291_RS18745</t>
  </si>
  <si>
    <t>YmaF family protein</t>
  </si>
  <si>
    <t>WP_003435774.1</t>
  </si>
  <si>
    <t>CDR20291_RS18750</t>
  </si>
  <si>
    <t>WP_009892261.1</t>
  </si>
  <si>
    <t>CDR20291_RS18755</t>
  </si>
  <si>
    <t>zinc ribbon domain-containing protein YjdM</t>
  </si>
  <si>
    <t>WP_003435770.1</t>
  </si>
  <si>
    <t>CDR20291_RS18760</t>
  </si>
  <si>
    <t>WP_009892262.1</t>
  </si>
  <si>
    <t>CDR20291_RS18765</t>
  </si>
  <si>
    <t>bacteriocin-associated integral membrane family protein</t>
  </si>
  <si>
    <t>WP_009894091.1</t>
  </si>
  <si>
    <t>CDR20291_RS18770</t>
  </si>
  <si>
    <t>ketohydroxyglutarate aldolase</t>
  </si>
  <si>
    <t>WP_009892267.1</t>
  </si>
  <si>
    <t>CDR20291_RS18775</t>
  </si>
  <si>
    <t>WP_009894092.1</t>
  </si>
  <si>
    <t>CDR20291_RS18780</t>
  </si>
  <si>
    <t>WP_009892271.1</t>
  </si>
  <si>
    <t>CDR20291_RS18785</t>
  </si>
  <si>
    <t>WP_003435758.1</t>
  </si>
  <si>
    <t>CDR20291_RS18790</t>
  </si>
  <si>
    <t>WP_003435756.1</t>
  </si>
  <si>
    <t>CDR20291_RS18795</t>
  </si>
  <si>
    <t>WP_012816460.1</t>
  </si>
  <si>
    <t>CDR20291_RS18800</t>
  </si>
  <si>
    <t>WP_011862019.1</t>
  </si>
  <si>
    <t>CDR20291_RS18805</t>
  </si>
  <si>
    <t>DUF1097 domain-containing protein</t>
  </si>
  <si>
    <t>WP_009894099.1</t>
  </si>
  <si>
    <t>CDR20291_RS18810</t>
  </si>
  <si>
    <t>WP_009892275.1</t>
  </si>
  <si>
    <t>CDR20291_RS18815</t>
  </si>
  <si>
    <t>WP_009892277.1</t>
  </si>
  <si>
    <t>CDR20291_RS18820</t>
  </si>
  <si>
    <t>LVIVD repeat-containing protein</t>
  </si>
  <si>
    <t>WP_009892279.1</t>
  </si>
  <si>
    <t>CDR20291_RS18825</t>
  </si>
  <si>
    <t>WP_009892281.1</t>
  </si>
  <si>
    <t>CDR20291_RS18830</t>
  </si>
  <si>
    <t>sugar kinase</t>
  </si>
  <si>
    <t>WP_009892283.1</t>
  </si>
  <si>
    <t>CDR20291_RS18835</t>
  </si>
  <si>
    <t>2-dehydro-3-deoxy-phosphogluconate aldolase</t>
  </si>
  <si>
    <t>dagF</t>
  </si>
  <si>
    <t>WP_009892285.1</t>
  </si>
  <si>
    <t>CDR20291_RS18840</t>
  </si>
  <si>
    <t>DgaE family pyridoxal phosphate-dependent ammonia lyase</t>
  </si>
  <si>
    <t>WP_009894111.1</t>
  </si>
  <si>
    <t>CDR20291_RS18845</t>
  </si>
  <si>
    <t>amidohydrolase/deacetylase family metallohydrolase</t>
  </si>
  <si>
    <t>WP_009892288.1</t>
  </si>
  <si>
    <t>CDR20291_RS18850</t>
  </si>
  <si>
    <t>WP_009892290.1</t>
  </si>
  <si>
    <t>CDR20291_RS18855</t>
  </si>
  <si>
    <t>WP_009892292.1</t>
  </si>
  <si>
    <t>CDR20291_RS18860</t>
  </si>
  <si>
    <t>WP_003435717.1</t>
  </si>
  <si>
    <t>CDR20291_RS18865</t>
  </si>
  <si>
    <t>WP_009892295.1</t>
  </si>
  <si>
    <t>CDR20291_RS18870</t>
  </si>
  <si>
    <t>WP_003429250.1</t>
  </si>
  <si>
    <t>CDR20291_RS18875</t>
  </si>
  <si>
    <t>23S rRNA (pseudouridine(1915)-N(3))-methyltransferase RlmH</t>
  </si>
  <si>
    <t>rlmH</t>
  </si>
  <si>
    <t>WP_009892298.1</t>
  </si>
  <si>
    <t>CDR20291_RS18880</t>
  </si>
  <si>
    <t>WP_009892300.1</t>
  </si>
  <si>
    <t>CDR20291_RS18885</t>
  </si>
  <si>
    <t>WP_003435698.1</t>
  </si>
  <si>
    <t>CDR20291_RS18890</t>
  </si>
  <si>
    <t>M1 family metallopeptidase</t>
  </si>
  <si>
    <t>WP_009892302.1</t>
  </si>
  <si>
    <t>CDR20291_RS18895</t>
  </si>
  <si>
    <t>DnaD domain protein</t>
  </si>
  <si>
    <t>WP_003429260.1</t>
  </si>
  <si>
    <t>CDR20291_RS18900</t>
  </si>
  <si>
    <t>WP_009892306.1</t>
  </si>
  <si>
    <t>CDR20291_RS18905</t>
  </si>
  <si>
    <t>CDR20291_RS18910</t>
  </si>
  <si>
    <t>CDR20291_RS18915</t>
  </si>
  <si>
    <t>CDR20291_RS18920</t>
  </si>
  <si>
    <t>CDR20291_RS18925</t>
  </si>
  <si>
    <t>adenylosuccinate synthase</t>
  </si>
  <si>
    <t>WP_009894112.1</t>
  </si>
  <si>
    <t>CDR20291_RS18930</t>
  </si>
  <si>
    <t>WP_003429265.1</t>
  </si>
  <si>
    <t>CDR20291_RS18935</t>
  </si>
  <si>
    <t>dnaB</t>
  </si>
  <si>
    <t>WP_003420541.1</t>
  </si>
  <si>
    <t>CDR20291_RS18940</t>
  </si>
  <si>
    <t>50S ribosomal protein L9</t>
  </si>
  <si>
    <t>rplI</t>
  </si>
  <si>
    <t>WP_003429267.1</t>
  </si>
  <si>
    <t>CDR20291_RS18945</t>
  </si>
  <si>
    <t>WP_003429268.1</t>
  </si>
  <si>
    <t>CDR20291_RS18950</t>
  </si>
  <si>
    <t>YybS family protein</t>
  </si>
  <si>
    <t>WP_003434254.1</t>
  </si>
  <si>
    <t>CDR20291_RS18955</t>
  </si>
  <si>
    <t>WP_003420530.1</t>
  </si>
  <si>
    <t>CDR20291_RS18960</t>
  </si>
  <si>
    <t>30S ribosomal protein S18</t>
  </si>
  <si>
    <t>rpsR</t>
  </si>
  <si>
    <t>WP_003420527.1</t>
  </si>
  <si>
    <t>CDR20291_RS18965</t>
  </si>
  <si>
    <t>WP_003420524.1</t>
  </si>
  <si>
    <t>CDR20291_RS18970</t>
  </si>
  <si>
    <t>30S ribosomal protein S6</t>
  </si>
  <si>
    <t>rpsF</t>
  </si>
  <si>
    <t>WP_003420522.1</t>
  </si>
  <si>
    <t>CDR20291_RS18975</t>
  </si>
  <si>
    <t>WP_009892311.1</t>
  </si>
  <si>
    <t>CDR20291_RS18980</t>
  </si>
  <si>
    <t>DUF951 domain-containing protein</t>
  </si>
  <si>
    <t>WP_003420516.1</t>
  </si>
  <si>
    <t>CDR20291_RS18985</t>
  </si>
  <si>
    <t>DUF3343 domain-containing protein</t>
  </si>
  <si>
    <t>WP_003434250.1</t>
  </si>
  <si>
    <t>CDR20291_RS18990</t>
  </si>
  <si>
    <t>sulfurtransferase-like selenium metabolism protein YedF</t>
  </si>
  <si>
    <t>yedF</t>
  </si>
  <si>
    <t>WP_009892314.1</t>
  </si>
  <si>
    <t>CDR20291_RS18995</t>
  </si>
  <si>
    <t>toxin production/motility transcriptional repressor RstA</t>
  </si>
  <si>
    <t>rstA</t>
  </si>
  <si>
    <t>WP_009894114.1</t>
  </si>
  <si>
    <t>CDR20291_RS19000</t>
  </si>
  <si>
    <t>GerMN domain-containing protein</t>
  </si>
  <si>
    <t>WP_009892317.1</t>
  </si>
  <si>
    <t>CDR20291_RS19005</t>
  </si>
  <si>
    <t>WP_009892319.1</t>
  </si>
  <si>
    <t>CDR20291_RS19010</t>
  </si>
  <si>
    <t>ParB/RepB/Spo0J family partition protein</t>
  </si>
  <si>
    <t>WP_003429290.1</t>
  </si>
  <si>
    <t>CDR20291_RS19015</t>
  </si>
  <si>
    <t>ParA family protein</t>
  </si>
  <si>
    <t>WP_003420496.1</t>
  </si>
  <si>
    <t>CDR20291_RS19020</t>
  </si>
  <si>
    <t>nucleoid occlusion protein</t>
  </si>
  <si>
    <t>noc</t>
  </si>
  <si>
    <t>WP_003429292.1</t>
  </si>
  <si>
    <t>CDR20291_RS19025</t>
  </si>
  <si>
    <t>16S rRNA (guanine(527)-N(7))-methyltransferase RsmG</t>
  </si>
  <si>
    <t>rsmG</t>
  </si>
  <si>
    <t>WP_009892323.1</t>
  </si>
  <si>
    <t>CDR20291_RS19030</t>
  </si>
  <si>
    <t>tRNA uridine-5-carboxymethylaminomethyl(34) synthesis enzyme MnmG</t>
  </si>
  <si>
    <t>mnmG</t>
  </si>
  <si>
    <t>WP_009892325.1</t>
  </si>
  <si>
    <t>CDR20291_RS19035</t>
  </si>
  <si>
    <t>tRNA uridine-5-carboxymethylaminomethyl(34) synthesis GTPase MnmE</t>
  </si>
  <si>
    <t>mnmE</t>
  </si>
  <si>
    <t>WP_009892327.1</t>
  </si>
  <si>
    <t>CDR20291_RS19040</t>
  </si>
  <si>
    <t>RNA-binding cell elongation regulator Jag/EloR</t>
  </si>
  <si>
    <t>jag</t>
  </si>
  <si>
    <t>WP_003434235.1</t>
  </si>
  <si>
    <t>CDR20291_RS19045</t>
  </si>
  <si>
    <t>WP_003429300.1</t>
  </si>
  <si>
    <t>CDR20291_RS19050</t>
  </si>
  <si>
    <t>membrane protein insertion efficiency factor YidD</t>
  </si>
  <si>
    <t>yidD</t>
  </si>
  <si>
    <t>WP_009892330.1</t>
  </si>
  <si>
    <t>CDR20291_RS19055</t>
  </si>
  <si>
    <t>ribonuclease P protein component</t>
  </si>
  <si>
    <t>rnpA</t>
  </si>
  <si>
    <t>WP_003429302.1</t>
  </si>
  <si>
    <t>CDR20291_RS19060</t>
  </si>
  <si>
    <t>50S ribosomal protein L34</t>
  </si>
  <si>
    <t>rpmH</t>
  </si>
  <si>
    <t>WP_003420485.1</t>
  </si>
  <si>
    <t>CDR20291_RS19065</t>
  </si>
  <si>
    <t>URL</t>
  </si>
  <si>
    <t>NCBI RefSeq assembly</t>
  </si>
  <si>
    <t>BioSample ID</t>
  </si>
  <si>
    <t xml:space="preserve">Sample name </t>
  </si>
  <si>
    <t xml:space="preserve">Assembly number </t>
  </si>
  <si>
    <t>Chromosome ref seq</t>
  </si>
  <si>
    <t>Ref Seq</t>
  </si>
  <si>
    <t>GenBank</t>
  </si>
  <si>
    <t xml:space="preserve">Genome Size </t>
  </si>
  <si>
    <t>Total ungapped length</t>
  </si>
  <si>
    <t xml:space="preserve">Number of chromosomes </t>
  </si>
  <si>
    <t xml:space="preserve">Number of scaffolds </t>
  </si>
  <si>
    <t>Scaffold N50</t>
  </si>
  <si>
    <t>Scaffold L50</t>
  </si>
  <si>
    <t xml:space="preserve">Number of contigs </t>
  </si>
  <si>
    <t>Contig N50</t>
  </si>
  <si>
    <t>Contig L50</t>
  </si>
  <si>
    <t xml:space="preserve">GC percent </t>
  </si>
  <si>
    <t>Assembly level</t>
  </si>
  <si>
    <t xml:space="preserve">Genes </t>
  </si>
  <si>
    <t xml:space="preserve">Protein-coding </t>
  </si>
  <si>
    <t xml:space="preserve">Chromosome </t>
  </si>
  <si>
    <t xml:space="preserve">CheckM analysis </t>
  </si>
  <si>
    <t>Completeness</t>
  </si>
  <si>
    <t>Contamination</t>
  </si>
  <si>
    <t>EC Number</t>
  </si>
  <si>
    <t>KEGG Enzyme URL</t>
  </si>
  <si>
    <t>KEGG Reaction URL</t>
  </si>
  <si>
    <t>Reactants</t>
  </si>
  <si>
    <t>Products</t>
  </si>
  <si>
    <t>Metabolites</t>
  </si>
  <si>
    <t>Initial Concentration (mM)</t>
  </si>
  <si>
    <t>Object</t>
  </si>
  <si>
    <t>No</t>
  </si>
  <si>
    <t>Enzyme mRNA</t>
  </si>
  <si>
    <t xml:space="preserve">Enzymes </t>
  </si>
  <si>
    <t>Enzyme Turnover (/s)</t>
  </si>
  <si>
    <t>Enzyme Km (mM)</t>
  </si>
  <si>
    <t xml:space="preserve">Enzyme mRNA Objects </t>
  </si>
  <si>
    <t xml:space="preserve">Enzyme Objects </t>
  </si>
  <si>
    <t>Enzyme mRNA Initial Concentration (mM)</t>
  </si>
  <si>
    <t>Enzyme Initial Concentration (mM)</t>
  </si>
  <si>
    <t>Transcription Rate Law</t>
  </si>
  <si>
    <t xml:space="preserve">Translation Rate Law </t>
  </si>
  <si>
    <t>Transcription Equation</t>
  </si>
  <si>
    <t>Translation Equation</t>
  </si>
  <si>
    <t>No.</t>
  </si>
  <si>
    <t>Enzymes</t>
  </si>
  <si>
    <t>Reactants (Addition)</t>
  </si>
  <si>
    <t>Reactants (Multiplication)</t>
  </si>
  <si>
    <t>Products (Addition)</t>
  </si>
  <si>
    <t>Products (Multiplication)</t>
  </si>
  <si>
    <t xml:space="preserve">Rate Law </t>
  </si>
  <si>
    <t xml:space="preserve"> Equation </t>
  </si>
  <si>
    <t>https://www.ncbi.nlm.nih.gov/datasets/genome/GCF_000027105.1/</t>
  </si>
  <si>
    <t>GCF_000027105.1</t>
  </si>
  <si>
    <t>SAMEA3138243</t>
  </si>
  <si>
    <t>ASM2710v1</t>
  </si>
  <si>
    <t>4.2 Mb</t>
  </si>
  <si>
    <t>4 Mb</t>
  </si>
  <si>
    <t>FN545816.1</t>
  </si>
  <si>
    <t>Protein Accession</t>
  </si>
  <si>
    <t>New EC Number</t>
  </si>
  <si>
    <t>Locus Tag</t>
  </si>
  <si>
    <t>1.-.-.-</t>
  </si>
  <si>
    <t>1.1.-.-</t>
  </si>
  <si>
    <t>1.1.1.-</t>
  </si>
  <si>
    <t>1.1.1.1</t>
  </si>
  <si>
    <t>https://www.genome.jp/entry/1.1.1.1</t>
  </si>
  <si>
    <t>https://www.genome.jp/entry/R00623</t>
  </si>
  <si>
    <t>C00226 | C00003</t>
  </si>
  <si>
    <t>C00071 | C00004 | C00080</t>
  </si>
  <si>
    <t>https://www.genome.jp/entry/R00624</t>
  </si>
  <si>
    <t>C01612 | C00003</t>
  </si>
  <si>
    <t>C01450 | C00004 | C00080</t>
  </si>
  <si>
    <t>https://www.genome.jp/entry/R00754</t>
  </si>
  <si>
    <t>C00469 | C00003</t>
  </si>
  <si>
    <t>C00084 | C00004 | C00080</t>
  </si>
  <si>
    <t>https://www.genome.jp/entry/R02124</t>
  </si>
  <si>
    <t>C00473 | C00003</t>
  </si>
  <si>
    <t>C00376 | C00004 | C00080</t>
  </si>
  <si>
    <t>https://www.genome.jp/entry/R02878</t>
  </si>
  <si>
    <t>C00756 | C00003</t>
  </si>
  <si>
    <t>C01545 | C00004 | C00080</t>
  </si>
  <si>
    <t>https://www.genome.jp/entry/R04805</t>
  </si>
  <si>
    <t>C05444 | C00003</t>
  </si>
  <si>
    <t>C05445 | C00004 | C00080</t>
  </si>
  <si>
    <t>https://www.genome.jp/entry/R04880</t>
  </si>
  <si>
    <t>C05576 | C00003</t>
  </si>
  <si>
    <t>C05577 | C00004 | C00080</t>
  </si>
  <si>
    <t>https://www.genome.jp/entry/R05233</t>
  </si>
  <si>
    <t>C06611 | C00003</t>
  </si>
  <si>
    <t>C06613 | C00004 | C00080</t>
  </si>
  <si>
    <t>https://www.genome.jp/entry/R05234</t>
  </si>
  <si>
    <t>C06612 | C00003</t>
  </si>
  <si>
    <t>C16348 | C00004 | C00080</t>
  </si>
  <si>
    <t>https://www.genome.jp/entry/R06917</t>
  </si>
  <si>
    <t>C14089 | C00003</t>
  </si>
  <si>
    <t>C14090 | C00004 | C00080</t>
  </si>
  <si>
    <t>https://www.genome.jp/entry/R06927</t>
  </si>
  <si>
    <t>C02909 | C00003</t>
  </si>
  <si>
    <t>C14099 | C00004 | C00080</t>
  </si>
  <si>
    <t>https://www.genome.jp/entry/R08281</t>
  </si>
  <si>
    <t>C07645 | C00004 | C00080</t>
  </si>
  <si>
    <t>C16551 | C00003</t>
  </si>
  <si>
    <t>https://www.genome.jp/entry/R08306</t>
  </si>
  <si>
    <t>C16586 | C00003</t>
  </si>
  <si>
    <t>C16587 | C00004 | C00080</t>
  </si>
  <si>
    <t>https://www.genome.jp/entry/R08557</t>
  </si>
  <si>
    <t>C00114 | C00003</t>
  </si>
  <si>
    <t>C00576 | C00004 | C00080</t>
  </si>
  <si>
    <t>https://www.genome.jp/entry/R08558</t>
  </si>
  <si>
    <t>C00114 | C00006</t>
  </si>
  <si>
    <t>C00576 | C00005 | C00080</t>
  </si>
  <si>
    <t>https://www.genome.jp/entry/R10783</t>
  </si>
  <si>
    <t>C16310 | C00004 | C00080</t>
  </si>
  <si>
    <t>C08492 | C00003</t>
  </si>
  <si>
    <t>https://www.genome.jp/entry/R08310</t>
  </si>
  <si>
    <t>C16595 | C00003</t>
  </si>
  <si>
    <t>C16596 | C00004 | C00080</t>
  </si>
  <si>
    <t>https://www.genome.jp/entry/R02246</t>
  </si>
  <si>
    <t>C00418 | C00003</t>
  </si>
  <si>
    <t>C00772 | C00004 | C00080</t>
  </si>
  <si>
    <t>https://www.genome.jp/entry/R07105</t>
  </si>
  <si>
    <t>C06899 | C00004 | C00080</t>
  </si>
  <si>
    <t>C07490 | C00003 | C00001</t>
  </si>
  <si>
    <t>1.1.1.100</t>
  </si>
  <si>
    <t>https://www.genome.jp/entry/1.1.1.100</t>
  </si>
  <si>
    <t>https://www.genome.jp/entry/R02767</t>
  </si>
  <si>
    <t>C01271 | C00006</t>
  </si>
  <si>
    <t>C00685 | C00005 | C00080</t>
  </si>
  <si>
    <t>https://www.genome.jp/entry/R04533</t>
  </si>
  <si>
    <t>C04618 | C00006</t>
  </si>
  <si>
    <t>C05744 | C00005 | C00080</t>
  </si>
  <si>
    <t>https://www.genome.jp/entry/R04534</t>
  </si>
  <si>
    <t>C04619 | C00006</t>
  </si>
  <si>
    <t>C05753 | C00005</t>
  </si>
  <si>
    <t>https://www.genome.jp/entry/R04536</t>
  </si>
  <si>
    <t>C04620 | C00006</t>
  </si>
  <si>
    <t>C05750 | C00005 | C00080</t>
  </si>
  <si>
    <t>https://www.genome.jp/entry/R04543</t>
  </si>
  <si>
    <t>C04633 | C00006</t>
  </si>
  <si>
    <t>C05762 | C00005 | C00080</t>
  </si>
  <si>
    <t>https://www.genome.jp/entry/R04566</t>
  </si>
  <si>
    <t>C04688 | C00006</t>
  </si>
  <si>
    <t>C05759 | C00005 | C00080</t>
  </si>
  <si>
    <t>https://www.genome.jp/entry/R04953</t>
  </si>
  <si>
    <t>C05747 | C00006</t>
  </si>
  <si>
    <t>C05746 | C00005 | C00080</t>
  </si>
  <si>
    <t>https://www.genome.jp/entry/R04964</t>
  </si>
  <si>
    <t>C05757 | C00006</t>
  </si>
  <si>
    <t>C05756 | C00005 | C00080</t>
  </si>
  <si>
    <t>https://www.genome.jp/entry/R07763</t>
  </si>
  <si>
    <t>C16219 | C00005 | C00080</t>
  </si>
  <si>
    <t>C16220 | C00006</t>
  </si>
  <si>
    <t>https://www.genome.jp/entry/R10116</t>
  </si>
  <si>
    <t>C20372 | C00005 | C00080</t>
  </si>
  <si>
    <t>C20373 | C00006</t>
  </si>
  <si>
    <t>https://www.genome.jp/entry/R10120</t>
  </si>
  <si>
    <t>C20376 | C00005 | C00080</t>
  </si>
  <si>
    <t>C20377 | C00006</t>
  </si>
  <si>
    <t>1.1.1.133</t>
  </si>
  <si>
    <t>https://www.genome.jp/entry/1.1.1.133</t>
  </si>
  <si>
    <t>https://www.genome.jp/entry/R02777</t>
  </si>
  <si>
    <t>C03319 | C00006</t>
  </si>
  <si>
    <t>C00688 | C00005 | C00080</t>
  </si>
  <si>
    <t>1.1.1.140</t>
  </si>
  <si>
    <t>https://www.genome.jp/entry/1.1.1.140</t>
  </si>
  <si>
    <t>https://www.genome.jp/entry/R07133</t>
  </si>
  <si>
    <t>C01096 | C00003</t>
  </si>
  <si>
    <t>C00085 | C00004 | C00080</t>
  </si>
  <si>
    <t>https://www.genome.jp/entry/R05607</t>
  </si>
  <si>
    <t>C05345 | C00004 | C00080</t>
  </si>
  <si>
    <t>1.1.1.157</t>
  </si>
  <si>
    <t>https://www.genome.jp/entry/1.1.1.157</t>
  </si>
  <si>
    <t>https://www.genome.jp/entry/R01976</t>
  </si>
  <si>
    <t>C01144 | C00006</t>
  </si>
  <si>
    <t>C00332 | C00005 | C00080</t>
  </si>
  <si>
    <t>https://www.genome.jp/entry/R05576</t>
  </si>
  <si>
    <t>C05116 | C00006</t>
  </si>
  <si>
    <t>https://www.genome.jp/entry/R06941</t>
  </si>
  <si>
    <t>C14145 | C00003</t>
  </si>
  <si>
    <t>C02232 | C00004 | C00080</t>
  </si>
  <si>
    <t>1.1.1.17</t>
  </si>
  <si>
    <t>https://www.genome.jp/entry/1.1.1.17</t>
  </si>
  <si>
    <t>https://www.genome.jp/entry/R00758</t>
  </si>
  <si>
    <t>C00644 | C00003</t>
  </si>
  <si>
    <t>https://www.genome.jp/entry/R02703</t>
  </si>
  <si>
    <t>1.1.1.193</t>
  </si>
  <si>
    <t>https://www.genome.jp/entry/1.1.1.193</t>
  </si>
  <si>
    <t>https://www.genome.jp/entry/R03458</t>
  </si>
  <si>
    <t>C04454 | C00006</t>
  </si>
  <si>
    <t>C01268 | C00005 | C00080</t>
  </si>
  <si>
    <t>1.1.1.205</t>
  </si>
  <si>
    <t>https://www.genome.jp/entry/1.1.1.205</t>
  </si>
  <si>
    <t>https://www.genome.jp/entry/R01130</t>
  </si>
  <si>
    <t>C00130 | C00003 | C00001</t>
  </si>
  <si>
    <t>C00655 | C00004 | C00080</t>
  </si>
  <si>
    <t>https://www.genome.jp/entry/R08240</t>
  </si>
  <si>
    <t>C04646 | C00003 | C00001</t>
  </si>
  <si>
    <t>C16618 | C00004 | C00080</t>
  </si>
  <si>
    <t>1.1.1.23</t>
  </si>
  <si>
    <t>https://www.genome.jp/entry/1.1.1.23</t>
  </si>
  <si>
    <t>https://www.genome.jp/entry/R01158</t>
  </si>
  <si>
    <t>C00860 | C00003 | C00001</t>
  </si>
  <si>
    <t>C00135 | C00004 | C00080</t>
  </si>
  <si>
    <t>https://www.genome.jp/entry/R01163</t>
  </si>
  <si>
    <t>C01929 | C00001 | C00003</t>
  </si>
  <si>
    <t>https://www.genome.jp/entry/R03012</t>
  </si>
  <si>
    <t>C00860 | C00003</t>
  </si>
  <si>
    <t>C01929 | C00004 | C00080</t>
  </si>
  <si>
    <t>1.1.1.25</t>
  </si>
  <si>
    <t>https://www.genome.jp/entry/1.1.1.25</t>
  </si>
  <si>
    <t>https://www.genome.jp/entry/R02413</t>
  </si>
  <si>
    <t>C00493 | C00006</t>
  </si>
  <si>
    <t>C02637 | C00005 | C00080</t>
  </si>
  <si>
    <t>https://www.genome.jp/entry/R12885</t>
  </si>
  <si>
    <t>C02637 | C00006</t>
  </si>
  <si>
    <t>C22438 | C00005 | C00080</t>
  </si>
  <si>
    <t>1.1.1.267</t>
  </si>
  <si>
    <t>https://www.genome.jp/entry/1.1.1.267</t>
  </si>
  <si>
    <t>https://www.genome.jp/entry/R05688</t>
  </si>
  <si>
    <t>C11434 | C00006</t>
  </si>
  <si>
    <t>C11437 | C00005 | C00080</t>
  </si>
  <si>
    <t>1.1.1.27</t>
  </si>
  <si>
    <t>https://www.genome.jp/entry/1.1.1.27</t>
  </si>
  <si>
    <t>https://www.genome.jp/entry/R00703</t>
  </si>
  <si>
    <t>C00186 | C00003</t>
  </si>
  <si>
    <t>C00022 | C00004 | C00080</t>
  </si>
  <si>
    <t>https://www.genome.jp/entry/R01000</t>
  </si>
  <si>
    <t>C05984 | C00003</t>
  </si>
  <si>
    <t>C00109 | C00004 | C00080</t>
  </si>
  <si>
    <t>https://www.genome.jp/entry/R03104</t>
  </si>
  <si>
    <t>C05823 | C00003</t>
  </si>
  <si>
    <t>C00957 | C00004 | C00080</t>
  </si>
  <si>
    <t>1.1.1.3</t>
  </si>
  <si>
    <t>https://www.genome.jp/entry/1.1.1.3</t>
  </si>
  <si>
    <t>https://www.genome.jp/entry/R01773</t>
  </si>
  <si>
    <t>C00263 | C00003</t>
  </si>
  <si>
    <t>C00441 | C00004 | C00080</t>
  </si>
  <si>
    <t>https://www.genome.jp/entry/R01775</t>
  </si>
  <si>
    <t>C00263 | C00006</t>
  </si>
  <si>
    <t>C00441 | C00005 | C00080</t>
  </si>
  <si>
    <t>1.1.1.30</t>
  </si>
  <si>
    <t>https://www.genome.jp/entry/1.1.1.30</t>
  </si>
  <si>
    <t>https://www.genome.jp/entry/R01361</t>
  </si>
  <si>
    <t>C01089 | C00003</t>
  </si>
  <si>
    <t>C00164 | C00004 | C00080</t>
  </si>
  <si>
    <t>1.1.1.40</t>
  </si>
  <si>
    <t>https://www.genome.jp/entry/1.1.1.40</t>
  </si>
  <si>
    <t>https://www.genome.jp/entry/R00216</t>
  </si>
  <si>
    <t>C00149 | C00006</t>
  </si>
  <si>
    <t>C00022 | C00011 | C00005 | C00080</t>
  </si>
  <si>
    <t>https://www.genome.jp/entry/R00217</t>
  </si>
  <si>
    <t>C00036</t>
  </si>
  <si>
    <t>C00022 | C00011</t>
  </si>
  <si>
    <t>1.1.1.60</t>
  </si>
  <si>
    <t>https://www.genome.jp/entry/1.1.1.60</t>
  </si>
  <si>
    <t>https://www.genome.jp/entry/R01745</t>
  </si>
  <si>
    <t>C00258 | C00003</t>
  </si>
  <si>
    <t>C01146 | C00004 | C00080</t>
  </si>
  <si>
    <t>https://www.genome.jp/entry/R01747</t>
  </si>
  <si>
    <t>C00258 | C00006</t>
  </si>
  <si>
    <t>C01146 | C00005 | C00080</t>
  </si>
  <si>
    <t>1.1.1.85</t>
  </si>
  <si>
    <t>https://www.genome.jp/entry/1.1.1.85</t>
  </si>
  <si>
    <t>https://www.genome.jp/entry/R10052</t>
  </si>
  <si>
    <t>C04411 | C00003</t>
  </si>
  <si>
    <t>C00233 | C00011 | C00004 | C00080</t>
  </si>
  <si>
    <t>https://www.genome.jp/entry/R04426</t>
  </si>
  <si>
    <t>C04236 | C00004 | C00080</t>
  </si>
  <si>
    <t>https://www.genome.jp/entry/R01652</t>
  </si>
  <si>
    <t>C00233 | C00011</t>
  </si>
  <si>
    <t>C04236</t>
  </si>
  <si>
    <t>https://www.genome.jp/entry/R00994</t>
  </si>
  <si>
    <t>C00109 | C00011 | C00004 | C00080</t>
  </si>
  <si>
    <t>C06032 | C00003</t>
  </si>
  <si>
    <t>1.1.1.86</t>
  </si>
  <si>
    <t>https://www.genome.jp/entry/1.1.1.86</t>
  </si>
  <si>
    <t>https://www.genome.jp/entry/R04439</t>
  </si>
  <si>
    <t>C04272 | C00006</t>
  </si>
  <si>
    <t>C06010 | C00005 | C00080</t>
  </si>
  <si>
    <t>https://www.genome.jp/entry/R03051</t>
  </si>
  <si>
    <t>C00900 | C00005 | C00080</t>
  </si>
  <si>
    <t>C04039 | C00006</t>
  </si>
  <si>
    <t>https://www.genome.jp/entry/R04440</t>
  </si>
  <si>
    <t>C04181 | C00005 | C00080</t>
  </si>
  <si>
    <t>https://www.genome.jp/entry/R05068</t>
  </si>
  <si>
    <t>C06007 | C00006</t>
  </si>
  <si>
    <t>C14463 | C00005 | C00080</t>
  </si>
  <si>
    <t>https://www.genome.jp/entry/R05069</t>
  </si>
  <si>
    <t>C06006</t>
  </si>
  <si>
    <t>C14463</t>
  </si>
  <si>
    <t>https://www.genome.jp/entry/R05071</t>
  </si>
  <si>
    <t>C06010</t>
  </si>
  <si>
    <t>C04181</t>
  </si>
  <si>
    <t>1.1.1.94</t>
  </si>
  <si>
    <t>https://www.genome.jp/entry/1.1.1.94</t>
  </si>
  <si>
    <t>https://www.genome.jp/entry/R00842</t>
  </si>
  <si>
    <t>C00093 | C00003</t>
  </si>
  <si>
    <t>C00111 | C00004 | C00080</t>
  </si>
  <si>
    <t>https://www.genome.jp/entry/R00844</t>
  </si>
  <si>
    <t>C00093 | C00006</t>
  </si>
  <si>
    <t>C00111 | C00005 | C00080</t>
  </si>
  <si>
    <t>1.11.1.1</t>
  </si>
  <si>
    <t>https://www.genome.jp/entry/1.11.1.1</t>
  </si>
  <si>
    <t>https://www.genome.jp/entry/R00090</t>
  </si>
  <si>
    <t>C00027 | C00004 | C00080</t>
  </si>
  <si>
    <t>C00003 | C00001</t>
  </si>
  <si>
    <t>1.11.1.24</t>
  </si>
  <si>
    <t>https://www.genome.jp/entry/1.11.1.24</t>
  </si>
  <si>
    <t>https://www.genome.jp/entry/R12570</t>
  </si>
  <si>
    <t>C00342 | C15498</t>
  </si>
  <si>
    <t>C00343 | C00001 | C01335</t>
  </si>
  <si>
    <t>1.11.1.6</t>
  </si>
  <si>
    <t>https://www.genome.jp/entry/1.11.1.6</t>
  </si>
  <si>
    <t>https://www.genome.jp/entry/R00009</t>
  </si>
  <si>
    <t>C00027</t>
  </si>
  <si>
    <t>C00007 | C00001</t>
  </si>
  <si>
    <t>https://www.genome.jp/entry/R00602</t>
  </si>
  <si>
    <t>C00132 | C00027</t>
  </si>
  <si>
    <t>C00067 | C00001</t>
  </si>
  <si>
    <t>https://www.genome.jp/entry/R02670</t>
  </si>
  <si>
    <t>C00632 | C00007</t>
  </si>
  <si>
    <t>C05640 | C00704 | C00027 | C00080</t>
  </si>
  <si>
    <t>1.13.12.-</t>
  </si>
  <si>
    <t>1.15.1.1</t>
  </si>
  <si>
    <t>https://www.genome.jp/entry/1.15.1.1</t>
  </si>
  <si>
    <t>https://www.genome.jp/entry/R00275</t>
  </si>
  <si>
    <t>C00704 | C00080</t>
  </si>
  <si>
    <t>C00027 | C00007</t>
  </si>
  <si>
    <t>1.16.3.2</t>
  </si>
  <si>
    <t>https://www.genome.jp/entry/1.16.3.2</t>
  </si>
  <si>
    <t>https://www.genome.jp/entry/R13250</t>
  </si>
  <si>
    <t>C14818 | C00007 | C00001</t>
  </si>
  <si>
    <t>C22881 | C00080</t>
  </si>
  <si>
    <t>https://www.genome.jp/entry/R13251</t>
  </si>
  <si>
    <t>C22881 | C00080 | C00027</t>
  </si>
  <si>
    <t>https://www.genome.jp/entry/R13252</t>
  </si>
  <si>
    <t>C14818 | C00027 | C00001</t>
  </si>
  <si>
    <t>1.17.1.4</t>
  </si>
  <si>
    <t>https://www.genome.jp/entry/1.17.1.4</t>
  </si>
  <si>
    <t>https://www.genome.jp/entry/R02103</t>
  </si>
  <si>
    <t>C00385 | C00003 | C00001</t>
  </si>
  <si>
    <t>C00366 | C00004 | C00080</t>
  </si>
  <si>
    <t>https://www.genome.jp/entry/R01768</t>
  </si>
  <si>
    <t>C00262 | C00003 | C00001</t>
  </si>
  <si>
    <t>C00385 | C00004 | C00080</t>
  </si>
  <si>
    <t>https://www.genome.jp/entry/R12987</t>
  </si>
  <si>
    <t>C00147 | C00003 | C00001</t>
  </si>
  <si>
    <t>C22499 | C00004 | C00080</t>
  </si>
  <si>
    <t>https://www.genome.jp/entry/R12988</t>
  </si>
  <si>
    <t>C22499 | C00003 | C00001</t>
  </si>
  <si>
    <t>C22500 | C00004 | C00080</t>
  </si>
  <si>
    <t>1.17.1.8</t>
  </si>
  <si>
    <t>https://www.genome.jp/entry/1.17.1.8</t>
  </si>
  <si>
    <t>https://www.genome.jp/entry/R04198</t>
  </si>
  <si>
    <t>C03972 | C00003 | C00001</t>
  </si>
  <si>
    <t>C20258 | C00004 | C00080</t>
  </si>
  <si>
    <t>https://www.genome.jp/entry/R04199</t>
  </si>
  <si>
    <t>C03972 | C00006 | C00001</t>
  </si>
  <si>
    <t>C20258 | C00005 | C00080</t>
  </si>
  <si>
    <t>1.17.1.9</t>
  </si>
  <si>
    <t>https://www.genome.jp/entry/1.17.1.9</t>
  </si>
  <si>
    <t>https://www.genome.jp/entry/R00519</t>
  </si>
  <si>
    <t>C00058 | C00003</t>
  </si>
  <si>
    <t>C00080 | C00011 | C00004</t>
  </si>
  <si>
    <t>1.17.4.1</t>
  </si>
  <si>
    <t>https://www.genome.jp/entry/1.17.4.1</t>
  </si>
  <si>
    <t>https://www.genome.jp/entry/R04294</t>
  </si>
  <si>
    <t>C04232 | C00343 | C00001</t>
  </si>
  <si>
    <t>C03723 | C00342</t>
  </si>
  <si>
    <t>https://www.genome.jp/entry/R02017</t>
  </si>
  <si>
    <t>C00206 | C00343 | C00001</t>
  </si>
  <si>
    <t>C00342 | C00008</t>
  </si>
  <si>
    <t>https://www.genome.jp/entry/R02018</t>
  </si>
  <si>
    <t>C01346 | C00343 | C00001</t>
  </si>
  <si>
    <t>C00342 | C00015</t>
  </si>
  <si>
    <t>https://www.genome.jp/entry/R02019</t>
  </si>
  <si>
    <t>C00361 | C00343 | C00001</t>
  </si>
  <si>
    <t>C00035 | C00342</t>
  </si>
  <si>
    <t>https://www.genome.jp/entry/R02024</t>
  </si>
  <si>
    <t>C00705 | C00343 | C00001</t>
  </si>
  <si>
    <t>C00342 | C00112</t>
  </si>
  <si>
    <t>https://www.genome.jp/entry/R08363</t>
  </si>
  <si>
    <t>C04232 | C16664 | C00001</t>
  </si>
  <si>
    <t>C03723 | C16663</t>
  </si>
  <si>
    <t>https://www.genome.jp/entry/R08364</t>
  </si>
  <si>
    <t>C04232 | C03170 | C00001</t>
  </si>
  <si>
    <t>C03723 | C02090</t>
  </si>
  <si>
    <t>https://www.genome.jp/entry/R11893</t>
  </si>
  <si>
    <t>C21750 | C00343 | C00001</t>
  </si>
  <si>
    <t>C21748 | C00342</t>
  </si>
  <si>
    <t>1.17.4.2</t>
  </si>
  <si>
    <t>https://www.genome.jp/entry/1.17.4.2</t>
  </si>
  <si>
    <t>https://www.genome.jp/entry/R04315</t>
  </si>
  <si>
    <t>C00677 | C00343 | C00001</t>
  </si>
  <si>
    <t>C03802 | C00342</t>
  </si>
  <si>
    <t>https://www.genome.jp/entry/R02014</t>
  </si>
  <si>
    <t>C00131 | C00343 | C00001</t>
  </si>
  <si>
    <t>C00002 | C00342</t>
  </si>
  <si>
    <t>https://www.genome.jp/entry/R02020</t>
  </si>
  <si>
    <t>C00286 | C00343 | C00001</t>
  </si>
  <si>
    <t>C00044 | C00342</t>
  </si>
  <si>
    <t>https://www.genome.jp/entry/R02022</t>
  </si>
  <si>
    <t>C00458 | C00343 | C00001</t>
  </si>
  <si>
    <t>C00063 | C00342</t>
  </si>
  <si>
    <t>https://www.genome.jp/entry/R02023</t>
  </si>
  <si>
    <t>C00460 | C00343 | C00001</t>
  </si>
  <si>
    <t>C00075 | C00342</t>
  </si>
  <si>
    <t>1.17.7.1</t>
  </si>
  <si>
    <t>https://www.genome.jp/entry/1.17.7.1</t>
  </si>
  <si>
    <t>https://www.genome.jp/entry/R08689</t>
  </si>
  <si>
    <t>C11453 | C00138</t>
  </si>
  <si>
    <t>C11811 | C00001 | C00139</t>
  </si>
  <si>
    <t>1.17.7.4</t>
  </si>
  <si>
    <t>https://www.genome.jp/entry/1.17.7.4</t>
  </si>
  <si>
    <t>https://www.genome.jp/entry/R05884</t>
  </si>
  <si>
    <t>C11811 | C00138 | C00080</t>
  </si>
  <si>
    <t>C00129 | C00139 | C00001</t>
  </si>
  <si>
    <t>https://www.genome.jp/entry/R08210</t>
  </si>
  <si>
    <t>C00235 | C00139 | C00001</t>
  </si>
  <si>
    <t>1.17.99.6</t>
  </si>
  <si>
    <t>https://www.genome.jp/entry/1.17.99.6</t>
  </si>
  <si>
    <t>https://www.genome.jp/entry/R12500</t>
  </si>
  <si>
    <t>C01978 | C00028 | C00001</t>
  </si>
  <si>
    <t>C19647 | C00030</t>
  </si>
  <si>
    <t>1.2.1.10</t>
  </si>
  <si>
    <t>https://www.genome.jp/entry/1.2.1.10</t>
  </si>
  <si>
    <t>https://www.genome.jp/entry/R00228</t>
  </si>
  <si>
    <t>C00084 | C00010 | C00003</t>
  </si>
  <si>
    <t>C00024 | C00004 | C00080</t>
  </si>
  <si>
    <t>https://www.genome.jp/entry/R01172</t>
  </si>
  <si>
    <t>C01412 | C00010 | C00003</t>
  </si>
  <si>
    <t>C00136 | C00004 | C00080</t>
  </si>
  <si>
    <t>1.2.1.11</t>
  </si>
  <si>
    <t>https://www.genome.jp/entry/1.2.1.11</t>
  </si>
  <si>
    <t>https://www.genome.jp/entry/R02291</t>
  </si>
  <si>
    <t>C00441 | C00009 | C00006</t>
  </si>
  <si>
    <t>C03082 | C00005 | C00080</t>
  </si>
  <si>
    <t>1.2.1.38</t>
  </si>
  <si>
    <t>https://www.genome.jp/entry/1.2.1.38</t>
  </si>
  <si>
    <t>https://www.genome.jp/entry/R03443</t>
  </si>
  <si>
    <t>C01250 | C00009 | C00006</t>
  </si>
  <si>
    <t>C04133 | C00005 | C00080</t>
  </si>
  <si>
    <t>1.2.4.-</t>
  </si>
  <si>
    <t>1.2.7.4</t>
  </si>
  <si>
    <t>https://www.genome.jp/entry/1.2.7.4</t>
  </si>
  <si>
    <t>https://www.genome.jp/entry/R07157</t>
  </si>
  <si>
    <t>C00237 | C00001 | C00139</t>
  </si>
  <si>
    <t>C00011 | C00138 | C00080</t>
  </si>
  <si>
    <t>https://www.genome.jp/entry/R08034</t>
  </si>
  <si>
    <t>C16396</t>
  </si>
  <si>
    <t>C16399</t>
  </si>
  <si>
    <t>https://www.genome.jp/entry/R09317</t>
  </si>
  <si>
    <t>C06020 | C00010 | C00011 | C00138</t>
  </si>
  <si>
    <t>C00024 | C06021 | C00001 | C00139</t>
  </si>
  <si>
    <t>1.2.7.8</t>
  </si>
  <si>
    <t>https://www.genome.jp/entry/1.2.7.8</t>
  </si>
  <si>
    <t>https://www.genome.jp/entry/R07161</t>
  </si>
  <si>
    <t>C00331 | C00010 | C00139</t>
  </si>
  <si>
    <t>C15489 | C00011 | C00138</t>
  </si>
  <si>
    <t>1.21.4.-</t>
  </si>
  <si>
    <t>1.21.4.1</t>
  </si>
  <si>
    <t>https://www.genome.jp/entry/1.21.4.1</t>
  </si>
  <si>
    <t>https://www.genome.jp/entry/R02825</t>
  </si>
  <si>
    <t>C00431</t>
  </si>
  <si>
    <t>C00763</t>
  </si>
  <si>
    <t>1.21.4.2</t>
  </si>
  <si>
    <t>https://www.genome.jp/entry/1.21.4.2</t>
  </si>
  <si>
    <t>https://www.genome.jp/entry/R07226</t>
  </si>
  <si>
    <t>C00227 | C00014 | C00343 | C00001</t>
  </si>
  <si>
    <t>C00037 | C00009 | C00342</t>
  </si>
  <si>
    <t>1.21.4.3</t>
  </si>
  <si>
    <t>https://www.genome.jp/entry/1.21.4.3</t>
  </si>
  <si>
    <t>https://www.genome.jp/entry/R07227</t>
  </si>
  <si>
    <t>C00227 | C00218 | C00343 | C00001</t>
  </si>
  <si>
    <t>C00213 | C00009 | C00342</t>
  </si>
  <si>
    <t>1.3.1.-</t>
  </si>
  <si>
    <t>1.3.1.14</t>
  </si>
  <si>
    <t>https://www.genome.jp/entry/1.3.1.14</t>
  </si>
  <si>
    <t>https://www.genome.jp/entry/R01869</t>
  </si>
  <si>
    <t>C00337 | C00003</t>
  </si>
  <si>
    <t>C00295 | C00080 | C00004</t>
  </si>
  <si>
    <t>1.3.1.54</t>
  </si>
  <si>
    <t>https://www.genome.jp/entry/1.3.1.54</t>
  </si>
  <si>
    <t>https://www.genome.jp/entry/R05150</t>
  </si>
  <si>
    <t>C06319 | C00006</t>
  </si>
  <si>
    <t>C06320 | C00005 | C00080</t>
  </si>
  <si>
    <t>1.3.1.76</t>
  </si>
  <si>
    <t>https://www.genome.jp/entry/1.3.1.76</t>
  </si>
  <si>
    <t>https://www.genome.jp/entry/R03947</t>
  </si>
  <si>
    <t>C02463 | C00003</t>
  </si>
  <si>
    <t>C05778 | C00004 | C00080</t>
  </si>
  <si>
    <t>1.3.1.95</t>
  </si>
  <si>
    <t>https://www.genome.jp/entry/1.3.1.95</t>
  </si>
  <si>
    <t>https://www.genome.jp/entry/R10161</t>
  </si>
  <si>
    <t>C00100 | C00003</t>
  </si>
  <si>
    <t>C00894 | C00004 | C00080</t>
  </si>
  <si>
    <t>1.3.1.98</t>
  </si>
  <si>
    <t>https://www.genome.jp/entry/1.3.1.98</t>
  </si>
  <si>
    <t>https://www.genome.jp/entry/R03192</t>
  </si>
  <si>
    <t>C01050 | C00006</t>
  </si>
  <si>
    <t>C04631 | C00005 | C00080</t>
  </si>
  <si>
    <t>https://www.genome.jp/entry/R03191</t>
  </si>
  <si>
    <t>C01050 | C00003</t>
  </si>
  <si>
    <t>C04631 | C00004 | C00080</t>
  </si>
  <si>
    <t>1.4.1.-</t>
  </si>
  <si>
    <t>1.4.1.13</t>
  </si>
  <si>
    <t>https://www.genome.jp/entry/1.4.1.13</t>
  </si>
  <si>
    <t>https://www.genome.jp/entry/R00114</t>
  </si>
  <si>
    <t>C00025 | C00006</t>
  </si>
  <si>
    <t>C00064 | C00026 | C00005 | C00080</t>
  </si>
  <si>
    <t>https://www.genome.jp/entry/R00256</t>
  </si>
  <si>
    <t>C00064 | C00001</t>
  </si>
  <si>
    <t>C00025 | C00014</t>
  </si>
  <si>
    <t>https://www.genome.jp/entry/R00248</t>
  </si>
  <si>
    <t>C00025 | C00006 | C00001</t>
  </si>
  <si>
    <t>C00026 | C00014 | C00005 | C00080</t>
  </si>
  <si>
    <t>1.4.1.2</t>
  </si>
  <si>
    <t>https://www.genome.jp/entry/1.4.1.2</t>
  </si>
  <si>
    <t>https://www.genome.jp/entry/R00243</t>
  </si>
  <si>
    <t>C00025 | C00003 | C00001</t>
  </si>
  <si>
    <t>C00026 | C00014 | C00004 | C00080</t>
  </si>
  <si>
    <t>https://www.genome.jp/entry/R00145</t>
  </si>
  <si>
    <t>C05167 | C00001 | C00003</t>
  </si>
  <si>
    <t>C00161 | C00014 | C00004 | C00080</t>
  </si>
  <si>
    <t>https://www.genome.jp/entry/R00146</t>
  </si>
  <si>
    <t>C05167 | C00001 | C00006</t>
  </si>
  <si>
    <t>C00161 | C00014 | C00005 | C00080</t>
  </si>
  <si>
    <t>1.4.3.16</t>
  </si>
  <si>
    <t>https://www.genome.jp/entry/1.4.3.16</t>
  </si>
  <si>
    <t>https://www.genome.jp/entry/R00481</t>
  </si>
  <si>
    <t>C00049 | C00007</t>
  </si>
  <si>
    <t>C05840 | C00027</t>
  </si>
  <si>
    <t>https://www.genome.jp/entry/R00357</t>
  </si>
  <si>
    <t>C00049 | C00001 | C00007</t>
  </si>
  <si>
    <t>C00036 | C00014 | C00027</t>
  </si>
  <si>
    <t>1.4.4.2</t>
  </si>
  <si>
    <t>https://www.genome.jp/entry/1.4.4.2</t>
  </si>
  <si>
    <t>https://www.genome.jp/entry/R03425</t>
  </si>
  <si>
    <t>C00037 | C02051</t>
  </si>
  <si>
    <t>C01242 | C00011</t>
  </si>
  <si>
    <t>1.5.1.2</t>
  </si>
  <si>
    <t>https://www.genome.jp/entry/1.5.1.2</t>
  </si>
  <si>
    <t>https://www.genome.jp/entry/R01248</t>
  </si>
  <si>
    <t>C00148 | C00003</t>
  </si>
  <si>
    <t>C03912 | C00004 | C00080</t>
  </si>
  <si>
    <t>https://www.genome.jp/entry/R01251</t>
  </si>
  <si>
    <t>C00148 | C00006</t>
  </si>
  <si>
    <t>C03912 | C00005 | C00080</t>
  </si>
  <si>
    <t>https://www.genome.jp/entry/R03291</t>
  </si>
  <si>
    <t>C01157 | C00003</t>
  </si>
  <si>
    <t>C04281 | C00004 | C00080</t>
  </si>
  <si>
    <t>https://www.genome.jp/entry/R03293</t>
  </si>
  <si>
    <t>C01157 | C00006</t>
  </si>
  <si>
    <t>C04281 | C00005 | C00080</t>
  </si>
  <si>
    <t>1.5.1.20</t>
  </si>
  <si>
    <t>https://www.genome.jp/entry/1.5.1.20</t>
  </si>
  <si>
    <t>https://www.genome.jp/entry/R01224</t>
  </si>
  <si>
    <t>C00440 | C00006</t>
  </si>
  <si>
    <t>C00143 | C00005 | C00080</t>
  </si>
  <si>
    <t>https://www.genome.jp/entry/R07168</t>
  </si>
  <si>
    <t>C00440 | C00003</t>
  </si>
  <si>
    <t>C00143 | C00004 | C00080</t>
  </si>
  <si>
    <t>1.5.1.3</t>
  </si>
  <si>
    <t>https://www.genome.jp/entry/1.5.1.3</t>
  </si>
  <si>
    <t>https://www.genome.jp/entry/R00939</t>
  </si>
  <si>
    <t>C00101 | C00006</t>
  </si>
  <si>
    <t>C00415 | C00005 | C00080</t>
  </si>
  <si>
    <t>https://www.genome.jp/entry/R00936</t>
  </si>
  <si>
    <t>C00101 | C00003</t>
  </si>
  <si>
    <t>C00415 | C00004 | C00080</t>
  </si>
  <si>
    <t>https://www.genome.jp/entry/R00937</t>
  </si>
  <si>
    <t>C00504 | C00004 | C00080</t>
  </si>
  <si>
    <t>https://www.genome.jp/entry/R00940</t>
  </si>
  <si>
    <t>C00504 | C00005 | C00080</t>
  </si>
  <si>
    <t>https://www.genome.jp/entry/R02235</t>
  </si>
  <si>
    <t>C00415 | C00003</t>
  </si>
  <si>
    <t>https://www.genome.jp/entry/R02236</t>
  </si>
  <si>
    <t>C00415 | C00006</t>
  </si>
  <si>
    <t>https://www.genome.jp/entry/R11765</t>
  </si>
  <si>
    <t>C00272 | C00006</t>
  </si>
  <si>
    <t>C02953 | C00005 | C00080</t>
  </si>
  <si>
    <t>1.5.1.5</t>
  </si>
  <si>
    <t>https://www.genome.jp/entry/1.5.1.5</t>
  </si>
  <si>
    <t>https://www.genome.jp/entry/R01220</t>
  </si>
  <si>
    <t>C00143 | C00006</t>
  </si>
  <si>
    <t>C00445 | C00005</t>
  </si>
  <si>
    <t>1.7.99.1</t>
  </si>
  <si>
    <t>https://www.genome.jp/entry/1.7.99.1</t>
  </si>
  <si>
    <t>https://www.genome.jp/entry/R00284</t>
  </si>
  <si>
    <t>C00028 | C00014 | C00001</t>
  </si>
  <si>
    <t>C00192 | C00030</t>
  </si>
  <si>
    <t>https://www.genome.jp/entry/R00143</t>
  </si>
  <si>
    <t>C00014 | C00003 | C00001</t>
  </si>
  <si>
    <t>C00192 | C00004 | C00080</t>
  </si>
  <si>
    <t>1.8.-.-</t>
  </si>
  <si>
    <t>1.8.1.14</t>
  </si>
  <si>
    <t>https://www.genome.jp/entry/1.8.1.14</t>
  </si>
  <si>
    <t>https://www.genome.jp/entry/R07175</t>
  </si>
  <si>
    <t>C00010 | C00006</t>
  </si>
  <si>
    <t>C02015 | C00005 | C00080</t>
  </si>
  <si>
    <t>1.8.1.4</t>
  </si>
  <si>
    <t>https://www.genome.jp/entry/1.8.1.4</t>
  </si>
  <si>
    <t>https://www.genome.jp/entry/R08550</t>
  </si>
  <si>
    <t>C16832 | C00003</t>
  </si>
  <si>
    <t>C16237 | C00004 | C00080</t>
  </si>
  <si>
    <t>https://www.genome.jp/entry/R03815</t>
  </si>
  <si>
    <t>C02972 | C00003</t>
  </si>
  <si>
    <t>C02051 | C00004 | C00080</t>
  </si>
  <si>
    <t>https://www.genome.jp/entry/R07618</t>
  </si>
  <si>
    <t>C15973 | C00003</t>
  </si>
  <si>
    <t>C15972 | C00004 | C00080</t>
  </si>
  <si>
    <t>https://www.genome.jp/entry/R01698</t>
  </si>
  <si>
    <t>C00579 | C00003</t>
  </si>
  <si>
    <t>C00248 | C00004 | C00080</t>
  </si>
  <si>
    <t>1.8.1.9</t>
  </si>
  <si>
    <t>https://www.genome.jp/entry/1.8.1.9</t>
  </si>
  <si>
    <t>https://www.genome.jp/entry/R02016</t>
  </si>
  <si>
    <t>C00342 | C00006</t>
  </si>
  <si>
    <t>C00343 | C00005 | C00080</t>
  </si>
  <si>
    <t>https://www.genome.jp/entry/R00900</t>
  </si>
  <si>
    <t>C00097 | C00051 | C00006</t>
  </si>
  <si>
    <t>C05526 | C00005</t>
  </si>
  <si>
    <t>https://www.genome.jp/entry/R03596</t>
  </si>
  <si>
    <t>C01528 | C00006 | C00001</t>
  </si>
  <si>
    <t>C05684 | C00005 | C00080</t>
  </si>
  <si>
    <t>https://www.genome.jp/entry/R09372</t>
  </si>
  <si>
    <t>C00005 | C00080 | C18902</t>
  </si>
  <si>
    <t>C00006 | C00001 | C05703</t>
  </si>
  <si>
    <t>1.8.4.-</t>
  </si>
  <si>
    <t>1.8.4.11</t>
  </si>
  <si>
    <t>https://www.genome.jp/entry/1.8.4.11</t>
  </si>
  <si>
    <t>https://www.genome.jp/entry/R04120</t>
  </si>
  <si>
    <t>C03023 | C00343 | C00001</t>
  </si>
  <si>
    <t>C03895 | C00342</t>
  </si>
  <si>
    <t>https://www.genome.jp/entry/R07606</t>
  </si>
  <si>
    <t>C00073 | C00343 | C00001</t>
  </si>
  <si>
    <t>C15999 | C00342</t>
  </si>
  <si>
    <t>1.97.1.-</t>
  </si>
  <si>
    <t>1.97.1.4</t>
  </si>
  <si>
    <t>https://www.genome.jp/entry/1.97.1.4</t>
  </si>
  <si>
    <t>https://www.genome.jp/entry/R04710</t>
  </si>
  <si>
    <t>C00019 | C05196 | C05197</t>
  </si>
  <si>
    <t>C05198 | C00073 | C05199 | C05312</t>
  </si>
  <si>
    <t>2.-.-.-</t>
  </si>
  <si>
    <t>2.1.-.-</t>
  </si>
  <si>
    <t>2.1.1.-</t>
  </si>
  <si>
    <t>2.1.1.107</t>
  </si>
  <si>
    <t>https://www.genome.jp/entry/2.1.1.107</t>
  </si>
  <si>
    <t>https://www.genome.jp/entry/R03194</t>
  </si>
  <si>
    <t>C00019 | C01051</t>
  </si>
  <si>
    <t>C00021 | C02463</t>
  </si>
  <si>
    <t>https://www.genome.jp/entry/R07237</t>
  </si>
  <si>
    <t>C00021 | C15527</t>
  </si>
  <si>
    <t>https://www.genome.jp/entry/R07238</t>
  </si>
  <si>
    <t>C00019 | C15527</t>
  </si>
  <si>
    <t>https://www.genome.jp/entry/R03950</t>
  </si>
  <si>
    <t>C00019 | C02469</t>
  </si>
  <si>
    <t>C00021 | C05778</t>
  </si>
  <si>
    <t>2.1.1.131</t>
  </si>
  <si>
    <t>https://www.genome.jp/entry/2.1.1.131</t>
  </si>
  <si>
    <t>https://www.genome.jp/entry/R05180</t>
  </si>
  <si>
    <t>C00019 | C06406</t>
  </si>
  <si>
    <t>C00021 | C06407</t>
  </si>
  <si>
    <t>https://www.genome.jp/entry/R05809</t>
  </si>
  <si>
    <t>C11539 | C00019</t>
  </si>
  <si>
    <t>C11540 | C00021</t>
  </si>
  <si>
    <t>2.1.1.151</t>
  </si>
  <si>
    <t>https://www.genome.jp/entry/2.1.1.151</t>
  </si>
  <si>
    <t>https://www.genome.jp/entry/R05808</t>
  </si>
  <si>
    <t>C11538 | C00019</t>
  </si>
  <si>
    <t>C17401 | C00021</t>
  </si>
  <si>
    <t>2.1.1.170</t>
  </si>
  <si>
    <t>https://www.genome.jp/entry/2.1.1.170</t>
  </si>
  <si>
    <t>2.1.1.171</t>
  </si>
  <si>
    <t>https://www.genome.jp/entry/2.1.1.171</t>
  </si>
  <si>
    <t>https://www.genome.jp/entry/R07234</t>
  </si>
  <si>
    <t>C00019 | C00240</t>
  </si>
  <si>
    <t>C00021 | C04153</t>
  </si>
  <si>
    <t>2.1.1.176</t>
  </si>
  <si>
    <t>https://www.genome.jp/entry/2.1.1.176</t>
  </si>
  <si>
    <t>2.1.1.177</t>
  </si>
  <si>
    <t>https://www.genome.jp/entry/2.1.1.177</t>
  </si>
  <si>
    <t>2.1.1.182</t>
  </si>
  <si>
    <t>https://www.genome.jp/entry/2.1.1.182</t>
  </si>
  <si>
    <t>https://www.genome.jp/entry/R10716</t>
  </si>
  <si>
    <t>C00019 | C20648</t>
  </si>
  <si>
    <t>C00021 | C20796</t>
  </si>
  <si>
    <t>2.1.1.190</t>
  </si>
  <si>
    <t>https://www.genome.jp/entry/2.1.1.190</t>
  </si>
  <si>
    <t>2.1.1.192</t>
  </si>
  <si>
    <t>https://www.genome.jp/entry/2.1.1.192</t>
  </si>
  <si>
    <t>2.1.1.193</t>
  </si>
  <si>
    <t>https://www.genome.jp/entry/2.1.1.193</t>
  </si>
  <si>
    <t>2.1.1.195</t>
  </si>
  <si>
    <t>https://www.genome.jp/entry/2.1.1.195</t>
  </si>
  <si>
    <t>https://www.genome.jp/entry/R07773</t>
  </si>
  <si>
    <t>C16243 | C00019</t>
  </si>
  <si>
    <t>C11542 | C00021</t>
  </si>
  <si>
    <t>2.1.1.198</t>
  </si>
  <si>
    <t>https://www.genome.jp/entry/2.1.1.198</t>
  </si>
  <si>
    <t>2.1.1.199</t>
  </si>
  <si>
    <t>https://www.genome.jp/entry/2.1.1.199</t>
  </si>
  <si>
    <t>2.1.1.207</t>
  </si>
  <si>
    <t>https://www.genome.jp/entry/2.1.1.207</t>
  </si>
  <si>
    <t>2.1.1.217</t>
  </si>
  <si>
    <t>https://www.genome.jp/entry/2.1.1.217</t>
  </si>
  <si>
    <t>2.1.1.223</t>
  </si>
  <si>
    <t>https://www.genome.jp/entry/2.1.1.223</t>
  </si>
  <si>
    <t>2.1.1.228</t>
  </si>
  <si>
    <t>https://www.genome.jp/entry/2.1.1.228</t>
  </si>
  <si>
    <t>https://www.genome.jp/entry/R00597</t>
  </si>
  <si>
    <t>C00019 | C01977</t>
  </si>
  <si>
    <t>C00021 | C04157</t>
  </si>
  <si>
    <t>2.1.1.271</t>
  </si>
  <si>
    <t>https://www.genome.jp/entry/2.1.1.271</t>
  </si>
  <si>
    <t>https://www.genome.jp/entry/R05810</t>
  </si>
  <si>
    <t>C11540 | C00019</t>
  </si>
  <si>
    <t>C16242 | C00021</t>
  </si>
  <si>
    <t>2.1.1.289</t>
  </si>
  <si>
    <t>https://www.genome.jp/entry/2.1.1.289</t>
  </si>
  <si>
    <t>https://www.genome.jp/entry/R07775</t>
  </si>
  <si>
    <t>C16244 | C00019</t>
  </si>
  <si>
    <t>C11545 | C00021</t>
  </si>
  <si>
    <t>2.1.1.297</t>
  </si>
  <si>
    <t>https://www.genome.jp/entry/2.1.1.297</t>
  </si>
  <si>
    <t>https://www.genome.jp/entry/R10806</t>
  </si>
  <si>
    <t>C02583 | C00019</t>
  </si>
  <si>
    <t>C20858 | C00021</t>
  </si>
  <si>
    <t>2.1.1.33</t>
  </si>
  <si>
    <t>https://www.genome.jp/entry/2.1.1.33</t>
  </si>
  <si>
    <t>https://www.genome.jp/entry/R00600</t>
  </si>
  <si>
    <t>C00021 | C04160</t>
  </si>
  <si>
    <t>2.1.1.45</t>
  </si>
  <si>
    <t>https://www.genome.jp/entry/2.1.1.45</t>
  </si>
  <si>
    <t>https://www.genome.jp/entry/R02101</t>
  </si>
  <si>
    <t>C00365 | C00143</t>
  </si>
  <si>
    <t>C00415 | C00364</t>
  </si>
  <si>
    <t>2.1.1.61</t>
  </si>
  <si>
    <t>https://www.genome.jp/entry/2.1.1.61</t>
  </si>
  <si>
    <t>https://www.genome.jp/entry/R00601</t>
  </si>
  <si>
    <t>C00019 | C11478</t>
  </si>
  <si>
    <t>C00021 | C04728</t>
  </si>
  <si>
    <t>2.1.1.63</t>
  </si>
  <si>
    <t>https://www.genome.jp/entry/2.1.1.63</t>
  </si>
  <si>
    <t>https://www.genome.jp/entry/R04314</t>
  </si>
  <si>
    <t>C04250 | C02743</t>
  </si>
  <si>
    <t>C03800 | C11475</t>
  </si>
  <si>
    <t>2.1.2.1</t>
  </si>
  <si>
    <t>https://www.genome.jp/entry/2.1.2.1</t>
  </si>
  <si>
    <t>https://www.genome.jp/entry/R00945</t>
  </si>
  <si>
    <t>C00143 | C00037 | C00001</t>
  </si>
  <si>
    <t>C00101 | C00065</t>
  </si>
  <si>
    <t>https://www.genome.jp/entry/R09099</t>
  </si>
  <si>
    <t>C00065 | C01217</t>
  </si>
  <si>
    <t>C04377 | C00037 | C00001</t>
  </si>
  <si>
    <t>2.1.2.11</t>
  </si>
  <si>
    <t>https://www.genome.jp/entry/2.1.2.11</t>
  </si>
  <si>
    <t>https://www.genome.jp/entry/R01226</t>
  </si>
  <si>
    <t>C00143 | C00141 | C00001</t>
  </si>
  <si>
    <t>C00101 | C00966</t>
  </si>
  <si>
    <t>https://www.genome.jp/entry/R01216</t>
  </si>
  <si>
    <t>C00966</t>
  </si>
  <si>
    <t>C00141 | C00067</t>
  </si>
  <si>
    <t>2.1.2.2</t>
  </si>
  <si>
    <t>https://www.genome.jp/entry/2.1.2.2</t>
  </si>
  <si>
    <t>https://www.genome.jp/entry/R04325</t>
  </si>
  <si>
    <t>C00234 | C03838</t>
  </si>
  <si>
    <t>C00101 | C04376</t>
  </si>
  <si>
    <t>https://www.genome.jp/entry/R04326</t>
  </si>
  <si>
    <t>C03838 | C00445 | C00001</t>
  </si>
  <si>
    <t>C04376 | C00101</t>
  </si>
  <si>
    <t>2.1.2.3</t>
  </si>
  <si>
    <t>https://www.genome.jp/entry/2.1.2.3</t>
  </si>
  <si>
    <t>https://www.genome.jp/entry/R04560</t>
  </si>
  <si>
    <t>C00234 | C04677</t>
  </si>
  <si>
    <t>C00101 | C04734</t>
  </si>
  <si>
    <t>2.1.2.9</t>
  </si>
  <si>
    <t>https://www.genome.jp/entry/2.1.2.9</t>
  </si>
  <si>
    <t>https://www.genome.jp/entry/R03940</t>
  </si>
  <si>
    <t>C02430 | C00234</t>
  </si>
  <si>
    <t>C00101 | C03294</t>
  </si>
  <si>
    <t>2.1.3.2</t>
  </si>
  <si>
    <t>https://www.genome.jp/entry/2.1.3.2</t>
  </si>
  <si>
    <t>https://www.genome.jp/entry/R01397</t>
  </si>
  <si>
    <t>C00169 | C00049</t>
  </si>
  <si>
    <t>C00009 | C00438</t>
  </si>
  <si>
    <t>2.1.3.3</t>
  </si>
  <si>
    <t>https://www.genome.jp/entry/2.1.3.3</t>
  </si>
  <si>
    <t>https://www.genome.jp/entry/R01398</t>
  </si>
  <si>
    <t>C00169 | C00077</t>
  </si>
  <si>
    <t>C00009 | C00327</t>
  </si>
  <si>
    <t>2.2.1.-</t>
  </si>
  <si>
    <t>2.2.1.1</t>
  </si>
  <si>
    <t>https://www.genome.jp/entry/2.2.1.1</t>
  </si>
  <si>
    <t>https://www.genome.jp/entry/R01641</t>
  </si>
  <si>
    <t>C05382 | C00118</t>
  </si>
  <si>
    <t>C00117 | C00231</t>
  </si>
  <si>
    <t>https://www.genome.jp/entry/R01067</t>
  </si>
  <si>
    <t>C00085 | C00118</t>
  </si>
  <si>
    <t>C00279 | C00231</t>
  </si>
  <si>
    <t>https://www.genome.jp/entry/R01830</t>
  </si>
  <si>
    <t>C05345 | C00118</t>
  </si>
  <si>
    <t>https://www.genome.jp/entry/R06590</t>
  </si>
  <si>
    <t>C12214 | C00117</t>
  </si>
  <si>
    <t>C12215 | C05382</t>
  </si>
  <si>
    <t>https://www.genome.jp/entry/R06861</t>
  </si>
  <si>
    <t>C00231 | C00068</t>
  </si>
  <si>
    <t>C13378 | C00118</t>
  </si>
  <si>
    <t>https://www.genome.jp/entry/R06863</t>
  </si>
  <si>
    <t>C05382 | C00068</t>
  </si>
  <si>
    <t>C13378 | C00117</t>
  </si>
  <si>
    <t>2.2.1.2</t>
  </si>
  <si>
    <t>https://www.genome.jp/entry/2.2.1.2</t>
  </si>
  <si>
    <t>https://www.genome.jp/entry/R08575</t>
  </si>
  <si>
    <t>C00279 | C00085</t>
  </si>
  <si>
    <t>https://www.genome.jp/entry/R01827</t>
  </si>
  <si>
    <t>C00279 | C05345</t>
  </si>
  <si>
    <t>2.2.1.6</t>
  </si>
  <si>
    <t>https://www.genome.jp/entry/2.2.1.6</t>
  </si>
  <si>
    <t>https://www.genome.jp/entry/R00006</t>
  </si>
  <si>
    <t>C00900 | C00011</t>
  </si>
  <si>
    <t>C00022</t>
  </si>
  <si>
    <t>https://www.genome.jp/entry/R00226</t>
  </si>
  <si>
    <t>C06010 | C00011</t>
  </si>
  <si>
    <t>https://www.genome.jp/entry/R00014</t>
  </si>
  <si>
    <t>C00022 | C00068</t>
  </si>
  <si>
    <t>C05125 | C00011</t>
  </si>
  <si>
    <t>https://www.genome.jp/entry/R03050</t>
  </si>
  <si>
    <t>C00900 | C00068</t>
  </si>
  <si>
    <t>C05125 | C00022</t>
  </si>
  <si>
    <t>https://www.genome.jp/entry/R04672</t>
  </si>
  <si>
    <t>C06010 | C00068</t>
  </si>
  <si>
    <t>https://www.genome.jp/entry/R04673</t>
  </si>
  <si>
    <t>C00109 | C05125</t>
  </si>
  <si>
    <t>C06006 | C00068</t>
  </si>
  <si>
    <t>https://www.genome.jp/entry/R08648</t>
  </si>
  <si>
    <t>C00022 | C00109</t>
  </si>
  <si>
    <t>C06006 | C00011</t>
  </si>
  <si>
    <t>2.2.1.7</t>
  </si>
  <si>
    <t>https://www.genome.jp/entry/2.2.1.7</t>
  </si>
  <si>
    <t>https://www.genome.jp/entry/R05636</t>
  </si>
  <si>
    <t>C00022 | C00118</t>
  </si>
  <si>
    <t>C11437 | C00011</t>
  </si>
  <si>
    <t>2.3.-.-</t>
  </si>
  <si>
    <t>2.3.1.-</t>
  </si>
  <si>
    <t>2.3.1.1</t>
  </si>
  <si>
    <t>https://www.genome.jp/entry/2.3.1.1</t>
  </si>
  <si>
    <t>https://www.genome.jp/entry/R00259</t>
  </si>
  <si>
    <t>C00024 | C00025</t>
  </si>
  <si>
    <t>C00010 | C00624</t>
  </si>
  <si>
    <t>2.3.1.15</t>
  </si>
  <si>
    <t>https://www.genome.jp/entry/2.3.1.15</t>
  </si>
  <si>
    <t>https://www.genome.jp/entry/R00851</t>
  </si>
  <si>
    <t>C00093 | C00040</t>
  </si>
  <si>
    <t>C00681 | C00010</t>
  </si>
  <si>
    <t>https://www.genome.jp/entry/R02617</t>
  </si>
  <si>
    <t>C00605 | C00093</t>
  </si>
  <si>
    <t>C00010 | C00681</t>
  </si>
  <si>
    <t>https://www.genome.jp/entry/R09380</t>
  </si>
  <si>
    <t>C00173 | C00093</t>
  </si>
  <si>
    <t>C00681 | C00229</t>
  </si>
  <si>
    <t>2.3.1.157</t>
  </si>
  <si>
    <t>https://www.genome.jp/entry/2.3.1.157</t>
  </si>
  <si>
    <t>https://www.genome.jp/entry/R05332</t>
  </si>
  <si>
    <t>C00024 | C06156</t>
  </si>
  <si>
    <t>C00010 | C04501</t>
  </si>
  <si>
    <t>2.3.1.169</t>
  </si>
  <si>
    <t>https://www.genome.jp/entry/2.3.1.169</t>
  </si>
  <si>
    <t>https://www.genome.jp/entry/R08433</t>
  </si>
  <si>
    <t>C00024 | C06021 | C00080</t>
  </si>
  <si>
    <t>C00237 | C06020 | C00010</t>
  </si>
  <si>
    <t>https://www.genome.jp/entry/R10243</t>
  </si>
  <si>
    <t>C00101 | C00024</t>
  </si>
  <si>
    <t>C00440 | C00010 | C00237</t>
  </si>
  <si>
    <t>2.3.1.179</t>
  </si>
  <si>
    <t>https://www.genome.jp/entry/2.3.1.179</t>
  </si>
  <si>
    <t>https://www.genome.jp/entry/R02768</t>
  </si>
  <si>
    <t>C00173 | C01209</t>
  </si>
  <si>
    <t>C00685 | C00011 | C00229</t>
  </si>
  <si>
    <t>https://www.genome.jp/entry/R04355</t>
  </si>
  <si>
    <t>C03939 | C01209</t>
  </si>
  <si>
    <t>C05744 | C00011 | C00229</t>
  </si>
  <si>
    <t>https://www.genome.jp/entry/R04726</t>
  </si>
  <si>
    <t>C05223 | C01209</t>
  </si>
  <si>
    <t>C05759 | C00011 | C00229</t>
  </si>
  <si>
    <t>https://www.genome.jp/entry/R04952</t>
  </si>
  <si>
    <t>C05745 | C01209</t>
  </si>
  <si>
    <t>C05746 | C00011 | C00229</t>
  </si>
  <si>
    <t>https://www.genome.jp/entry/R04957</t>
  </si>
  <si>
    <t>C05749 | C01209</t>
  </si>
  <si>
    <t>C05750 | C00011 | C00229</t>
  </si>
  <si>
    <t>https://www.genome.jp/entry/R04960</t>
  </si>
  <si>
    <t>C05752 | C01209</t>
  </si>
  <si>
    <t>C05753 | C00011 | C00229</t>
  </si>
  <si>
    <t>https://www.genome.jp/entry/R04963</t>
  </si>
  <si>
    <t>C05755 | C01209</t>
  </si>
  <si>
    <t>C05756 | C00011 | C00229</t>
  </si>
  <si>
    <t>https://www.genome.jp/entry/R04968</t>
  </si>
  <si>
    <t>C05761 | C01209</t>
  </si>
  <si>
    <t>C05762 | C00011 | C00229</t>
  </si>
  <si>
    <t>https://www.genome.jp/entry/R07762</t>
  </si>
  <si>
    <t>C05764 | C01209</t>
  </si>
  <si>
    <t>C16219 | C00229 | C00011</t>
  </si>
  <si>
    <t>https://www.genome.jp/entry/R10115</t>
  </si>
  <si>
    <t>C19673 | C01209</t>
  </si>
  <si>
    <t>C20372 | C00011 | C00229</t>
  </si>
  <si>
    <t>https://www.genome.jp/entry/R10119</t>
  </si>
  <si>
    <t>C20375 | C01209</t>
  </si>
  <si>
    <t>C20376 | C00011 | C00229</t>
  </si>
  <si>
    <t>2.3.1.180</t>
  </si>
  <si>
    <t>https://www.genome.jp/entry/2.3.1.180</t>
  </si>
  <si>
    <t>https://www.genome.jp/entry/R10707</t>
  </si>
  <si>
    <t>C00024 | C01209</t>
  </si>
  <si>
    <t>C05744 | C00010 | C00011</t>
  </si>
  <si>
    <t>2.3.1.19</t>
  </si>
  <si>
    <t>https://www.genome.jp/entry/2.3.1.19</t>
  </si>
  <si>
    <t>https://www.genome.jp/entry/R01174</t>
  </si>
  <si>
    <t>C00136 | C00009</t>
  </si>
  <si>
    <t>C00010 | C02527</t>
  </si>
  <si>
    <t>2.3.1.222</t>
  </si>
  <si>
    <t>https://www.genome.jp/entry/2.3.1.222</t>
  </si>
  <si>
    <t>https://www.genome.jp/entry/R00921</t>
  </si>
  <si>
    <t>C00100 | C00009</t>
  </si>
  <si>
    <t>C02876 | C00010</t>
  </si>
  <si>
    <t>2.3.1.234</t>
  </si>
  <si>
    <t>https://www.genome.jp/entry/2.3.1.234</t>
  </si>
  <si>
    <t>https://www.genome.jp/entry/R10648</t>
  </si>
  <si>
    <t>C20641 | C17324</t>
  </si>
  <si>
    <t>C00020 | C20751</t>
  </si>
  <si>
    <t>2.3.1.263</t>
  </si>
  <si>
    <t>https://www.genome.jp/entry/2.3.1.263</t>
  </si>
  <si>
    <t>https://www.genome.jp/entry/R00399</t>
  </si>
  <si>
    <t>C00133 | C00024</t>
  </si>
  <si>
    <t>C03341 | C00010</t>
  </si>
  <si>
    <t>2.3.1.266</t>
  </si>
  <si>
    <t>https://www.genome.jp/entry/2.3.1.266</t>
  </si>
  <si>
    <t>https://www.genome.jp/entry/R04316</t>
  </si>
  <si>
    <t>C00024 | C03803</t>
  </si>
  <si>
    <t>C00010 | C04341</t>
  </si>
  <si>
    <t>2.3.1.274</t>
  </si>
  <si>
    <t>https://www.genome.jp/entry/2.3.1.274</t>
  </si>
  <si>
    <t>https://www.genome.jp/entry/R12240</t>
  </si>
  <si>
    <t>C00173 | C00009</t>
  </si>
  <si>
    <t>C02133 | C00229</t>
  </si>
  <si>
    <t>2.3.1.286</t>
  </si>
  <si>
    <t>https://www.genome.jp/entry/2.3.1.286</t>
  </si>
  <si>
    <t>https://www.genome.jp/entry/R10634</t>
  </si>
  <si>
    <t>C00003 | C20743 | C00001</t>
  </si>
  <si>
    <t>C00153 | C02188 | C20658 | C00080</t>
  </si>
  <si>
    <t>https://www.genome.jp/entry/R10633</t>
  </si>
  <si>
    <t>C00003 | C01997 | C00001</t>
  </si>
  <si>
    <t>C00153 | C02415 | C20658 | C00080</t>
  </si>
  <si>
    <t>2.3.1.31</t>
  </si>
  <si>
    <t>https://www.genome.jp/entry/2.3.1.31</t>
  </si>
  <si>
    <t>https://www.genome.jp/entry/R01776</t>
  </si>
  <si>
    <t>C00024 | C00263</t>
  </si>
  <si>
    <t>C00010 | C01077</t>
  </si>
  <si>
    <t>2.3.1.311</t>
  </si>
  <si>
    <t>https://www.genome.jp/entry/2.3.1.311</t>
  </si>
  <si>
    <t>2.3.1.35</t>
  </si>
  <si>
    <t>https://www.genome.jp/entry/2.3.1.35</t>
  </si>
  <si>
    <t>https://www.genome.jp/entry/R02282</t>
  </si>
  <si>
    <t>C00437 | C00025</t>
  </si>
  <si>
    <t>C00077 | C00624</t>
  </si>
  <si>
    <t>2.3.1.39</t>
  </si>
  <si>
    <t>https://www.genome.jp/entry/2.3.1.39</t>
  </si>
  <si>
    <t>https://www.genome.jp/entry/R01626</t>
  </si>
  <si>
    <t>C00083 | C00229</t>
  </si>
  <si>
    <t>C00010 | C01209</t>
  </si>
  <si>
    <t>2.3.1.54</t>
  </si>
  <si>
    <t>https://www.genome.jp/entry/2.3.1.54</t>
  </si>
  <si>
    <t>https://www.genome.jp/entry/R00212</t>
  </si>
  <si>
    <t>C00024 | C00058</t>
  </si>
  <si>
    <t>C00010 | C00022</t>
  </si>
  <si>
    <t>https://www.genome.jp/entry/R06987</t>
  </si>
  <si>
    <t>C00109 | C00010</t>
  </si>
  <si>
    <t>C00100 | C00058</t>
  </si>
  <si>
    <t>2.3.1.8</t>
  </si>
  <si>
    <t>https://www.genome.jp/entry/2.3.1.8</t>
  </si>
  <si>
    <t>https://www.genome.jp/entry/R00230</t>
  </si>
  <si>
    <t>C00024 | C00009</t>
  </si>
  <si>
    <t>C00010 | C00227</t>
  </si>
  <si>
    <t>2.3.1.89</t>
  </si>
  <si>
    <t>https://www.genome.jp/entry/2.3.1.89</t>
  </si>
  <si>
    <t>https://www.genome.jp/entry/R04364</t>
  </si>
  <si>
    <t>C03972 | C00024 | C00001</t>
  </si>
  <si>
    <t>C05539 | C00010</t>
  </si>
  <si>
    <t>2.3.1.9</t>
  </si>
  <si>
    <t>https://www.genome.jp/entry/2.3.1.9</t>
  </si>
  <si>
    <t>https://www.genome.jp/entry/R00238</t>
  </si>
  <si>
    <t>C00024</t>
  </si>
  <si>
    <t>C00010 | C00332</t>
  </si>
  <si>
    <t>https://www.genome.jp/entry/R00927</t>
  </si>
  <si>
    <t>C00100 | C00024</t>
  </si>
  <si>
    <t>C00010 | C03344</t>
  </si>
  <si>
    <t>https://www.genome.jp/entry/R01177</t>
  </si>
  <si>
    <t>C00024 | C00136</t>
  </si>
  <si>
    <t>C00010 | C05269</t>
  </si>
  <si>
    <t>2.3.2.-</t>
  </si>
  <si>
    <t>2.3.2.2</t>
  </si>
  <si>
    <t>https://www.genome.jp/entry/2.3.2.2</t>
  </si>
  <si>
    <t>https://www.genome.jp/entry/R04159</t>
  </si>
  <si>
    <t>C03193 | C00045</t>
  </si>
  <si>
    <t>C00012 | C03363</t>
  </si>
  <si>
    <t>https://www.genome.jp/entry/R01262</t>
  </si>
  <si>
    <t>C00051 | C00151</t>
  </si>
  <si>
    <t>C01419 | C03740</t>
  </si>
  <si>
    <t>https://www.genome.jp/entry/R01687</t>
  </si>
  <si>
    <t>C03193 | C00245</t>
  </si>
  <si>
    <t>C00012 | C05844</t>
  </si>
  <si>
    <t>https://www.genome.jp/entry/R03867</t>
  </si>
  <si>
    <t>C02166 | C00045</t>
  </si>
  <si>
    <t>C05951 | C03363</t>
  </si>
  <si>
    <t>https://www.genome.jp/entry/R04935</t>
  </si>
  <si>
    <t>C03193 | C05689</t>
  </si>
  <si>
    <t>C00012 | C05695</t>
  </si>
  <si>
    <t>https://www.genome.jp/entry/R03916</t>
  </si>
  <si>
    <t>C02320 | C00001</t>
  </si>
  <si>
    <t>C05729 | C00025</t>
  </si>
  <si>
    <t>https://www.genome.jp/entry/R03970</t>
  </si>
  <si>
    <t>C02512 | C00025</t>
  </si>
  <si>
    <t>C05711 | C00001</t>
  </si>
  <si>
    <t>https://www.genome.jp/entry/R03971</t>
  </si>
  <si>
    <t>C05670 | C00025</t>
  </si>
  <si>
    <t>C06114 | C00001</t>
  </si>
  <si>
    <t>2.3.3.13</t>
  </si>
  <si>
    <t>https://www.genome.jp/entry/2.3.3.13</t>
  </si>
  <si>
    <t>https://www.genome.jp/entry/R01213</t>
  </si>
  <si>
    <t>C02504 | C00010</t>
  </si>
  <si>
    <t>C00024 | C00141 | C00001</t>
  </si>
  <si>
    <t>2.3.3.14</t>
  </si>
  <si>
    <t>https://www.genome.jp/entry/2.3.3.14</t>
  </si>
  <si>
    <t>https://www.genome.jp/entry/R00271</t>
  </si>
  <si>
    <t>C00024 | C00001 | C00026</t>
  </si>
  <si>
    <t>C01251 | C00010</t>
  </si>
  <si>
    <t>2.4.-.-</t>
  </si>
  <si>
    <t>2.4.1.1</t>
  </si>
  <si>
    <t>https://www.genome.jp/entry/2.4.1.1</t>
  </si>
  <si>
    <t>https://www.genome.jp/entry/R01821</t>
  </si>
  <si>
    <t>C00718 | C00009</t>
  </si>
  <si>
    <t>C00718 | C00103</t>
  </si>
  <si>
    <t>https://www.genome.jp/entry/R06050</t>
  </si>
  <si>
    <t>G10495 | C00009</t>
  </si>
  <si>
    <t>G10495 | C00103</t>
  </si>
  <si>
    <t>https://www.genome.jp/entry/R02111</t>
  </si>
  <si>
    <t>C00369 | C00009</t>
  </si>
  <si>
    <t>https://www.genome.jp/entry/R06185</t>
  </si>
  <si>
    <t>G10545 | C00009</t>
  </si>
  <si>
    <t>2.4.1.21</t>
  </si>
  <si>
    <t>https://www.genome.jp/entry/2.4.1.21</t>
  </si>
  <si>
    <t>https://www.genome.jp/entry/R02421</t>
  </si>
  <si>
    <t>C00498 | C00718</t>
  </si>
  <si>
    <t>C00008 | C00718</t>
  </si>
  <si>
    <t>https://www.genome.jp/entry/R06049</t>
  </si>
  <si>
    <t>G10495 | G11109</t>
  </si>
  <si>
    <t>G10495 | G11113</t>
  </si>
  <si>
    <t>2.4.1.227</t>
  </si>
  <si>
    <t>https://www.genome.jp/entry/2.4.1.227</t>
  </si>
  <si>
    <t>https://www.genome.jp/entry/R05662</t>
  </si>
  <si>
    <t>C04851 | C00043</t>
  </si>
  <si>
    <t>C05893 | C00015</t>
  </si>
  <si>
    <t>https://www.genome.jp/entry/R06173</t>
  </si>
  <si>
    <t>G10552 | G10610</t>
  </si>
  <si>
    <t>G10553 | G10619</t>
  </si>
  <si>
    <t>https://www.genome.jp/entry/R05032</t>
  </si>
  <si>
    <t>C05897 | C00043</t>
  </si>
  <si>
    <t>C05898 | C00015</t>
  </si>
  <si>
    <t>https://www.genome.jp/entry/R06172</t>
  </si>
  <si>
    <t>G10551 | G10610</t>
  </si>
  <si>
    <t>G10550 | G10619</t>
  </si>
  <si>
    <t>https://www.genome.jp/entry/R06174</t>
  </si>
  <si>
    <t>G10556 | G10610</t>
  </si>
  <si>
    <t>G10555 | G10619</t>
  </si>
  <si>
    <t>2.4.2.1</t>
  </si>
  <si>
    <t>https://www.genome.jp/entry/2.4.2.1</t>
  </si>
  <si>
    <t>https://www.genome.jp/entry/R08368</t>
  </si>
  <si>
    <t>C15586 | C00009</t>
  </si>
  <si>
    <t>C15587 | C00620</t>
  </si>
  <si>
    <t>https://www.genome.jp/entry/R10244</t>
  </si>
  <si>
    <t>C20463 | C00009</t>
  </si>
  <si>
    <t>C15587 | C00672</t>
  </si>
  <si>
    <t>https://www.genome.jp/entry/R01561</t>
  </si>
  <si>
    <t>C00212 | C00009</t>
  </si>
  <si>
    <t>C00147 | C00620</t>
  </si>
  <si>
    <t>https://www.genome.jp/entry/R01863</t>
  </si>
  <si>
    <t>C00294 | C00009</t>
  </si>
  <si>
    <t>C00262 | C00620</t>
  </si>
  <si>
    <t>https://www.genome.jp/entry/R02147</t>
  </si>
  <si>
    <t>C00387 | C00009</t>
  </si>
  <si>
    <t>C00242 | C00620</t>
  </si>
  <si>
    <t>https://www.genome.jp/entry/R02297</t>
  </si>
  <si>
    <t>C01762 | C00009</t>
  </si>
  <si>
    <t>C00385 | C00620</t>
  </si>
  <si>
    <t>https://www.genome.jp/entry/R01969</t>
  </si>
  <si>
    <t>C00330 | C00009</t>
  </si>
  <si>
    <t>C00242 | C00672</t>
  </si>
  <si>
    <t>https://www.genome.jp/entry/R02557</t>
  </si>
  <si>
    <t>C00559 | C00009</t>
  </si>
  <si>
    <t>C00147 | C00672</t>
  </si>
  <si>
    <t>https://www.genome.jp/entry/R02748</t>
  </si>
  <si>
    <t>C05512 | C00009</t>
  </si>
  <si>
    <t>C00262 | C00672</t>
  </si>
  <si>
    <t>https://www.genome.jp/entry/R02294</t>
  </si>
  <si>
    <t>C03150 | C00009</t>
  </si>
  <si>
    <t>C00153 | C00620</t>
  </si>
  <si>
    <t>https://www.genome.jp/entry/R02295</t>
  </si>
  <si>
    <t>C05841 | C00009</t>
  </si>
  <si>
    <t>C00253 | C00620 | C00080</t>
  </si>
  <si>
    <t>2.4.2.10</t>
  </si>
  <si>
    <t>https://www.genome.jp/entry/2.4.2.10</t>
  </si>
  <si>
    <t>https://www.genome.jp/entry/R01870</t>
  </si>
  <si>
    <t>C01103 | C00013</t>
  </si>
  <si>
    <t>C00295 | C00119</t>
  </si>
  <si>
    <t>https://www.genome.jp/entry/R08231</t>
  </si>
  <si>
    <t>C07649 | C00119</t>
  </si>
  <si>
    <t>C16634 | C00013</t>
  </si>
  <si>
    <t>2.4.2.14</t>
  </si>
  <si>
    <t>https://www.genome.jp/entry/2.4.2.14</t>
  </si>
  <si>
    <t>https://www.genome.jp/entry/R01072</t>
  </si>
  <si>
    <t>C03090 | C00013 | C00025</t>
  </si>
  <si>
    <t>C00064 | C00119 | C00001</t>
  </si>
  <si>
    <t>2.4.2.17</t>
  </si>
  <si>
    <t>https://www.genome.jp/entry/2.4.2.17</t>
  </si>
  <si>
    <t>https://www.genome.jp/entry/R01071</t>
  </si>
  <si>
    <t>C02739 | C00013</t>
  </si>
  <si>
    <t>C00002 | C00119</t>
  </si>
  <si>
    <t>2.4.2.19</t>
  </si>
  <si>
    <t>https://www.genome.jp/entry/2.4.2.19</t>
  </si>
  <si>
    <t>https://www.genome.jp/entry/R03348</t>
  </si>
  <si>
    <t>C01185 | C00013 | C00011</t>
  </si>
  <si>
    <t>C03722 | C00119</t>
  </si>
  <si>
    <t>2.4.2.2</t>
  </si>
  <si>
    <t>https://www.genome.jp/entry/2.4.2.2</t>
  </si>
  <si>
    <t>https://www.genome.jp/entry/R01876</t>
  </si>
  <si>
    <t>C00299 | C00009</t>
  </si>
  <si>
    <t>C00106 | C00620</t>
  </si>
  <si>
    <t>https://www.genome.jp/entry/R02296</t>
  </si>
  <si>
    <t>C00475 | C00009</t>
  </si>
  <si>
    <t>C00380 | C00620</t>
  </si>
  <si>
    <t>https://www.genome.jp/entry/R02484</t>
  </si>
  <si>
    <t>C00526 | C00009</t>
  </si>
  <si>
    <t>C00106 | C00672</t>
  </si>
  <si>
    <t>https://www.genome.jp/entry/R01570</t>
  </si>
  <si>
    <t>C00214 | C00009</t>
  </si>
  <si>
    <t>C00178 | C00672</t>
  </si>
  <si>
    <t>https://www.genome.jp/entry/R02298</t>
  </si>
  <si>
    <t>C03169 | C00009</t>
  </si>
  <si>
    <t>C00396 | C00620 | C00080</t>
  </si>
  <si>
    <t>2.4.2.21</t>
  </si>
  <si>
    <t>https://www.genome.jp/entry/2.4.2.21</t>
  </si>
  <si>
    <t>https://www.genome.jp/entry/R04148</t>
  </si>
  <si>
    <t>C01185 | C03114</t>
  </si>
  <si>
    <t>C00253 | C04778 | C00080</t>
  </si>
  <si>
    <t>2.4.2.22</t>
  </si>
  <si>
    <t>https://www.genome.jp/entry/2.4.2.22</t>
  </si>
  <si>
    <t>https://www.genome.jp/entry/R02142</t>
  </si>
  <si>
    <t>C00655 | C00013</t>
  </si>
  <si>
    <t>C00385 | C00119</t>
  </si>
  <si>
    <t>https://www.genome.jp/entry/R01229</t>
  </si>
  <si>
    <t>C00144 | C00013</t>
  </si>
  <si>
    <t>C00242 | C00119</t>
  </si>
  <si>
    <t>2.4.2.29</t>
  </si>
  <si>
    <t>https://www.genome.jp/entry/2.4.2.29</t>
  </si>
  <si>
    <t>https://www.genome.jp/entry/R10209</t>
  </si>
  <si>
    <t>C01977 | C16675</t>
  </si>
  <si>
    <t>C20446 | C00242</t>
  </si>
  <si>
    <t>2.4.2.45</t>
  </si>
  <si>
    <t>https://www.genome.jp/entry/2.4.2.45</t>
  </si>
  <si>
    <t>https://www.genome.jp/entry/R10095</t>
  </si>
  <si>
    <t>C02970 | C00119</t>
  </si>
  <si>
    <t>C20352 | C00013</t>
  </si>
  <si>
    <t>2.4.2.7</t>
  </si>
  <si>
    <t>https://www.genome.jp/entry/2.4.2.7</t>
  </si>
  <si>
    <t>https://www.genome.jp/entry/R00190</t>
  </si>
  <si>
    <t>C00020 | C00013</t>
  </si>
  <si>
    <t>C00147 | C00119</t>
  </si>
  <si>
    <t>https://www.genome.jp/entry/R04378</t>
  </si>
  <si>
    <t>C04677 | C00013</t>
  </si>
  <si>
    <t>C04051 | C00119</t>
  </si>
  <si>
    <t>2.4.2.8</t>
  </si>
  <si>
    <t>https://www.genome.jp/entry/2.4.2.8</t>
  </si>
  <si>
    <t>https://www.genome.jp/entry/R01132</t>
  </si>
  <si>
    <t>C00130 | C00013</t>
  </si>
  <si>
    <t>C00262 | C00119</t>
  </si>
  <si>
    <t>https://www.genome.jp/entry/R08237</t>
  </si>
  <si>
    <t>C02380 | C00119</t>
  </si>
  <si>
    <t>C04646 | C00013</t>
  </si>
  <si>
    <t>https://www.genome.jp/entry/R08238</t>
  </si>
  <si>
    <t>C16614 | C00119</t>
  </si>
  <si>
    <t>C16615 | C00013</t>
  </si>
  <si>
    <t>https://www.genome.jp/entry/R08245</t>
  </si>
  <si>
    <t>C07648 | C00119</t>
  </si>
  <si>
    <t>C16619 | C00013</t>
  </si>
  <si>
    <t>2.4.2.9</t>
  </si>
  <si>
    <t>https://www.genome.jp/entry/2.4.2.9</t>
  </si>
  <si>
    <t>https://www.genome.jp/entry/R00966</t>
  </si>
  <si>
    <t>C00105 | C00013</t>
  </si>
  <si>
    <t>C00106 | C00119</t>
  </si>
  <si>
    <t>2.4.99.17</t>
  </si>
  <si>
    <t>https://www.genome.jp/entry/2.4.99.17</t>
  </si>
  <si>
    <t>https://www.genome.jp/entry/R10220</t>
  </si>
  <si>
    <t>C00019 | C20446</t>
  </si>
  <si>
    <t>C00073 | C00147 | C19647</t>
  </si>
  <si>
    <t>2.5.1.-</t>
  </si>
  <si>
    <t>2.5.1.145</t>
  </si>
  <si>
    <t>https://www.genome.jp/entry/2.5.1.145</t>
  </si>
  <si>
    <t>2.5.1.15</t>
  </si>
  <si>
    <t>https://www.genome.jp/entry/2.5.1.15</t>
  </si>
  <si>
    <t>https://www.genome.jp/entry/R03067</t>
  </si>
  <si>
    <t>C04807 | C00568</t>
  </si>
  <si>
    <t>C00013 | C00921</t>
  </si>
  <si>
    <t>https://www.genome.jp/entry/R03066</t>
  </si>
  <si>
    <t>C01300 | C00568</t>
  </si>
  <si>
    <t>C00921 | C00001</t>
  </si>
  <si>
    <t>2.5.1.16</t>
  </si>
  <si>
    <t>https://www.genome.jp/entry/2.5.1.16</t>
  </si>
  <si>
    <t>https://www.genome.jp/entry/R01920</t>
  </si>
  <si>
    <t>C01137 | C00134</t>
  </si>
  <si>
    <t>C00170 | C00315</t>
  </si>
  <si>
    <t>https://www.genome.jp/entry/R08359</t>
  </si>
  <si>
    <t>C01137 | C01672</t>
  </si>
  <si>
    <t>C00170 | C16565</t>
  </si>
  <si>
    <t>2.5.1.19</t>
  </si>
  <si>
    <t>https://www.genome.jp/entry/2.5.1.19</t>
  </si>
  <si>
    <t>https://www.genome.jp/entry/R03460</t>
  </si>
  <si>
    <t>C00074 | C03175</t>
  </si>
  <si>
    <t>C00009 | C01269</t>
  </si>
  <si>
    <t>2.5.1.3</t>
  </si>
  <si>
    <t>https://www.genome.jp/entry/2.5.1.3</t>
  </si>
  <si>
    <t>https://www.genome.jp/entry/R11312</t>
  </si>
  <si>
    <t>C04752 | C20246</t>
  </si>
  <si>
    <t>C00013 | C01081 | C00011</t>
  </si>
  <si>
    <t>https://www.genome.jp/entry/R10712</t>
  </si>
  <si>
    <t>C04752 | C20247</t>
  </si>
  <si>
    <t>C01081 | C00013 | C00011</t>
  </si>
  <si>
    <t>https://www.genome.jp/entry/R03223</t>
  </si>
  <si>
    <t>C04752 | C04327</t>
  </si>
  <si>
    <t>C00013 | C01081</t>
  </si>
  <si>
    <t>2.5.1.47</t>
  </si>
  <si>
    <t>https://www.genome.jp/entry/2.5.1.47</t>
  </si>
  <si>
    <t>https://www.genome.jp/entry/R00897</t>
  </si>
  <si>
    <t>C00979 | C00283</t>
  </si>
  <si>
    <t>C00097 | C00033</t>
  </si>
  <si>
    <t>https://www.genome.jp/entry/R03601</t>
  </si>
  <si>
    <t>C00979 | C01528</t>
  </si>
  <si>
    <t>C05688 | C00033</t>
  </si>
  <si>
    <t>https://www.genome.jp/entry/R04859</t>
  </si>
  <si>
    <t>C00979 | C00320 | C00342 | C00080</t>
  </si>
  <si>
    <t>C00097 | C00094 | C00343 | C00033</t>
  </si>
  <si>
    <t>https://www.genome.jp/entry/R07274</t>
  </si>
  <si>
    <t>C01005 | C00283</t>
  </si>
  <si>
    <t>C00097 | C00009</t>
  </si>
  <si>
    <t>2.5.1.54</t>
  </si>
  <si>
    <t>https://www.genome.jp/entry/2.5.1.54</t>
  </si>
  <si>
    <t>https://www.genome.jp/entry/R01826</t>
  </si>
  <si>
    <t>C00074 | C00279 | C00001</t>
  </si>
  <si>
    <t>C04691 | C00009</t>
  </si>
  <si>
    <t>2.5.1.6</t>
  </si>
  <si>
    <t>https://www.genome.jp/entry/2.5.1.6</t>
  </si>
  <si>
    <t>https://www.genome.jp/entry/R00177</t>
  </si>
  <si>
    <t>C00009 | C00013 | C00019</t>
  </si>
  <si>
    <t>C00002 | C00073 | C00001</t>
  </si>
  <si>
    <t>https://www.genome.jp/entry/R04771</t>
  </si>
  <si>
    <t>C00002 | C05335 | C00001</t>
  </si>
  <si>
    <t>C00009 | C00013 | C05691</t>
  </si>
  <si>
    <t>2.5.1.61</t>
  </si>
  <si>
    <t>https://www.genome.jp/entry/2.5.1.61</t>
  </si>
  <si>
    <t>https://www.genome.jp/entry/R00084</t>
  </si>
  <si>
    <t>C00931 | C00001</t>
  </si>
  <si>
    <t>C01024 | C00014</t>
  </si>
  <si>
    <t>2.5.1.7</t>
  </si>
  <si>
    <t>https://www.genome.jp/entry/2.5.1.7</t>
  </si>
  <si>
    <t>https://www.genome.jp/entry/R00660</t>
  </si>
  <si>
    <t>C00074 | C00043</t>
  </si>
  <si>
    <t>C04631 | C00009</t>
  </si>
  <si>
    <t>2.5.1.72</t>
  </si>
  <si>
    <t>https://www.genome.jp/entry/2.5.1.72</t>
  </si>
  <si>
    <t>https://www.genome.jp/entry/R04292</t>
  </si>
  <si>
    <t>C03722 | C00001 | C00009</t>
  </si>
  <si>
    <t>C05840 | C00111</t>
  </si>
  <si>
    <t>2.5.1.75</t>
  </si>
  <si>
    <t>https://www.genome.jp/entry/2.5.1.75</t>
  </si>
  <si>
    <t>https://www.genome.jp/entry/R01122</t>
  </si>
  <si>
    <t>C00235 | C17324</t>
  </si>
  <si>
    <t>C00013 | C04432</t>
  </si>
  <si>
    <t>2.5.1.78</t>
  </si>
  <si>
    <t>https://www.genome.jp/entry/2.5.1.78</t>
  </si>
  <si>
    <t>https://www.genome.jp/entry/R04457</t>
  </si>
  <si>
    <t>C04732 | C15556</t>
  </si>
  <si>
    <t>C04332 | C00001 | C00009</t>
  </si>
  <si>
    <t>2.5.1.9</t>
  </si>
  <si>
    <t>https://www.genome.jp/entry/2.5.1.9</t>
  </si>
  <si>
    <t>https://www.genome.jp/entry/R00066</t>
  </si>
  <si>
    <t>C04332</t>
  </si>
  <si>
    <t>C00255 | C04732</t>
  </si>
  <si>
    <t>2.6.1.-</t>
  </si>
  <si>
    <t>2.6.1.16</t>
  </si>
  <si>
    <t>https://www.genome.jp/entry/2.6.1.16</t>
  </si>
  <si>
    <t>https://www.genome.jp/entry/R00768</t>
  </si>
  <si>
    <t>C00064 | C00085</t>
  </si>
  <si>
    <t>C00025 | C00352</t>
  </si>
  <si>
    <t>2.6.1.37</t>
  </si>
  <si>
    <t>https://www.genome.jp/entry/2.6.1.37</t>
  </si>
  <si>
    <t>https://www.genome.jp/entry/R04152</t>
  </si>
  <si>
    <t>C03557 | C00022</t>
  </si>
  <si>
    <t>C03167 | C00041</t>
  </si>
  <si>
    <t>2.6.1.85</t>
  </si>
  <si>
    <t>https://www.genome.jp/entry/2.6.1.85</t>
  </si>
  <si>
    <t>https://www.genome.jp/entry/R01716</t>
  </si>
  <si>
    <t>C00251 | C00064</t>
  </si>
  <si>
    <t>C11355 | C00025</t>
  </si>
  <si>
    <t>https://www.genome.jp/entry/R05552</t>
  </si>
  <si>
    <t>C00251 | C00014</t>
  </si>
  <si>
    <t>C11355 | C00001</t>
  </si>
  <si>
    <t>2.6.1.9</t>
  </si>
  <si>
    <t>https://www.genome.jp/entry/2.6.1.9</t>
  </si>
  <si>
    <t>https://www.genome.jp/entry/R03243</t>
  </si>
  <si>
    <t>C01100 | C00026</t>
  </si>
  <si>
    <t>C01267 | C00025</t>
  </si>
  <si>
    <t>https://www.genome.jp/entry/R00694</t>
  </si>
  <si>
    <t>C00079 | C00026</t>
  </si>
  <si>
    <t>C00166 | C00025</t>
  </si>
  <si>
    <t>https://www.genome.jp/entry/R00734</t>
  </si>
  <si>
    <t>C00082 | C00026</t>
  </si>
  <si>
    <t>C01179 | C00025</t>
  </si>
  <si>
    <t>2.7.-.-</t>
  </si>
  <si>
    <t>2.7.1.-</t>
  </si>
  <si>
    <t>2.7.1.107</t>
  </si>
  <si>
    <t>https://www.genome.jp/entry/2.7.1.107</t>
  </si>
  <si>
    <t>https://www.genome.jp/entry/R02240</t>
  </si>
  <si>
    <t>C00002 | C00641</t>
  </si>
  <si>
    <t>C00008 | C00416</t>
  </si>
  <si>
    <t>2.7.1.11</t>
  </si>
  <si>
    <t>https://www.genome.jp/entry/2.7.1.11</t>
  </si>
  <si>
    <t>https://www.genome.jp/entry/R04779</t>
  </si>
  <si>
    <t>C00002 | C05345</t>
  </si>
  <si>
    <t>C00008 | C05378</t>
  </si>
  <si>
    <t>https://www.genome.jp/entry/R00756</t>
  </si>
  <si>
    <t>C00002 | C00085</t>
  </si>
  <si>
    <t>C00008 | C00354</t>
  </si>
  <si>
    <t>https://www.genome.jp/entry/R00767</t>
  </si>
  <si>
    <t>C00063 | C00085</t>
  </si>
  <si>
    <t>C00112 | C00354</t>
  </si>
  <si>
    <t>https://www.genome.jp/entry/R00769</t>
  </si>
  <si>
    <t>C00075 | C00085</t>
  </si>
  <si>
    <t>C00015 | C00354</t>
  </si>
  <si>
    <t>https://www.genome.jp/entry/R00770</t>
  </si>
  <si>
    <t>C00081 | C00085</t>
  </si>
  <si>
    <t>C00104 | C00354</t>
  </si>
  <si>
    <t>https://www.genome.jp/entry/R01843</t>
  </si>
  <si>
    <t>C00002 | C05382</t>
  </si>
  <si>
    <t>C00008 | C00447</t>
  </si>
  <si>
    <t>https://www.genome.jp/entry/R03236</t>
  </si>
  <si>
    <t>C01097 | C00002</t>
  </si>
  <si>
    <t>C03785 | C00008</t>
  </si>
  <si>
    <t>https://www.genome.jp/entry/R03237</t>
  </si>
  <si>
    <t>C00063 | C01097</t>
  </si>
  <si>
    <t>C00112 | C03785</t>
  </si>
  <si>
    <t>https://www.genome.jp/entry/R03238</t>
  </si>
  <si>
    <t>C00075 | C01097</t>
  </si>
  <si>
    <t>C00015 | C03785</t>
  </si>
  <si>
    <t>https://www.genome.jp/entry/R03239</t>
  </si>
  <si>
    <t>C00081 | C01097</t>
  </si>
  <si>
    <t>C00104 | C03785</t>
  </si>
  <si>
    <t>2.7.1.148</t>
  </si>
  <si>
    <t>https://www.genome.jp/entry/2.7.1.148</t>
  </si>
  <si>
    <t>https://www.genome.jp/entry/R05634</t>
  </si>
  <si>
    <t>C11435 | C00002</t>
  </si>
  <si>
    <t>C11436 | C00008</t>
  </si>
  <si>
    <t>2.7.1.15</t>
  </si>
  <si>
    <t>https://www.genome.jp/entry/2.7.1.15</t>
  </si>
  <si>
    <t>https://www.genome.jp/entry/R01051</t>
  </si>
  <si>
    <t>C00002 | C00121</t>
  </si>
  <si>
    <t>C00008 | C00117</t>
  </si>
  <si>
    <t>https://www.genome.jp/entry/R02750</t>
  </si>
  <si>
    <t>C00673 | C00008</t>
  </si>
  <si>
    <t>C01801 | C00002</t>
  </si>
  <si>
    <t>2.7.1.156</t>
  </si>
  <si>
    <t>https://www.genome.jp/entry/2.7.1.156</t>
  </si>
  <si>
    <t>https://www.genome.jp/entry/R05221</t>
  </si>
  <si>
    <t>C06508 | C00002</t>
  </si>
  <si>
    <t>C06509 | C00008</t>
  </si>
  <si>
    <t>https://www.genome.jp/entry/R06558</t>
  </si>
  <si>
    <t>C06508 | C00044</t>
  </si>
  <si>
    <t>C06509 | C00035</t>
  </si>
  <si>
    <t>2.7.1.17</t>
  </si>
  <si>
    <t>https://www.genome.jp/entry/2.7.1.17</t>
  </si>
  <si>
    <t>https://www.genome.jp/entry/R01639</t>
  </si>
  <si>
    <t>C00002 | C00310</t>
  </si>
  <si>
    <t>C00008 | C00231</t>
  </si>
  <si>
    <t>2.7.1.170</t>
  </si>
  <si>
    <t>https://www.genome.jp/entry/2.7.1.170</t>
  </si>
  <si>
    <t>https://www.genome.jp/entry/R12755</t>
  </si>
  <si>
    <t>C00002 | C19769 | C00001</t>
  </si>
  <si>
    <t>C00008 | C16698</t>
  </si>
  <si>
    <t>https://www.genome.jp/entry/R09640</t>
  </si>
  <si>
    <t>C00008 | C19770</t>
  </si>
  <si>
    <t>2.7.1.180</t>
  </si>
  <si>
    <t>https://www.genome.jp/entry/2.7.1.180</t>
  </si>
  <si>
    <t>https://www.genome.jp/entry/R10613</t>
  </si>
  <si>
    <t>C00016 | C19803</t>
  </si>
  <si>
    <t>C20730 | C00020</t>
  </si>
  <si>
    <t>2.7.1.195</t>
  </si>
  <si>
    <t>https://www.genome.jp/entry/2.7.1.195</t>
  </si>
  <si>
    <t>https://www.genome.jp/entry/R11169</t>
  </si>
  <si>
    <t>C04261 | C11544</t>
  </si>
  <si>
    <t>C00615 | C16699</t>
  </si>
  <si>
    <t>2.7.1.199</t>
  </si>
  <si>
    <t>https://www.genome.jp/entry/2.7.1.199</t>
  </si>
  <si>
    <t>https://www.genome.jp/entry/R02738</t>
  </si>
  <si>
    <t>C04261 | C00031</t>
  </si>
  <si>
    <t>C00615 | C00668</t>
  </si>
  <si>
    <t>2.7.1.202</t>
  </si>
  <si>
    <t>https://www.genome.jp/entry/2.7.1.202</t>
  </si>
  <si>
    <t>https://www.genome.jp/entry/R03232</t>
  </si>
  <si>
    <t>C04261 | C00095</t>
  </si>
  <si>
    <t>C00615 | C01094</t>
  </si>
  <si>
    <t>2.7.1.205</t>
  </si>
  <si>
    <t>https://www.genome.jp/entry/2.7.1.205</t>
  </si>
  <si>
    <t>https://www.genome.jp/entry/R11172</t>
  </si>
  <si>
    <t>C04261 | C00185</t>
  </si>
  <si>
    <t>C00615 | C04534</t>
  </si>
  <si>
    <t>2.7.1.24</t>
  </si>
  <si>
    <t>https://www.genome.jp/entry/2.7.1.24</t>
  </si>
  <si>
    <t>https://www.genome.jp/entry/R00130</t>
  </si>
  <si>
    <t>C00002 | C00882</t>
  </si>
  <si>
    <t>C00008 | C00010</t>
  </si>
  <si>
    <t>2.7.1.26</t>
  </si>
  <si>
    <t>https://www.genome.jp/entry/2.7.1.26</t>
  </si>
  <si>
    <t>https://www.genome.jp/entry/R00549</t>
  </si>
  <si>
    <t>C00002 | C00255</t>
  </si>
  <si>
    <t>C00008 | C00061</t>
  </si>
  <si>
    <t>2.7.1.30</t>
  </si>
  <si>
    <t>https://www.genome.jp/entry/2.7.1.30</t>
  </si>
  <si>
    <t>https://www.genome.jp/entry/R00847</t>
  </si>
  <si>
    <t>C00002 | C00116</t>
  </si>
  <si>
    <t>C00008 | C00093</t>
  </si>
  <si>
    <t>2.7.1.33</t>
  </si>
  <si>
    <t>https://www.genome.jp/entry/2.7.1.33</t>
  </si>
  <si>
    <t>https://www.genome.jp/entry/R03018</t>
  </si>
  <si>
    <t>C00002 | C00864</t>
  </si>
  <si>
    <t>C00008 | C03492</t>
  </si>
  <si>
    <t>https://www.genome.jp/entry/R02971</t>
  </si>
  <si>
    <t>C00002 | C00831</t>
  </si>
  <si>
    <t>C00008 | C01134</t>
  </si>
  <si>
    <t>https://www.genome.jp/entry/R04391</t>
  </si>
  <si>
    <t>C00002 | C04079</t>
  </si>
  <si>
    <t>C00008 | C04352</t>
  </si>
  <si>
    <t>2.7.1.35</t>
  </si>
  <si>
    <t>https://www.genome.jp/entry/2.7.1.35</t>
  </si>
  <si>
    <t>https://www.genome.jp/entry/R00174</t>
  </si>
  <si>
    <t>C00002 | C00250</t>
  </si>
  <si>
    <t>C00008 | C00018</t>
  </si>
  <si>
    <t>https://www.genome.jp/entry/R01909</t>
  </si>
  <si>
    <t>C00002 | C00314</t>
  </si>
  <si>
    <t>C00008 | C00627</t>
  </si>
  <si>
    <t>https://www.genome.jp/entry/R02493</t>
  </si>
  <si>
    <t>C00002 | C00534</t>
  </si>
  <si>
    <t>C00008 | C00647</t>
  </si>
  <si>
    <t>2.7.1.39</t>
  </si>
  <si>
    <t>https://www.genome.jp/entry/2.7.1.39</t>
  </si>
  <si>
    <t>https://www.genome.jp/entry/R01771</t>
  </si>
  <si>
    <t>C00002 | C00263</t>
  </si>
  <si>
    <t>C00008 | C01102</t>
  </si>
  <si>
    <t>2.7.1.40</t>
  </si>
  <si>
    <t>https://www.genome.jp/entry/2.7.1.40</t>
  </si>
  <si>
    <t>https://www.genome.jp/entry/R00200</t>
  </si>
  <si>
    <t>C00002 | C00022</t>
  </si>
  <si>
    <t>C00008 | C00074</t>
  </si>
  <si>
    <t>https://www.genome.jp/entry/R00430</t>
  </si>
  <si>
    <t>C00044 | C00022</t>
  </si>
  <si>
    <t>C00035 | C00074</t>
  </si>
  <si>
    <t>https://www.genome.jp/entry/R00572</t>
  </si>
  <si>
    <t>C00063 | C00022</t>
  </si>
  <si>
    <t>C00112 | C00074</t>
  </si>
  <si>
    <t>https://www.genome.jp/entry/R00659</t>
  </si>
  <si>
    <t>C00075 | C00022</t>
  </si>
  <si>
    <t>C00015 | C00074</t>
  </si>
  <si>
    <t>https://www.genome.jp/entry/R00724</t>
  </si>
  <si>
    <t>C00081 | C00022</t>
  </si>
  <si>
    <t>C00104 | C00074</t>
  </si>
  <si>
    <t>https://www.genome.jp/entry/R01138</t>
  </si>
  <si>
    <t>C00131 | C00022</t>
  </si>
  <si>
    <t>C00206 | C00074</t>
  </si>
  <si>
    <t>https://www.genome.jp/entry/R01858</t>
  </si>
  <si>
    <t>C00286 | C00022</t>
  </si>
  <si>
    <t>C00361 | C00074</t>
  </si>
  <si>
    <t>https://www.genome.jp/entry/R02320</t>
  </si>
  <si>
    <t>C00201 | C00022</t>
  </si>
  <si>
    <t>C00454 | C00074</t>
  </si>
  <si>
    <t>2.7.1.49</t>
  </si>
  <si>
    <t>https://www.genome.jp/entry/2.7.1.49</t>
  </si>
  <si>
    <t>https://www.genome.jp/entry/R03471</t>
  </si>
  <si>
    <t>C00002 | C01279</t>
  </si>
  <si>
    <t>C00008 | C04556</t>
  </si>
  <si>
    <t>2.7.1.50</t>
  </si>
  <si>
    <t>https://www.genome.jp/entry/2.7.1.50</t>
  </si>
  <si>
    <t>https://www.genome.jp/entry/R04448</t>
  </si>
  <si>
    <t>C00002 | C04294</t>
  </si>
  <si>
    <t>C00008 | C04327</t>
  </si>
  <si>
    <t>2.7.1.56</t>
  </si>
  <si>
    <t>https://www.genome.jp/entry/2.7.1.56</t>
  </si>
  <si>
    <t>https://www.genome.jp/entry/R13203</t>
  </si>
  <si>
    <t>C00002 | C01094</t>
  </si>
  <si>
    <t>https://www.genome.jp/entry/R02071</t>
  </si>
  <si>
    <t>2.7.1.71</t>
  </si>
  <si>
    <t>https://www.genome.jp/entry/2.7.1.71</t>
  </si>
  <si>
    <t>https://www.genome.jp/entry/R02412</t>
  </si>
  <si>
    <t>C00002 | C00493</t>
  </si>
  <si>
    <t>C00008 | C03175</t>
  </si>
  <si>
    <t>2.7.11.1</t>
  </si>
  <si>
    <t>https://www.genome.jp/entry/2.7.11.1</t>
  </si>
  <si>
    <t>https://www.genome.jp/entry/R00162</t>
  </si>
  <si>
    <t>C00002 | C00017</t>
  </si>
  <si>
    <t>C00008 | C00562</t>
  </si>
  <si>
    <t>https://www.genome.jp/entry/R03632</t>
  </si>
  <si>
    <t>C00002 | C01609</t>
  </si>
  <si>
    <t>C00008 | C02729</t>
  </si>
  <si>
    <t>2.7.11.33</t>
  </si>
  <si>
    <t>https://www.genome.jp/entry/2.7.11.33</t>
  </si>
  <si>
    <t>2.7.13.3</t>
  </si>
  <si>
    <t>https://www.genome.jp/entry/2.7.13.3</t>
  </si>
  <si>
    <t>2.7.14.1</t>
  </si>
  <si>
    <t>https://www.genome.jp/entry/2.7.14.1</t>
  </si>
  <si>
    <t>https://www.genome.jp/entry/R11090</t>
  </si>
  <si>
    <t>C00002 | C00613</t>
  </si>
  <si>
    <t>C00008 | C21101</t>
  </si>
  <si>
    <t>2.7.2.-</t>
  </si>
  <si>
    <t>2.7.2.3</t>
  </si>
  <si>
    <t>https://www.genome.jp/entry/2.7.2.3</t>
  </si>
  <si>
    <t>https://www.genome.jp/entry/R01512</t>
  </si>
  <si>
    <t>C00002 | C00197</t>
  </si>
  <si>
    <t>C00008 | C00236</t>
  </si>
  <si>
    <t>2.7.2.4</t>
  </si>
  <si>
    <t>https://www.genome.jp/entry/2.7.2.4</t>
  </si>
  <si>
    <t>https://www.genome.jp/entry/R00480</t>
  </si>
  <si>
    <t>C00002 | C00049</t>
  </si>
  <si>
    <t>C00008 | C03082</t>
  </si>
  <si>
    <t>2.7.2.7</t>
  </si>
  <si>
    <t>https://www.genome.jp/entry/2.7.2.7</t>
  </si>
  <si>
    <t>https://www.genome.jp/entry/R01688</t>
  </si>
  <si>
    <t>C00002 | C00246</t>
  </si>
  <si>
    <t>C00008 | C02527</t>
  </si>
  <si>
    <t>2.7.2.8</t>
  </si>
  <si>
    <t>https://www.genome.jp/entry/2.7.2.8</t>
  </si>
  <si>
    <t>https://www.genome.jp/entry/R02649</t>
  </si>
  <si>
    <t>C00002 | C00624</t>
  </si>
  <si>
    <t>C00008 | C04133</t>
  </si>
  <si>
    <t>2.7.3.9</t>
  </si>
  <si>
    <t>https://www.genome.jp/entry/2.7.3.9</t>
  </si>
  <si>
    <t>https://www.genome.jp/entry/R02628</t>
  </si>
  <si>
    <t>C00074 | C00615</t>
  </si>
  <si>
    <t>C00022 | C04261</t>
  </si>
  <si>
    <t>2.7.4.22</t>
  </si>
  <si>
    <t>https://www.genome.jp/entry/2.7.4.22</t>
  </si>
  <si>
    <t>https://www.genome.jp/entry/R00158</t>
  </si>
  <si>
    <t>C00002 | C00105</t>
  </si>
  <si>
    <t>C00008 | C00015</t>
  </si>
  <si>
    <t>2.7.4.25</t>
  </si>
  <si>
    <t>https://www.genome.jp/entry/2.7.4.25</t>
  </si>
  <si>
    <t>https://www.genome.jp/entry/R00512</t>
  </si>
  <si>
    <t>C00002 | C00055</t>
  </si>
  <si>
    <t>C00008 | C00112</t>
  </si>
  <si>
    <t>https://www.genome.jp/entry/R01665</t>
  </si>
  <si>
    <t>C00002 | C00239</t>
  </si>
  <si>
    <t>C00008 | C00705</t>
  </si>
  <si>
    <t>2.7.4.28</t>
  </si>
  <si>
    <t>https://www.genome.jp/entry/2.7.4.28</t>
  </si>
  <si>
    <t>2.7.4.3</t>
  </si>
  <si>
    <t>https://www.genome.jp/entry/2.7.4.3</t>
  </si>
  <si>
    <t>https://www.genome.jp/entry/R00127</t>
  </si>
  <si>
    <t>C00002 | C00020</t>
  </si>
  <si>
    <t>C00008</t>
  </si>
  <si>
    <t>https://www.genome.jp/entry/R01547</t>
  </si>
  <si>
    <t>C00002 | C00360</t>
  </si>
  <si>
    <t>C00008 | C00206</t>
  </si>
  <si>
    <t>https://www.genome.jp/entry/R11319</t>
  </si>
  <si>
    <t>C00068 | C00008</t>
  </si>
  <si>
    <t>C03028 | C00020</t>
  </si>
  <si>
    <t>2.7.4.7</t>
  </si>
  <si>
    <t>https://www.genome.jp/entry/2.7.4.7</t>
  </si>
  <si>
    <t>https://www.genome.jp/entry/R04509</t>
  </si>
  <si>
    <t>C00002 | C04556</t>
  </si>
  <si>
    <t>C00008 | C04752</t>
  </si>
  <si>
    <t>2.7.4.8</t>
  </si>
  <si>
    <t>https://www.genome.jp/entry/2.7.4.8</t>
  </si>
  <si>
    <t>https://www.genome.jp/entry/R00332</t>
  </si>
  <si>
    <t>C00002 | C00144</t>
  </si>
  <si>
    <t>C00008 | C00035</t>
  </si>
  <si>
    <t>https://www.genome.jp/entry/R02090</t>
  </si>
  <si>
    <t>C00002 | C00362</t>
  </si>
  <si>
    <t>C00008 | C00361</t>
  </si>
  <si>
    <t>https://www.genome.jp/entry/R12852</t>
  </si>
  <si>
    <t>C22441 | C00002</t>
  </si>
  <si>
    <t>C22442 | C00008</t>
  </si>
  <si>
    <t>2.7.4.9</t>
  </si>
  <si>
    <t>https://www.genome.jp/entry/2.7.4.9</t>
  </si>
  <si>
    <t>https://www.genome.jp/entry/R02094</t>
  </si>
  <si>
    <t>C00002 | C00364</t>
  </si>
  <si>
    <t>C00008 | C00363</t>
  </si>
  <si>
    <t>https://www.genome.jp/entry/R02098</t>
  </si>
  <si>
    <t>C00002 | C00365</t>
  </si>
  <si>
    <t>C00008 | C01346</t>
  </si>
  <si>
    <t>2.7.6.1</t>
  </si>
  <si>
    <t>https://www.genome.jp/entry/2.7.6.1</t>
  </si>
  <si>
    <t>https://www.genome.jp/entry/R01049</t>
  </si>
  <si>
    <t>C00002 | C00117</t>
  </si>
  <si>
    <t>C00020 | C00119</t>
  </si>
  <si>
    <t>2.7.6.2</t>
  </si>
  <si>
    <t>https://www.genome.jp/entry/2.7.6.2</t>
  </si>
  <si>
    <t>https://www.genome.jp/entry/R00619</t>
  </si>
  <si>
    <t>C00002 | C00378</t>
  </si>
  <si>
    <t>C00020 | C00068</t>
  </si>
  <si>
    <t>2.7.6.3</t>
  </si>
  <si>
    <t>https://www.genome.jp/entry/2.7.6.3</t>
  </si>
  <si>
    <t>https://www.genome.jp/entry/R03503</t>
  </si>
  <si>
    <t>C00002 | C01300</t>
  </si>
  <si>
    <t>C00020 | C04807</t>
  </si>
  <si>
    <t>2.7.6.5</t>
  </si>
  <si>
    <t>https://www.genome.jp/entry/2.7.6.5</t>
  </si>
  <si>
    <t>https://www.genome.jp/entry/R00429</t>
  </si>
  <si>
    <t>C00002 | C00044</t>
  </si>
  <si>
    <t>C00020 | C04494</t>
  </si>
  <si>
    <t>2.7.7.-</t>
  </si>
  <si>
    <t>2.7.7.12</t>
  </si>
  <si>
    <t>https://www.genome.jp/entry/2.7.7.12</t>
  </si>
  <si>
    <t>https://www.genome.jp/entry/R00955</t>
  </si>
  <si>
    <t>C00029 | C00446</t>
  </si>
  <si>
    <t>C00103 | C00052</t>
  </si>
  <si>
    <t>2.7.7.18</t>
  </si>
  <si>
    <t>https://www.genome.jp/entry/2.7.7.18</t>
  </si>
  <si>
    <t>https://www.genome.jp/entry/R03005</t>
  </si>
  <si>
    <t>C00002 | C01185</t>
  </si>
  <si>
    <t>C00013 | C00857</t>
  </si>
  <si>
    <t>https://www.genome.jp/entry/R00137</t>
  </si>
  <si>
    <t>C00002 | C00455</t>
  </si>
  <si>
    <t>C00013 | C00003</t>
  </si>
  <si>
    <t>2.7.7.2</t>
  </si>
  <si>
    <t>https://www.genome.jp/entry/2.7.7.2</t>
  </si>
  <si>
    <t>https://www.genome.jp/entry/R00161</t>
  </si>
  <si>
    <t>C00002 | C00061</t>
  </si>
  <si>
    <t>C00013 | C00016</t>
  </si>
  <si>
    <t>2.7.7.23</t>
  </si>
  <si>
    <t>https://www.genome.jp/entry/2.7.7.23</t>
  </si>
  <si>
    <t>https://www.genome.jp/entry/R00416</t>
  </si>
  <si>
    <t>C00075 | C04501</t>
  </si>
  <si>
    <t>C00013 | C00043</t>
  </si>
  <si>
    <t>2.7.7.24</t>
  </si>
  <si>
    <t>https://www.genome.jp/entry/2.7.7.24</t>
  </si>
  <si>
    <t>https://www.genome.jp/entry/R02328</t>
  </si>
  <si>
    <t>C00459 | C00103</t>
  </si>
  <si>
    <t>C00013 | C00842</t>
  </si>
  <si>
    <t>2.7.7.27</t>
  </si>
  <si>
    <t>https://www.genome.jp/entry/2.7.7.27</t>
  </si>
  <si>
    <t>https://www.genome.jp/entry/R00948</t>
  </si>
  <si>
    <t>C00002 | C00103</t>
  </si>
  <si>
    <t>C00013 | C00498</t>
  </si>
  <si>
    <t>2.7.7.3</t>
  </si>
  <si>
    <t>https://www.genome.jp/entry/2.7.7.3</t>
  </si>
  <si>
    <t>https://www.genome.jp/entry/R03035</t>
  </si>
  <si>
    <t>C00002 | C01134</t>
  </si>
  <si>
    <t>C00013 | C00882</t>
  </si>
  <si>
    <t>2.7.7.41</t>
  </si>
  <si>
    <t>https://www.genome.jp/entry/2.7.7.41</t>
  </si>
  <si>
    <t>https://www.genome.jp/entry/R01799</t>
  </si>
  <si>
    <t>C00063 | C00416</t>
  </si>
  <si>
    <t>C00013 | C00269</t>
  </si>
  <si>
    <t>2.7.7.56</t>
  </si>
  <si>
    <t>https://www.genome.jp/entry/2.7.7.56</t>
  </si>
  <si>
    <t>https://www.genome.jp/entry/R07285</t>
  </si>
  <si>
    <t>C00066 | C00009</t>
  </si>
  <si>
    <t>C00066 | C00454</t>
  </si>
  <si>
    <t>2.7.7.6</t>
  </si>
  <si>
    <t>https://www.genome.jp/entry/2.7.7.6</t>
  </si>
  <si>
    <t>https://www.genome.jp/entry/R00444</t>
  </si>
  <si>
    <t>C00201 | C00046</t>
  </si>
  <si>
    <t>C00013 | C00046</t>
  </si>
  <si>
    <t>https://www.genome.jp/entry/R00435</t>
  </si>
  <si>
    <t>C00002 | C00046</t>
  </si>
  <si>
    <t>https://www.genome.jp/entry/R00441</t>
  </si>
  <si>
    <t>C00044 | C00046</t>
  </si>
  <si>
    <t>https://www.genome.jp/entry/R00442</t>
  </si>
  <si>
    <t>C00063 | C00046</t>
  </si>
  <si>
    <t>https://www.genome.jp/entry/R00443</t>
  </si>
  <si>
    <t>C00075 | C00046</t>
  </si>
  <si>
    <t>https://www.genome.jp/entry/R10813</t>
  </si>
  <si>
    <t>C00201</t>
  </si>
  <si>
    <t>C20864 | C00013</t>
  </si>
  <si>
    <t>2.7.7.60</t>
  </si>
  <si>
    <t>https://www.genome.jp/entry/2.7.7.60</t>
  </si>
  <si>
    <t>https://www.genome.jp/entry/R05633</t>
  </si>
  <si>
    <t>C11434 | C00063</t>
  </si>
  <si>
    <t>C11435 | C00013</t>
  </si>
  <si>
    <t>2.7.7.62</t>
  </si>
  <si>
    <t>https://www.genome.jp/entry/2.7.7.62</t>
  </si>
  <si>
    <t>https://www.genome.jp/entry/R05222</t>
  </si>
  <si>
    <t>C06509 | C00044</t>
  </si>
  <si>
    <t>C06510 | C00013</t>
  </si>
  <si>
    <t>2.7.7.65</t>
  </si>
  <si>
    <t>https://www.genome.jp/entry/2.7.7.65</t>
  </si>
  <si>
    <t>https://www.genome.jp/entry/R08057</t>
  </si>
  <si>
    <t>C00044</t>
  </si>
  <si>
    <t>C16463 | C00013</t>
  </si>
  <si>
    <t>2.7.7.7</t>
  </si>
  <si>
    <t>https://www.genome.jp/entry/2.7.7.7</t>
  </si>
  <si>
    <t>https://www.genome.jp/entry/R00379</t>
  </si>
  <si>
    <t>C00677 | C00039</t>
  </si>
  <si>
    <t>C00013 | C00039</t>
  </si>
  <si>
    <t>https://www.genome.jp/entry/R00375</t>
  </si>
  <si>
    <t>C00131 | C00039</t>
  </si>
  <si>
    <t>https://www.genome.jp/entry/R00376</t>
  </si>
  <si>
    <t>C00286 | C00039</t>
  </si>
  <si>
    <t>https://www.genome.jp/entry/R00377</t>
  </si>
  <si>
    <t>C00458 | C00039</t>
  </si>
  <si>
    <t>https://www.genome.jp/entry/R00378</t>
  </si>
  <si>
    <t>C00459 | C00039</t>
  </si>
  <si>
    <t>https://www.genome.jp/entry/R11029</t>
  </si>
  <si>
    <t>C11039</t>
  </si>
  <si>
    <t>C21031</t>
  </si>
  <si>
    <t>2.7.7.72</t>
  </si>
  <si>
    <t>https://www.genome.jp/entry/2.7.7.72</t>
  </si>
  <si>
    <t>https://www.genome.jp/entry/R09382</t>
  </si>
  <si>
    <t>C02211 | C00063 | C00002</t>
  </si>
  <si>
    <t>C19085 | C00013</t>
  </si>
  <si>
    <t>https://www.genome.jp/entry/R09383</t>
  </si>
  <si>
    <t>C02211 | C00063</t>
  </si>
  <si>
    <t>C19078 | C00013</t>
  </si>
  <si>
    <t>https://www.genome.jp/entry/R09384</t>
  </si>
  <si>
    <t>C19078 | C00063</t>
  </si>
  <si>
    <t>C19080 | C00013</t>
  </si>
  <si>
    <t>https://www.genome.jp/entry/R09386</t>
  </si>
  <si>
    <t>C19080 | C00002</t>
  </si>
  <si>
    <t>2.7.7.76</t>
  </si>
  <si>
    <t>https://www.genome.jp/entry/2.7.7.76</t>
  </si>
  <si>
    <t>https://www.genome.jp/entry/R11582</t>
  </si>
  <si>
    <t>C18237 | C00063</t>
  </si>
  <si>
    <t>C21485 | C00013</t>
  </si>
  <si>
    <t>2.7.7.77</t>
  </si>
  <si>
    <t>https://www.genome.jp/entry/2.7.7.77</t>
  </si>
  <si>
    <t>https://www.genome.jp/entry/R11581</t>
  </si>
  <si>
    <t>C18237 | C00044</t>
  </si>
  <si>
    <t>C19871 | C00013</t>
  </si>
  <si>
    <t>2.7.7.8</t>
  </si>
  <si>
    <t>https://www.genome.jp/entry/2.7.7.8</t>
  </si>
  <si>
    <t>https://www.genome.jp/entry/R07282</t>
  </si>
  <si>
    <t>C00046 | C00009</t>
  </si>
  <si>
    <t>C00046 | C00454</t>
  </si>
  <si>
    <t>https://www.genome.jp/entry/R00437</t>
  </si>
  <si>
    <t>C00046 | C00008</t>
  </si>
  <si>
    <t>https://www.genome.jp/entry/R00438</t>
  </si>
  <si>
    <t>C00046 | C00015</t>
  </si>
  <si>
    <t>https://www.genome.jp/entry/R00439</t>
  </si>
  <si>
    <t>C00046 | C00035</t>
  </si>
  <si>
    <t>https://www.genome.jp/entry/R00440</t>
  </si>
  <si>
    <t>C00046 | C00112</t>
  </si>
  <si>
    <t>2.7.7.85</t>
  </si>
  <si>
    <t>https://www.genome.jp/entry/2.7.7.85</t>
  </si>
  <si>
    <t>https://www.genome.jp/entry/R10342</t>
  </si>
  <si>
    <t>C00002</t>
  </si>
  <si>
    <t>C00013 | C20565</t>
  </si>
  <si>
    <t>2.7.7.87</t>
  </si>
  <si>
    <t>https://www.genome.jp/entry/2.7.7.87</t>
  </si>
  <si>
    <t>https://www.genome.jp/entry/R10463</t>
  </si>
  <si>
    <t>C00188 | C00002 | C00288 | C00080</t>
  </si>
  <si>
    <t>C20641 | C00013 | C00001</t>
  </si>
  <si>
    <t>2.7.7.9</t>
  </si>
  <si>
    <t>https://www.genome.jp/entry/2.7.7.9</t>
  </si>
  <si>
    <t>https://www.genome.jp/entry/R00289</t>
  </si>
  <si>
    <t>C00075 | C00103</t>
  </si>
  <si>
    <t>C00013 | C00029</t>
  </si>
  <si>
    <t>2.7.8.-</t>
  </si>
  <si>
    <t>2.7.8.13</t>
  </si>
  <si>
    <t>https://www.genome.jp/entry/2.7.8.13</t>
  </si>
  <si>
    <t>https://www.genome.jp/entry/R05629</t>
  </si>
  <si>
    <t>C04702 | C17556</t>
  </si>
  <si>
    <t>C00105 | C04851</t>
  </si>
  <si>
    <t>https://www.genome.jp/entry/R05630</t>
  </si>
  <si>
    <t>C04882 | C17556</t>
  </si>
  <si>
    <t>C00105 | C05897</t>
  </si>
  <si>
    <t>2.7.8.26</t>
  </si>
  <si>
    <t>https://www.genome.jp/entry/2.7.8.26</t>
  </si>
  <si>
    <t>https://www.genome.jp/entry/R05223</t>
  </si>
  <si>
    <t>C00194 | C00144</t>
  </si>
  <si>
    <t>C06510 | C05775</t>
  </si>
  <si>
    <t>https://www.genome.jp/entry/R11174</t>
  </si>
  <si>
    <t>C06510 | C04778</t>
  </si>
  <si>
    <t>C00144 | C21153</t>
  </si>
  <si>
    <t>2.7.8.37</t>
  </si>
  <si>
    <t>https://www.genome.jp/entry/2.7.8.37</t>
  </si>
  <si>
    <t>https://www.genome.jp/entry/R10185</t>
  </si>
  <si>
    <t>C00002 | C20396</t>
  </si>
  <si>
    <t>C20422 | C00147</t>
  </si>
  <si>
    <t>2.7.8.5</t>
  </si>
  <si>
    <t>https://www.genome.jp/entry/2.7.8.5</t>
  </si>
  <si>
    <t>https://www.genome.jp/entry/R01801</t>
  </si>
  <si>
    <t>C00269 | C00093</t>
  </si>
  <si>
    <t>C00055 | C03892</t>
  </si>
  <si>
    <t>2.7.8.7</t>
  </si>
  <si>
    <t>https://www.genome.jp/entry/2.7.8.7</t>
  </si>
  <si>
    <t>https://www.genome.jp/entry/R01625</t>
  </si>
  <si>
    <t>C00010 | C03688</t>
  </si>
  <si>
    <t>C00054 | C00229</t>
  </si>
  <si>
    <t>2.7.9.1</t>
  </si>
  <si>
    <t>https://www.genome.jp/entry/2.7.9.1</t>
  </si>
  <si>
    <t>https://www.genome.jp/entry/R00206</t>
  </si>
  <si>
    <t>C00002 | C00022 | C00009</t>
  </si>
  <si>
    <t>C00020 | C00074 | C00013</t>
  </si>
  <si>
    <t>2.7.9.3</t>
  </si>
  <si>
    <t>https://www.genome.jp/entry/2.7.9.3</t>
  </si>
  <si>
    <t>https://www.genome.jp/entry/R03595</t>
  </si>
  <si>
    <t>C00002 | C01528 | C00001</t>
  </si>
  <si>
    <t>C00020 | C05172 | C00009</t>
  </si>
  <si>
    <t>2.8.1.-</t>
  </si>
  <si>
    <t>2.8.1.10</t>
  </si>
  <si>
    <t>https://www.genome.jp/entry/2.8.1.10</t>
  </si>
  <si>
    <t>https://www.genome.jp/entry/R10247</t>
  </si>
  <si>
    <t>C11437 | C15809 | C15814</t>
  </si>
  <si>
    <t>C20246 | C15810 | C00001</t>
  </si>
  <si>
    <t>2.8.1.13</t>
  </si>
  <si>
    <t>https://www.genome.jp/entry/2.8.1.13</t>
  </si>
  <si>
    <t>https://www.genome.jp/entry/R08700</t>
  </si>
  <si>
    <t>C00868 | C15812 | C00002</t>
  </si>
  <si>
    <t>C17322 | C15811 | C00020 | C00013</t>
  </si>
  <si>
    <t>2.8.1.4</t>
  </si>
  <si>
    <t>https://www.genome.jp/entry/2.8.1.4</t>
  </si>
  <si>
    <t>https://www.genome.jp/entry/R03923</t>
  </si>
  <si>
    <t>C00097 | C02342</t>
  </si>
  <si>
    <t>C00065 | C04161</t>
  </si>
  <si>
    <t>https://www.genome.jp/entry/R07461</t>
  </si>
  <si>
    <t>C15812 | C15813 | C00030</t>
  </si>
  <si>
    <t>C00020 | C15814 | C15811 | C00028</t>
  </si>
  <si>
    <t>2.8.1.6</t>
  </si>
  <si>
    <t>https://www.genome.jp/entry/2.8.1.6</t>
  </si>
  <si>
    <t>https://www.genome.jp/entry/R01078</t>
  </si>
  <si>
    <t>C01909 | C17023 | C00019 | C05359 | C00080</t>
  </si>
  <si>
    <t>C00120 | C00073 | C05198</t>
  </si>
  <si>
    <t>2.8.1.7</t>
  </si>
  <si>
    <t>https://www.genome.jp/entry/2.8.1.7</t>
  </si>
  <si>
    <t>https://www.genome.jp/entry/R11528</t>
  </si>
  <si>
    <t>C00097 | C02743</t>
  </si>
  <si>
    <t>C00041 | C21440</t>
  </si>
  <si>
    <t>https://www.genome.jp/entry/R07460</t>
  </si>
  <si>
    <t>C15811 | C00097</t>
  </si>
  <si>
    <t>C15812 | C00041</t>
  </si>
  <si>
    <t>https://www.genome.jp/entry/R11529</t>
  </si>
  <si>
    <t>C15812 | C02743</t>
  </si>
  <si>
    <t>C15811 | C21440</t>
  </si>
  <si>
    <t>2.8.3.-</t>
  </si>
  <si>
    <t>2.8.4.3</t>
  </si>
  <si>
    <t>https://www.genome.jp/entry/2.8.4.3</t>
  </si>
  <si>
    <t>https://www.genome.jp/entry/R10645</t>
  </si>
  <si>
    <t>C04432 | C17023 | C00019</t>
  </si>
  <si>
    <t>C20753 | C00021 | C00073 | C05198</t>
  </si>
  <si>
    <t>https://www.genome.jp/entry/R10646</t>
  </si>
  <si>
    <t>C20755 | C00073 | C05198</t>
  </si>
  <si>
    <t>https://www.genome.jp/entry/R10647</t>
  </si>
  <si>
    <t>C20755 | C00019</t>
  </si>
  <si>
    <t>C20753 | C00021</t>
  </si>
  <si>
    <t>2.8.4.4</t>
  </si>
  <si>
    <t>https://www.genome.jp/entry/2.8.4.4</t>
  </si>
  <si>
    <t>https://www.genome.jp/entry/R10652</t>
  </si>
  <si>
    <t>C20756 | C17023 | C00019 | C00030</t>
  </si>
  <si>
    <t>C20758 | C00021 | C00073 | C05198 | C00028</t>
  </si>
  <si>
    <t>2.9.1.1</t>
  </si>
  <si>
    <t>https://www.genome.jp/entry/2.9.1.1</t>
  </si>
  <si>
    <t>https://www.genome.jp/entry/R08219</t>
  </si>
  <si>
    <t>C06481 | C05172</t>
  </si>
  <si>
    <t>C06482 | C00009</t>
  </si>
  <si>
    <t>3.-.-.-</t>
  </si>
  <si>
    <t>3.1.-.-</t>
  </si>
  <si>
    <t>3.1.1.-</t>
  </si>
  <si>
    <t>3.1.1.29</t>
  </si>
  <si>
    <t>https://www.genome.jp/entry/3.1.1.29</t>
  </si>
  <si>
    <t>https://www.genome.jp/entry/R04238</t>
  </si>
  <si>
    <t>C03880 | C00001</t>
  </si>
  <si>
    <t>C03523 | C00066</t>
  </si>
  <si>
    <t>3.1.1.96</t>
  </si>
  <si>
    <t>https://www.genome.jp/entry/3.1.1.96</t>
  </si>
  <si>
    <t>3.1.11.-</t>
  </si>
  <si>
    <t>3.1.11.2</t>
  </si>
  <si>
    <t>https://www.genome.jp/entry/3.1.11.2</t>
  </si>
  <si>
    <t>3.1.11.6</t>
  </si>
  <si>
    <t>https://www.genome.jp/entry/3.1.11.6</t>
  </si>
  <si>
    <t>3.1.12.1</t>
  </si>
  <si>
    <t>https://www.genome.jp/entry/3.1.12.1</t>
  </si>
  <si>
    <t>3.1.13.1</t>
  </si>
  <si>
    <t>https://www.genome.jp/entry/3.1.13.1</t>
  </si>
  <si>
    <t>3.1.2.-</t>
  </si>
  <si>
    <t>3.1.21.-</t>
  </si>
  <si>
    <t>3.1.21.10</t>
  </si>
  <si>
    <t>https://www.genome.jp/entry/3.1.21.10</t>
  </si>
  <si>
    <t>3.1.21.2</t>
  </si>
  <si>
    <t>https://www.genome.jp/entry/3.1.21.2</t>
  </si>
  <si>
    <t>3.1.25.-</t>
  </si>
  <si>
    <t>3.1.26.-</t>
  </si>
  <si>
    <t>3.1.26.11</t>
  </si>
  <si>
    <t>https://www.genome.jp/entry/3.1.26.11</t>
  </si>
  <si>
    <t>3.1.26.3</t>
  </si>
  <si>
    <t>https://www.genome.jp/entry/3.1.26.3</t>
  </si>
  <si>
    <t>3.1.26.4</t>
  </si>
  <si>
    <t>https://www.genome.jp/entry/3.1.26.4</t>
  </si>
  <si>
    <t>3.1.26.5</t>
  </si>
  <si>
    <t>https://www.genome.jp/entry/3.1.26.5</t>
  </si>
  <si>
    <t>3.1.26.8</t>
  </si>
  <si>
    <t>https://www.genome.jp/entry/3.1.26.8</t>
  </si>
  <si>
    <t>3.1.3.-</t>
  </si>
  <si>
    <t>3.1.3.15</t>
  </si>
  <si>
    <t>https://www.genome.jp/entry/3.1.3.15</t>
  </si>
  <si>
    <t>https://www.genome.jp/entry/R03013</t>
  </si>
  <si>
    <t>C01100 | C00001</t>
  </si>
  <si>
    <t>C00860 | C00009</t>
  </si>
  <si>
    <t>3.1.3.16</t>
  </si>
  <si>
    <t>https://www.genome.jp/entry/3.1.3.16</t>
  </si>
  <si>
    <t>https://www.genome.jp/entry/R00164</t>
  </si>
  <si>
    <t>C00562 | C00001</t>
  </si>
  <si>
    <t>C00017 | C00009</t>
  </si>
  <si>
    <t>3.1.3.23</t>
  </si>
  <si>
    <t>https://www.genome.jp/entry/3.1.3.23</t>
  </si>
  <si>
    <t>https://www.genome.jp/entry/R00804</t>
  </si>
  <si>
    <t>C00934 | C00001</t>
  </si>
  <si>
    <t>C11477 | C00009</t>
  </si>
  <si>
    <t>3.1.3.48</t>
  </si>
  <si>
    <t>https://www.genome.jp/entry/3.1.3.48</t>
  </si>
  <si>
    <t>https://www.genome.jp/entry/R02585</t>
  </si>
  <si>
    <t>C01167 | C00001</t>
  </si>
  <si>
    <t>C00585 | C00009</t>
  </si>
  <si>
    <t>3.1.3.5</t>
  </si>
  <si>
    <t>https://www.genome.jp/entry/3.1.3.5</t>
  </si>
  <si>
    <t>https://www.genome.jp/entry/R07297</t>
  </si>
  <si>
    <t>C02520 | C00001</t>
  </si>
  <si>
    <t>C00911 | C00009</t>
  </si>
  <si>
    <t>https://www.genome.jp/entry/R00183</t>
  </si>
  <si>
    <t>C00020 | C00001</t>
  </si>
  <si>
    <t>https://www.genome.jp/entry/R00511</t>
  </si>
  <si>
    <t>C00055 | C00001</t>
  </si>
  <si>
    <t>https://www.genome.jp/entry/R00963</t>
  </si>
  <si>
    <t>C00105 | C00001</t>
  </si>
  <si>
    <t>https://www.genome.jp/entry/R01126</t>
  </si>
  <si>
    <t>C00130 | C00001</t>
  </si>
  <si>
    <t>https://www.genome.jp/entry/R01227</t>
  </si>
  <si>
    <t>C00144 | C00001</t>
  </si>
  <si>
    <t>https://www.genome.jp/entry/R02323</t>
  </si>
  <si>
    <t>C00455 | C00001</t>
  </si>
  <si>
    <t>https://www.genome.jp/entry/R02719</t>
  </si>
  <si>
    <t>C00655 | C00001</t>
  </si>
  <si>
    <t>https://www.genome.jp/entry/R03346</t>
  </si>
  <si>
    <t>C01185 | C00001</t>
  </si>
  <si>
    <t>https://www.genome.jp/entry/R01569</t>
  </si>
  <si>
    <t>C00364 | C00001</t>
  </si>
  <si>
    <t>https://www.genome.jp/entry/R01664</t>
  </si>
  <si>
    <t>C00239 | C00001</t>
  </si>
  <si>
    <t>C00881 | C00009</t>
  </si>
  <si>
    <t>https://www.genome.jp/entry/R01968</t>
  </si>
  <si>
    <t>C00362 | C00001</t>
  </si>
  <si>
    <t>https://www.genome.jp/entry/R02088</t>
  </si>
  <si>
    <t>C00360 | C00001</t>
  </si>
  <si>
    <t>https://www.genome.jp/entry/R02102</t>
  </si>
  <si>
    <t>C00365 | C00001</t>
  </si>
  <si>
    <t>https://www.genome.jp/entry/R12958</t>
  </si>
  <si>
    <t>C06196 | C00001</t>
  </si>
  <si>
    <t>3.1.4.-</t>
  </si>
  <si>
    <t>3.1.4.52</t>
  </si>
  <si>
    <t>https://www.genome.jp/entry/3.1.4.52</t>
  </si>
  <si>
    <t>https://www.genome.jp/entry/R08991</t>
  </si>
  <si>
    <t>C16463 | C00001</t>
  </si>
  <si>
    <t>C18076</t>
  </si>
  <si>
    <t>3.2.-.-</t>
  </si>
  <si>
    <t>3.2.1.-</t>
  </si>
  <si>
    <t>3.2.1.170</t>
  </si>
  <si>
    <t>https://www.genome.jp/entry/3.2.1.170</t>
  </si>
  <si>
    <t>https://www.genome.jp/entry/R12095</t>
  </si>
  <si>
    <t>C11544 | C00001</t>
  </si>
  <si>
    <t>C00159 | C00258</t>
  </si>
  <si>
    <t>3.2.1.20</t>
  </si>
  <si>
    <t>https://www.genome.jp/entry/3.2.1.20</t>
  </si>
  <si>
    <t>https://www.genome.jp/entry/R00028</t>
  </si>
  <si>
    <t>C00208 | C00001</t>
  </si>
  <si>
    <t>C00031</t>
  </si>
  <si>
    <t>https://www.genome.jp/entry/R00801</t>
  </si>
  <si>
    <t>C00089 | C00001</t>
  </si>
  <si>
    <t>C00095 | C00031</t>
  </si>
  <si>
    <t>https://www.genome.jp/entry/R00802</t>
  </si>
  <si>
    <t>C02336 | C00267</t>
  </si>
  <si>
    <t>https://www.genome.jp/entry/R06084</t>
  </si>
  <si>
    <t>G00275 | C00001</t>
  </si>
  <si>
    <t>C00267</t>
  </si>
  <si>
    <t>https://www.genome.jp/entry/R06087</t>
  </si>
  <si>
    <t>G00370 | C00001</t>
  </si>
  <si>
    <t>https://www.genome.jp/entry/R06088</t>
  </si>
  <si>
    <t>3.2.1.86</t>
  </si>
  <si>
    <t>https://www.genome.jp/entry/3.2.1.86</t>
  </si>
  <si>
    <t>https://www.genome.jp/entry/R00839</t>
  </si>
  <si>
    <t>C04534 | C00001</t>
  </si>
  <si>
    <t>C00031 | C00092</t>
  </si>
  <si>
    <t>https://www.genome.jp/entry/R06112</t>
  </si>
  <si>
    <t>G10518 | C00001</t>
  </si>
  <si>
    <t>https://www.genome.jp/entry/R05133</t>
  </si>
  <si>
    <t>C06187 | C00001</t>
  </si>
  <si>
    <t>C00530 | C01172</t>
  </si>
  <si>
    <t>https://www.genome.jp/entry/R05134</t>
  </si>
  <si>
    <t>C06188 | C00001</t>
  </si>
  <si>
    <t>C02323 | C01172</t>
  </si>
  <si>
    <t>3.2.1.93</t>
  </si>
  <si>
    <t>https://www.genome.jp/entry/3.2.1.93</t>
  </si>
  <si>
    <t>https://www.genome.jp/entry/R00837</t>
  </si>
  <si>
    <t>C00001 | C00689</t>
  </si>
  <si>
    <t>https://www.genome.jp/entry/R06113</t>
  </si>
  <si>
    <t>C00001 | G09795</t>
  </si>
  <si>
    <t>3.2.2.-</t>
  </si>
  <si>
    <t>3.2.2.27</t>
  </si>
  <si>
    <t>https://www.genome.jp/entry/3.2.2.27</t>
  </si>
  <si>
    <t>3.2.2.9</t>
  </si>
  <si>
    <t>https://www.genome.jp/entry/3.2.2.9</t>
  </si>
  <si>
    <t>https://www.genome.jp/entry/R00194</t>
  </si>
  <si>
    <t>C00021 | C00001</t>
  </si>
  <si>
    <t>C03539 | C00147</t>
  </si>
  <si>
    <t>https://www.genome.jp/entry/R12621</t>
  </si>
  <si>
    <t>C05198 | C00001</t>
  </si>
  <si>
    <t>C22288 | C00147</t>
  </si>
  <si>
    <t>https://www.genome.jp/entry/R01401</t>
  </si>
  <si>
    <t>C00170 | C00001</t>
  </si>
  <si>
    <t>C00147 | C03089</t>
  </si>
  <si>
    <t>3.4.-.-</t>
  </si>
  <si>
    <t>3.4.11.-</t>
  </si>
  <si>
    <t>3.4.11.1</t>
  </si>
  <si>
    <t>https://www.genome.jp/entry/3.4.11.1</t>
  </si>
  <si>
    <t>https://www.genome.jp/entry/R00899</t>
  </si>
  <si>
    <t>C01419 | C00001</t>
  </si>
  <si>
    <t>C00097 | C00037</t>
  </si>
  <si>
    <t>https://www.genome.jp/entry/R04951</t>
  </si>
  <si>
    <t>C05729 | C00001</t>
  </si>
  <si>
    <t>C05726 | C00037</t>
  </si>
  <si>
    <t>3.4.11.18</t>
  </si>
  <si>
    <t>https://www.genome.jp/entry/3.4.11.18</t>
  </si>
  <si>
    <t>3.4.11.4</t>
  </si>
  <si>
    <t>https://www.genome.jp/entry/3.4.11.4</t>
  </si>
  <si>
    <t>3.4.11.5</t>
  </si>
  <si>
    <t>https://www.genome.jp/entry/3.4.11.5</t>
  </si>
  <si>
    <t>https://www.genome.jp/entry/R00135</t>
  </si>
  <si>
    <t>C00012 | C00001</t>
  </si>
  <si>
    <t>C00148 | C00012</t>
  </si>
  <si>
    <t>3.4.11.9</t>
  </si>
  <si>
    <t>https://www.genome.jp/entry/3.4.11.9</t>
  </si>
  <si>
    <t>3.4.13.-</t>
  </si>
  <si>
    <t>3.4.16.4</t>
  </si>
  <si>
    <t>https://www.genome.jp/entry/3.4.16.4</t>
  </si>
  <si>
    <t>3.4.17.-</t>
  </si>
  <si>
    <t>3.4.19.3</t>
  </si>
  <si>
    <t>https://www.genome.jp/entry/3.4.19.3</t>
  </si>
  <si>
    <t>3.4.21.-</t>
  </si>
  <si>
    <t>3.4.21.53</t>
  </si>
  <si>
    <t>https://www.genome.jp/entry/3.4.21.53</t>
  </si>
  <si>
    <t>3.4.21.88</t>
  </si>
  <si>
    <t>https://www.genome.jp/entry/3.4.21.88</t>
  </si>
  <si>
    <t>3.4.21.89</t>
  </si>
  <si>
    <t>https://www.genome.jp/entry/3.4.21.89</t>
  </si>
  <si>
    <t>3.4.21.92</t>
  </si>
  <si>
    <t>https://www.genome.jp/entry/3.4.21.92</t>
  </si>
  <si>
    <t>3.4.22.-</t>
  </si>
  <si>
    <t>3.4.23.36</t>
  </si>
  <si>
    <t>https://www.genome.jp/entry/3.4.23.36</t>
  </si>
  <si>
    <t>3.4.23.43</t>
  </si>
  <si>
    <t>https://www.genome.jp/entry/3.4.23.43</t>
  </si>
  <si>
    <t>3.4.24.-</t>
  </si>
  <si>
    <t>3.4.24.78</t>
  </si>
  <si>
    <t>https://www.genome.jp/entry/3.4.24.78</t>
  </si>
  <si>
    <t>3.4.26.-</t>
  </si>
  <si>
    <t>3.5.-.-</t>
  </si>
  <si>
    <t>3.5.1.-</t>
  </si>
  <si>
    <t>3.5.1.1</t>
  </si>
  <si>
    <t>https://www.genome.jp/entry/3.5.1.1</t>
  </si>
  <si>
    <t>https://www.genome.jp/entry/R00485</t>
  </si>
  <si>
    <t>C00152 | C00001</t>
  </si>
  <si>
    <t>C00049 | C00014</t>
  </si>
  <si>
    <t>https://www.genome.jp/entry/R06134</t>
  </si>
  <si>
    <t>C00241 | C00001</t>
  </si>
  <si>
    <t>C00060 | C00014</t>
  </si>
  <si>
    <t>3.5.1.105</t>
  </si>
  <si>
    <t>https://www.genome.jp/entry/3.5.1.105</t>
  </si>
  <si>
    <t>https://www.genome.jp/entry/R11889</t>
  </si>
  <si>
    <t>C01674 | C00001</t>
  </si>
  <si>
    <t>C21747 | C00033</t>
  </si>
  <si>
    <t>3.5.1.2</t>
  </si>
  <si>
    <t>https://www.genome.jp/entry/3.5.1.2</t>
  </si>
  <si>
    <t>https://www.genome.jp/entry/R01579</t>
  </si>
  <si>
    <t>C00819 | C00001</t>
  </si>
  <si>
    <t>C00217 | C00014</t>
  </si>
  <si>
    <t>3.5.1.25</t>
  </si>
  <si>
    <t>https://www.genome.jp/entry/3.5.1.25</t>
  </si>
  <si>
    <t>https://www.genome.jp/entry/R02059</t>
  </si>
  <si>
    <t>C00357 | C00001</t>
  </si>
  <si>
    <t>C00352 | C00033</t>
  </si>
  <si>
    <t>3.5.1.28</t>
  </si>
  <si>
    <t>https://www.genome.jp/entry/3.5.1.28</t>
  </si>
  <si>
    <t>https://www.genome.jp/entry/R04112</t>
  </si>
  <si>
    <t>C02999 | C00001</t>
  </si>
  <si>
    <t>C02713 | C00041</t>
  </si>
  <si>
    <t>3.5.1.88</t>
  </si>
  <si>
    <t>https://www.genome.jp/entry/3.5.1.88</t>
  </si>
  <si>
    <t>https://www.genome.jp/entry/R05635</t>
  </si>
  <si>
    <t>C11439 | C00001</t>
  </si>
  <si>
    <t>C11440 | C00058</t>
  </si>
  <si>
    <t>https://www.genome.jp/entry/R04268</t>
  </si>
  <si>
    <t>C04258 | C00001</t>
  </si>
  <si>
    <t>C00058 | C03617</t>
  </si>
  <si>
    <t>3.5.2.2</t>
  </si>
  <si>
    <t>https://www.genome.jp/entry/3.5.2.2</t>
  </si>
  <si>
    <t>https://www.genome.jp/entry/R02269</t>
  </si>
  <si>
    <t>C00429 | C00001</t>
  </si>
  <si>
    <t>C02642</t>
  </si>
  <si>
    <t>https://www.genome.jp/entry/R03055</t>
  </si>
  <si>
    <t>C21028 | C00001</t>
  </si>
  <si>
    <t>C21029</t>
  </si>
  <si>
    <t>https://www.genome.jp/entry/R08227</t>
  </si>
  <si>
    <t>C16630 | C00001</t>
  </si>
  <si>
    <t>C16631</t>
  </si>
  <si>
    <t>3.5.2.3</t>
  </si>
  <si>
    <t>https://www.genome.jp/entry/3.5.2.3</t>
  </si>
  <si>
    <t>https://www.genome.jp/entry/R01993</t>
  </si>
  <si>
    <t>C00337 | C00001</t>
  </si>
  <si>
    <t>C00438</t>
  </si>
  <si>
    <t>3.5.2.6</t>
  </si>
  <si>
    <t>https://www.genome.jp/entry/3.5.2.6</t>
  </si>
  <si>
    <t>https://www.genome.jp/entry/R03743</t>
  </si>
  <si>
    <t>C01866 | C00001</t>
  </si>
  <si>
    <t>C03806</t>
  </si>
  <si>
    <t>https://www.genome.jp/entry/R04318</t>
  </si>
  <si>
    <t>C05551 | C00001</t>
  </si>
  <si>
    <t>C16672</t>
  </si>
  <si>
    <t>https://www.genome.jp/entry/R06363</t>
  </si>
  <si>
    <t>C00395 | C00001</t>
  </si>
  <si>
    <t>C06567</t>
  </si>
  <si>
    <t>3.5.2.9</t>
  </si>
  <si>
    <t>https://www.genome.jp/entry/3.5.2.9</t>
  </si>
  <si>
    <t>https://www.genome.jp/entry/R00251</t>
  </si>
  <si>
    <t>C00002 | C01879 | C00001</t>
  </si>
  <si>
    <t>C00008 | C00009 | C00025</t>
  </si>
  <si>
    <t>3.5.3.11</t>
  </si>
  <si>
    <t>https://www.genome.jp/entry/3.5.3.11</t>
  </si>
  <si>
    <t>https://www.genome.jp/entry/R01157</t>
  </si>
  <si>
    <t>C00179 | C00001</t>
  </si>
  <si>
    <t>C00134 | C00086</t>
  </si>
  <si>
    <t>3.5.4.-</t>
  </si>
  <si>
    <t>3.5.4.10</t>
  </si>
  <si>
    <t>https://www.genome.jp/entry/3.5.4.10</t>
  </si>
  <si>
    <t>https://www.genome.jp/entry/R01127</t>
  </si>
  <si>
    <t>C04734</t>
  </si>
  <si>
    <t>3.5.4.12</t>
  </si>
  <si>
    <t>https://www.genome.jp/entry/3.5.4.12</t>
  </si>
  <si>
    <t>https://www.genome.jp/entry/R01663</t>
  </si>
  <si>
    <t>C00365 | C00014</t>
  </si>
  <si>
    <t>3.5.4.16</t>
  </si>
  <si>
    <t>https://www.genome.jp/entry/3.5.4.16</t>
  </si>
  <si>
    <t>https://www.genome.jp/entry/R00424</t>
  </si>
  <si>
    <t>C00044 | C00001</t>
  </si>
  <si>
    <t>C04895 | C00058</t>
  </si>
  <si>
    <t>https://www.genome.jp/entry/R00428</t>
  </si>
  <si>
    <t>C05922</t>
  </si>
  <si>
    <t>https://www.genome.jp/entry/R04639</t>
  </si>
  <si>
    <t>C04895 | C00001</t>
  </si>
  <si>
    <t>C06148</t>
  </si>
  <si>
    <t>https://www.genome.jp/entry/R05046</t>
  </si>
  <si>
    <t>C05922 | C00001</t>
  </si>
  <si>
    <t>C05923 | C00058</t>
  </si>
  <si>
    <t>https://www.genome.jp/entry/R05048</t>
  </si>
  <si>
    <t>C05923</t>
  </si>
  <si>
    <t>3.5.4.19</t>
  </si>
  <si>
    <t>https://www.genome.jp/entry/3.5.4.19</t>
  </si>
  <si>
    <t>https://www.genome.jp/entry/R04037</t>
  </si>
  <si>
    <t>C02741 | C00001</t>
  </si>
  <si>
    <t>C04896</t>
  </si>
  <si>
    <t>3.5.4.2</t>
  </si>
  <si>
    <t>https://www.genome.jp/entry/3.5.4.2</t>
  </si>
  <si>
    <t>https://www.genome.jp/entry/R01244</t>
  </si>
  <si>
    <t>C00147 | C00001</t>
  </si>
  <si>
    <t>C00262 | C00014</t>
  </si>
  <si>
    <t>3.5.4.25</t>
  </si>
  <si>
    <t>https://www.genome.jp/entry/3.5.4.25</t>
  </si>
  <si>
    <t>https://www.genome.jp/entry/R00425</t>
  </si>
  <si>
    <t>C00058 | C01304 | C00009</t>
  </si>
  <si>
    <t>3.5.4.26</t>
  </si>
  <si>
    <t>https://www.genome.jp/entry/3.5.4.26</t>
  </si>
  <si>
    <t>https://www.genome.jp/entry/R03459</t>
  </si>
  <si>
    <t>C01304 | C00001</t>
  </si>
  <si>
    <t>C01268 | C00014</t>
  </si>
  <si>
    <t>3.5.4.4</t>
  </si>
  <si>
    <t>https://www.genome.jp/entry/3.5.4.4</t>
  </si>
  <si>
    <t>https://www.genome.jp/entry/R01560</t>
  </si>
  <si>
    <t>C00212 | C00001</t>
  </si>
  <si>
    <t>C00294 | C00014</t>
  </si>
  <si>
    <t>https://www.genome.jp/entry/R02556</t>
  </si>
  <si>
    <t>C00559 | C00001</t>
  </si>
  <si>
    <t>C05512 | C00014</t>
  </si>
  <si>
    <t>3.5.4.5</t>
  </si>
  <si>
    <t>https://www.genome.jp/entry/3.5.4.5</t>
  </si>
  <si>
    <t>https://www.genome.jp/entry/R01878</t>
  </si>
  <si>
    <t>C00475 | C00001</t>
  </si>
  <si>
    <t>C00299 | C00014</t>
  </si>
  <si>
    <t>https://www.genome.jp/entry/R02485</t>
  </si>
  <si>
    <t>C00881 | C00001</t>
  </si>
  <si>
    <t>C00526 | C00014</t>
  </si>
  <si>
    <t>https://www.genome.jp/entry/R08221</t>
  </si>
  <si>
    <t>C16635 | C00001</t>
  </si>
  <si>
    <t>C12739 | C00014</t>
  </si>
  <si>
    <t>3.5.4.9</t>
  </si>
  <si>
    <t>https://www.genome.jp/entry/3.5.4.9</t>
  </si>
  <si>
    <t>https://www.genome.jp/entry/R01655</t>
  </si>
  <si>
    <t>C00445 | C00001</t>
  </si>
  <si>
    <t>C00234 | C00080</t>
  </si>
  <si>
    <t>3.5.99.6</t>
  </si>
  <si>
    <t>https://www.genome.jp/entry/3.5.99.6</t>
  </si>
  <si>
    <t>https://www.genome.jp/entry/R00765</t>
  </si>
  <si>
    <t>C00352 | C00001</t>
  </si>
  <si>
    <t>C00085 | C00014</t>
  </si>
  <si>
    <t>3.6.-.-</t>
  </si>
  <si>
    <t>3.6.1.-</t>
  </si>
  <si>
    <t>3.6.1.1</t>
  </si>
  <si>
    <t>https://www.genome.jp/entry/3.6.1.1</t>
  </si>
  <si>
    <t>https://www.genome.jp/entry/R00004</t>
  </si>
  <si>
    <t>C00013 | C00001</t>
  </si>
  <si>
    <t>C00009</t>
  </si>
  <si>
    <t>3.6.1.23</t>
  </si>
  <si>
    <t>https://www.genome.jp/entry/3.6.1.23</t>
  </si>
  <si>
    <t>https://www.genome.jp/entry/R02100</t>
  </si>
  <si>
    <t>C00460 | C00001</t>
  </si>
  <si>
    <t>C00365 | C00013</t>
  </si>
  <si>
    <t>https://www.genome.jp/entry/R11896</t>
  </si>
  <si>
    <t>C21751 | C00001</t>
  </si>
  <si>
    <t>C04242 | C00013</t>
  </si>
  <si>
    <t>3.6.1.27</t>
  </si>
  <si>
    <t>https://www.genome.jp/entry/3.6.1.27</t>
  </si>
  <si>
    <t>https://www.genome.jp/entry/R05627</t>
  </si>
  <si>
    <t>C04574 | C00001</t>
  </si>
  <si>
    <t>C17556 | C00009</t>
  </si>
  <si>
    <t>3.6.1.31</t>
  </si>
  <si>
    <t>https://www.genome.jp/entry/3.6.1.31</t>
  </si>
  <si>
    <t>https://www.genome.jp/entry/R04035</t>
  </si>
  <si>
    <t>C02739 | C00001</t>
  </si>
  <si>
    <t>C02741 | C00013</t>
  </si>
  <si>
    <t>3.6.1.41</t>
  </si>
  <si>
    <t>https://www.genome.jp/entry/3.6.1.41</t>
  </si>
  <si>
    <t>https://www.genome.jp/entry/R00125</t>
  </si>
  <si>
    <t>C01260 | C00001</t>
  </si>
  <si>
    <t>3.6.1.63</t>
  </si>
  <si>
    <t>https://www.genome.jp/entry/3.6.1.63</t>
  </si>
  <si>
    <t>https://www.genome.jp/entry/R10186</t>
  </si>
  <si>
    <t>C20422 | C00001</t>
  </si>
  <si>
    <t>C20423 | C00013</t>
  </si>
  <si>
    <t>3.6.3.-</t>
  </si>
  <si>
    <t>3.6.4.-</t>
  </si>
  <si>
    <t>3.6.4.12</t>
  </si>
  <si>
    <t>5.6.2.3</t>
  </si>
  <si>
    <t>https://www.genome.jp/entry/5.6.2.3</t>
  </si>
  <si>
    <t>5.6.2.4</t>
  </si>
  <si>
    <t>https://www.genome.jp/entry/5.6.2.4</t>
  </si>
  <si>
    <t>3.6.5.-</t>
  </si>
  <si>
    <t>3.6.5.n1</t>
  </si>
  <si>
    <t>3.7.1.12</t>
  </si>
  <si>
    <t>https://www.genome.jp/entry/3.7.1.12</t>
  </si>
  <si>
    <t>https://www.genome.jp/entry/R07772</t>
  </si>
  <si>
    <t>C16242 | C00001</t>
  </si>
  <si>
    <t>C16243 | C00084</t>
  </si>
  <si>
    <t>4.-.-.-</t>
  </si>
  <si>
    <t>4.1.-.-</t>
  </si>
  <si>
    <t>4.1.1.-</t>
  </si>
  <si>
    <t>4.1.1.12</t>
  </si>
  <si>
    <t>https://www.genome.jp/entry/4.1.1.12</t>
  </si>
  <si>
    <t>https://www.genome.jp/entry/R00397</t>
  </si>
  <si>
    <t>C00049</t>
  </si>
  <si>
    <t>C00041 | C00011</t>
  </si>
  <si>
    <t>https://www.genome.jp/entry/R00863</t>
  </si>
  <si>
    <t>C00606</t>
  </si>
  <si>
    <t>C00041 | C09306</t>
  </si>
  <si>
    <t>4.1.1.20</t>
  </si>
  <si>
    <t>https://www.genome.jp/entry/4.1.1.20</t>
  </si>
  <si>
    <t>https://www.genome.jp/entry/R00451</t>
  </si>
  <si>
    <t>C00680</t>
  </si>
  <si>
    <t>C00047 | C00011</t>
  </si>
  <si>
    <t>4.1.1.21</t>
  </si>
  <si>
    <t>https://www.genome.jp/entry/4.1.1.21</t>
  </si>
  <si>
    <t>https://www.genome.jp/entry/R04209</t>
  </si>
  <si>
    <t>C04751</t>
  </si>
  <si>
    <t>C03373 | C00011</t>
  </si>
  <si>
    <t>4.1.1.23</t>
  </si>
  <si>
    <t>https://www.genome.jp/entry/4.1.1.23</t>
  </si>
  <si>
    <t>https://www.genome.jp/entry/R00965</t>
  </si>
  <si>
    <t>C01103</t>
  </si>
  <si>
    <t>C00105 | C00011</t>
  </si>
  <si>
    <t>4.1.1.36</t>
  </si>
  <si>
    <t>https://www.genome.jp/entry/4.1.1.36</t>
  </si>
  <si>
    <t>https://www.genome.jp/entry/R03269</t>
  </si>
  <si>
    <t>C04352</t>
  </si>
  <si>
    <t>C01134 | C00011</t>
  </si>
  <si>
    <t>4.1.1.50</t>
  </si>
  <si>
    <t>https://www.genome.jp/entry/4.1.1.50</t>
  </si>
  <si>
    <t>https://www.genome.jp/entry/R00178</t>
  </si>
  <si>
    <t>C00019 | C00080</t>
  </si>
  <si>
    <t>C01137 | C00011</t>
  </si>
  <si>
    <t>4.1.1.83</t>
  </si>
  <si>
    <t>https://www.genome.jp/entry/4.1.1.83</t>
  </si>
  <si>
    <t>https://www.genome.jp/entry/R07312</t>
  </si>
  <si>
    <t>C00642 | C00080</t>
  </si>
  <si>
    <t>C01468 | C00011</t>
  </si>
  <si>
    <t>4.1.2.13</t>
  </si>
  <si>
    <t>https://www.genome.jp/entry/4.1.2.13</t>
  </si>
  <si>
    <t>https://www.genome.jp/entry/R01068</t>
  </si>
  <si>
    <t>C00354</t>
  </si>
  <si>
    <t>C00111 | C00118</t>
  </si>
  <si>
    <t>https://www.genome.jp/entry/R01070</t>
  </si>
  <si>
    <t>C05378</t>
  </si>
  <si>
    <t>https://www.genome.jp/entry/R01829</t>
  </si>
  <si>
    <t>C00447</t>
  </si>
  <si>
    <t>C00111 | C00279</t>
  </si>
  <si>
    <t>https://www.genome.jp/entry/R02568</t>
  </si>
  <si>
    <t>C01094</t>
  </si>
  <si>
    <t>C00111 | C00577</t>
  </si>
  <si>
    <t>4.1.2.14</t>
  </si>
  <si>
    <t>https://www.genome.jp/entry/4.1.2.14</t>
  </si>
  <si>
    <t>https://www.genome.jp/entry/R05605</t>
  </si>
  <si>
    <t>C04442</t>
  </si>
  <si>
    <t>C00118 | C00022</t>
  </si>
  <si>
    <t>4.1.2.25</t>
  </si>
  <si>
    <t>https://www.genome.jp/entry/4.1.2.25</t>
  </si>
  <si>
    <t>https://www.genome.jp/entry/R03504</t>
  </si>
  <si>
    <t>C04874</t>
  </si>
  <si>
    <t>C00266 | C01300</t>
  </si>
  <si>
    <t>4.1.2.4</t>
  </si>
  <si>
    <t>https://www.genome.jp/entry/4.1.2.4</t>
  </si>
  <si>
    <t>https://www.genome.jp/entry/R01066</t>
  </si>
  <si>
    <t>C00673</t>
  </si>
  <si>
    <t>C00118 | C00084</t>
  </si>
  <si>
    <t>4.1.2.40</t>
  </si>
  <si>
    <t>https://www.genome.jp/entry/4.1.2.40</t>
  </si>
  <si>
    <t>https://www.genome.jp/entry/R01069</t>
  </si>
  <si>
    <t>C03785</t>
  </si>
  <si>
    <t>4.1.2.48</t>
  </si>
  <si>
    <t>https://www.genome.jp/entry/4.1.2.48</t>
  </si>
  <si>
    <t>https://www.genome.jp/entry/R00751</t>
  </si>
  <si>
    <t>C00188</t>
  </si>
  <si>
    <t>C00037 | C00084</t>
  </si>
  <si>
    <t>https://www.genome.jp/entry/R06171</t>
  </si>
  <si>
    <t>C05519</t>
  </si>
  <si>
    <t>4.1.3.27</t>
  </si>
  <si>
    <t>https://www.genome.jp/entry/4.1.3.27</t>
  </si>
  <si>
    <t>https://www.genome.jp/entry/R00986</t>
  </si>
  <si>
    <t>C00108 | C00022 | C00025</t>
  </si>
  <si>
    <t>https://www.genome.jp/entry/R00985</t>
  </si>
  <si>
    <t>C00108 | C00022 | C00001</t>
  </si>
  <si>
    <t>4.1.3.3</t>
  </si>
  <si>
    <t>https://www.genome.jp/entry/4.1.3.3</t>
  </si>
  <si>
    <t>https://www.genome.jp/entry/R12768</t>
  </si>
  <si>
    <t>C22382</t>
  </si>
  <si>
    <t>C00645 | C00022</t>
  </si>
  <si>
    <t>https://www.genome.jp/entry/R01811</t>
  </si>
  <si>
    <t>C00270</t>
  </si>
  <si>
    <t>4.1.99.12</t>
  </si>
  <si>
    <t>https://www.genome.jp/entry/4.1.99.12</t>
  </si>
  <si>
    <t>https://www.genome.jp/entry/R07281</t>
  </si>
  <si>
    <t>C00199</t>
  </si>
  <si>
    <t>C15556 | C00058</t>
  </si>
  <si>
    <t>4.1.99.14</t>
  </si>
  <si>
    <t>https://www.genome.jp/entry/4.1.99.14</t>
  </si>
  <si>
    <t>4.1.99.17</t>
  </si>
  <si>
    <t>https://www.genome.jp/entry/4.1.99.17</t>
  </si>
  <si>
    <t>https://www.genome.jp/entry/R03472</t>
  </si>
  <si>
    <t>C03373 | C00019</t>
  </si>
  <si>
    <t>C04556 | C05198 | C00073 | C00058 | C00237</t>
  </si>
  <si>
    <t>4.1.99.22</t>
  </si>
  <si>
    <t>https://www.genome.jp/entry/4.1.99.22</t>
  </si>
  <si>
    <t>https://www.genome.jp/entry/R09394</t>
  </si>
  <si>
    <t>C00044 | C00019 | C00030</t>
  </si>
  <si>
    <t>C21310 | C05198 | C00073 | C00028</t>
  </si>
  <si>
    <t>4.2.1.-</t>
  </si>
  <si>
    <t>4.2.1.10</t>
  </si>
  <si>
    <t>https://www.genome.jp/entry/4.2.1.10</t>
  </si>
  <si>
    <t>https://www.genome.jp/entry/R03084</t>
  </si>
  <si>
    <t>C00944</t>
  </si>
  <si>
    <t>C02637 | C00001</t>
  </si>
  <si>
    <t>4.2.1.11</t>
  </si>
  <si>
    <t>https://www.genome.jp/entry/4.2.1.11</t>
  </si>
  <si>
    <t>https://www.genome.jp/entry/R00658</t>
  </si>
  <si>
    <t>C00631</t>
  </si>
  <si>
    <t>C00074 | C00001</t>
  </si>
  <si>
    <t>https://www.genome.jp/entry/R04206</t>
  </si>
  <si>
    <t>C03356</t>
  </si>
  <si>
    <t>C04309 | C00001</t>
  </si>
  <si>
    <t>4.2.1.126</t>
  </si>
  <si>
    <t>https://www.genome.jp/entry/4.2.1.126</t>
  </si>
  <si>
    <t>https://www.genome.jp/entry/R08555</t>
  </si>
  <si>
    <t>C00256 | C00357</t>
  </si>
  <si>
    <t>C16698 | C00001</t>
  </si>
  <si>
    <t>4.2.1.157</t>
  </si>
  <si>
    <t>https://www.genome.jp/entry/4.2.1.157</t>
  </si>
  <si>
    <t>https://www.genome.jp/entry/R11076</t>
  </si>
  <si>
    <t>C21089</t>
  </si>
  <si>
    <t>C21090 | C00001</t>
  </si>
  <si>
    <t>4.2.1.172</t>
  </si>
  <si>
    <t>https://www.genome.jp/entry/4.2.1.172</t>
  </si>
  <si>
    <t>https://www.genome.jp/entry/R11819</t>
  </si>
  <si>
    <t>C01157</t>
  </si>
  <si>
    <t>C03912 | C00001</t>
  </si>
  <si>
    <t>4.2.1.19</t>
  </si>
  <si>
    <t>https://www.genome.jp/entry/4.2.1.19</t>
  </si>
  <si>
    <t>https://www.genome.jp/entry/R03457</t>
  </si>
  <si>
    <t>C04666</t>
  </si>
  <si>
    <t>C01267 | C00001</t>
  </si>
  <si>
    <t>4.2.1.2</t>
  </si>
  <si>
    <t>https://www.genome.jp/entry/4.2.1.2</t>
  </si>
  <si>
    <t>https://www.genome.jp/entry/R01082</t>
  </si>
  <si>
    <t>C00149</t>
  </si>
  <si>
    <t>C00122 | C00001</t>
  </si>
  <si>
    <t>4.2.1.24</t>
  </si>
  <si>
    <t>https://www.genome.jp/entry/4.2.1.24</t>
  </si>
  <si>
    <t>https://www.genome.jp/entry/R00036</t>
  </si>
  <si>
    <t>C00430</t>
  </si>
  <si>
    <t>4.2.1.3</t>
  </si>
  <si>
    <t>https://www.genome.jp/entry/4.2.1.3</t>
  </si>
  <si>
    <t>https://www.genome.jp/entry/R01324</t>
  </si>
  <si>
    <t>C00158</t>
  </si>
  <si>
    <t>C00311</t>
  </si>
  <si>
    <t>https://www.genome.jp/entry/R01325</t>
  </si>
  <si>
    <t>C00417 | C00001</t>
  </si>
  <si>
    <t>https://www.genome.jp/entry/R01900</t>
  </si>
  <si>
    <t>4.2.1.33</t>
  </si>
  <si>
    <t>https://www.genome.jp/entry/4.2.1.33</t>
  </si>
  <si>
    <t>https://www.genome.jp/entry/R10170</t>
  </si>
  <si>
    <t>C04411</t>
  </si>
  <si>
    <t>C02504</t>
  </si>
  <si>
    <t>https://www.genome.jp/entry/R04001</t>
  </si>
  <si>
    <t>C02631 | C00001</t>
  </si>
  <si>
    <t>https://www.genome.jp/entry/R03968</t>
  </si>
  <si>
    <t>4.2.1.46</t>
  </si>
  <si>
    <t>https://www.genome.jp/entry/4.2.1.46</t>
  </si>
  <si>
    <t>https://www.genome.jp/entry/R06513</t>
  </si>
  <si>
    <t>C00842</t>
  </si>
  <si>
    <t>C11907 | C00001</t>
  </si>
  <si>
    <t>4.2.1.51</t>
  </si>
  <si>
    <t>https://www.genome.jp/entry/4.2.1.51</t>
  </si>
  <si>
    <t>https://www.genome.jp/entry/R01373</t>
  </si>
  <si>
    <t>C00254</t>
  </si>
  <si>
    <t>C00166 | C00001 | C00011</t>
  </si>
  <si>
    <t>https://www.genome.jp/entry/R00691</t>
  </si>
  <si>
    <t>C00826</t>
  </si>
  <si>
    <t>C00079 | C00001 | C00011</t>
  </si>
  <si>
    <t>4.2.1.59</t>
  </si>
  <si>
    <t>https://www.genome.jp/entry/4.2.1.59</t>
  </si>
  <si>
    <t>https://www.genome.jp/entry/R10208</t>
  </si>
  <si>
    <t>C01271</t>
  </si>
  <si>
    <t>C00693 | C00001</t>
  </si>
  <si>
    <t>https://www.genome.jp/entry/R04428</t>
  </si>
  <si>
    <t>C04618</t>
  </si>
  <si>
    <t>C04246 | C00001</t>
  </si>
  <si>
    <t>https://www.genome.jp/entry/R04535</t>
  </si>
  <si>
    <t>C04619</t>
  </si>
  <si>
    <t>C05754 | C00001</t>
  </si>
  <si>
    <t>https://www.genome.jp/entry/R04537</t>
  </si>
  <si>
    <t>C04620</t>
  </si>
  <si>
    <t>C05751 | C00001</t>
  </si>
  <si>
    <t>https://www.genome.jp/entry/R04544</t>
  </si>
  <si>
    <t>C04633</t>
  </si>
  <si>
    <t>C05763 | C00001</t>
  </si>
  <si>
    <t>https://www.genome.jp/entry/R04568</t>
  </si>
  <si>
    <t>C04688</t>
  </si>
  <si>
    <t>C05760 | C00001</t>
  </si>
  <si>
    <t>https://www.genome.jp/entry/R04954</t>
  </si>
  <si>
    <t>C05747</t>
  </si>
  <si>
    <t>C05748 | C00001</t>
  </si>
  <si>
    <t>https://www.genome.jp/entry/R04965</t>
  </si>
  <si>
    <t>C05757</t>
  </si>
  <si>
    <t>C05758 | C00001</t>
  </si>
  <si>
    <t>https://www.genome.jp/entry/R10117</t>
  </si>
  <si>
    <t>C20373</t>
  </si>
  <si>
    <t>C20374 | C00001</t>
  </si>
  <si>
    <t>https://www.genome.jp/entry/R10121</t>
  </si>
  <si>
    <t>C20377</t>
  </si>
  <si>
    <t>C20378 | C00001</t>
  </si>
  <si>
    <t>4.2.1.9</t>
  </si>
  <si>
    <t>https://www.genome.jp/entry/4.2.1.9</t>
  </si>
  <si>
    <t>https://www.genome.jp/entry/R01209</t>
  </si>
  <si>
    <t>C04039</t>
  </si>
  <si>
    <t>C00141 | C00001</t>
  </si>
  <si>
    <t>https://www.genome.jp/entry/R04441</t>
  </si>
  <si>
    <t>C04272</t>
  </si>
  <si>
    <t>https://www.genome.jp/entry/R05070</t>
  </si>
  <si>
    <t>C06007</t>
  </si>
  <si>
    <t>C00671 | C00001</t>
  </si>
  <si>
    <t>4.2.3.1</t>
  </si>
  <si>
    <t>https://www.genome.jp/entry/4.2.3.1</t>
  </si>
  <si>
    <t>https://www.genome.jp/entry/R01466</t>
  </si>
  <si>
    <t>C01102 | C00001</t>
  </si>
  <si>
    <t>C00188 | C00009</t>
  </si>
  <si>
    <t>https://www.genome.jp/entry/R05086</t>
  </si>
  <si>
    <t>C06055 | C00001</t>
  </si>
  <si>
    <t>C06056 | C00009</t>
  </si>
  <si>
    <t>4.2.3.3</t>
  </si>
  <si>
    <t>https://www.genome.jp/entry/4.2.3.3</t>
  </si>
  <si>
    <t>https://www.genome.jp/entry/R01016</t>
  </si>
  <si>
    <t>C00111</t>
  </si>
  <si>
    <t>C00546 | C00009</t>
  </si>
  <si>
    <t>4.2.3.4</t>
  </si>
  <si>
    <t>https://www.genome.jp/entry/4.2.3.4</t>
  </si>
  <si>
    <t>https://www.genome.jp/entry/R03083</t>
  </si>
  <si>
    <t>C04691</t>
  </si>
  <si>
    <t>C00944 | C00009</t>
  </si>
  <si>
    <t>4.2.3.5</t>
  </si>
  <si>
    <t>https://www.genome.jp/entry/4.2.3.5</t>
  </si>
  <si>
    <t>https://www.genome.jp/entry/R01714</t>
  </si>
  <si>
    <t>C01269</t>
  </si>
  <si>
    <t>C00251 | C00009</t>
  </si>
  <si>
    <t>4.2.99.18</t>
  </si>
  <si>
    <t>https://www.genome.jp/entry/4.2.99.18</t>
  </si>
  <si>
    <t>4.3.1.15</t>
  </si>
  <si>
    <t>https://www.genome.jp/entry/4.3.1.15</t>
  </si>
  <si>
    <t>https://www.genome.jp/entry/R00195</t>
  </si>
  <si>
    <t>C06393 | C00001</t>
  </si>
  <si>
    <t>C00022 | C00014</t>
  </si>
  <si>
    <t>https://www.genome.jp/entry/R00223</t>
  </si>
  <si>
    <t>C00716</t>
  </si>
  <si>
    <t>4.3.1.17</t>
  </si>
  <si>
    <t>https://www.genome.jp/entry/4.3.1.17</t>
  </si>
  <si>
    <t>https://www.genome.jp/entry/R00220</t>
  </si>
  <si>
    <t>C00065</t>
  </si>
  <si>
    <t>https://www.genome.jp/entry/R00590</t>
  </si>
  <si>
    <t>C02218 | C00001</t>
  </si>
  <si>
    <t>https://www.genome.jp/entry/R11100</t>
  </si>
  <si>
    <t>C02218</t>
  </si>
  <si>
    <t>C20904</t>
  </si>
  <si>
    <t>https://www.genome.jp/entry/R11099</t>
  </si>
  <si>
    <t>C20904 | C00001</t>
  </si>
  <si>
    <t>https://www.genome.jp/entry/R06131</t>
  </si>
  <si>
    <t>C05167</t>
  </si>
  <si>
    <t>C00161 | C00014</t>
  </si>
  <si>
    <t>4.3.1.19</t>
  </si>
  <si>
    <t>https://www.genome.jp/entry/4.3.1.19</t>
  </si>
  <si>
    <t>https://www.genome.jp/entry/R00996</t>
  </si>
  <si>
    <t>C00109 | C00014</t>
  </si>
  <si>
    <t>https://www.genome.jp/entry/R11101</t>
  </si>
  <si>
    <t>C17234</t>
  </si>
  <si>
    <t>C20905</t>
  </si>
  <si>
    <t>https://www.genome.jp/entry/R11098</t>
  </si>
  <si>
    <t>C20905 | C00001</t>
  </si>
  <si>
    <t>4.3.1.7</t>
  </si>
  <si>
    <t>https://www.genome.jp/entry/4.3.1.7</t>
  </si>
  <si>
    <t>https://www.genome.jp/entry/R00749</t>
  </si>
  <si>
    <t>C00189</t>
  </si>
  <si>
    <t>C00084 | C00014</t>
  </si>
  <si>
    <t>https://www.genome.jp/entry/R06132</t>
  </si>
  <si>
    <t>C11823 | C00014</t>
  </si>
  <si>
    <t>4.3.2.1</t>
  </si>
  <si>
    <t>https://www.genome.jp/entry/4.3.2.1</t>
  </si>
  <si>
    <t>https://www.genome.jp/entry/R01086</t>
  </si>
  <si>
    <t>C03406</t>
  </si>
  <si>
    <t>C00122 | C00062</t>
  </si>
  <si>
    <t>4.3.2.10</t>
  </si>
  <si>
    <t>https://www.genome.jp/entry/4.3.2.10</t>
  </si>
  <si>
    <t>https://www.genome.jp/entry/R04558</t>
  </si>
  <si>
    <t>C04916 | C00064</t>
  </si>
  <si>
    <t>C04666 | C04677 | C00025</t>
  </si>
  <si>
    <t>https://www.genome.jp/entry/R12152</t>
  </si>
  <si>
    <t>C04916 | C00014</t>
  </si>
  <si>
    <t>C04677 | C04666 | C00001</t>
  </si>
  <si>
    <t>4.3.2.2</t>
  </si>
  <si>
    <t>https://www.genome.jp/entry/4.3.2.2</t>
  </si>
  <si>
    <t>https://www.genome.jp/entry/R01083</t>
  </si>
  <si>
    <t>C03794</t>
  </si>
  <si>
    <t>C00122 | C00020</t>
  </si>
  <si>
    <t>https://www.genome.jp/entry/R04559</t>
  </si>
  <si>
    <t>C04823</t>
  </si>
  <si>
    <t>C00122 | C04677</t>
  </si>
  <si>
    <t>https://www.genome.jp/entry/R12851</t>
  </si>
  <si>
    <t>C22395</t>
  </si>
  <si>
    <t>C22441 | C00122</t>
  </si>
  <si>
    <t>4.3.3.7</t>
  </si>
  <si>
    <t>https://www.genome.jp/entry/4.3.3.7</t>
  </si>
  <si>
    <t>https://www.genome.jp/entry/R10147</t>
  </si>
  <si>
    <t>C00441 | C00022</t>
  </si>
  <si>
    <t>C20258 | C00001</t>
  </si>
  <si>
    <t>4.4.-.-</t>
  </si>
  <si>
    <t>4.4.1.13</t>
  </si>
  <si>
    <t>https://www.genome.jp/entry/4.4.1.13</t>
  </si>
  <si>
    <t>https://www.genome.jp/entry/R12188</t>
  </si>
  <si>
    <t>C02882 | C00001</t>
  </si>
  <si>
    <t>C00145 | C00014 | C00022</t>
  </si>
  <si>
    <t>https://www.genome.jp/entry/R01286</t>
  </si>
  <si>
    <t>C02291 | C00001</t>
  </si>
  <si>
    <t>C00155 | C00014 | C00022</t>
  </si>
  <si>
    <t>https://www.genome.jp/entry/R02408</t>
  </si>
  <si>
    <t>C00491 | C00001</t>
  </si>
  <si>
    <t>C00022 | C00014 | C01962</t>
  </si>
  <si>
    <t>https://www.genome.jp/entry/R02953</t>
  </si>
  <si>
    <t>C02749 | C00001</t>
  </si>
  <si>
    <t>C00812 | C00014 | C00022</t>
  </si>
  <si>
    <t>https://www.genome.jp/entry/R03528</t>
  </si>
  <si>
    <t>C01336 | C00014 | C00022</t>
  </si>
  <si>
    <t>https://www.genome.jp/entry/R00782</t>
  </si>
  <si>
    <t>C00097 | C00001</t>
  </si>
  <si>
    <t>C00283 | C00022 | C00014</t>
  </si>
  <si>
    <t>https://www.genome.jp/entry/R04941</t>
  </si>
  <si>
    <t>C05699 | C00001</t>
  </si>
  <si>
    <t>C05698 | C00014 | C00022</t>
  </si>
  <si>
    <t>https://www.genome.jp/entry/R09366</t>
  </si>
  <si>
    <t>C05689 | C00001</t>
  </si>
  <si>
    <t>C00022 | C00014 | C05703</t>
  </si>
  <si>
    <t>4.4.1.21</t>
  </si>
  <si>
    <t>https://www.genome.jp/entry/4.4.1.21</t>
  </si>
  <si>
    <t>https://www.genome.jp/entry/R01291</t>
  </si>
  <si>
    <t>C03539</t>
  </si>
  <si>
    <t>C11838 | C00155</t>
  </si>
  <si>
    <t>4.4.1.28</t>
  </si>
  <si>
    <t>https://www.genome.jp/entry/4.4.1.28</t>
  </si>
  <si>
    <t>4.6.1.12</t>
  </si>
  <si>
    <t>https://www.genome.jp/entry/4.6.1.12</t>
  </si>
  <si>
    <t>https://www.genome.jp/entry/R05637</t>
  </si>
  <si>
    <t>C11436</t>
  </si>
  <si>
    <t>C11453 | C00055</t>
  </si>
  <si>
    <t>4.6.1.17</t>
  </si>
  <si>
    <t>https://www.genome.jp/entry/4.6.1.17</t>
  </si>
  <si>
    <t>https://www.genome.jp/entry/R11372</t>
  </si>
  <si>
    <t>C21310 | C00001</t>
  </si>
  <si>
    <t>C18239 | C00013</t>
  </si>
  <si>
    <t>5.1.-.-</t>
  </si>
  <si>
    <t>5.1.1.1</t>
  </si>
  <si>
    <t>https://www.genome.jp/entry/5.1.1.1</t>
  </si>
  <si>
    <t>https://www.genome.jp/entry/R00401</t>
  </si>
  <si>
    <t>C00041</t>
  </si>
  <si>
    <t>C00133</t>
  </si>
  <si>
    <t>5.1.1.12</t>
  </si>
  <si>
    <t>https://www.genome.jp/entry/5.1.1.12</t>
  </si>
  <si>
    <t>https://www.genome.jp/entry/R00672</t>
  </si>
  <si>
    <t>C00077</t>
  </si>
  <si>
    <t>C00515</t>
  </si>
  <si>
    <t>5.1.1.3</t>
  </si>
  <si>
    <t>https://www.genome.jp/entry/5.1.1.3</t>
  </si>
  <si>
    <t>https://www.genome.jp/entry/R00260</t>
  </si>
  <si>
    <t>C00025</t>
  </si>
  <si>
    <t>C00217</t>
  </si>
  <si>
    <t>5.1.1.4</t>
  </si>
  <si>
    <t>https://www.genome.jp/entry/5.1.1.4</t>
  </si>
  <si>
    <t>https://www.genome.jp/entry/R01255</t>
  </si>
  <si>
    <t>C00148</t>
  </si>
  <si>
    <t>5.1.1.7</t>
  </si>
  <si>
    <t>https://www.genome.jp/entry/5.1.1.7</t>
  </si>
  <si>
    <t>https://www.genome.jp/entry/R02735</t>
  </si>
  <si>
    <t>C00666</t>
  </si>
  <si>
    <t>5.1.3.1</t>
  </si>
  <si>
    <t>https://www.genome.jp/entry/5.1.3.1</t>
  </si>
  <si>
    <t>https://www.genome.jp/entry/R01529</t>
  </si>
  <si>
    <t>C00231</t>
  </si>
  <si>
    <t>5.1.3.13</t>
  </si>
  <si>
    <t>https://www.genome.jp/entry/5.1.3.13</t>
  </si>
  <si>
    <t>https://www.genome.jp/entry/R06514</t>
  </si>
  <si>
    <t>C11907</t>
  </si>
  <si>
    <t>C00688</t>
  </si>
  <si>
    <t>5.1.3.14</t>
  </si>
  <si>
    <t>https://www.genome.jp/entry/5.1.3.14</t>
  </si>
  <si>
    <t>https://www.genome.jp/entry/R00420</t>
  </si>
  <si>
    <t>C00043</t>
  </si>
  <si>
    <t>C01170</t>
  </si>
  <si>
    <t>https://www.genome.jp/entry/R00414</t>
  </si>
  <si>
    <t>C00043 | C00001</t>
  </si>
  <si>
    <t>C00645 | C00015</t>
  </si>
  <si>
    <t>https://www.genome.jp/entry/R02707</t>
  </si>
  <si>
    <t>C01170 | C00001</t>
  </si>
  <si>
    <t>5.1.3.2</t>
  </si>
  <si>
    <t>https://www.genome.jp/entry/5.1.3.2</t>
  </si>
  <si>
    <t>https://www.genome.jp/entry/R00291</t>
  </si>
  <si>
    <t>C00029</t>
  </si>
  <si>
    <t>C00052</t>
  </si>
  <si>
    <t>https://www.genome.jp/entry/R00418</t>
  </si>
  <si>
    <t>C00203</t>
  </si>
  <si>
    <t>https://www.genome.jp/entry/R02984</t>
  </si>
  <si>
    <t>C02097</t>
  </si>
  <si>
    <t>5.1.3.4</t>
  </si>
  <si>
    <t>https://www.genome.jp/entry/5.1.3.4</t>
  </si>
  <si>
    <t>https://www.genome.jp/entry/R05850</t>
  </si>
  <si>
    <t>C01101</t>
  </si>
  <si>
    <t>5.1.3.9</t>
  </si>
  <si>
    <t>https://www.genome.jp/entry/5.1.3.9</t>
  </si>
  <si>
    <t>https://www.genome.jp/entry/R02770</t>
  </si>
  <si>
    <t>C00686</t>
  </si>
  <si>
    <t>C04136</t>
  </si>
  <si>
    <t>https://www.genome.jp/entry/R02087</t>
  </si>
  <si>
    <t>C00357</t>
  </si>
  <si>
    <t>C04257</t>
  </si>
  <si>
    <t>5.2.1.8</t>
  </si>
  <si>
    <t>https://www.genome.jp/entry/5.2.1.8</t>
  </si>
  <si>
    <t>https://www.genome.jp/entry/R04273</t>
  </si>
  <si>
    <t>C03798</t>
  </si>
  <si>
    <t>C03633</t>
  </si>
  <si>
    <t>5.3.1.-</t>
  </si>
  <si>
    <t>5.3.1.1</t>
  </si>
  <si>
    <t>https://www.genome.jp/entry/5.3.1.1</t>
  </si>
  <si>
    <t>https://www.genome.jp/entry/R01015</t>
  </si>
  <si>
    <t>C00118</t>
  </si>
  <si>
    <t>5.3.1.16</t>
  </si>
  <si>
    <t>https://www.genome.jp/entry/5.3.1.16</t>
  </si>
  <si>
    <t>https://www.genome.jp/entry/R04640</t>
  </si>
  <si>
    <t>C04916</t>
  </si>
  <si>
    <t>5.3.1.5</t>
  </si>
  <si>
    <t>https://www.genome.jp/entry/5.3.1.5</t>
  </si>
  <si>
    <t>https://www.genome.jp/entry/R12986</t>
  </si>
  <si>
    <t>C02205</t>
  </si>
  <si>
    <t>C22501</t>
  </si>
  <si>
    <t>https://www.genome.jp/entry/R00307</t>
  </si>
  <si>
    <t>C22502</t>
  </si>
  <si>
    <t>https://www.genome.jp/entry/R00878</t>
  </si>
  <si>
    <t>C00095</t>
  </si>
  <si>
    <t>https://www.genome.jp/entry/R01432</t>
  </si>
  <si>
    <t>C00181</t>
  </si>
  <si>
    <t>C00310</t>
  </si>
  <si>
    <t>5.3.1.6</t>
  </si>
  <si>
    <t>https://www.genome.jp/entry/5.3.1.6</t>
  </si>
  <si>
    <t>https://www.genome.jp/entry/R01056</t>
  </si>
  <si>
    <t>C00117</t>
  </si>
  <si>
    <t>https://www.genome.jp/entry/R09030</t>
  </si>
  <si>
    <t>C02962</t>
  </si>
  <si>
    <t>C18096</t>
  </si>
  <si>
    <t>5.3.1.8</t>
  </si>
  <si>
    <t>https://www.genome.jp/entry/5.3.1.8</t>
  </si>
  <si>
    <t>https://www.genome.jp/entry/R00772</t>
  </si>
  <si>
    <t>C00275</t>
  </si>
  <si>
    <t>C00085</t>
  </si>
  <si>
    <t>https://www.genome.jp/entry/R01819</t>
  </si>
  <si>
    <t>C05345</t>
  </si>
  <si>
    <t>5.3.1.9</t>
  </si>
  <si>
    <t>https://www.genome.jp/entry/5.3.1.9</t>
  </si>
  <si>
    <t>https://www.genome.jp/entry/R02740</t>
  </si>
  <si>
    <t>C00668</t>
  </si>
  <si>
    <t>https://www.genome.jp/entry/R00771</t>
  </si>
  <si>
    <t>C00092</t>
  </si>
  <si>
    <t>https://www.genome.jp/entry/R02739</t>
  </si>
  <si>
    <t>C01172</t>
  </si>
  <si>
    <t>https://www.genome.jp/entry/R03321</t>
  </si>
  <si>
    <t>https://www.genome.jp/entry/R13199</t>
  </si>
  <si>
    <t>5.3.2.-</t>
  </si>
  <si>
    <t>5.4.2.-</t>
  </si>
  <si>
    <t>5.4.2.10</t>
  </si>
  <si>
    <t>https://www.genome.jp/entry/5.4.2.10</t>
  </si>
  <si>
    <t>https://www.genome.jp/entry/R02060</t>
  </si>
  <si>
    <t>C06156</t>
  </si>
  <si>
    <t>C00352</t>
  </si>
  <si>
    <t>5.4.2.12</t>
  </si>
  <si>
    <t>https://www.genome.jp/entry/5.4.2.12</t>
  </si>
  <si>
    <t>https://www.genome.jp/entry/R01518</t>
  </si>
  <si>
    <t>C00197</t>
  </si>
  <si>
    <t>5.4.2.6</t>
  </si>
  <si>
    <t>https://www.genome.jp/entry/5.4.2.6</t>
  </si>
  <si>
    <t>https://www.genome.jp/entry/R02728</t>
  </si>
  <si>
    <t>C00663</t>
  </si>
  <si>
    <t>https://www.genome.jp/entry/R11310</t>
  </si>
  <si>
    <t>5.4.2.7</t>
  </si>
  <si>
    <t>https://www.genome.jp/entry/5.4.2.7</t>
  </si>
  <si>
    <t>https://www.genome.jp/entry/R01057</t>
  </si>
  <si>
    <t>C00620</t>
  </si>
  <si>
    <t>https://www.genome.jp/entry/R02749</t>
  </si>
  <si>
    <t>C00672</t>
  </si>
  <si>
    <t>5.4.3.5</t>
  </si>
  <si>
    <t>https://www.genome.jp/entry/5.4.3.5</t>
  </si>
  <si>
    <t>https://www.genome.jp/entry/R02461</t>
  </si>
  <si>
    <t>C03943</t>
  </si>
  <si>
    <t>5.4.3.9</t>
  </si>
  <si>
    <t>https://www.genome.jp/entry/5.4.3.9</t>
  </si>
  <si>
    <t>https://www.genome.jp/entry/R10153</t>
  </si>
  <si>
    <t>C05574</t>
  </si>
  <si>
    <t>5.4.99.-</t>
  </si>
  <si>
    <t>5.4.99.12</t>
  </si>
  <si>
    <t>https://www.genome.jp/entry/5.4.99.12</t>
  </si>
  <si>
    <t>https://www.genome.jp/entry/R03020</t>
  </si>
  <si>
    <t>C00868</t>
  </si>
  <si>
    <t>C02764</t>
  </si>
  <si>
    <t>5.4.99.18</t>
  </si>
  <si>
    <t>https://www.genome.jp/entry/5.4.99.18</t>
  </si>
  <si>
    <t>https://www.genome.jp/entry/R07405</t>
  </si>
  <si>
    <t>C15667</t>
  </si>
  <si>
    <t>5.4.99.25</t>
  </si>
  <si>
    <t>https://www.genome.jp/entry/5.4.99.25</t>
  </si>
  <si>
    <t>5.4.99.60</t>
  </si>
  <si>
    <t>https://www.genome.jp/entry/5.4.99.60</t>
  </si>
  <si>
    <t>https://www.genome.jp/entry/R05814</t>
  </si>
  <si>
    <t>C11545</t>
  </si>
  <si>
    <t>C05773</t>
  </si>
  <si>
    <t>5.5.1.-</t>
  </si>
  <si>
    <t>5.6.2.1</t>
  </si>
  <si>
    <t>https://www.genome.jp/entry/5.6.2.1</t>
  </si>
  <si>
    <t>5.6.2.2</t>
  </si>
  <si>
    <t>https://www.genome.jp/entry/5.6.2.2</t>
  </si>
  <si>
    <t>6.-.-.-</t>
  </si>
  <si>
    <t>6.1.-.-</t>
  </si>
  <si>
    <t>6.1.1.1</t>
  </si>
  <si>
    <t>https://www.genome.jp/entry/6.1.1.1</t>
  </si>
  <si>
    <t>https://www.genome.jp/entry/R02918</t>
  </si>
  <si>
    <t>C00002 | C00082 | C00787</t>
  </si>
  <si>
    <t>C00020 | C00013 | C02839</t>
  </si>
  <si>
    <t>6.1.1.10</t>
  </si>
  <si>
    <t>https://www.genome.jp/entry/6.1.1.10</t>
  </si>
  <si>
    <t>https://www.genome.jp/entry/R03659</t>
  </si>
  <si>
    <t>C00002 | C00073 | C01647</t>
  </si>
  <si>
    <t>C00020 | C00013 | C02430</t>
  </si>
  <si>
    <t>https://www.genome.jp/entry/R04773</t>
  </si>
  <si>
    <t>C00002 | C05335 | C01647</t>
  </si>
  <si>
    <t>C00020 | C00013 | C05336</t>
  </si>
  <si>
    <t>6.1.1.11</t>
  </si>
  <si>
    <t>https://www.genome.jp/entry/6.1.1.11</t>
  </si>
  <si>
    <t>https://www.genome.jp/entry/R03662</t>
  </si>
  <si>
    <t>C00002 | C00065 | C01650</t>
  </si>
  <si>
    <t>C00020 | C00013 | C02553</t>
  </si>
  <si>
    <t>https://www.genome.jp/entry/R08218</t>
  </si>
  <si>
    <t>C00002 | C00065 | C16636</t>
  </si>
  <si>
    <t>C00020 | C00013 | C06481</t>
  </si>
  <si>
    <t>6.1.1.12</t>
  </si>
  <si>
    <t>https://www.genome.jp/entry/6.1.1.12</t>
  </si>
  <si>
    <t>https://www.genome.jp/entry/R05577</t>
  </si>
  <si>
    <t>C01638 | C00049 | C00002</t>
  </si>
  <si>
    <t>C02984 | C00013 | C00020</t>
  </si>
  <si>
    <t>6.1.1.13</t>
  </si>
  <si>
    <t>https://www.genome.jp/entry/6.1.1.13</t>
  </si>
  <si>
    <t>https://www.genome.jp/entry/R02718</t>
  </si>
  <si>
    <t>C00002 | C00133 | C00653</t>
  </si>
  <si>
    <t>C00020 | C00013 | C04260</t>
  </si>
  <si>
    <t>https://www.genome.jp/entry/R12812</t>
  </si>
  <si>
    <t>C00002 | C00133 | G13185</t>
  </si>
  <si>
    <t>C00020 | C00013 | G13186</t>
  </si>
  <si>
    <t>https://www.genome.jp/entry/R12863</t>
  </si>
  <si>
    <t>C00002 | C00133 | G13167</t>
  </si>
  <si>
    <t>C00020 | C00013 | G13180</t>
  </si>
  <si>
    <t>https://www.genome.jp/entry/R12867</t>
  </si>
  <si>
    <t>C00002 | C00133 | G13170</t>
  </si>
  <si>
    <t>C00020 | C00013 | G13171</t>
  </si>
  <si>
    <t>https://www.genome.jp/entry/R12871</t>
  </si>
  <si>
    <t>C00002 | C00133 | G13174</t>
  </si>
  <si>
    <t>C00020 | C00013 | G13175</t>
  </si>
  <si>
    <t>https://www.genome.jp/entry/R12873</t>
  </si>
  <si>
    <t>C00002 | C00133 | G13176</t>
  </si>
  <si>
    <t>C00020 | C00013 | G13177</t>
  </si>
  <si>
    <t>https://www.genome.jp/entry/R12875</t>
  </si>
  <si>
    <t>C00002 | C00133 | G13178</t>
  </si>
  <si>
    <t>C00020 | C00013 | G13179</t>
  </si>
  <si>
    <t>https://www.genome.jp/entry/R12904</t>
  </si>
  <si>
    <t>C00002 | C00133 | G13192</t>
  </si>
  <si>
    <t>C00020 | C00013 | G13193</t>
  </si>
  <si>
    <t>6.1.1.14</t>
  </si>
  <si>
    <t>https://www.genome.jp/entry/6.1.1.14</t>
  </si>
  <si>
    <t>https://www.genome.jp/entry/R03654</t>
  </si>
  <si>
    <t>C00002 | C00037 | C01642</t>
  </si>
  <si>
    <t>C00020 | C00013 | C02412</t>
  </si>
  <si>
    <t>6.1.1.15</t>
  </si>
  <si>
    <t>https://www.genome.jp/entry/6.1.1.15</t>
  </si>
  <si>
    <t>https://www.genome.jp/entry/R03661</t>
  </si>
  <si>
    <t>C00002 | C00148 | C01649</t>
  </si>
  <si>
    <t>C00020 | C00013 | C02702</t>
  </si>
  <si>
    <t>6.1.1.16</t>
  </si>
  <si>
    <t>https://www.genome.jp/entry/6.1.1.16</t>
  </si>
  <si>
    <t>https://www.genome.jp/entry/R03650</t>
  </si>
  <si>
    <t>C00002 | C00097 | C01639</t>
  </si>
  <si>
    <t>C00020 | C00013 | C03125</t>
  </si>
  <si>
    <t>6.1.1.17</t>
  </si>
  <si>
    <t>https://www.genome.jp/entry/6.1.1.17</t>
  </si>
  <si>
    <t>https://www.genome.jp/entry/R05578</t>
  </si>
  <si>
    <t>C01641 | C00025 | C00002</t>
  </si>
  <si>
    <t>C02987 | C00013 | C00020</t>
  </si>
  <si>
    <t>6.1.1.19</t>
  </si>
  <si>
    <t>https://www.genome.jp/entry/6.1.1.19</t>
  </si>
  <si>
    <t>https://www.genome.jp/entry/R03646</t>
  </si>
  <si>
    <t>C00002 | C00062 | C01636</t>
  </si>
  <si>
    <t>C00020 | C00013 | C02163</t>
  </si>
  <si>
    <t>6.1.1.2</t>
  </si>
  <si>
    <t>https://www.genome.jp/entry/6.1.1.2</t>
  </si>
  <si>
    <t>https://www.genome.jp/entry/R03664</t>
  </si>
  <si>
    <t>C00002 | C00078 | C01652</t>
  </si>
  <si>
    <t>C00020 | C00013 | C03512</t>
  </si>
  <si>
    <t>6.1.1.20</t>
  </si>
  <si>
    <t>https://www.genome.jp/entry/6.1.1.20</t>
  </si>
  <si>
    <t>https://www.genome.jp/entry/R03660</t>
  </si>
  <si>
    <t>C00002 | C00079 | C01648</t>
  </si>
  <si>
    <t>C00020 | C00013 | C03511</t>
  </si>
  <si>
    <t>6.1.1.21</t>
  </si>
  <si>
    <t>https://www.genome.jp/entry/6.1.1.21</t>
  </si>
  <si>
    <t>https://www.genome.jp/entry/R03655</t>
  </si>
  <si>
    <t>C00002 | C00135 | C01643</t>
  </si>
  <si>
    <t>C00020 | C00013 | C02988</t>
  </si>
  <si>
    <t>6.1.1.22</t>
  </si>
  <si>
    <t>https://www.genome.jp/entry/6.1.1.22</t>
  </si>
  <si>
    <t>https://www.genome.jp/entry/R03648</t>
  </si>
  <si>
    <t>C00002 | C00152 | C01637</t>
  </si>
  <si>
    <t>C00020 | C00013 | C03402</t>
  </si>
  <si>
    <t>6.1.1.3</t>
  </si>
  <si>
    <t>https://www.genome.jp/entry/6.1.1.3</t>
  </si>
  <si>
    <t>https://www.genome.jp/entry/R03663</t>
  </si>
  <si>
    <t>C00002 | C00188 | C01651</t>
  </si>
  <si>
    <t>C00020 | C00013 | C02992</t>
  </si>
  <si>
    <t>6.1.1.4</t>
  </si>
  <si>
    <t>https://www.genome.jp/entry/6.1.1.4</t>
  </si>
  <si>
    <t>https://www.genome.jp/entry/R03657</t>
  </si>
  <si>
    <t>C00002 | C00123 | C01645</t>
  </si>
  <si>
    <t>C00020 | C00013 | C02047</t>
  </si>
  <si>
    <t>6.1.1.5</t>
  </si>
  <si>
    <t>https://www.genome.jp/entry/6.1.1.5</t>
  </si>
  <si>
    <t>https://www.genome.jp/entry/R03656</t>
  </si>
  <si>
    <t>C00002 | C00407 | C01644</t>
  </si>
  <si>
    <t>C00020 | C00013 | C03127</t>
  </si>
  <si>
    <t>6.1.1.6</t>
  </si>
  <si>
    <t>https://www.genome.jp/entry/6.1.1.6</t>
  </si>
  <si>
    <t>https://www.genome.jp/entry/R03658</t>
  </si>
  <si>
    <t>C00002 | C00047 | C01646</t>
  </si>
  <si>
    <t>C00020 | C00013 | C01931</t>
  </si>
  <si>
    <t>6.1.1.7</t>
  </si>
  <si>
    <t>https://www.genome.jp/entry/6.1.1.7</t>
  </si>
  <si>
    <t>https://www.genome.jp/entry/R03038</t>
  </si>
  <si>
    <t>C00002 | C00041 | C01635</t>
  </si>
  <si>
    <t>C00020 | C00013 | C00886</t>
  </si>
  <si>
    <t>6.1.1.9</t>
  </si>
  <si>
    <t>https://www.genome.jp/entry/6.1.1.9</t>
  </si>
  <si>
    <t>https://www.genome.jp/entry/R03665</t>
  </si>
  <si>
    <t>C00002 | C00183 | C01653</t>
  </si>
  <si>
    <t>C00020 | C00013 | C02554</t>
  </si>
  <si>
    <t>6.2.1.-</t>
  </si>
  <si>
    <t>6.3.1.-</t>
  </si>
  <si>
    <t>6.3.1.1</t>
  </si>
  <si>
    <t>https://www.genome.jp/entry/6.3.1.1</t>
  </si>
  <si>
    <t>https://www.genome.jp/entry/R00483</t>
  </si>
  <si>
    <t>C00002 | C00049 | C00014</t>
  </si>
  <si>
    <t>C00020 | C00013 | C00152</t>
  </si>
  <si>
    <t>6.3.1.2</t>
  </si>
  <si>
    <t>https://www.genome.jp/entry/6.3.1.2</t>
  </si>
  <si>
    <t>https://www.genome.jp/entry/R00253</t>
  </si>
  <si>
    <t>C00002 | C00025 | C00014</t>
  </si>
  <si>
    <t>C00008 | C00009 | C00064</t>
  </si>
  <si>
    <t>6.3.1.5</t>
  </si>
  <si>
    <t>https://www.genome.jp/entry/6.3.1.5</t>
  </si>
  <si>
    <t>https://www.genome.jp/entry/R00189</t>
  </si>
  <si>
    <t>C00002 | C00857 | C00014</t>
  </si>
  <si>
    <t>C00020 | C00013 | C00003</t>
  </si>
  <si>
    <t>6.3.2.-</t>
  </si>
  <si>
    <t>6.3.2.1</t>
  </si>
  <si>
    <t>https://www.genome.jp/entry/6.3.2.1</t>
  </si>
  <si>
    <t>https://www.genome.jp/entry/R02473</t>
  </si>
  <si>
    <t>C00002 | C00522 | C00099</t>
  </si>
  <si>
    <t>C00020 | C00013 | C00864</t>
  </si>
  <si>
    <t>6.3.2.10</t>
  </si>
  <si>
    <t>https://www.genome.jp/entry/6.3.2.10</t>
  </si>
  <si>
    <t>https://www.genome.jp/entry/R04573</t>
  </si>
  <si>
    <t>C00002 | C05892 | C00993</t>
  </si>
  <si>
    <t>C00008 | C00009 | C04702</t>
  </si>
  <si>
    <t>https://www.genome.jp/entry/R04617</t>
  </si>
  <si>
    <t>C00002 | C04877 | C00993</t>
  </si>
  <si>
    <t>C00008 | C00009 | C04882</t>
  </si>
  <si>
    <t>6.3.2.13</t>
  </si>
  <si>
    <t>https://www.genome.jp/entry/6.3.2.13</t>
  </si>
  <si>
    <t>https://www.genome.jp/entry/R02788</t>
  </si>
  <si>
    <t>C00002 | C00692 | C00680</t>
  </si>
  <si>
    <t>C00008 | C00009 | C04877</t>
  </si>
  <si>
    <t>6.3.2.35</t>
  </si>
  <si>
    <t>https://www.genome.jp/entry/6.3.2.35</t>
  </si>
  <si>
    <t>https://www.genome.jp/entry/R09595</t>
  </si>
  <si>
    <t>C00133 | C00740 | C00002</t>
  </si>
  <si>
    <t>C19719 | C00008 | C00009</t>
  </si>
  <si>
    <t>6.3.2.4</t>
  </si>
  <si>
    <t>https://www.genome.jp/entry/6.3.2.4</t>
  </si>
  <si>
    <t>https://www.genome.jp/entry/R01150</t>
  </si>
  <si>
    <t>C00002 | C00133</t>
  </si>
  <si>
    <t>C00008 | C00009 | C00993</t>
  </si>
  <si>
    <t>6.3.2.5</t>
  </si>
  <si>
    <t>https://www.genome.jp/entry/6.3.2.5</t>
  </si>
  <si>
    <t>https://www.genome.jp/entry/R04231</t>
  </si>
  <si>
    <t>C00063 | C03492 | C00097</t>
  </si>
  <si>
    <t>C00055 | C00013 | C04352</t>
  </si>
  <si>
    <t>6.3.2.6</t>
  </si>
  <si>
    <t>https://www.genome.jp/entry/6.3.2.6</t>
  </si>
  <si>
    <t>https://www.genome.jp/entry/R04591</t>
  </si>
  <si>
    <t>C00002 | C04751 | C00049</t>
  </si>
  <si>
    <t>C00008 | C00009 | C04823</t>
  </si>
  <si>
    <t>6.3.2.8</t>
  </si>
  <si>
    <t>https://www.genome.jp/entry/6.3.2.8</t>
  </si>
  <si>
    <t>https://www.genome.jp/entry/R03193</t>
  </si>
  <si>
    <t>C00002 | C01050 | C00041</t>
  </si>
  <si>
    <t>C00008 | C00009 | C01212</t>
  </si>
  <si>
    <t>6.3.2.9</t>
  </si>
  <si>
    <t>https://www.genome.jp/entry/6.3.2.9</t>
  </si>
  <si>
    <t>https://www.genome.jp/entry/R02783</t>
  </si>
  <si>
    <t>C00002 | C01212 | C00217</t>
  </si>
  <si>
    <t>C00008 | C00009 | C00692</t>
  </si>
  <si>
    <t>6.3.3.1</t>
  </si>
  <si>
    <t>https://www.genome.jp/entry/6.3.3.1</t>
  </si>
  <si>
    <t>https://www.genome.jp/entry/R04208</t>
  </si>
  <si>
    <t>C00002 | C04640</t>
  </si>
  <si>
    <t>C00008 | C00009 | C03373</t>
  </si>
  <si>
    <t>6.3.3.2</t>
  </si>
  <si>
    <t>https://www.genome.jp/entry/6.3.3.2</t>
  </si>
  <si>
    <t>https://www.genome.jp/entry/R02301</t>
  </si>
  <si>
    <t>C00002 | C03479 | C00080</t>
  </si>
  <si>
    <t>C00008 | C00009 | C00445</t>
  </si>
  <si>
    <t>6.3.4.13</t>
  </si>
  <si>
    <t>https://www.genome.jp/entry/6.3.4.13</t>
  </si>
  <si>
    <t>https://www.genome.jp/entry/R04144</t>
  </si>
  <si>
    <t>C00002 | C03090 | C00037</t>
  </si>
  <si>
    <t>C00008 | C00009 | C03838</t>
  </si>
  <si>
    <t>6.3.4.14</t>
  </si>
  <si>
    <t>https://www.genome.jp/entry/6.3.4.14</t>
  </si>
  <si>
    <t>https://www.genome.jp/entry/R04385</t>
  </si>
  <si>
    <t>C00002 | C06250 | C00288</t>
  </si>
  <si>
    <t>C00008 | C00009 | C04419</t>
  </si>
  <si>
    <t>6.3.4.15</t>
  </si>
  <si>
    <t>https://www.genome.jp/entry/6.3.4.15</t>
  </si>
  <si>
    <t>https://www.genome.jp/entry/R04562</t>
  </si>
  <si>
    <t>C00002 | C00120 | C04735</t>
  </si>
  <si>
    <t>C00020 | C00013 | C04681</t>
  </si>
  <si>
    <t>https://www.genome.jp/entry/R01074</t>
  </si>
  <si>
    <t>C00002 | C00120</t>
  </si>
  <si>
    <t>C00013 | C05921</t>
  </si>
  <si>
    <t>https://www.genome.jp/entry/R05145</t>
  </si>
  <si>
    <t>C05921 | C06249</t>
  </si>
  <si>
    <t>C00020 | C06250</t>
  </si>
  <si>
    <t>6.3.4.19</t>
  </si>
  <si>
    <t>https://www.genome.jp/entry/6.3.4.19</t>
  </si>
  <si>
    <t>https://www.genome.jp/entry/R09597</t>
  </si>
  <si>
    <t>C19722 | C00047 | C00002</t>
  </si>
  <si>
    <t>C19723 | C00020 | C00013 | C00001</t>
  </si>
  <si>
    <t>6.3.4.21</t>
  </si>
  <si>
    <t>https://www.genome.jp/entry/6.3.4.21</t>
  </si>
  <si>
    <t>https://www.genome.jp/entry/R01724</t>
  </si>
  <si>
    <t>C01185 | C00013 | C00008 | C00009</t>
  </si>
  <si>
    <t>C00253 | C00119 | C00002 | C00001 | C00080</t>
  </si>
  <si>
    <t>6.3.4.3</t>
  </si>
  <si>
    <t>https://www.genome.jp/entry/6.3.4.3</t>
  </si>
  <si>
    <t>https://www.genome.jp/entry/R00943</t>
  </si>
  <si>
    <t>C00101 | C00058 | C00002</t>
  </si>
  <si>
    <t>C00008 | C00009 | C00234</t>
  </si>
  <si>
    <t>6.3.4.4</t>
  </si>
  <si>
    <t>https://www.genome.jp/entry/6.3.4.4</t>
  </si>
  <si>
    <t>https://www.genome.jp/entry/R01135</t>
  </si>
  <si>
    <t>C00044 | C00130 | C00049</t>
  </si>
  <si>
    <t>C00035 | C00009 | C03794</t>
  </si>
  <si>
    <t>6.3.4.5</t>
  </si>
  <si>
    <t>https://www.genome.jp/entry/6.3.4.5</t>
  </si>
  <si>
    <t>https://www.genome.jp/entry/R01954</t>
  </si>
  <si>
    <t>C00002 | C00327 | C00049</t>
  </si>
  <si>
    <t>C00020 | C00013 | C03406</t>
  </si>
  <si>
    <t>6.3.5.2</t>
  </si>
  <si>
    <t>https://www.genome.jp/entry/6.3.5.2</t>
  </si>
  <si>
    <t>https://www.genome.jp/entry/R01231</t>
  </si>
  <si>
    <t>C00002 | C00655 | C00064 | C00001</t>
  </si>
  <si>
    <t>C00020 | C00013 | C00144 | C00025</t>
  </si>
  <si>
    <t>https://www.genome.jp/entry/R01230</t>
  </si>
  <si>
    <t>C00002 | C00655 | C00014</t>
  </si>
  <si>
    <t>C00020 | C00013 | C00144</t>
  </si>
  <si>
    <t>https://www.genome.jp/entry/R08244</t>
  </si>
  <si>
    <t>C16618 | C00002 | C00064 | C00001</t>
  </si>
  <si>
    <t>C16619 | C00020 | C00013 | C00025</t>
  </si>
  <si>
    <t>6.3.5.3</t>
  </si>
  <si>
    <t>https://www.genome.jp/entry/6.3.5.3</t>
  </si>
  <si>
    <t>https://www.genome.jp/entry/R04463</t>
  </si>
  <si>
    <t>C00002 | C04376 | C00064 | C00001</t>
  </si>
  <si>
    <t>C00008 | C00009 | C04640 | C00025</t>
  </si>
  <si>
    <t>6.3.5.4</t>
  </si>
  <si>
    <t>https://www.genome.jp/entry/6.3.5.4</t>
  </si>
  <si>
    <t>https://www.genome.jp/entry/R00578</t>
  </si>
  <si>
    <t>C00002 | C00049 | C00064 | C00001</t>
  </si>
  <si>
    <t>C00020 | C00013 | C00152 | C00025</t>
  </si>
  <si>
    <t>6.3.5.5</t>
  </si>
  <si>
    <t>https://www.genome.jp/entry/6.3.5.5</t>
  </si>
  <si>
    <t>https://www.genome.jp/entry/R00575</t>
  </si>
  <si>
    <t>C00002 | C00064 | C00288 | C00001</t>
  </si>
  <si>
    <t>C00008 | C00009 | C00025 | C00169</t>
  </si>
  <si>
    <t>https://www.genome.jp/entry/R10948</t>
  </si>
  <si>
    <t>C00002 | C00288</t>
  </si>
  <si>
    <t>C00008 | C20969</t>
  </si>
  <si>
    <t>https://www.genome.jp/entry/R10949</t>
  </si>
  <si>
    <t>C00014 | C20969</t>
  </si>
  <si>
    <t>C01563 | C00009</t>
  </si>
  <si>
    <t>https://www.genome.jp/entry/R01395</t>
  </si>
  <si>
    <t>C00002 | C01563</t>
  </si>
  <si>
    <t>C00008 | C00169</t>
  </si>
  <si>
    <t>https://www.genome.jp/entry/R07641</t>
  </si>
  <si>
    <t>C00002 | C00288 | C00014</t>
  </si>
  <si>
    <t>C00008 | C00009 | C00169</t>
  </si>
  <si>
    <t>6.4.1.1</t>
  </si>
  <si>
    <t>https://www.genome.jp/entry/6.4.1.1</t>
  </si>
  <si>
    <t>https://www.genome.jp/entry/R00344</t>
  </si>
  <si>
    <t>C00002 | C00022 | C00288</t>
  </si>
  <si>
    <t>C00008 | C00009 | C00036</t>
  </si>
  <si>
    <t>6.4.1.2</t>
  </si>
  <si>
    <t>https://www.genome.jp/entry/6.4.1.2</t>
  </si>
  <si>
    <t>https://www.genome.jp/entry/R00742</t>
  </si>
  <si>
    <t>C00002 | C00024 | C00288</t>
  </si>
  <si>
    <t>C00008 | C00009 | C00083</t>
  </si>
  <si>
    <t>6.5.1.2</t>
  </si>
  <si>
    <t>https://www.genome.jp/entry/6.5.1.2</t>
  </si>
  <si>
    <t>https://www.genome.jp/entry/R00382</t>
  </si>
  <si>
    <t>C00003 | C00039 | C02128</t>
  </si>
  <si>
    <t>C00020 | C00455 | C00039</t>
  </si>
  <si>
    <t>7.-.-.-</t>
  </si>
  <si>
    <t>7.1.1.-</t>
  </si>
  <si>
    <t>7.1.2.2</t>
  </si>
  <si>
    <t>https://www.genome.jp/entry/7.1.2.2</t>
  </si>
  <si>
    <t>https://www.genome.jp/entry/R00086</t>
  </si>
  <si>
    <t>C00002 | C00001</t>
  </si>
  <si>
    <t>C00008 | C00009</t>
  </si>
  <si>
    <t>7.2.2.-</t>
  </si>
  <si>
    <t>7.2.2.10</t>
  </si>
  <si>
    <t>https://www.genome.jp/entry/7.2.2.10</t>
  </si>
  <si>
    <t>7.2.2.6</t>
  </si>
  <si>
    <t>https://www.genome.jp/entry/7.2.2.6</t>
  </si>
  <si>
    <t>7.3.2.1</t>
  </si>
  <si>
    <t>https://www.genome.jp/entry/7.3.2.1</t>
  </si>
  <si>
    <t>7.4.2.11</t>
  </si>
  <si>
    <t>https://www.genome.jp/entry/7.4.2.11</t>
  </si>
  <si>
    <t>7.5.2.-</t>
  </si>
  <si>
    <t>7.6.2.-</t>
  </si>
  <si>
    <t>C00001</t>
  </si>
  <si>
    <t>C00003</t>
  </si>
  <si>
    <t>Water</t>
  </si>
  <si>
    <t>ATP</t>
  </si>
  <si>
    <t>NAD+</t>
  </si>
  <si>
    <t>C00005</t>
  </si>
  <si>
    <t>C00006</t>
  </si>
  <si>
    <t>C00007</t>
  </si>
  <si>
    <t>NADPH</t>
  </si>
  <si>
    <t>NADP+</t>
  </si>
  <si>
    <t>Oxygen</t>
  </si>
  <si>
    <t>Phosphoric acid</t>
  </si>
  <si>
    <t>C00011</t>
  </si>
  <si>
    <t>Carbon dioxide</t>
  </si>
  <si>
    <t>C00014</t>
  </si>
  <si>
    <t>Ammonia</t>
  </si>
  <si>
    <t>L-Glutamate</t>
  </si>
  <si>
    <t>D-Glucose</t>
  </si>
  <si>
    <t>C00037</t>
  </si>
  <si>
    <t>Glycine</t>
  </si>
  <si>
    <t>L-Alanine</t>
  </si>
  <si>
    <t>C00047</t>
  </si>
  <si>
    <t>L-Lysine</t>
  </si>
  <si>
    <t>L-Aspartate</t>
  </si>
  <si>
    <t>C00064</t>
  </si>
  <si>
    <t>L-Glutamine</t>
  </si>
  <si>
    <t>L-Serine</t>
  </si>
  <si>
    <t>C00073</t>
  </si>
  <si>
    <t>L-Methionine</t>
  </si>
  <si>
    <t>C00097</t>
  </si>
  <si>
    <t>L-Cysteine</t>
  </si>
  <si>
    <t>C00120</t>
  </si>
  <si>
    <t>Biotin</t>
  </si>
  <si>
    <t>C00123</t>
  </si>
  <si>
    <t>L-Leucine</t>
  </si>
  <si>
    <t>L-Proline</t>
  </si>
  <si>
    <t>C00183</t>
  </si>
  <si>
    <t>L-Valine</t>
  </si>
  <si>
    <t>C00407</t>
  </si>
  <si>
    <t>L-Isoleucine</t>
  </si>
  <si>
    <t>C01134</t>
  </si>
  <si>
    <t>Pantetheine 4'-phosphate</t>
  </si>
  <si>
    <t>C00004</t>
  </si>
  <si>
    <t>C00010</t>
  </si>
  <si>
    <t>C00012</t>
  </si>
  <si>
    <t>C00013</t>
  </si>
  <si>
    <t>C00015</t>
  </si>
  <si>
    <t>C00016</t>
  </si>
  <si>
    <t>C00017</t>
  </si>
  <si>
    <t>C00018</t>
  </si>
  <si>
    <t>C00019</t>
  </si>
  <si>
    <t>C00020</t>
  </si>
  <si>
    <t>C00021</t>
  </si>
  <si>
    <t>C00026</t>
  </si>
  <si>
    <t>C00028</t>
  </si>
  <si>
    <t>C00030</t>
  </si>
  <si>
    <t>C00033</t>
  </si>
  <si>
    <t>C00035</t>
  </si>
  <si>
    <t>C00039</t>
  </si>
  <si>
    <t>C00040</t>
  </si>
  <si>
    <t>C00045</t>
  </si>
  <si>
    <t>C00046</t>
  </si>
  <si>
    <t>C00051</t>
  </si>
  <si>
    <t>C00054</t>
  </si>
  <si>
    <t>C00055</t>
  </si>
  <si>
    <t>C00058</t>
  </si>
  <si>
    <t>C00060</t>
  </si>
  <si>
    <t>C00061</t>
  </si>
  <si>
    <t>C00062</t>
  </si>
  <si>
    <t>C00063</t>
  </si>
  <si>
    <t>C00066</t>
  </si>
  <si>
    <t>C00067</t>
  </si>
  <si>
    <t>C00068</t>
  </si>
  <si>
    <t>C00071</t>
  </si>
  <si>
    <t>C00074</t>
  </si>
  <si>
    <t>C00075</t>
  </si>
  <si>
    <t>C00078</t>
  </si>
  <si>
    <t>C00079</t>
  </si>
  <si>
    <t>C00080</t>
  </si>
  <si>
    <t>C00081</t>
  </si>
  <si>
    <t>C00082</t>
  </si>
  <si>
    <t>C00083</t>
  </si>
  <si>
    <t>C00084</t>
  </si>
  <si>
    <t>C00086</t>
  </si>
  <si>
    <t>C00089</t>
  </si>
  <si>
    <t>C00093</t>
  </si>
  <si>
    <t>C00094</t>
  </si>
  <si>
    <t>C00099</t>
  </si>
  <si>
    <t>C00100</t>
  </si>
  <si>
    <t>C00101</t>
  </si>
  <si>
    <t>C00103</t>
  </si>
  <si>
    <t>C00104</t>
  </si>
  <si>
    <t>C00105</t>
  </si>
  <si>
    <t>C00106</t>
  </si>
  <si>
    <t>C00108</t>
  </si>
  <si>
    <t>C00109</t>
  </si>
  <si>
    <t>C00112</t>
  </si>
  <si>
    <t>C00114</t>
  </si>
  <si>
    <t>C00116</t>
  </si>
  <si>
    <t>C00119</t>
  </si>
  <si>
    <t>C00121</t>
  </si>
  <si>
    <t>C00122</t>
  </si>
  <si>
    <t>C00129</t>
  </si>
  <si>
    <t>C00130</t>
  </si>
  <si>
    <t>C00131</t>
  </si>
  <si>
    <t>C00132</t>
  </si>
  <si>
    <t>C00134</t>
  </si>
  <si>
    <t>C00135</t>
  </si>
  <si>
    <t>C00136</t>
  </si>
  <si>
    <t>C00138</t>
  </si>
  <si>
    <t>C00139</t>
  </si>
  <si>
    <t>C00141</t>
  </si>
  <si>
    <t>C00143</t>
  </si>
  <si>
    <t>C00144</t>
  </si>
  <si>
    <t>C00145</t>
  </si>
  <si>
    <t>C00147</t>
  </si>
  <si>
    <t>C00151</t>
  </si>
  <si>
    <t>C00152</t>
  </si>
  <si>
    <t>C00153</t>
  </si>
  <si>
    <t>C00155</t>
  </si>
  <si>
    <t>C00159</t>
  </si>
  <si>
    <t>C00161</t>
  </si>
  <si>
    <t>C00164</t>
  </si>
  <si>
    <t>C00166</t>
  </si>
  <si>
    <t>C00169</t>
  </si>
  <si>
    <t>C00170</t>
  </si>
  <si>
    <t>C00173</t>
  </si>
  <si>
    <t>C00178</t>
  </si>
  <si>
    <t>C00179</t>
  </si>
  <si>
    <t>C00185</t>
  </si>
  <si>
    <t>C00186</t>
  </si>
  <si>
    <t>C00192</t>
  </si>
  <si>
    <t>C00194</t>
  </si>
  <si>
    <t>C00206</t>
  </si>
  <si>
    <t>C00208</t>
  </si>
  <si>
    <t>C00212</t>
  </si>
  <si>
    <t>C00213</t>
  </si>
  <si>
    <t>C00214</t>
  </si>
  <si>
    <t>C00218</t>
  </si>
  <si>
    <t>C00226</t>
  </si>
  <si>
    <t>C00227</t>
  </si>
  <si>
    <t>C00229</t>
  </si>
  <si>
    <t>C00233</t>
  </si>
  <si>
    <t>C00234</t>
  </si>
  <si>
    <t>C00235</t>
  </si>
  <si>
    <t>C00236</t>
  </si>
  <si>
    <t>C00237</t>
  </si>
  <si>
    <t>C00239</t>
  </si>
  <si>
    <t>C00240</t>
  </si>
  <si>
    <t>C00241</t>
  </si>
  <si>
    <t>C00242</t>
  </si>
  <si>
    <t>C00245</t>
  </si>
  <si>
    <t>C00246</t>
  </si>
  <si>
    <t>C00248</t>
  </si>
  <si>
    <t>C00250</t>
  </si>
  <si>
    <t>C00251</t>
  </si>
  <si>
    <t>C00253</t>
  </si>
  <si>
    <t>C00255</t>
  </si>
  <si>
    <t>C00256</t>
  </si>
  <si>
    <t>C00258</t>
  </si>
  <si>
    <t>C00262</t>
  </si>
  <si>
    <t>C00263</t>
  </si>
  <si>
    <t>C00266</t>
  </si>
  <si>
    <t>C00269</t>
  </si>
  <si>
    <t>C00272</t>
  </si>
  <si>
    <t>C00279</t>
  </si>
  <si>
    <t>C00283</t>
  </si>
  <si>
    <t>C00286</t>
  </si>
  <si>
    <t>C00288</t>
  </si>
  <si>
    <t>C00294</t>
  </si>
  <si>
    <t>C00295</t>
  </si>
  <si>
    <t>C00299</t>
  </si>
  <si>
    <t>C00314</t>
  </si>
  <si>
    <t>C00315</t>
  </si>
  <si>
    <t>C00320</t>
  </si>
  <si>
    <t>C00327</t>
  </si>
  <si>
    <t>C00330</t>
  </si>
  <si>
    <t>C00331</t>
  </si>
  <si>
    <t>C00332</t>
  </si>
  <si>
    <t>C00337</t>
  </si>
  <si>
    <t>C00342</t>
  </si>
  <si>
    <t>C00343</t>
  </si>
  <si>
    <t>C00360</t>
  </si>
  <si>
    <t>C00361</t>
  </si>
  <si>
    <t>C00362</t>
  </si>
  <si>
    <t>C00363</t>
  </si>
  <si>
    <t>C00364</t>
  </si>
  <si>
    <t>C00365</t>
  </si>
  <si>
    <t>C00366</t>
  </si>
  <si>
    <t>C00369</t>
  </si>
  <si>
    <t>C00376</t>
  </si>
  <si>
    <t>C00378</t>
  </si>
  <si>
    <t>C00380</t>
  </si>
  <si>
    <t>C00385</t>
  </si>
  <si>
    <t>C00387</t>
  </si>
  <si>
    <t>C00395</t>
  </si>
  <si>
    <t>C00396</t>
  </si>
  <si>
    <t>C00415</t>
  </si>
  <si>
    <t>C00416</t>
  </si>
  <si>
    <t>C00417</t>
  </si>
  <si>
    <t>C00418</t>
  </si>
  <si>
    <t>C00429</t>
  </si>
  <si>
    <t>C00437</t>
  </si>
  <si>
    <t>C00440</t>
  </si>
  <si>
    <t>C00441</t>
  </si>
  <si>
    <t>C00445</t>
  </si>
  <si>
    <t>C00446</t>
  </si>
  <si>
    <t>C00454</t>
  </si>
  <si>
    <t>C00455</t>
  </si>
  <si>
    <t>C00458</t>
  </si>
  <si>
    <t>C00459</t>
  </si>
  <si>
    <t>C00460</t>
  </si>
  <si>
    <t>C00469</t>
  </si>
  <si>
    <t>C00473</t>
  </si>
  <si>
    <t>C00475</t>
  </si>
  <si>
    <t>C00491</t>
  </si>
  <si>
    <t>C00493</t>
  </si>
  <si>
    <t>C00498</t>
  </si>
  <si>
    <t>C00504</t>
  </si>
  <si>
    <t>C00522</t>
  </si>
  <si>
    <t>C00526</t>
  </si>
  <si>
    <t>C00530</t>
  </si>
  <si>
    <t>C00534</t>
  </si>
  <si>
    <t>C00546</t>
  </si>
  <si>
    <t>C00559</t>
  </si>
  <si>
    <t>C00562</t>
  </si>
  <si>
    <t>C00568</t>
  </si>
  <si>
    <t>C00576</t>
  </si>
  <si>
    <t>C00577</t>
  </si>
  <si>
    <t>C00579</t>
  </si>
  <si>
    <t>C00585</t>
  </si>
  <si>
    <t>C00605</t>
  </si>
  <si>
    <t>C00613</t>
  </si>
  <si>
    <t>C00615</t>
  </si>
  <si>
    <t>C00624</t>
  </si>
  <si>
    <t>C00627</t>
  </si>
  <si>
    <t>C00632</t>
  </si>
  <si>
    <t>C00641</t>
  </si>
  <si>
    <t>C00642</t>
  </si>
  <si>
    <t>C00644</t>
  </si>
  <si>
    <t>C00645</t>
  </si>
  <si>
    <t>C00647</t>
  </si>
  <si>
    <t>C00653</t>
  </si>
  <si>
    <t>C00655</t>
  </si>
  <si>
    <t>C00671</t>
  </si>
  <si>
    <t>C00677</t>
  </si>
  <si>
    <t>C00681</t>
  </si>
  <si>
    <t>C00685</t>
  </si>
  <si>
    <t>C00689</t>
  </si>
  <si>
    <t>C00692</t>
  </si>
  <si>
    <t>C00693</t>
  </si>
  <si>
    <t>C00704</t>
  </si>
  <si>
    <t>C00705</t>
  </si>
  <si>
    <t>C00718</t>
  </si>
  <si>
    <t>C00740</t>
  </si>
  <si>
    <t>C00756</t>
  </si>
  <si>
    <t>C00772</t>
  </si>
  <si>
    <t>C00787</t>
  </si>
  <si>
    <t>C00812</t>
  </si>
  <si>
    <t>C00819</t>
  </si>
  <si>
    <t>C00831</t>
  </si>
  <si>
    <t>C00857</t>
  </si>
  <si>
    <t>C00860</t>
  </si>
  <si>
    <t>C00864</t>
  </si>
  <si>
    <t>C00881</t>
  </si>
  <si>
    <t>C00882</t>
  </si>
  <si>
    <t>C00886</t>
  </si>
  <si>
    <t>C00894</t>
  </si>
  <si>
    <t>C00900</t>
  </si>
  <si>
    <t>C00911</t>
  </si>
  <si>
    <t>C00921</t>
  </si>
  <si>
    <t>C00931</t>
  </si>
  <si>
    <t>C00934</t>
  </si>
  <si>
    <t>C00957</t>
  </si>
  <si>
    <t>C00979</t>
  </si>
  <si>
    <t>C00993</t>
  </si>
  <si>
    <t>C01005</t>
  </si>
  <si>
    <t>C01024</t>
  </si>
  <si>
    <t>C01050</t>
  </si>
  <si>
    <t>C01051</t>
  </si>
  <si>
    <t>C01077</t>
  </si>
  <si>
    <t>C01081</t>
  </si>
  <si>
    <t>C01089</t>
  </si>
  <si>
    <t>C01096</t>
  </si>
  <si>
    <t>C01097</t>
  </si>
  <si>
    <t>C01100</t>
  </si>
  <si>
    <t>C01102</t>
  </si>
  <si>
    <t>C01137</t>
  </si>
  <si>
    <t>C01144</t>
  </si>
  <si>
    <t>C01146</t>
  </si>
  <si>
    <t>C01167</t>
  </si>
  <si>
    <t>C01179</t>
  </si>
  <si>
    <t>C01185</t>
  </si>
  <si>
    <t>C01209</t>
  </si>
  <si>
    <t>C01212</t>
  </si>
  <si>
    <t>C01217</t>
  </si>
  <si>
    <t>C01242</t>
  </si>
  <si>
    <t>C01250</t>
  </si>
  <si>
    <t>C01251</t>
  </si>
  <si>
    <t>C01260</t>
  </si>
  <si>
    <t>C01267</t>
  </si>
  <si>
    <t>C01268</t>
  </si>
  <si>
    <t>C01279</t>
  </si>
  <si>
    <t>C01300</t>
  </si>
  <si>
    <t>C01304</t>
  </si>
  <si>
    <t>C01335</t>
  </si>
  <si>
    <t>C01336</t>
  </si>
  <si>
    <t>C01346</t>
  </si>
  <si>
    <t>C01412</t>
  </si>
  <si>
    <t>C01419</t>
  </si>
  <si>
    <t>C01450</t>
  </si>
  <si>
    <t>C01468</t>
  </si>
  <si>
    <t>C01528</t>
  </si>
  <si>
    <t>C01545</t>
  </si>
  <si>
    <t>C01563</t>
  </si>
  <si>
    <t>C01609</t>
  </si>
  <si>
    <t>C01612</t>
  </si>
  <si>
    <t>C01635</t>
  </si>
  <si>
    <t>C01636</t>
  </si>
  <si>
    <t>C01637</t>
  </si>
  <si>
    <t>C01638</t>
  </si>
  <si>
    <t>C01639</t>
  </si>
  <si>
    <t>C01641</t>
  </si>
  <si>
    <t>C01642</t>
  </si>
  <si>
    <t>C01643</t>
  </si>
  <si>
    <t>C01644</t>
  </si>
  <si>
    <t>C01645</t>
  </si>
  <si>
    <t>C01646</t>
  </si>
  <si>
    <t>C01647</t>
  </si>
  <si>
    <t>C01648</t>
  </si>
  <si>
    <t>C01649</t>
  </si>
  <si>
    <t>C01650</t>
  </si>
  <si>
    <t>C01651</t>
  </si>
  <si>
    <t>C01652</t>
  </si>
  <si>
    <t>C01653</t>
  </si>
  <si>
    <t>C01672</t>
  </si>
  <si>
    <t>C01674</t>
  </si>
  <si>
    <t>C01762</t>
  </si>
  <si>
    <t>C01801</t>
  </si>
  <si>
    <t>C01866</t>
  </si>
  <si>
    <t>C01879</t>
  </si>
  <si>
    <t>C01909</t>
  </si>
  <si>
    <t>C01929</t>
  </si>
  <si>
    <t>C01931</t>
  </si>
  <si>
    <t>C01962</t>
  </si>
  <si>
    <t>C01977</t>
  </si>
  <si>
    <t>C01978</t>
  </si>
  <si>
    <t>C01997</t>
  </si>
  <si>
    <t>C02015</t>
  </si>
  <si>
    <t>C02047</t>
  </si>
  <si>
    <t>C02051</t>
  </si>
  <si>
    <t>C02090</t>
  </si>
  <si>
    <t>C02128</t>
  </si>
  <si>
    <t>C02133</t>
  </si>
  <si>
    <t>C02163</t>
  </si>
  <si>
    <t>C02166</t>
  </si>
  <si>
    <t>C02188</t>
  </si>
  <si>
    <t>C02211</t>
  </si>
  <si>
    <t>C02232</t>
  </si>
  <si>
    <t>C02291</t>
  </si>
  <si>
    <t>C02320</t>
  </si>
  <si>
    <t>C02323</t>
  </si>
  <si>
    <t>C02336</t>
  </si>
  <si>
    <t>C02342</t>
  </si>
  <si>
    <t>C02380</t>
  </si>
  <si>
    <t>C02412</t>
  </si>
  <si>
    <t>C02415</t>
  </si>
  <si>
    <t>C02430</t>
  </si>
  <si>
    <t>C02463</t>
  </si>
  <si>
    <t>C02469</t>
  </si>
  <si>
    <t>C02512</t>
  </si>
  <si>
    <t>C02520</t>
  </si>
  <si>
    <t>C02527</t>
  </si>
  <si>
    <t>C02553</t>
  </si>
  <si>
    <t>C02554</t>
  </si>
  <si>
    <t>C02583</t>
  </si>
  <si>
    <t>C02631</t>
  </si>
  <si>
    <t>C02637</t>
  </si>
  <si>
    <t>C02702</t>
  </si>
  <si>
    <t>C02713</t>
  </si>
  <si>
    <t>C02729</t>
  </si>
  <si>
    <t>C02739</t>
  </si>
  <si>
    <t>C02741</t>
  </si>
  <si>
    <t>C02743</t>
  </si>
  <si>
    <t>C02749</t>
  </si>
  <si>
    <t>C02839</t>
  </si>
  <si>
    <t>C02876</t>
  </si>
  <si>
    <t>C02882</t>
  </si>
  <si>
    <t>C02909</t>
  </si>
  <si>
    <t>C02953</t>
  </si>
  <si>
    <t>C02970</t>
  </si>
  <si>
    <t>C02972</t>
  </si>
  <si>
    <t>C02984</t>
  </si>
  <si>
    <t>C02987</t>
  </si>
  <si>
    <t>C02988</t>
  </si>
  <si>
    <t>C02992</t>
  </si>
  <si>
    <t>C02999</t>
  </si>
  <si>
    <t>C03023</t>
  </si>
  <si>
    <t>C03028</t>
  </si>
  <si>
    <t>C03082</t>
  </si>
  <si>
    <t>C03089</t>
  </si>
  <si>
    <t>C03090</t>
  </si>
  <si>
    <t>C03114</t>
  </si>
  <si>
    <t>C03125</t>
  </si>
  <si>
    <t>C03127</t>
  </si>
  <si>
    <t>C03150</t>
  </si>
  <si>
    <t>C03167</t>
  </si>
  <si>
    <t>C03169</t>
  </si>
  <si>
    <t>C03170</t>
  </si>
  <si>
    <t>C03175</t>
  </si>
  <si>
    <t>C03193</t>
  </si>
  <si>
    <t>C03294</t>
  </si>
  <si>
    <t>C03319</t>
  </si>
  <si>
    <t>C03341</t>
  </si>
  <si>
    <t>C03344</t>
  </si>
  <si>
    <t>C03363</t>
  </si>
  <si>
    <t>C03373</t>
  </si>
  <si>
    <t>C03402</t>
  </si>
  <si>
    <t>C03479</t>
  </si>
  <si>
    <t>C03492</t>
  </si>
  <si>
    <t>C03511</t>
  </si>
  <si>
    <t>C03512</t>
  </si>
  <si>
    <t>C03523</t>
  </si>
  <si>
    <t>C03557</t>
  </si>
  <si>
    <t>C03617</t>
  </si>
  <si>
    <t>C03688</t>
  </si>
  <si>
    <t>C03722</t>
  </si>
  <si>
    <t>C03723</t>
  </si>
  <si>
    <t>C03740</t>
  </si>
  <si>
    <t>C03800</t>
  </si>
  <si>
    <t>C03802</t>
  </si>
  <si>
    <t>C03803</t>
  </si>
  <si>
    <t>C03838</t>
  </si>
  <si>
    <t>C03880</t>
  </si>
  <si>
    <t>C03892</t>
  </si>
  <si>
    <t>C03895</t>
  </si>
  <si>
    <t>C03912</t>
  </si>
  <si>
    <t>C03939</t>
  </si>
  <si>
    <t>C03972</t>
  </si>
  <si>
    <t>C04051</t>
  </si>
  <si>
    <t>C04079</t>
  </si>
  <si>
    <t>C04133</t>
  </si>
  <si>
    <t>C04153</t>
  </si>
  <si>
    <t>C04157</t>
  </si>
  <si>
    <t>C04160</t>
  </si>
  <si>
    <t>C04161</t>
  </si>
  <si>
    <t>C04232</t>
  </si>
  <si>
    <t>C04242</t>
  </si>
  <si>
    <t>C04246</t>
  </si>
  <si>
    <t>C04250</t>
  </si>
  <si>
    <t>C04258</t>
  </si>
  <si>
    <t>C04260</t>
  </si>
  <si>
    <t>C04261</t>
  </si>
  <si>
    <t>C04281</t>
  </si>
  <si>
    <t>C04294</t>
  </si>
  <si>
    <t>C04309</t>
  </si>
  <si>
    <t>C04327</t>
  </si>
  <si>
    <t>C04341</t>
  </si>
  <si>
    <t>C04376</t>
  </si>
  <si>
    <t>C04377</t>
  </si>
  <si>
    <t>C04419</t>
  </si>
  <si>
    <t>C04432</t>
  </si>
  <si>
    <t>C04454</t>
  </si>
  <si>
    <t>C04494</t>
  </si>
  <si>
    <t>C04501</t>
  </si>
  <si>
    <t>C04534</t>
  </si>
  <si>
    <t>C04556</t>
  </si>
  <si>
    <t>C04574</t>
  </si>
  <si>
    <t>C04631</t>
  </si>
  <si>
    <t>C04640</t>
  </si>
  <si>
    <t>C04646</t>
  </si>
  <si>
    <t>C04677</t>
  </si>
  <si>
    <t>C04681</t>
  </si>
  <si>
    <t>C04702</t>
  </si>
  <si>
    <t>C04728</t>
  </si>
  <si>
    <t>C04732</t>
  </si>
  <si>
    <t>C04735</t>
  </si>
  <si>
    <t>C04752</t>
  </si>
  <si>
    <t>C04778</t>
  </si>
  <si>
    <t>C04807</t>
  </si>
  <si>
    <t>C04851</t>
  </si>
  <si>
    <t>C04877</t>
  </si>
  <si>
    <t>C04882</t>
  </si>
  <si>
    <t>C04895</t>
  </si>
  <si>
    <t>C05116</t>
  </si>
  <si>
    <t>C05125</t>
  </si>
  <si>
    <t>C05172</t>
  </si>
  <si>
    <t>C05196</t>
  </si>
  <si>
    <t>C05197</t>
  </si>
  <si>
    <t>C05198</t>
  </si>
  <si>
    <t>C05199</t>
  </si>
  <si>
    <t>C05223</t>
  </si>
  <si>
    <t>C05269</t>
  </si>
  <si>
    <t>C05312</t>
  </si>
  <si>
    <t>C05335</t>
  </si>
  <si>
    <t>C05336</t>
  </si>
  <si>
    <t>C05359</t>
  </si>
  <si>
    <t>C05382</t>
  </si>
  <si>
    <t>C05444</t>
  </si>
  <si>
    <t>C05445</t>
  </si>
  <si>
    <t>C05512</t>
  </si>
  <si>
    <t>C05526</t>
  </si>
  <si>
    <t>C05539</t>
  </si>
  <si>
    <t>C05551</t>
  </si>
  <si>
    <t>C05576</t>
  </si>
  <si>
    <t>C05577</t>
  </si>
  <si>
    <t>C05640</t>
  </si>
  <si>
    <t>C05670</t>
  </si>
  <si>
    <t>C05684</t>
  </si>
  <si>
    <t>C05688</t>
  </si>
  <si>
    <t>C05689</t>
  </si>
  <si>
    <t>C05691</t>
  </si>
  <si>
    <t>C05695</t>
  </si>
  <si>
    <t>C05698</t>
  </si>
  <si>
    <t>C05699</t>
  </si>
  <si>
    <t>C05703</t>
  </si>
  <si>
    <t>C05711</t>
  </si>
  <si>
    <t>C05726</t>
  </si>
  <si>
    <t>C05729</t>
  </si>
  <si>
    <t>C05744</t>
  </si>
  <si>
    <t>C05745</t>
  </si>
  <si>
    <t>C05746</t>
  </si>
  <si>
    <t>C05748</t>
  </si>
  <si>
    <t>C05749</t>
  </si>
  <si>
    <t>C05750</t>
  </si>
  <si>
    <t>C05751</t>
  </si>
  <si>
    <t>C05752</t>
  </si>
  <si>
    <t>C05753</t>
  </si>
  <si>
    <t>C05754</t>
  </si>
  <si>
    <t>C05755</t>
  </si>
  <si>
    <t>C05756</t>
  </si>
  <si>
    <t>C05758</t>
  </si>
  <si>
    <t>C05759</t>
  </si>
  <si>
    <t>C05760</t>
  </si>
  <si>
    <t>C05761</t>
  </si>
  <si>
    <t>C05762</t>
  </si>
  <si>
    <t>C05763</t>
  </si>
  <si>
    <t>C05764</t>
  </si>
  <si>
    <t>C05775</t>
  </si>
  <si>
    <t>C05778</t>
  </si>
  <si>
    <t>C05823</t>
  </si>
  <si>
    <t>C05840</t>
  </si>
  <si>
    <t>C05841</t>
  </si>
  <si>
    <t>C05844</t>
  </si>
  <si>
    <t>C05892</t>
  </si>
  <si>
    <t>C05893</t>
  </si>
  <si>
    <t>C05897</t>
  </si>
  <si>
    <t>C05898</t>
  </si>
  <si>
    <t>C05921</t>
  </si>
  <si>
    <t>C05951</t>
  </si>
  <si>
    <t>C05984</t>
  </si>
  <si>
    <t>C06020</t>
  </si>
  <si>
    <t>C06021</t>
  </si>
  <si>
    <t>C06032</t>
  </si>
  <si>
    <t>C06055</t>
  </si>
  <si>
    <t>C06056</t>
  </si>
  <si>
    <t>C06114</t>
  </si>
  <si>
    <t>C06187</t>
  </si>
  <si>
    <t>C06188</t>
  </si>
  <si>
    <t>C06196</t>
  </si>
  <si>
    <t>C06249</t>
  </si>
  <si>
    <t>C06250</t>
  </si>
  <si>
    <t>C06319</t>
  </si>
  <si>
    <t>C06320</t>
  </si>
  <si>
    <t>C06393</t>
  </si>
  <si>
    <t>C06406</t>
  </si>
  <si>
    <t>C06407</t>
  </si>
  <si>
    <t>C06481</t>
  </si>
  <si>
    <t>C06482</t>
  </si>
  <si>
    <t>C06508</t>
  </si>
  <si>
    <t>C06509</t>
  </si>
  <si>
    <t>C06510</t>
  </si>
  <si>
    <t>C06611</t>
  </si>
  <si>
    <t>C06612</t>
  </si>
  <si>
    <t>C06613</t>
  </si>
  <si>
    <t>C06899</t>
  </si>
  <si>
    <t>C07490</t>
  </si>
  <si>
    <t>C07645</t>
  </si>
  <si>
    <t>C07648</t>
  </si>
  <si>
    <t>C07649</t>
  </si>
  <si>
    <t>C08492</t>
  </si>
  <si>
    <t>C09306</t>
  </si>
  <si>
    <t>C11355</t>
  </si>
  <si>
    <t>C11434</t>
  </si>
  <si>
    <t>C11435</t>
  </si>
  <si>
    <t>C11437</t>
  </si>
  <si>
    <t>C11439</t>
  </si>
  <si>
    <t>C11440</t>
  </si>
  <si>
    <t>C11453</t>
  </si>
  <si>
    <t>C11475</t>
  </si>
  <si>
    <t>C11477</t>
  </si>
  <si>
    <t>C11478</t>
  </si>
  <si>
    <t>C11538</t>
  </si>
  <si>
    <t>C11539</t>
  </si>
  <si>
    <t>C11540</t>
  </si>
  <si>
    <t>C11542</t>
  </si>
  <si>
    <t>C11544</t>
  </si>
  <si>
    <t>C11811</t>
  </si>
  <si>
    <t>C11823</t>
  </si>
  <si>
    <t>C11838</t>
  </si>
  <si>
    <t>C12214</t>
  </si>
  <si>
    <t>C12215</t>
  </si>
  <si>
    <t>C12739</t>
  </si>
  <si>
    <t>C13378</t>
  </si>
  <si>
    <t>C14089</t>
  </si>
  <si>
    <t>C14090</t>
  </si>
  <si>
    <t>C14099</t>
  </si>
  <si>
    <t>C14145</t>
  </si>
  <si>
    <t>C14818</t>
  </si>
  <si>
    <t>C15489</t>
  </si>
  <si>
    <t>C15498</t>
  </si>
  <si>
    <t>C15527</t>
  </si>
  <si>
    <t>C15556</t>
  </si>
  <si>
    <t>C15586</t>
  </si>
  <si>
    <t>C15587</t>
  </si>
  <si>
    <t>C15809</t>
  </si>
  <si>
    <t>C15810</t>
  </si>
  <si>
    <t>C15811</t>
  </si>
  <si>
    <t>C15812</t>
  </si>
  <si>
    <t>C15813</t>
  </si>
  <si>
    <t>C15814</t>
  </si>
  <si>
    <t>C15972</t>
  </si>
  <si>
    <t>C15973</t>
  </si>
  <si>
    <t>C15999</t>
  </si>
  <si>
    <t>C16219</t>
  </si>
  <si>
    <t>C16220</t>
  </si>
  <si>
    <t>C16237</t>
  </si>
  <si>
    <t>C16242</t>
  </si>
  <si>
    <t>C16243</t>
  </si>
  <si>
    <t>C16244</t>
  </si>
  <si>
    <t>C16310</t>
  </si>
  <si>
    <t>C16348</t>
  </si>
  <si>
    <t>C16463</t>
  </si>
  <si>
    <t>C16551</t>
  </si>
  <si>
    <t>C16565</t>
  </si>
  <si>
    <t>C16586</t>
  </si>
  <si>
    <t>C16587</t>
  </si>
  <si>
    <t>C16595</t>
  </si>
  <si>
    <t>C16596</t>
  </si>
  <si>
    <t>C16614</t>
  </si>
  <si>
    <t>C16615</t>
  </si>
  <si>
    <t>C16618</t>
  </si>
  <si>
    <t>C16619</t>
  </si>
  <si>
    <t>C16630</t>
  </si>
  <si>
    <t>C16634</t>
  </si>
  <si>
    <t>C16635</t>
  </si>
  <si>
    <t>C16636</t>
  </si>
  <si>
    <t>C16663</t>
  </si>
  <si>
    <t>C16664</t>
  </si>
  <si>
    <t>C16675</t>
  </si>
  <si>
    <t>C16698</t>
  </si>
  <si>
    <t>C16699</t>
  </si>
  <si>
    <t>C16832</t>
  </si>
  <si>
    <t>C17023</t>
  </si>
  <si>
    <t>C17322</t>
  </si>
  <si>
    <t>C17324</t>
  </si>
  <si>
    <t>C17401</t>
  </si>
  <si>
    <t>C17556</t>
  </si>
  <si>
    <t>C18237</t>
  </si>
  <si>
    <t>C18239</t>
  </si>
  <si>
    <t>C18902</t>
  </si>
  <si>
    <t>C19078</t>
  </si>
  <si>
    <t>C19080</t>
  </si>
  <si>
    <t>C19085</t>
  </si>
  <si>
    <t>C19647</t>
  </si>
  <si>
    <t>C19673</t>
  </si>
  <si>
    <t>C19719</t>
  </si>
  <si>
    <t>C19722</t>
  </si>
  <si>
    <t>C19723</t>
  </si>
  <si>
    <t>C19769</t>
  </si>
  <si>
    <t>C19770</t>
  </si>
  <si>
    <t>C19803</t>
  </si>
  <si>
    <t>C19871</t>
  </si>
  <si>
    <t>C20246</t>
  </si>
  <si>
    <t>C20247</t>
  </si>
  <si>
    <t>C20258</t>
  </si>
  <si>
    <t>C20352</t>
  </si>
  <si>
    <t>C20372</t>
  </si>
  <si>
    <t>C20374</t>
  </si>
  <si>
    <t>C20375</t>
  </si>
  <si>
    <t>C20376</t>
  </si>
  <si>
    <t>C20378</t>
  </si>
  <si>
    <t>C20396</t>
  </si>
  <si>
    <t>C20422</t>
  </si>
  <si>
    <t>C20423</t>
  </si>
  <si>
    <t>C20446</t>
  </si>
  <si>
    <t>C20463</t>
  </si>
  <si>
    <t>C20565</t>
  </si>
  <si>
    <t>C20641</t>
  </si>
  <si>
    <t>C20648</t>
  </si>
  <si>
    <t>C20658</t>
  </si>
  <si>
    <t>C20730</t>
  </si>
  <si>
    <t>C20743</t>
  </si>
  <si>
    <t>C20751</t>
  </si>
  <si>
    <t>C20753</t>
  </si>
  <si>
    <t>C20755</t>
  </si>
  <si>
    <t>C20756</t>
  </si>
  <si>
    <t>C20758</t>
  </si>
  <si>
    <t>C20796</t>
  </si>
  <si>
    <t>C20858</t>
  </si>
  <si>
    <t>C20864</t>
  </si>
  <si>
    <t>C20969</t>
  </si>
  <si>
    <t>C21028</t>
  </si>
  <si>
    <t>C21090</t>
  </si>
  <si>
    <t>C21101</t>
  </si>
  <si>
    <t>C21153</t>
  </si>
  <si>
    <t>C21310</t>
  </si>
  <si>
    <t>C21440</t>
  </si>
  <si>
    <t>C21485</t>
  </si>
  <si>
    <t>C21747</t>
  </si>
  <si>
    <t>C21748</t>
  </si>
  <si>
    <t>C21750</t>
  </si>
  <si>
    <t>C21751</t>
  </si>
  <si>
    <t>C22288</t>
  </si>
  <si>
    <t>C22438</t>
  </si>
  <si>
    <t>C22441</t>
  </si>
  <si>
    <t>C22442</t>
  </si>
  <si>
    <t>C22499</t>
  </si>
  <si>
    <t>C22500</t>
  </si>
  <si>
    <t>C22881</t>
  </si>
  <si>
    <t>G00275</t>
  </si>
  <si>
    <t>G00370</t>
  </si>
  <si>
    <t>G09795</t>
  </si>
  <si>
    <t>G10495</t>
  </si>
  <si>
    <t>G10518</t>
  </si>
  <si>
    <t>G10545</t>
  </si>
  <si>
    <t>G10550</t>
  </si>
  <si>
    <t>G10551</t>
  </si>
  <si>
    <t>G10552</t>
  </si>
  <si>
    <t>G10553</t>
  </si>
  <si>
    <t>G10555</t>
  </si>
  <si>
    <t>G10556</t>
  </si>
  <si>
    <t>G10610</t>
  </si>
  <si>
    <t>G10619</t>
  </si>
  <si>
    <t>G11109</t>
  </si>
  <si>
    <t>G11113</t>
  </si>
  <si>
    <t>G13167</t>
  </si>
  <si>
    <t>G13170</t>
  </si>
  <si>
    <t>G13171</t>
  </si>
  <si>
    <t>G13174</t>
  </si>
  <si>
    <t>G13175</t>
  </si>
  <si>
    <t>G13176</t>
  </si>
  <si>
    <t>G13177</t>
  </si>
  <si>
    <t>G13178</t>
  </si>
  <si>
    <t>G13179</t>
  </si>
  <si>
    <t>G13180</t>
  </si>
  <si>
    <t>G13185</t>
  </si>
  <si>
    <t>G13186</t>
  </si>
  <si>
    <t>G13192</t>
  </si>
  <si>
    <t>G13193</t>
  </si>
  <si>
    <t>NADH</t>
  </si>
  <si>
    <t>ADP</t>
  </si>
  <si>
    <t>CoA</t>
  </si>
  <si>
    <t>Peptide</t>
  </si>
  <si>
    <t>Diphosphoric acid</t>
  </si>
  <si>
    <t>UDP</t>
  </si>
  <si>
    <t>FAD</t>
  </si>
  <si>
    <t>Protein</t>
  </si>
  <si>
    <t>Pyridoxal phosphate</t>
  </si>
  <si>
    <t>SAM</t>
  </si>
  <si>
    <t>AMP</t>
  </si>
  <si>
    <t>S-Adenosyl-L-homocysteine</t>
  </si>
  <si>
    <t>Pyruvate</t>
  </si>
  <si>
    <t>Acetyl-CoA</t>
  </si>
  <si>
    <t>2-Oxoglutarate</t>
  </si>
  <si>
    <t>Hydrogen peroxide</t>
  </si>
  <si>
    <t>Hydrogen-acceptor</t>
  </si>
  <si>
    <t>UDP-glucose</t>
  </si>
  <si>
    <t>Hydrogen-donor</t>
  </si>
  <si>
    <t>GDP</t>
  </si>
  <si>
    <t>Oxaloacetate</t>
  </si>
  <si>
    <t>DNA</t>
  </si>
  <si>
    <t>Acyl-CoA</t>
  </si>
  <si>
    <t>UDP-N-acetyl-alpha-D-glucosamine</t>
  </si>
  <si>
    <t>GTP</t>
  </si>
  <si>
    <t>Amino acid</t>
  </si>
  <si>
    <t>RNA</t>
  </si>
  <si>
    <t>Glutathione</t>
  </si>
  <si>
    <t>UDP-alpha-D-galactose</t>
  </si>
  <si>
    <t>Adenosine 3',5'-bisphosphate</t>
  </si>
  <si>
    <t>CMP</t>
  </si>
  <si>
    <t>Formate</t>
  </si>
  <si>
    <t>Carboxylate</t>
  </si>
  <si>
    <t>FMN</t>
  </si>
  <si>
    <t>L-Arginine</t>
  </si>
  <si>
    <t>CTP</t>
  </si>
  <si>
    <t>Formaldehyde</t>
  </si>
  <si>
    <t>Thiamin diphosphate</t>
  </si>
  <si>
    <t>Aldehyde</t>
  </si>
  <si>
    <t>Phosphoenolpyruvate</t>
  </si>
  <si>
    <t>UTP</t>
  </si>
  <si>
    <t>L-Ornithine</t>
  </si>
  <si>
    <t>L-Tryptophan</t>
  </si>
  <si>
    <t>L-Phenylalanine</t>
  </si>
  <si>
    <t>H+</t>
  </si>
  <si>
    <t>ITP</t>
  </si>
  <si>
    <t>L-Tyrosine</t>
  </si>
  <si>
    <t>Malonyl-CoA</t>
  </si>
  <si>
    <t>Acetaldehyde</t>
  </si>
  <si>
    <t>D-Fructose 6-phosphate</t>
  </si>
  <si>
    <t>Urea</t>
  </si>
  <si>
    <t>Sucrose</t>
  </si>
  <si>
    <t>D-Glucose 6-phosphate</t>
  </si>
  <si>
    <t>sn-Glycerol 3-phosphate</t>
  </si>
  <si>
    <t>Sulfurous acid</t>
  </si>
  <si>
    <t>D-Fructose</t>
  </si>
  <si>
    <t>beta-Alanine</t>
  </si>
  <si>
    <t>Propanoyl-CoA</t>
  </si>
  <si>
    <t>Tetrahydrofolate</t>
  </si>
  <si>
    <t>D-Glucose 1-phosphate</t>
  </si>
  <si>
    <t>IDP</t>
  </si>
  <si>
    <t>UMP</t>
  </si>
  <si>
    <t>Uracil</t>
  </si>
  <si>
    <t>Anthranilate</t>
  </si>
  <si>
    <t>2-Oxobutanoate</t>
  </si>
  <si>
    <t>Glycerone phosphate</t>
  </si>
  <si>
    <t>CDP</t>
  </si>
  <si>
    <t>Choline</t>
  </si>
  <si>
    <t>Glycerol</t>
  </si>
  <si>
    <t>D-Ribose 5-phosphate</t>
  </si>
  <si>
    <t>D-Glyceraldehyde 3-phosphate</t>
  </si>
  <si>
    <t>5-Phospho-alpha-D-ribose 1-diphosphate</t>
  </si>
  <si>
    <t>D-Ribose</t>
  </si>
  <si>
    <t>Fumarate</t>
  </si>
  <si>
    <t>Isopentenyl diphosphate</t>
  </si>
  <si>
    <t>IMP</t>
  </si>
  <si>
    <t>dATP</t>
  </si>
  <si>
    <t>Methanol</t>
  </si>
  <si>
    <t>D-Alanine</t>
  </si>
  <si>
    <t>Putrescine</t>
  </si>
  <si>
    <t>L-Histidine</t>
  </si>
  <si>
    <t>Butanoyl-CoA</t>
  </si>
  <si>
    <t>Reduced ferredoxin</t>
  </si>
  <si>
    <t>Oxidized ferredoxin</t>
  </si>
  <si>
    <t>3-Methyl-2-oxobutanoic acid</t>
  </si>
  <si>
    <t>5,10-Methylenetetrahydrofolate</t>
  </si>
  <si>
    <t>GMP</t>
  </si>
  <si>
    <t>Thiol</t>
  </si>
  <si>
    <t>Adenine</t>
  </si>
  <si>
    <t>(S)-Malate</t>
  </si>
  <si>
    <t>L-2-Amino acid</t>
  </si>
  <si>
    <t>L-Asparagine</t>
  </si>
  <si>
    <t>Nicotinamide</t>
  </si>
  <si>
    <t>L-Homocysteine</t>
  </si>
  <si>
    <t>Citrate</t>
  </si>
  <si>
    <t>D-Mannose</t>
  </si>
  <si>
    <t>2-Oxo acid</t>
  </si>
  <si>
    <t>Acetoacetate</t>
  </si>
  <si>
    <t>Phenylpyruvate</t>
  </si>
  <si>
    <t>Carbamoyl phosphate</t>
  </si>
  <si>
    <t>5'-Methylthioadenosine</t>
  </si>
  <si>
    <t>Acyl-[acyl-carrier protein]</t>
  </si>
  <si>
    <t>Thymine</t>
  </si>
  <si>
    <t>Agmatine</t>
  </si>
  <si>
    <t>D-Xylose</t>
  </si>
  <si>
    <t>Cellobiose</t>
  </si>
  <si>
    <t>(S)-Lactate</t>
  </si>
  <si>
    <t>L-Threonine</t>
  </si>
  <si>
    <t>Ethanolamine</t>
  </si>
  <si>
    <t>Hydroxylamine</t>
  </si>
  <si>
    <t>Cobamide coenzyme</t>
  </si>
  <si>
    <t>3-Phospho-D-glycerate</t>
  </si>
  <si>
    <t>D-Ribulose 5-phosphate</t>
  </si>
  <si>
    <t>NTP</t>
  </si>
  <si>
    <t>UDP-N-acetyl-D-galactosamine</t>
  </si>
  <si>
    <t>dADP</t>
  </si>
  <si>
    <t>Maltose</t>
  </si>
  <si>
    <t>Adenosine</t>
  </si>
  <si>
    <t>Sarcosine</t>
  </si>
  <si>
    <t>Thymidine</t>
  </si>
  <si>
    <t>D-Glutamate</t>
  </si>
  <si>
    <t>Methylamine</t>
  </si>
  <si>
    <t>Primary alcohol</t>
  </si>
  <si>
    <t>Acetyl phosphate</t>
  </si>
  <si>
    <t>Acyl-carrier protein</t>
  </si>
  <si>
    <t>D-Xylulose 5-phosphate</t>
  </si>
  <si>
    <t>4-Methyl-2-oxopentanoate</t>
  </si>
  <si>
    <t>10-Formyltetrahydrofolate</t>
  </si>
  <si>
    <t>Dimethylallyl diphosphate</t>
  </si>
  <si>
    <t>3-Phospho-D-glyceroyl phosphate</t>
  </si>
  <si>
    <t>Carbon monoxide</t>
  </si>
  <si>
    <t>dCMP</t>
  </si>
  <si>
    <t>Amide</t>
  </si>
  <si>
    <t>Guanine</t>
  </si>
  <si>
    <t>Taurine</t>
  </si>
  <si>
    <t>Lipoamide</t>
  </si>
  <si>
    <t>Pyridoxal</t>
  </si>
  <si>
    <t>Chorismate</t>
  </si>
  <si>
    <t>Nicotinate</t>
  </si>
  <si>
    <t>Prephenate</t>
  </si>
  <si>
    <t>Riboflavin</t>
  </si>
  <si>
    <t>(R)-Lactate</t>
  </si>
  <si>
    <t>D-Glycerate</t>
  </si>
  <si>
    <t>Hypoxanthine</t>
  </si>
  <si>
    <t>L-Homoserine</t>
  </si>
  <si>
    <t>Glycolaldehyde</t>
  </si>
  <si>
    <t>alpha-D-Glucose</t>
  </si>
  <si>
    <t>CDP-diacylglycerol</t>
  </si>
  <si>
    <t>N-Acetylneuraminate</t>
  </si>
  <si>
    <t>Tetrahydrobiopterin</t>
  </si>
  <si>
    <t>D-Mannose 6-phosphate</t>
  </si>
  <si>
    <t>D-Erythrose 4-phosphate</t>
  </si>
  <si>
    <t>Hydrogen sulfide</t>
  </si>
  <si>
    <t>dGTP</t>
  </si>
  <si>
    <t>Bicarbonate</t>
  </si>
  <si>
    <t>Inosine</t>
  </si>
  <si>
    <t>Orotate</t>
  </si>
  <si>
    <t>Uridine</t>
  </si>
  <si>
    <t>D-Xylulose</t>
  </si>
  <si>
    <t>Isocitrate</t>
  </si>
  <si>
    <t>Pyridoxine</t>
  </si>
  <si>
    <t>Spermidine</t>
  </si>
  <si>
    <t>Thiosulfate</t>
  </si>
  <si>
    <t>L-Citrulline</t>
  </si>
  <si>
    <t>Deoxyguanosine</t>
  </si>
  <si>
    <t>Indolepyruvate</t>
  </si>
  <si>
    <t>Acetoacetyl-CoA</t>
  </si>
  <si>
    <t>(S)-Dihydroorotate</t>
  </si>
  <si>
    <t>Thioredoxin</t>
  </si>
  <si>
    <t>Thioredoxin disulfide</t>
  </si>
  <si>
    <t>D-Glucosamine 6-phosphate</t>
  </si>
  <si>
    <t>D-Fructose 1,6-bisphosphate</t>
  </si>
  <si>
    <t>N-Acetyl-D-glucosamine 6-phosphate</t>
  </si>
  <si>
    <t>dAMP</t>
  </si>
  <si>
    <t>dGDP</t>
  </si>
  <si>
    <t>dGMP</t>
  </si>
  <si>
    <t>dTDP</t>
  </si>
  <si>
    <t>dTMP</t>
  </si>
  <si>
    <t>dUMP</t>
  </si>
  <si>
    <t>Urate</t>
  </si>
  <si>
    <t>Starch</t>
  </si>
  <si>
    <t>Retinal</t>
  </si>
  <si>
    <t>Thiamine</t>
  </si>
  <si>
    <t>Cytosine</t>
  </si>
  <si>
    <t>Xanthine</t>
  </si>
  <si>
    <t>Guanosine</t>
  </si>
  <si>
    <t>Penicillin</t>
  </si>
  <si>
    <t>Pyrimidine</t>
  </si>
  <si>
    <t>Dihydrofolate</t>
  </si>
  <si>
    <t>Phosphatidate</t>
  </si>
  <si>
    <t>cis-Aconitate</t>
  </si>
  <si>
    <t>(R)-Mevalonate</t>
  </si>
  <si>
    <t>5,6-Dihydrouracil</t>
  </si>
  <si>
    <t>5-Aminolevulinate</t>
  </si>
  <si>
    <t>5-Aminopentanoate</t>
  </si>
  <si>
    <t>N-Acetylornithine</t>
  </si>
  <si>
    <t>N-Carbamoyl-L-aspartate</t>
  </si>
  <si>
    <t>5-Methyltetrahydrofolate</t>
  </si>
  <si>
    <t>L-Aspartate 4-semialdehyde</t>
  </si>
  <si>
    <t>5,10-Methenyltetrahydrofolate</t>
  </si>
  <si>
    <t>alpha-D-Galactose 1-phosphate</t>
  </si>
  <si>
    <t>Sedoheptulose 1,7-bisphosphate</t>
  </si>
  <si>
    <t>NDP</t>
  </si>
  <si>
    <t>Nicotinamide D-ribonucleotide</t>
  </si>
  <si>
    <t>dCTP</t>
  </si>
  <si>
    <t>dTTP</t>
  </si>
  <si>
    <t>dUTP</t>
  </si>
  <si>
    <t>Ethanol</t>
  </si>
  <si>
    <t>Retinol</t>
  </si>
  <si>
    <t>Cytidine</t>
  </si>
  <si>
    <t>L-Cystine</t>
  </si>
  <si>
    <t>Shikimate</t>
  </si>
  <si>
    <t>ADP-glucose</t>
  </si>
  <si>
    <t>Folate</t>
  </si>
  <si>
    <t>D-Ornithine</t>
  </si>
  <si>
    <t>(R)-Pantoate</t>
  </si>
  <si>
    <t>Deoxyuridine</t>
  </si>
  <si>
    <t>Hydroquinone</t>
  </si>
  <si>
    <t>Pyridoxamine</t>
  </si>
  <si>
    <t>Methylglyoxal</t>
  </si>
  <si>
    <t>Deoxyadenosine</t>
  </si>
  <si>
    <t>Phosphoprotein</t>
  </si>
  <si>
    <t>4-Aminobenzoate</t>
  </si>
  <si>
    <t>Betaine aldehyde</t>
  </si>
  <si>
    <t>D-Glyceraldehyde</t>
  </si>
  <si>
    <t>Dihydrolipoamide</t>
  </si>
  <si>
    <t>Protein tyrosine</t>
  </si>
  <si>
    <t>2,3-Dehydroacyl-CoA</t>
  </si>
  <si>
    <t>3-Sulfino-L-alanine</t>
  </si>
  <si>
    <t>Peptide L-arginine</t>
  </si>
  <si>
    <t>Protein histidine</t>
  </si>
  <si>
    <t>alpha-D-Ribose 1-phosphate</t>
  </si>
  <si>
    <t>N-Acetyl-L-glutamate</t>
  </si>
  <si>
    <t>Pyridoxine 5'-phosphate</t>
  </si>
  <si>
    <t>2-Phospho-D-glycerate</t>
  </si>
  <si>
    <t>3-Hydroxyanthranilate</t>
  </si>
  <si>
    <t>1,2-Diacyl-sn-glycerol</t>
  </si>
  <si>
    <t>4-Hydroxyphenylacetate</t>
  </si>
  <si>
    <t>D-Mannitol 1-phosphate</t>
  </si>
  <si>
    <t>N-Acetyl-D-mannosamine</t>
  </si>
  <si>
    <t>Pyridoxamine 5'-phosphate</t>
  </si>
  <si>
    <t>Poly(ribitol phosphate)</t>
  </si>
  <si>
    <t>Xanthosine 5'-phosphate</t>
  </si>
  <si>
    <t>beta-D-Glucose 1-phosphate</t>
  </si>
  <si>
    <t>LL-2,6-Diaminoheptanedioate</t>
  </si>
  <si>
    <t>alpha-D-Glucose 6-phosphate</t>
  </si>
  <si>
    <t>(S)-3-Methyl-2-oxopentanoic acid</t>
  </si>
  <si>
    <t>2-Deoxy-D-ribose 1-phosphate</t>
  </si>
  <si>
    <t>2-Deoxy-D-ribose 5-phosphate</t>
  </si>
  <si>
    <t>Deoxynucleoside triphosphate</t>
  </si>
  <si>
    <t>meso-2,6-Diaminoheptanedioate</t>
  </si>
  <si>
    <t>1-Acyl-sn-glycerol 3-phosphate</t>
  </si>
  <si>
    <t>3-Oxoacyl-[acyl-carrier protein]</t>
  </si>
  <si>
    <t>N-Acyl-D-mannosamine 6-phosphate</t>
  </si>
  <si>
    <t>dTDP-4-dehydro-beta-L-rhamnose</t>
  </si>
  <si>
    <t>Trehalose 6-phosphate</t>
  </si>
  <si>
    <t>UDP-N-acetylmuramoyl-L-alanyl-D-glutamate</t>
  </si>
  <si>
    <t>trans-2,3-Dehydroacyl-[acyl-carrier protein]</t>
  </si>
  <si>
    <t>Superoxide</t>
  </si>
  <si>
    <t>dCDP</t>
  </si>
  <si>
    <t>Serine</t>
  </si>
  <si>
    <t>Amylose</t>
  </si>
  <si>
    <t>D-Serine</t>
  </si>
  <si>
    <t>1-Octanol</t>
  </si>
  <si>
    <t>D-Proline</t>
  </si>
  <si>
    <t>Mevaldate</t>
  </si>
  <si>
    <t>tRNA(Tyr)</t>
  </si>
  <si>
    <t>Alkyl thiol</t>
  </si>
  <si>
    <t>D-Glutamine</t>
  </si>
  <si>
    <t>L-Arogenate</t>
  </si>
  <si>
    <t>(R)-Pantetheine</t>
  </si>
  <si>
    <t>dTDP-glucose</t>
  </si>
  <si>
    <t>Deamino-NAD+</t>
  </si>
  <si>
    <t>L-Histidinol</t>
  </si>
  <si>
    <t>(R)-Pantothenate</t>
  </si>
  <si>
    <t>tRNA uridine</t>
  </si>
  <si>
    <t>Deoxycytidine</t>
  </si>
  <si>
    <t>Dephospho-CoA</t>
  </si>
  <si>
    <t>L-Alanyl-tRNA(Ala)</t>
  </si>
  <si>
    <t>Propenoyl-CoA</t>
  </si>
  <si>
    <t>2-Acetolactate</t>
  </si>
  <si>
    <t>Ribonucleoside</t>
  </si>
  <si>
    <t>Dihydropteroate</t>
  </si>
  <si>
    <t>Porphobilinogen</t>
  </si>
  <si>
    <t>Sugar phosphate</t>
  </si>
  <si>
    <t>3-Dehydroquinate</t>
  </si>
  <si>
    <t>Mercaptopyruvate</t>
  </si>
  <si>
    <t>2-Dehydropantoate</t>
  </si>
  <si>
    <t>O-Acetyl-L-serine</t>
  </si>
  <si>
    <t>D-Alanyl-D-alanine</t>
  </si>
  <si>
    <t>O-Phospho-L-serine</t>
  </si>
  <si>
    <t>Hydroxymethylbilane</t>
  </si>
  <si>
    <t>UDP-N-acetylmuramate</t>
  </si>
  <si>
    <t>Uroporphyrinogen III</t>
  </si>
  <si>
    <t>O-Acetyl-L-homoserine</t>
  </si>
  <si>
    <t>TMP</t>
  </si>
  <si>
    <t>(R)-3-Hydroxybutanoate</t>
  </si>
  <si>
    <t>D-Fructose 1-phosphate</t>
  </si>
  <si>
    <t>Sorbitol 6-phosphate</t>
  </si>
  <si>
    <t>D-Tagatose 6-phosphate</t>
  </si>
  <si>
    <t>L-Histidinol phosphate</t>
  </si>
  <si>
    <t>L-Ribulose 5-phosphate</t>
  </si>
  <si>
    <t>O-Phospho-L-homoserine</t>
  </si>
  <si>
    <t>Orotidine 5'-phosphate</t>
  </si>
  <si>
    <t>S-Adenosylmethioninamine</t>
  </si>
  <si>
    <t>(S)-3-Hydroxybutanoyl-CoA</t>
  </si>
  <si>
    <t>2-Hydroxy-3-oxopropanoate</t>
  </si>
  <si>
    <t>Hydroxyproline</t>
  </si>
  <si>
    <t>Protein tyrosine phosphate</t>
  </si>
  <si>
    <t>UDP-N-acetyl-D-mannosamine</t>
  </si>
  <si>
    <t>beta-D-Glucose 6-phosphate</t>
  </si>
  <si>
    <t>3-(4-Hydroxyphenyl)pyruvate</t>
  </si>
  <si>
    <t>Nicotinate D-ribonucleotide</t>
  </si>
  <si>
    <t>Malonyl-[acyl-carrier protein]</t>
  </si>
  <si>
    <t>UDP-N-acetylmuramoyl-L-alanine</t>
  </si>
  <si>
    <t>5,6,7,8-Tetrahydromethanopterin</t>
  </si>
  <si>
    <t>[H-protein]-S-aminomethyldihydrolipoyllysine</t>
  </si>
  <si>
    <t>N-Acetyl-L-glutamate 5-semialdehyde</t>
  </si>
  <si>
    <t>(R)-2-Hydroxybutane-1,2,4-tricarboxylate</t>
  </si>
  <si>
    <t>P1,P4-Bis(5'-adenosyl)tetraphosphate</t>
  </si>
  <si>
    <t>3-(Imidazol-4-yl)-2-oxopropyl phosphate</t>
  </si>
  <si>
    <t>5-Amino-6-(5'-phosphoribosylamino)uracil</t>
  </si>
  <si>
    <t>5-O-(1-Carboxyvinyl)-3-phosphoshikimate</t>
  </si>
  <si>
    <t>(3R)-3-Hydroxyacyl-[acyl-carrier protein]</t>
  </si>
  <si>
    <t>4-Amino-5-hydroxymethyl-2-methylpyrimidine</t>
  </si>
  <si>
    <t>6-(Hydroxymethyl)-7,8-dihydropterin</t>
  </si>
  <si>
    <t>2,5-Diamino-6-(5-phospho-D-ribosylamino)pyrimidin-4(3H)-one</t>
  </si>
  <si>
    <t>ROH</t>
  </si>
  <si>
    <t>Aryl thiol</t>
  </si>
  <si>
    <t>dUDP</t>
  </si>
  <si>
    <t>Butyraldehyde</t>
  </si>
  <si>
    <t>Cys-Gly</t>
  </si>
  <si>
    <t>Ketone</t>
  </si>
  <si>
    <t>4-Cresol</t>
  </si>
  <si>
    <t>Hydrogen selenide</t>
  </si>
  <si>
    <t>Octanal</t>
  </si>
  <si>
    <t>Carbamate</t>
  </si>
  <si>
    <t>Protamine</t>
  </si>
  <si>
    <t>Secondary alcohol</t>
  </si>
  <si>
    <t>tRNA(Ala)</t>
  </si>
  <si>
    <t>tRNA(Arg)</t>
  </si>
  <si>
    <t>tRNA(Asn)</t>
  </si>
  <si>
    <t>tRNA(Asp)</t>
  </si>
  <si>
    <t>tRNA(Cys)</t>
  </si>
  <si>
    <t>tRNA(Glu)</t>
  </si>
  <si>
    <t>tRNA(Gly)</t>
  </si>
  <si>
    <t>tRNA(His)</t>
  </si>
  <si>
    <t>tRNA(Ile)</t>
  </si>
  <si>
    <t>tRNA(Leu)</t>
  </si>
  <si>
    <t>tRNA(Lys)</t>
  </si>
  <si>
    <t>tRNA(Met)</t>
  </si>
  <si>
    <t>tRNA(Phe)</t>
  </si>
  <si>
    <t>tRNA(Pro)</t>
  </si>
  <si>
    <t>tRNA(Ser)</t>
  </si>
  <si>
    <t>tRNA(Thr)</t>
  </si>
  <si>
    <t>tRNA(Trp)</t>
  </si>
  <si>
    <t>tRNA(Val)</t>
  </si>
  <si>
    <t>Cadaverine</t>
  </si>
  <si>
    <t>Chitobiose</t>
  </si>
  <si>
    <t>Xanthosine</t>
  </si>
  <si>
    <t>Deoxyribose</t>
  </si>
  <si>
    <t>beta-Lactam</t>
  </si>
  <si>
    <t>Pyroglutamic acid</t>
  </si>
  <si>
    <t>Dethiobiotin</t>
  </si>
  <si>
    <t>L-Histidinal</t>
  </si>
  <si>
    <t>L-Lysyl-tRNA(Lys)</t>
  </si>
  <si>
    <t>Thiocysteine</t>
  </si>
  <si>
    <t>tRNA guanine</t>
  </si>
  <si>
    <t>tRNA queuine</t>
  </si>
  <si>
    <t>Histone N6-acetyl-L-lysine</t>
  </si>
  <si>
    <t>CoA-disulfide</t>
  </si>
  <si>
    <t>L-Leucyl-tRNA(Leu)</t>
  </si>
  <si>
    <t>Lipoylprotein</t>
  </si>
  <si>
    <t>Trypanothione</t>
  </si>
  <si>
    <t>dTDP-galactose</t>
  </si>
  <si>
    <t>5'-Phospho-DNA</t>
  </si>
  <si>
    <t>Acyl phosphate</t>
  </si>
  <si>
    <t>L-Arginyl-tRNA(Arg)</t>
  </si>
  <si>
    <t>Leukotriene C4</t>
  </si>
  <si>
    <t>Peptidyl-L-lysine</t>
  </si>
  <si>
    <t>alpha-D-Xylose</t>
  </si>
  <si>
    <t>tRNA precursor</t>
  </si>
  <si>
    <t>Dehydroalanine</t>
  </si>
  <si>
    <t>3-Oxoadipyl-CoA</t>
  </si>
  <si>
    <t>L-Cystathionine</t>
  </si>
  <si>
    <t>R-S-Glutathione</t>
  </si>
  <si>
    <t>Salicyl alcohol</t>
  </si>
  <si>
    <t>beta-D-Fructose</t>
  </si>
  <si>
    <t>'Activated' tRNA</t>
  </si>
  <si>
    <t>6-Mercaptopurine</t>
  </si>
  <si>
    <t>Glycyl-tRNA(Gly)</t>
  </si>
  <si>
    <t>Histone-L-lysine</t>
  </si>
  <si>
    <t>L-Methionyl-tRNA</t>
  </si>
  <si>
    <t>Precorrin 2</t>
  </si>
  <si>
    <t>Uroporphyrin III</t>
  </si>
  <si>
    <t>alpha-Isopropylmalate</t>
  </si>
  <si>
    <t>3-Cyano-L-alanine</t>
  </si>
  <si>
    <t>5'-Ribonucleotide</t>
  </si>
  <si>
    <t>Butanoylphosphate</t>
  </si>
  <si>
    <t>L-Seryl-tRNA(Ser)</t>
  </si>
  <si>
    <t>L-Valyl-tRNA(Val)</t>
  </si>
  <si>
    <t>Protein glutamine</t>
  </si>
  <si>
    <t>2-Isopropylmaleate</t>
  </si>
  <si>
    <t>3-Dehydroshikimate</t>
  </si>
  <si>
    <t>3-Ureidopropionate</t>
  </si>
  <si>
    <t>L-Prolyl-tRNA(Pro)</t>
  </si>
  <si>
    <t>N-Acetylmuramate</t>
  </si>
  <si>
    <t>O-Phosphoprotamine</t>
  </si>
  <si>
    <t>1-(5-Phospho-D-ribosyl)-ATP</t>
  </si>
  <si>
    <t>Phosphoribosyl-AMP</t>
  </si>
  <si>
    <t>[Protein]-L-cysteine</t>
  </si>
  <si>
    <t>S-Alkyl-L-cysteine</t>
  </si>
  <si>
    <t>tRNA pseudouridine</t>
  </si>
  <si>
    <t>L-Tyrosyl-tRNA(Tyr)</t>
  </si>
  <si>
    <t>Propanoyl phosphate</t>
  </si>
  <si>
    <t>L-Cysteine-S-conjugate</t>
  </si>
  <si>
    <t>(2-Naphthyl)methanol</t>
  </si>
  <si>
    <t>7,8-Dihydrobiopterin</t>
  </si>
  <si>
    <t>D-Allose 6-phosphate</t>
  </si>
  <si>
    <t>Decaprenol phosphate</t>
  </si>
  <si>
    <t>Dihydrolipoylprotein</t>
  </si>
  <si>
    <t>L-Aspartyl-tRNA(Asp)</t>
  </si>
  <si>
    <t>L-Glutamyl-tRNA(Glu)</t>
  </si>
  <si>
    <t>L-Histidyl-tRNA(His)</t>
  </si>
  <si>
    <t>L-Threonyl-tRNA(Thr)</t>
  </si>
  <si>
    <t>N-Acetylmuramoyl-Ala</t>
  </si>
  <si>
    <t>Peptide-L-methionine</t>
  </si>
  <si>
    <t>Thiamin triphosphate</t>
  </si>
  <si>
    <t>4-Phospho-L-aspartate</t>
  </si>
  <si>
    <t>5-Methylthio-D-ribose</t>
  </si>
  <si>
    <t>5-Phosphoribosylamine</t>
  </si>
  <si>
    <t>Dimethylbenzimidazole</t>
  </si>
  <si>
    <t>L-Cysteinyl-tRNA(Cys)</t>
  </si>
  <si>
    <t>L-Isoleucyl-tRNA(Ile)</t>
  </si>
  <si>
    <t>Nicotinamide-beta-riboside</t>
  </si>
  <si>
    <t>Phosphonoacetaldehyde</t>
  </si>
  <si>
    <t>Pyrimidine nucleoside</t>
  </si>
  <si>
    <t>Trypanothione disulfide</t>
  </si>
  <si>
    <t>Shikimate 3-phosphate</t>
  </si>
  <si>
    <t>(5-L-Glutamyl)-peptide</t>
  </si>
  <si>
    <t>N-Formylmethionyl-tRNA</t>
  </si>
  <si>
    <t>dTDP-L-rhamnose</t>
  </si>
  <si>
    <t>2-Amino-4-oxopentanoic acid</t>
  </si>
  <si>
    <t>2-Methyl-3-acetoacetyl-CoA</t>
  </si>
  <si>
    <t>3-Phospho-D-erythronate</t>
  </si>
  <si>
    <t>5-L-Glutamyl amino acid</t>
  </si>
  <si>
    <t>Aminoimidazole ribotide</t>
  </si>
  <si>
    <t>L-Asparaginyl-tRNA(Asn)</t>
  </si>
  <si>
    <t>N-(L-Arginino)succinate</t>
  </si>
  <si>
    <t>Folinic acid</t>
  </si>
  <si>
    <t>D-4'-Phosphopantothenate</t>
  </si>
  <si>
    <t>L-Phenylalanyl-tRNA(Phe)</t>
  </si>
  <si>
    <t>L-Tryptophanyl-tRNA(Trp)</t>
  </si>
  <si>
    <t>N-Substituted amino acid</t>
  </si>
  <si>
    <t>S-Ribosyl-L-homocysteine</t>
  </si>
  <si>
    <t>2-Aminoethylphosphonate</t>
  </si>
  <si>
    <t>L-Methionylaminoacyl-tRNA</t>
  </si>
  <si>
    <t>Peptidylproline (omega=0)</t>
  </si>
  <si>
    <t>Apo-[acyl-carrier protein]</t>
  </si>
  <si>
    <t>Quinolinate</t>
  </si>
  <si>
    <t>Ribonucleoside diphosphate</t>
  </si>
  <si>
    <t>(5-L-Glutamyl)-L-amino acid</t>
  </si>
  <si>
    <t>D-Tagatose 1,6-bisphosphate</t>
  </si>
  <si>
    <t>N6-(1,2-Dicarboxyethyl)-AMP</t>
  </si>
  <si>
    <t>Peptidylproline (omega=180)</t>
  </si>
  <si>
    <t>Protein S-methyl-L-cysteine</t>
  </si>
  <si>
    <t>Ribonucleoside triphosphate</t>
  </si>
  <si>
    <t>Ribosomal-protein L-alanine</t>
  </si>
  <si>
    <t>Substituted beta-amino acid</t>
  </si>
  <si>
    <t>5'-Phosphoribosylglycinamide</t>
  </si>
  <si>
    <t>N-Substituted aminoacyl-tRNA</t>
  </si>
  <si>
    <t>Phosphatidylglycerophosphate</t>
  </si>
  <si>
    <t>Peptide-L-methionine (S)-S-oxide</t>
  </si>
  <si>
    <t>(S)-1-Pyrroline-5-carboxylate</t>
  </si>
  <si>
    <t>Acetyl-[acyl-carrier protein]</t>
  </si>
  <si>
    <t>(2R,4S)-2,4-Diaminopentanoate</t>
  </si>
  <si>
    <t>2,3,4,5-Tetrahydrodipicolinate</t>
  </si>
  <si>
    <t>2,3-Dihydroxy-3-methylbutanoate</t>
  </si>
  <si>
    <t>5-Amino-4-imidazolecarboxyamide</t>
  </si>
  <si>
    <t>D-Pantothenoyl-L-cysteine</t>
  </si>
  <si>
    <t>N-Acetyl-L-glutamate 5-phosphate</t>
  </si>
  <si>
    <t>N-Acyl-D-glucosamine 6-phosphate</t>
  </si>
  <si>
    <t>rRNA containing N2-methylguanine</t>
  </si>
  <si>
    <t>tRNA containing N1-methylguanine</t>
  </si>
  <si>
    <t>tRNA containing N7-methylguanine</t>
  </si>
  <si>
    <t>tRNA containing a thionucleotide</t>
  </si>
  <si>
    <t>3-Hydroxy-3-methyl-2-oxobutanoic acid</t>
  </si>
  <si>
    <t>2'-Deoxyribonucleoside diphosphate</t>
  </si>
  <si>
    <t>(2S)-2-Isopropyl-3-oxosuccinate</t>
  </si>
  <si>
    <t>5-Fluorodeoxyuridine monophosphate</t>
  </si>
  <si>
    <t>But-2-enoyl-[acyl-carrier protein]</t>
  </si>
  <si>
    <t>DNA containing 6-O-methylguanine</t>
  </si>
  <si>
    <t>N-Acetyl-D-mannosamine 6-phosphate</t>
  </si>
  <si>
    <t>N-Formyl-L-methionylaminoacyl-tRNA</t>
  </si>
  <si>
    <t>O-D-Alanyl-poly(ribitol phosphate)</t>
  </si>
  <si>
    <t>Protein N(pi)-phospho-L-histidine</t>
  </si>
  <si>
    <t>(R)-2,3-Dihydroxy-3-methylbutanoate</t>
  </si>
  <si>
    <t>L-1-Pyrroline-3-hydroxy-5-carboxylate</t>
  </si>
  <si>
    <t>5-(2-Hydroxyethyl)-4-methylthiazole</t>
  </si>
  <si>
    <t>Phosphoenol-4-deoxy-3-tetrulosonate</t>
  </si>
  <si>
    <t>4-Methyl-5-(2-phosphooxyethyl)thiazole</t>
  </si>
  <si>
    <t>6,7-Dimethyl-8-(D-ribityl)lumazine</t>
  </si>
  <si>
    <t>Ribosomal-protein N-acetyl-L-alanine</t>
  </si>
  <si>
    <t>(R)-4'-Phosphopantothenoyl-L-cysteine</t>
  </si>
  <si>
    <t>5'-Phosphoribosyl-N-formylglycinamide</t>
  </si>
  <si>
    <t>5,10-Methylenetetrahydromethanopterin</t>
  </si>
  <si>
    <t>(2R,3S)-3-Isopropylmalate</t>
  </si>
  <si>
    <t>[Biotin carboxyl-carrier protein]-carboxybiotin-N6-L-lysine</t>
  </si>
  <si>
    <t>tRNA containing 6-isopentenyladenosine</t>
  </si>
  <si>
    <t>2-Dehydro-3-deoxy-6-phospho-D-gluconate</t>
  </si>
  <si>
    <t>5-Amino-6-(5'-phospho-D-ribitylamino)uracil</t>
  </si>
  <si>
    <t>Guanosine 3'-diphosphate 5'-triphosphate</t>
  </si>
  <si>
    <t>N-Acetyl-alpha-D-glucosamine 1-phosphate</t>
  </si>
  <si>
    <t>6-Phospho-beta-D-glucosyl-(1,4)-D-glucose</t>
  </si>
  <si>
    <t>4-Amino-2-methyl-5-(phosphooxymethyl)pyrimidine</t>
  </si>
  <si>
    <t>di-trans,poly-cis-Undecaprenyl diphosphate</t>
  </si>
  <si>
    <t>(3R)-3-Hydroxybutanoyl-[acyl-carrier protein]</t>
  </si>
  <si>
    <t>(3R)-3-Hydroxydecanoyl-[acyl-carrier protein]</t>
  </si>
  <si>
    <t>(3R)-3-Hydroxyoctanoyl-[acyl-carrier protein]</t>
  </si>
  <si>
    <t>UDP-N-acetyl-3-(1-carboxyvinyl)-D-glucosamine</t>
  </si>
  <si>
    <t>(3R)-3-Hydroxypalmitoyl-[acyl-carrier protein]</t>
  </si>
  <si>
    <t>2-(Formamido)-N1-(5'-phosphoribosyl)acetamidine</t>
  </si>
  <si>
    <t>6-Thioinosine-5'-monophosphate</t>
  </si>
  <si>
    <t>D-erythro-1-(Imidazol-4-yl)glycerol 3-phosphate</t>
  </si>
  <si>
    <t>1-(5'-Phosphoribosyl)-5-amino-4-imidazolecarboxamide</t>
  </si>
  <si>
    <t>Holo-[acetyl-CoA:carbon-dioxide ligase (ADP-forming)]</t>
  </si>
  <si>
    <t>(3R)-3-Hydroxytetradecanoyl-[acyl-carrier protein]</t>
  </si>
  <si>
    <t>2-Dehydro-3-deoxy-D-arabino-heptonate 7-phosphate</t>
  </si>
  <si>
    <t>UDPMurNAc(oyl-L-Ala-D-gamma-Glu-L-Lys-D-Ala-D-Ala)</t>
  </si>
  <si>
    <t>tRNA containing 5-[(methylamino)methyl]-2-thiouridylate</t>
  </si>
  <si>
    <t>5-Amino-6-(1-D-ribitylamino)uracil</t>
  </si>
  <si>
    <t>1-(5'-Phosphoribosyl)-5-formamido-4-imidazolecarboxamide</t>
  </si>
  <si>
    <t>Apo-[acetyl-CoA:carbon-dioxide ligase (ADP-forming)]</t>
  </si>
  <si>
    <t>1-(5-Phospho-D-ribosyl)-5-amino-4-imidazolecarboxylate</t>
  </si>
  <si>
    <t>4-Amino-5-hydroxymethyl-2-methylpyrimidine diphosphate</t>
  </si>
  <si>
    <t>N1-(5-Phospho-alpha-D-ribosyl)-5,6-dimethylbenzimidazole</t>
  </si>
  <si>
    <t>6-Hydroxymethyl-7,8-dihydropterin diphosphate</t>
  </si>
  <si>
    <t>1-(5'-Phosphoribosyl)-5-amino-4-(N-succinocarboxamide)-imidazole</t>
  </si>
  <si>
    <t>MurAc(oyl-L-Ala-D-gamma-Glu-L-Lys-D-Ala-D-Ala)-diphospho-undecaprenol</t>
  </si>
  <si>
    <t>7,8-Dihydroneopterin</t>
  </si>
  <si>
    <t>UDP-N-acetylmuramoyl-L-alanyl-gamma-D-glutamyl-meso-2,6-diaminopimelate</t>
  </si>
  <si>
    <t>UDP-N-acetylmuramoyl-L-alanyl-D-glutamyl-6-carboxy-L-lysyl-D-alanyl-D-alanine</t>
  </si>
  <si>
    <t>7,8-Dihydroneopterin 3'-triphosphate</t>
  </si>
  <si>
    <t>5-(5-Phospho-D-ribosylaminoformimino)-1-(5-phosphoribosyl)-imidazole-4-carboxamide</t>
  </si>
  <si>
    <t>N-(5'-Phospho-D-1'-ribulosylformimino)-5-amino-1-(5''-phospho-D-ribosyl)-4-imidazolecarboxamide</t>
  </si>
  <si>
    <t>3-Hydroxybutanoyl-CoA</t>
  </si>
  <si>
    <t>2-(alpha-Hydroxyethyl)thiamine diphosphate</t>
  </si>
  <si>
    <t>alpha-Amino acid</t>
  </si>
  <si>
    <t>Selenophosphoric acid</t>
  </si>
  <si>
    <t>Dihydroflavodoxin</t>
  </si>
  <si>
    <t>[Enzyme]-glycine</t>
  </si>
  <si>
    <t>5'-Deoxyadenosine</t>
  </si>
  <si>
    <t>Flavodoxin semiquinone</t>
  </si>
  <si>
    <t>Dodecanoyl-[acyl-carrier protein]</t>
  </si>
  <si>
    <t>3-Oxohexanoyl-CoA</t>
  </si>
  <si>
    <t>[Enzyme]-glycin-2-yl radical</t>
  </si>
  <si>
    <t>L-Selenomethionine</t>
  </si>
  <si>
    <t>L-Selenomethionyl-tRNA(Met)</t>
  </si>
  <si>
    <t>beta-D-Fructose 6-phosphate</t>
  </si>
  <si>
    <t>Electron</t>
  </si>
  <si>
    <t>beta-D-Fructose 1,6-bisphosphate</t>
  </si>
  <si>
    <t>Sedoheptulose 7-phosphate</t>
  </si>
  <si>
    <t>3alpha,7alpha,26-Trihydroxy-5beta-cholestane</t>
  </si>
  <si>
    <t>3alpha,7alpha-Dihydroxy-5beta-cholestan-26-al</t>
  </si>
  <si>
    <t>Deoxyinosine</t>
  </si>
  <si>
    <t>L-Allothreonine</t>
  </si>
  <si>
    <t>S-Glutathionyl-L-cysteine</t>
  </si>
  <si>
    <t>N-Acetyl-L-2-amino-6-oxopimelate</t>
  </si>
  <si>
    <t>Penicillin G</t>
  </si>
  <si>
    <t>3-Aminopentanedioate</t>
  </si>
  <si>
    <t>3,4-Dihydroxyphenylethyleneglycol</t>
  </si>
  <si>
    <t>3,4-Dihydroxymandelaldehyde</t>
  </si>
  <si>
    <t>Cinnavalininate</t>
  </si>
  <si>
    <t>3-Aminopropiononitrile</t>
  </si>
  <si>
    <t>Selenite</t>
  </si>
  <si>
    <t>L-Selenocysteine</t>
  </si>
  <si>
    <t>Se-Methyl-L-selenocysteine</t>
  </si>
  <si>
    <t>Se-Adenosylselenomethionine</t>
  </si>
  <si>
    <t>gamma-Glutamyl-Se-methylselenocysteine</t>
  </si>
  <si>
    <t>Selenohomocysteine</t>
  </si>
  <si>
    <t>L-Selenocystathionine</t>
  </si>
  <si>
    <t>Methaneselenol</t>
  </si>
  <si>
    <t>gamma-Glutamyl-beta-cyanoalanine</t>
  </si>
  <si>
    <t>S-Substituted L-cysteine</t>
  </si>
  <si>
    <t>R-S-Cysteinylglycine</t>
  </si>
  <si>
    <t>Acetoacetyl-[acp]</t>
  </si>
  <si>
    <t>Butyryl-[acp]</t>
  </si>
  <si>
    <t>3-Oxohexanoyl-[acp]</t>
  </si>
  <si>
    <t>(3R)-3-Hydroxyhexanoyl-[acyl-carrier protein]</t>
  </si>
  <si>
    <t>trans-Hex-2-enoyl-[acp]</t>
  </si>
  <si>
    <t>Hexanoyl-[acp]</t>
  </si>
  <si>
    <t>3-Oxooctanoyl-[acp]</t>
  </si>
  <si>
    <t>trans-Oct-2-enoyl-[acp]</t>
  </si>
  <si>
    <t>Octanoyl-[acp]</t>
  </si>
  <si>
    <t>3-Oxodecanoyl-[acp]</t>
  </si>
  <si>
    <t>trans-Dec-2-enoyl-[acp]</t>
  </si>
  <si>
    <t>Decanoyl-[acp]</t>
  </si>
  <si>
    <t>3-Oxododecanoyl-[acp]</t>
  </si>
  <si>
    <t>(3R)-3-Hydroxydodecanoyl-[acyl-carrier protein]</t>
  </si>
  <si>
    <t>trans-Dodec-2-enoyl-[acp]</t>
  </si>
  <si>
    <t>3-Oxotetradecanoyl-[acp]</t>
  </si>
  <si>
    <t>trans-Tetradec-2-enoyl-[acp]</t>
  </si>
  <si>
    <t>Tetradecanoyl-[acp]</t>
  </si>
  <si>
    <t>3-Oxohexadecanoyl-[acp]</t>
  </si>
  <si>
    <t>trans-Hexadec-2-enoyl-[acp]</t>
  </si>
  <si>
    <t>Hexadecanoyl-[acp]</t>
  </si>
  <si>
    <t>Cobyrinate</t>
  </si>
  <si>
    <t>alpha-Ribazole</t>
  </si>
  <si>
    <t>Sirohydrochlorin</t>
  </si>
  <si>
    <t>3-Mercaptolactate</t>
  </si>
  <si>
    <t>Iminoaspartate</t>
  </si>
  <si>
    <t>Nicotinate D-ribonucleoside</t>
  </si>
  <si>
    <t>5-L-Glutamyl-taurine</t>
  </si>
  <si>
    <t>UDP-N-acetylmuramoyl-L-alanyl-gamma-D-glutamyl-L-lysine</t>
  </si>
  <si>
    <t>Undecaprenyl-diphospho-N-acetylmuramoyl-(N-acetylglucosamine)-L-alanyl-gamma-D-glutamyl-L-lysyl-D-alanyl-D-alanine</t>
  </si>
  <si>
    <t>Undecaprenyl-diphospho-N-acetylmuramoyl-L-alanyl-D-glutamyl-meso-2,6-diaminopimeloyl-D-alanyl-D-alanine</t>
  </si>
  <si>
    <t>Undecaprenyl-diphospho-N-acetylmuramoyl-(N-acetylglucosamine)-L-alanyl-D-glutamyl-meso-2,6-diaminopimeloyl-D-alanyl-D-alanine</t>
  </si>
  <si>
    <t>Biotinyl-5'-AMP</t>
  </si>
  <si>
    <t>Formamidopyrimidine nucleoside triphosphate</t>
  </si>
  <si>
    <t>2,5-Diaminopyrimidine nucleoside triphosphate</t>
  </si>
  <si>
    <t>Leukotriene D4</t>
  </si>
  <si>
    <t>2-Hydroxybutanoic acid</t>
  </si>
  <si>
    <t>(S)-2-Aceto-2-hydroxybutanoate</t>
  </si>
  <si>
    <t>(R)-2,3-Dihydroxy-3-methylpentanoate</t>
  </si>
  <si>
    <t>(S)-2-Acetolactate</t>
  </si>
  <si>
    <t>Methyl-Co(III) corrinoid protein</t>
  </si>
  <si>
    <t>Co(I) corrinoid protein</t>
  </si>
  <si>
    <t>D-erythro-3-Methylmalate</t>
  </si>
  <si>
    <t>O-Phospho-4-hydroxy-L-threonine</t>
  </si>
  <si>
    <t>4-Hydroxy-L-threonine</t>
  </si>
  <si>
    <t>gamma-Glutamyl-beta-aminopropiononitrile</t>
  </si>
  <si>
    <t>2,5-Diamino-6-(5'-triphosphoryl-3',4'-trihydroxy-2'-oxopentyl)-amino-4-oxopyrimidine</t>
  </si>
  <si>
    <t>alpha-D-Glucosamine 1-phosphate</t>
  </si>
  <si>
    <t>Arbutin 6-phosphate</t>
  </si>
  <si>
    <t>Salicin 6-phosphate</t>
  </si>
  <si>
    <t>2'-Deoxyinosine 5'-phosphate</t>
  </si>
  <si>
    <t>[Biotin carboxyl-carrier protein]-L-lysine</t>
  </si>
  <si>
    <t>[Biotin carboxyl-carrier protein]-biotin-N6-L-lysine</t>
  </si>
  <si>
    <t>Precorrin 6Y</t>
  </si>
  <si>
    <t>Precorrin 6X</t>
  </si>
  <si>
    <t>2,3-Diaminopropanoate</t>
  </si>
  <si>
    <t>Precorrin 3B</t>
  </si>
  <si>
    <t>Precorrin 4</t>
  </si>
  <si>
    <t>L-Seryl-tRNA(Sec)</t>
  </si>
  <si>
    <t>L-Selenocysteinyl-tRNA(Sec)</t>
  </si>
  <si>
    <t>Adenosyl cobinamide</t>
  </si>
  <si>
    <t>Adenosyl cobinamide phosphate</t>
  </si>
  <si>
    <t>Adenosine-GDP-cobinamide</t>
  </si>
  <si>
    <t>Penicilloic acid</t>
  </si>
  <si>
    <t>trans-3-Chloro-2-propene-1-ol</t>
  </si>
  <si>
    <t>cis-3-Chloro-2-propene-1-ol</t>
  </si>
  <si>
    <t>trans-3-Chloroallyl aldehyde</t>
  </si>
  <si>
    <t>Chloral hydrate</t>
  </si>
  <si>
    <t>Trichloroethanol</t>
  </si>
  <si>
    <t>Aldophosphamide</t>
  </si>
  <si>
    <t>Thioguanine</t>
  </si>
  <si>
    <t>5-Fluorouracil</t>
  </si>
  <si>
    <t>3-Hexenol</t>
  </si>
  <si>
    <t>Sulfur dioxide</t>
  </si>
  <si>
    <t>2'-Deoxy-5-hydroxymethylcytidine-5'-triphosphate</t>
  </si>
  <si>
    <t>4-Amino-4-deoxychorismate</t>
  </si>
  <si>
    <t>2-C-Methyl-D-erythritol 4-phosphate</t>
  </si>
  <si>
    <t>4-(Cytidine 5'-diphospho)-2-C-methyl-D-erythritol</t>
  </si>
  <si>
    <t>2-Phospho-4-(cytidine 5'-diphospho)-2-C-methyl-D-erythritol</t>
  </si>
  <si>
    <t>1-Deoxy-D-xylulose 5-phosphate</t>
  </si>
  <si>
    <t>Formyl-L-methionyl peptide</t>
  </si>
  <si>
    <t>Methionyl peptide</t>
  </si>
  <si>
    <t>2-C-Methyl-D-erythritol 2,4-cyclodiphosphate</t>
  </si>
  <si>
    <t>DNA containing guanine</t>
  </si>
  <si>
    <t>Sugar</t>
  </si>
  <si>
    <t>tRNA containing 5-(aminomethyl)-2-thiouridine</t>
  </si>
  <si>
    <t>Cobalt-sirohydrochlorin</t>
  </si>
  <si>
    <t>Cobalt-precorrin 3</t>
  </si>
  <si>
    <t>Cobalt-precorrin 4</t>
  </si>
  <si>
    <t>Cobalt-precorrin 6</t>
  </si>
  <si>
    <t>2-O-(alpha-D-Mannosyl)-D-glycerate</t>
  </si>
  <si>
    <t>Cobalt-precorrin 8</t>
  </si>
  <si>
    <t>1-Hydroxy-2-methyl-2-butenyl 4-diphosphate</t>
  </si>
  <si>
    <t>2,3-Ene acid</t>
  </si>
  <si>
    <t>(S)-4,5-Dihydroxypentane-2,3-dione</t>
  </si>
  <si>
    <t>dTDP-4-oxo-6-deoxy-D-glucose</t>
  </si>
  <si>
    <t>Aminofructose 6-phosphate</t>
  </si>
  <si>
    <t>Iminoerythrose 4-phosphate</t>
  </si>
  <si>
    <t>5'-Deoxy-5-fluorouridine</t>
  </si>
  <si>
    <t>alpha,beta-Dihydroxyethyl-TPP</t>
  </si>
  <si>
    <t>1-Hydroxymethylnaphthalene</t>
  </si>
  <si>
    <t>1-Naphthaldehyde</t>
  </si>
  <si>
    <t>2-Naphthaldehyde</t>
  </si>
  <si>
    <t>(3S)-3-Hydroxyadipyl-CoA</t>
  </si>
  <si>
    <t>(R)-3-Hydroxy-3-methyl-2-oxopentanoate</t>
  </si>
  <si>
    <t>Fe2+</t>
  </si>
  <si>
    <t>S-2-(Indol-3-yl)acetyl-CoA</t>
  </si>
  <si>
    <t>Hydroperoxide</t>
  </si>
  <si>
    <t>Precorrin 1</t>
  </si>
  <si>
    <t>L-3,4-Dihydroxybutan-2-one 4-phosphate</t>
  </si>
  <si>
    <t>N-D-Ribosylpurine</t>
  </si>
  <si>
    <t>Purine</t>
  </si>
  <si>
    <t>5-Carboxyamino-1-(5-phospho-D-ribosyl)imidazole</t>
  </si>
  <si>
    <t>Iminoglycine</t>
  </si>
  <si>
    <t>Sulfur-carrier protein</t>
  </si>
  <si>
    <t>[Enzyme]-cysteine</t>
  </si>
  <si>
    <t>[Enzyme]-S-sulfanylcysteine</t>
  </si>
  <si>
    <t>Adenylyl-[sulfur-carrier protein]</t>
  </si>
  <si>
    <t>Thiocarboxy-[sulfur-carrier protein]</t>
  </si>
  <si>
    <t>Enzyme N6-(lipoyl)lysine</t>
  </si>
  <si>
    <t>Enzyme N6-(dihydrolipoyl)lysine</t>
  </si>
  <si>
    <t>L-Methionine (S)-S-oxide</t>
  </si>
  <si>
    <t>3-Oxostearoyl-[acp]</t>
  </si>
  <si>
    <t>(3R)-3-Hydroxyoctadecanoyl-[acyl-carrier protein]</t>
  </si>
  <si>
    <t>Protein N6-(lipoyl)lysine</t>
  </si>
  <si>
    <t>Cobalt-precorrin 5A</t>
  </si>
  <si>
    <t>Cobalt-precorrin 5B</t>
  </si>
  <si>
    <t>Cobalt-precorrin 7</t>
  </si>
  <si>
    <t>3-Hexenal</t>
  </si>
  <si>
    <t>cis-3-Chloroallyl aldehyde</t>
  </si>
  <si>
    <t>2,4-Diamino-6-nitrotoluene</t>
  </si>
  <si>
    <t>2,4-Diamino-6-hydroxylaminotoluene</t>
  </si>
  <si>
    <t>3',5'-Cyclic diGMP</t>
  </si>
  <si>
    <t>Alcophosphamide</t>
  </si>
  <si>
    <t>Aminopropylcadaverine</t>
  </si>
  <si>
    <t>2-Phenyl-1,3-propanediol monocarbamate</t>
  </si>
  <si>
    <t>3-Carbamoyl-2-phenylpropionaldehyde</t>
  </si>
  <si>
    <t>4-Hydroxy-5-phenyltetrahydro-1,3-oxazin-2-one</t>
  </si>
  <si>
    <t>5-Phenyl-1,3-oxazinane-2,4-dione</t>
  </si>
  <si>
    <t>6-Methylmercaptopurine</t>
  </si>
  <si>
    <t>6-Methylthiopurine 5'-monophosphate ribonucleotide</t>
  </si>
  <si>
    <t>6-Thioxanthine 5'-monophosphate</t>
  </si>
  <si>
    <t>6-Thioguanosine monophosphate</t>
  </si>
  <si>
    <t>5,6-Dihydro-5-fluorouracil</t>
  </si>
  <si>
    <t>alpha-Fluoro-beta-ureidopropionic acid</t>
  </si>
  <si>
    <t>5-Fluorouridine monophosphate</t>
  </si>
  <si>
    <t>5'-Deoxy-5-fluorocytidine</t>
  </si>
  <si>
    <t>tRNA(Sec)</t>
  </si>
  <si>
    <t>Tryparedoxin</t>
  </si>
  <si>
    <t>Tryparedoxin disulfide</t>
  </si>
  <si>
    <t>Benzylpenicilloic acid</t>
  </si>
  <si>
    <t>7-Aminomethyl-7-carbaguanine</t>
  </si>
  <si>
    <t>N-Acetylmuramic acid 6-phosphate</t>
  </si>
  <si>
    <t>2-O-(6-Phospho-alpha-mannosyl)-D-glycerate</t>
  </si>
  <si>
    <t>[Protein]-N6-[(R)-dihydrolipoyl]-L-lysine</t>
  </si>
  <si>
    <t>Sulfur donor</t>
  </si>
  <si>
    <t>2-Aminobut-2-enoate</t>
  </si>
  <si>
    <t>tRNA containing 2-thiouridine</t>
  </si>
  <si>
    <t>tRNA adenine</t>
  </si>
  <si>
    <t>Cobalt-factor III</t>
  </si>
  <si>
    <t>di-trans,poly-cis-Undecaprenyl phosphate</t>
  </si>
  <si>
    <t>5'-Phosphoguanylyl(3'-&gt;5')guanosine</t>
  </si>
  <si>
    <t>D-Allulose 6-phosphate</t>
  </si>
  <si>
    <t>Molybdoenzyme molybdenum cofactor</t>
  </si>
  <si>
    <t>Cyclic pyranopterin monophosphate</t>
  </si>
  <si>
    <t>Methylselenic acid</t>
  </si>
  <si>
    <t>tRNA with a 3' cytidine</t>
  </si>
  <si>
    <t>tRNA with a 3' CC end</t>
  </si>
  <si>
    <t>tRNA with a 3' CCA end</t>
  </si>
  <si>
    <t>Epoxyqueuosine in tRNA</t>
  </si>
  <si>
    <t>Malonyl-[acp] methyl ester</t>
  </si>
  <si>
    <t>D-Alanyl-D-serine</t>
  </si>
  <si>
    <t>[tRNA(Ile2)]-cytidine34</t>
  </si>
  <si>
    <t>[tRNA(Ile2)]-lysidine34</t>
  </si>
  <si>
    <t>1,6-Anhydro-N-acetyl-beta-muramate</t>
  </si>
  <si>
    <t>N-Acetyl-beta-muramate 6-phosphate</t>
  </si>
  <si>
    <t>[Protein]-L-threonine</t>
  </si>
  <si>
    <t>Guanylyl molybdenum cofactor</t>
  </si>
  <si>
    <t>2-[(2R,5Z)-2-Carboxy-4-methylthiazol-5(2H)-ylidene]ethyl phosphate</t>
  </si>
  <si>
    <t>2-(2-Carboxy-4-methylthiazol-5-yl)ethyl phosphate</t>
  </si>
  <si>
    <t>(2S,4S)-4-Hydroxy-2,3,4,5-tetrahydrodipicolinate</t>
  </si>
  <si>
    <t>trans,octacis-Decaprenylphospho-beta-D-ribofuranose 5-phosphate</t>
  </si>
  <si>
    <t>3-Ketoglutaryl-[acp] methyl ester</t>
  </si>
  <si>
    <t>3-Hydroxyglutaryl-[acp] methyl ester</t>
  </si>
  <si>
    <t>Enoylglutaryl-[acp] methyl ester</t>
  </si>
  <si>
    <t>Glutaryl-[acp] methyl ester</t>
  </si>
  <si>
    <t>3-Ketopimeloyl-[acp] methyl ester</t>
  </si>
  <si>
    <t>3-Hydroxypimeloyl-[acp] methyl ester</t>
  </si>
  <si>
    <t>Enoylpimeloyl-[acp] methyl ester</t>
  </si>
  <si>
    <t>Methylphosphonate</t>
  </si>
  <si>
    <t>alpha-D-Ribose 1-methylphosphonate 5-triphosphate</t>
  </si>
  <si>
    <t>alpha-D-Ribose 1-methylphosphonate 5-phosphate</t>
  </si>
  <si>
    <t>tRNA 7-aminomethyl-7-carbaguanine</t>
  </si>
  <si>
    <t>Purine deoxyribonucleoside</t>
  </si>
  <si>
    <t>Cyclic di-3',5'-adenylate</t>
  </si>
  <si>
    <t>L-Threonylcarbamoyladenylate</t>
  </si>
  <si>
    <t>Adenine in rRNA</t>
  </si>
  <si>
    <t>O-Acetyl-ADP-ribose</t>
  </si>
  <si>
    <t>[Protein]-FMN-L-Threonine</t>
  </si>
  <si>
    <t>Protein N6-acetyl-L-lysine</t>
  </si>
  <si>
    <t>N6-L-Threonylcarbamoyladenine in tRNA</t>
  </si>
  <si>
    <t>2-Methylthio-N6-dimethylallyladenine in tRNA</t>
  </si>
  <si>
    <t>2-Thio-N6-dimethylallyladenine in tRNA</t>
  </si>
  <si>
    <t>[Ribosomal protein uS12]-L-aspartate</t>
  </si>
  <si>
    <t>[Ribosomal protein uS12]-3-methylthioaspartate</t>
  </si>
  <si>
    <t>rRNA containing N6-dimethyladenine</t>
  </si>
  <si>
    <t>Protein N5-methyl-L-glutamine</t>
  </si>
  <si>
    <t>5'-Triphospho-[mRNA]</t>
  </si>
  <si>
    <t>2-Iminopropanoate</t>
  </si>
  <si>
    <t>2-Iminobutanoate</t>
  </si>
  <si>
    <t>Carboxyphosphate</t>
  </si>
  <si>
    <t>(R)-5,6-Dihydrothymine</t>
  </si>
  <si>
    <t>(R)-3-Ureidoisobutyrate</t>
  </si>
  <si>
    <t>5-Hydroxymethylcytosine in DNA</t>
  </si>
  <si>
    <t>(R)-2-Hydroxyisocaproyl-CoA</t>
  </si>
  <si>
    <t>Isocaprenoyl-CoA</t>
  </si>
  <si>
    <t>Protein N(omega)-phospho-L-arginine</t>
  </si>
  <si>
    <t>Adenosylcobalamin 5'-phosphate</t>
  </si>
  <si>
    <t>(8S)-3',8-Cyclo-7,8-dihydroguanosine 5'-triphosphate</t>
  </si>
  <si>
    <t>[Protein]-S-sulfanyl-L-cysteine</t>
  </si>
  <si>
    <t>Cytidylyl molybdenum cofactor</t>
  </si>
  <si>
    <t>N-Acetyl-beta-D-glucosaminyl-(1-&gt;4)-D-glucosamine</t>
  </si>
  <si>
    <t>5-Fluorouridine diphosphate</t>
  </si>
  <si>
    <t>5-Fluorodeoxyuridine diphosphate</t>
  </si>
  <si>
    <t>5-Fluorodeoxyuridine triphosphate</t>
  </si>
  <si>
    <t>5-Deoxy-D-ribose</t>
  </si>
  <si>
    <t>Aceneuramate</t>
  </si>
  <si>
    <t>N6-Succino-2-amino-2'-deoxyadenylate</t>
  </si>
  <si>
    <t>3,5-Dehydroshikimate</t>
  </si>
  <si>
    <t>2-Amino-2'-deoxyadenosine 5'-monophosphate</t>
  </si>
  <si>
    <t>2-Amino-2'-deoxyadenosine 5'-diphosphate</t>
  </si>
  <si>
    <t>8-Hydroxyadenine</t>
  </si>
  <si>
    <t>2,8-Dihydroxyadenine</t>
  </si>
  <si>
    <t>alpha-D-Xylulofuranose</t>
  </si>
  <si>
    <t>alpha-D-Fructofuranose</t>
  </si>
  <si>
    <t>Iron(III) oxide-hydroxide</t>
  </si>
  <si>
    <t>1,4-alpha-D-Glucan</t>
  </si>
  <si>
    <t>(Glc)2 (P)1</t>
  </si>
  <si>
    <t>(GlcNAc)1 (MurNAc)1 (D-Ala-D-Ala-Lys-D-Glu-Ala)1 (PP-Und)1</t>
  </si>
  <si>
    <t>(MurNAc)1 (D-Ala-D-Ala-Lys-D-Glu-Ala)1 (PP-Und)1</t>
  </si>
  <si>
    <t>(MurNAc)1 (D-Ala-D-Ala-Lys-gamma-D-Glu-Ala)1 (PP-Und)1</t>
  </si>
  <si>
    <t>(GlcNAc)1 (MurNAc)1 (D-Ala-D-Ala-Lys-gamma-D-Glu-Ala)1 (PP-Und)1</t>
  </si>
  <si>
    <t>(GlcNAc)1 (MurNAc)1 (D-Ala-D-Ala-A2pm-gamma-D-Glu-Ala)1 (PP-Und)1</t>
  </si>
  <si>
    <t>(MurNAc)1 (D-Ala-D-Ala-A2pm-gamma-D-Glu-Ala)1 (PP-Und)1</t>
  </si>
  <si>
    <t>UDP-N-acetyl-D-glucosamine</t>
  </si>
  <si>
    <t>alpha-Glycosylated WTA</t>
  </si>
  <si>
    <t>beta-Glycosylated WTA</t>
  </si>
  <si>
    <t>(Ala)1 (Glc)1 (GlcNAc)1 (Gro)1 (ManNAc)1 (Rib-ol)2 (*)1 (P)3 (PP-Und)1</t>
  </si>
  <si>
    <t>alpha-O-GlcNAcylated WTA</t>
  </si>
  <si>
    <t>(Ala)1 (GlcNAc)2 (Gro)2 (ManNAc)1 (Rib-ol)1 (*)1 (P)3 (PP-Und)1</t>
  </si>
  <si>
    <t>beta-O-GlcNAcylated WTA</t>
  </si>
  <si>
    <t>(GlcNAc)2 (Gro)2 (ManNAc)1 (Rib-ol)1 (*)1 (P)3 (PP-Und)1</t>
  </si>
  <si>
    <t>(Ala)1 (Glc)1 (GlcNAc)1 (Gro)2 (ManNAc)1 (*)1 (P)2 (PP-Und)1</t>
  </si>
  <si>
    <t>(DAG)1 (Glc)2 (GlcNAc)1 (Gro)2 (*)1 (P)2</t>
  </si>
  <si>
    <t>(Ala)1 (DAG)1 (Glc)2 (GlcNAc)1 (Gro)2 (*)1 (P)2</t>
  </si>
  <si>
    <t>(DAG)1 (Gal)2 (Glc)1 (Gro)2 (*)1 (P)2</t>
  </si>
  <si>
    <t>(Ala)1 (DAG)1 (Gal)2 (Glc)1 (Gro)2 (*)1 (P)2</t>
  </si>
  <si>
    <t>KEGG Name</t>
  </si>
  <si>
    <t>EC_Number</t>
  </si>
  <si>
    <t>1_1_1_1</t>
  </si>
  <si>
    <t>1_1_1_100</t>
  </si>
  <si>
    <t>1_1_1_133</t>
  </si>
  <si>
    <t>1_1_1_140</t>
  </si>
  <si>
    <t>1_1_1_157</t>
  </si>
  <si>
    <t>1_1_1_17</t>
  </si>
  <si>
    <t>1_1_1_193</t>
  </si>
  <si>
    <t>1_1_1_205</t>
  </si>
  <si>
    <t>1_1_1_23</t>
  </si>
  <si>
    <t>1_1_1_25</t>
  </si>
  <si>
    <t>1_1_1_267</t>
  </si>
  <si>
    <t>1_1_1_27</t>
  </si>
  <si>
    <t>1_1_1_3</t>
  </si>
  <si>
    <t>1_1_1_30</t>
  </si>
  <si>
    <t>1_1_1_40</t>
  </si>
  <si>
    <t>1_1_1_60</t>
  </si>
  <si>
    <t>1_1_1_85</t>
  </si>
  <si>
    <t>1_1_1_86</t>
  </si>
  <si>
    <t>1_1_1_94</t>
  </si>
  <si>
    <t>1_11_1_1</t>
  </si>
  <si>
    <t>1_11_1_24</t>
  </si>
  <si>
    <t>1_11_1_6</t>
  </si>
  <si>
    <t>1_15_1_1</t>
  </si>
  <si>
    <t>1_16_3_2</t>
  </si>
  <si>
    <t>1_17_1_4</t>
  </si>
  <si>
    <t>1_17_1_8</t>
  </si>
  <si>
    <t>1_17_1_9</t>
  </si>
  <si>
    <t>1_17_4_1</t>
  </si>
  <si>
    <t>1_17_4_2</t>
  </si>
  <si>
    <t>1_17_7_1</t>
  </si>
  <si>
    <t>1_17_7_4</t>
  </si>
  <si>
    <t>1_17_99_6</t>
  </si>
  <si>
    <t>1_2_1_10</t>
  </si>
  <si>
    <t>1_2_1_11</t>
  </si>
  <si>
    <t>1_2_1_38</t>
  </si>
  <si>
    <t>1_2_7_4</t>
  </si>
  <si>
    <t>1_2_7_8</t>
  </si>
  <si>
    <t>1_21_4_1</t>
  </si>
  <si>
    <t>1_21_4_2</t>
  </si>
  <si>
    <t>1_21_4_3</t>
  </si>
  <si>
    <t>1_3_1_14</t>
  </si>
  <si>
    <t>1_3_1_54</t>
  </si>
  <si>
    <t>1_3_1_76</t>
  </si>
  <si>
    <t>1_3_1_95</t>
  </si>
  <si>
    <t>1_3_1_98</t>
  </si>
  <si>
    <t>1_4_1_13</t>
  </si>
  <si>
    <t>1_4_1_2</t>
  </si>
  <si>
    <t>1_4_3_16</t>
  </si>
  <si>
    <t>1_4_4_2</t>
  </si>
  <si>
    <t>1_5_1_2</t>
  </si>
  <si>
    <t>1_5_1_20</t>
  </si>
  <si>
    <t>1_5_1_3</t>
  </si>
  <si>
    <t>1_5_1_5</t>
  </si>
  <si>
    <t>1_7_99_1</t>
  </si>
  <si>
    <t>1_8_1_14</t>
  </si>
  <si>
    <t>1_8_1_4</t>
  </si>
  <si>
    <t>1_8_1_9</t>
  </si>
  <si>
    <t>1_8_4_11</t>
  </si>
  <si>
    <t>1_97_1_4</t>
  </si>
  <si>
    <t>2_1_1_107</t>
  </si>
  <si>
    <t>2_1_1_131</t>
  </si>
  <si>
    <t>2_1_1_151</t>
  </si>
  <si>
    <t>2_1_1_171</t>
  </si>
  <si>
    <t>2_1_1_182</t>
  </si>
  <si>
    <t>2_1_1_195</t>
  </si>
  <si>
    <t>2_1_1_228</t>
  </si>
  <si>
    <t>2_1_1_271</t>
  </si>
  <si>
    <t>2_1_1_289</t>
  </si>
  <si>
    <t>2_1_1_297</t>
  </si>
  <si>
    <t>2_1_1_33</t>
  </si>
  <si>
    <t>2_1_1_45</t>
  </si>
  <si>
    <t>2_1_1_61</t>
  </si>
  <si>
    <t>2_1_1_63</t>
  </si>
  <si>
    <t>2_1_2_1</t>
  </si>
  <si>
    <t>2_1_2_11</t>
  </si>
  <si>
    <t>2_1_2_2</t>
  </si>
  <si>
    <t>2_1_2_3</t>
  </si>
  <si>
    <t>2_1_2_9</t>
  </si>
  <si>
    <t>2_1_3_2</t>
  </si>
  <si>
    <t>2_1_3_3</t>
  </si>
  <si>
    <t>2_2_1_1</t>
  </si>
  <si>
    <t>2_2_1_2</t>
  </si>
  <si>
    <t>2_2_1_6</t>
  </si>
  <si>
    <t>2_2_1_7</t>
  </si>
  <si>
    <t>2_3_1_1</t>
  </si>
  <si>
    <t>2_3_1_15</t>
  </si>
  <si>
    <t>2_3_1_157</t>
  </si>
  <si>
    <t>2_3_1_169</t>
  </si>
  <si>
    <t>2_3_1_179</t>
  </si>
  <si>
    <t>2_3_1_180</t>
  </si>
  <si>
    <t>2_3_1_19</t>
  </si>
  <si>
    <t>2_3_1_222</t>
  </si>
  <si>
    <t>2_3_1_234</t>
  </si>
  <si>
    <t>2_3_1_263</t>
  </si>
  <si>
    <t>2_3_1_266</t>
  </si>
  <si>
    <t>2_3_1_274</t>
  </si>
  <si>
    <t>2_3_1_286</t>
  </si>
  <si>
    <t>2_3_1_31</t>
  </si>
  <si>
    <t>2_3_1_35</t>
  </si>
  <si>
    <t>2_3_1_39</t>
  </si>
  <si>
    <t>2_3_1_54</t>
  </si>
  <si>
    <t>2_3_1_8</t>
  </si>
  <si>
    <t>2_3_1_89</t>
  </si>
  <si>
    <t>2_3_1_9</t>
  </si>
  <si>
    <t>2_3_2_2</t>
  </si>
  <si>
    <t>2_3_3_13</t>
  </si>
  <si>
    <t>2_3_3_14</t>
  </si>
  <si>
    <t>2_4_1_1</t>
  </si>
  <si>
    <t>2_4_1_21</t>
  </si>
  <si>
    <t>2_4_1_227</t>
  </si>
  <si>
    <t>2_4_2_1</t>
  </si>
  <si>
    <t>2_4_2_10</t>
  </si>
  <si>
    <t>2_4_2_14</t>
  </si>
  <si>
    <t>2_4_2_17</t>
  </si>
  <si>
    <t>2_4_2_19</t>
  </si>
  <si>
    <t>2_4_2_2</t>
  </si>
  <si>
    <t>2_4_2_21</t>
  </si>
  <si>
    <t>2_4_2_22</t>
  </si>
  <si>
    <t>2_4_2_29</t>
  </si>
  <si>
    <t>2_4_2_45</t>
  </si>
  <si>
    <t>2_4_2_7</t>
  </si>
  <si>
    <t>2_4_2_8</t>
  </si>
  <si>
    <t>2_4_2_9</t>
  </si>
  <si>
    <t>2_4_99_17</t>
  </si>
  <si>
    <t>2_5_1_15</t>
  </si>
  <si>
    <t>2_5_1_16</t>
  </si>
  <si>
    <t>2_5_1_19</t>
  </si>
  <si>
    <t>2_5_1_3</t>
  </si>
  <si>
    <t>2_5_1_47</t>
  </si>
  <si>
    <t>2_5_1_54</t>
  </si>
  <si>
    <t>2_5_1_6</t>
  </si>
  <si>
    <t>2_5_1_61</t>
  </si>
  <si>
    <t>2_5_1_7</t>
  </si>
  <si>
    <t>2_5_1_72</t>
  </si>
  <si>
    <t>2_5_1_75</t>
  </si>
  <si>
    <t>2_5_1_78</t>
  </si>
  <si>
    <t>2_5_1_9</t>
  </si>
  <si>
    <t>2_6_1_16</t>
  </si>
  <si>
    <t>2_6_1_37</t>
  </si>
  <si>
    <t>2_6_1_85</t>
  </si>
  <si>
    <t>2_6_1_9</t>
  </si>
  <si>
    <t>2_7_1_107</t>
  </si>
  <si>
    <t>2_7_1_11</t>
  </si>
  <si>
    <t>2_7_1_148</t>
  </si>
  <si>
    <t>2_7_1_15</t>
  </si>
  <si>
    <t>2_7_1_156</t>
  </si>
  <si>
    <t>2_7_1_17</t>
  </si>
  <si>
    <t>2_7_1_170</t>
  </si>
  <si>
    <t>2_7_1_180</t>
  </si>
  <si>
    <t>2_7_1_195</t>
  </si>
  <si>
    <t>2_7_1_199</t>
  </si>
  <si>
    <t>2_7_1_202</t>
  </si>
  <si>
    <t>2_7_1_205</t>
  </si>
  <si>
    <t>2_7_1_24</t>
  </si>
  <si>
    <t>2_7_1_26</t>
  </si>
  <si>
    <t>2_7_1_30</t>
  </si>
  <si>
    <t>2_7_1_33</t>
  </si>
  <si>
    <t>2_7_1_35</t>
  </si>
  <si>
    <t>2_7_1_39</t>
  </si>
  <si>
    <t>2_7_1_40</t>
  </si>
  <si>
    <t>2_7_1_49</t>
  </si>
  <si>
    <t>2_7_1_50</t>
  </si>
  <si>
    <t>2_7_1_56</t>
  </si>
  <si>
    <t>2_7_1_71</t>
  </si>
  <si>
    <t>2_7_11_1</t>
  </si>
  <si>
    <t>2_7_14_1</t>
  </si>
  <si>
    <t>2_7_2_3</t>
  </si>
  <si>
    <t>2_7_2_4</t>
  </si>
  <si>
    <t>2_7_2_7</t>
  </si>
  <si>
    <t>2_7_2_8</t>
  </si>
  <si>
    <t>2_7_3_9</t>
  </si>
  <si>
    <t>2_7_4_22</t>
  </si>
  <si>
    <t>2_7_4_25</t>
  </si>
  <si>
    <t>2_7_4_3</t>
  </si>
  <si>
    <t>2_7_4_7</t>
  </si>
  <si>
    <t>2_7_4_8</t>
  </si>
  <si>
    <t>2_7_4_9</t>
  </si>
  <si>
    <t>2_7_6_1</t>
  </si>
  <si>
    <t>2_7_6_2</t>
  </si>
  <si>
    <t>2_7_6_3</t>
  </si>
  <si>
    <t>2_7_6_5</t>
  </si>
  <si>
    <t>2_7_7_12</t>
  </si>
  <si>
    <t>2_7_7_18</t>
  </si>
  <si>
    <t>2_7_7_2</t>
  </si>
  <si>
    <t>2_7_7_23</t>
  </si>
  <si>
    <t>2_7_7_24</t>
  </si>
  <si>
    <t>2_7_7_27</t>
  </si>
  <si>
    <t>2_7_7_3</t>
  </si>
  <si>
    <t>2_7_7_41</t>
  </si>
  <si>
    <t>2_7_7_56</t>
  </si>
  <si>
    <t>2_7_7_6</t>
  </si>
  <si>
    <t>2_7_7_60</t>
  </si>
  <si>
    <t>2_7_7_62</t>
  </si>
  <si>
    <t>2_7_7_65</t>
  </si>
  <si>
    <t>2_7_7_7</t>
  </si>
  <si>
    <t>2_7_7_72</t>
  </si>
  <si>
    <t>2_7_7_76</t>
  </si>
  <si>
    <t>2_7_7_77</t>
  </si>
  <si>
    <t>2_7_7_8</t>
  </si>
  <si>
    <t>2_7_7_85</t>
  </si>
  <si>
    <t>2_7_7_87</t>
  </si>
  <si>
    <t>2_7_7_9</t>
  </si>
  <si>
    <t>2_7_8_13</t>
  </si>
  <si>
    <t>2_7_8_26</t>
  </si>
  <si>
    <t>2_7_8_37</t>
  </si>
  <si>
    <t>2_7_8_5</t>
  </si>
  <si>
    <t>2_7_8_7</t>
  </si>
  <si>
    <t>2_7_9_1</t>
  </si>
  <si>
    <t>2_7_9_3</t>
  </si>
  <si>
    <t>2_8_1_10</t>
  </si>
  <si>
    <t>2_8_1_13</t>
  </si>
  <si>
    <t>2_8_1_4</t>
  </si>
  <si>
    <t>2_8_1_6</t>
  </si>
  <si>
    <t>2_8_1_7</t>
  </si>
  <si>
    <t>2_8_4_3</t>
  </si>
  <si>
    <t>2_8_4_4</t>
  </si>
  <si>
    <t>2_9_1_1</t>
  </si>
  <si>
    <t>3_1_1_29</t>
  </si>
  <si>
    <t>3_1_3_15</t>
  </si>
  <si>
    <t>3_1_3_16</t>
  </si>
  <si>
    <t>3_1_3_23</t>
  </si>
  <si>
    <t>3_1_3_48</t>
  </si>
  <si>
    <t>3_1_3_5</t>
  </si>
  <si>
    <t>3_1_4_52</t>
  </si>
  <si>
    <t>3_2_1_170</t>
  </si>
  <si>
    <t>3_2_1_20</t>
  </si>
  <si>
    <t>3_2_1_86</t>
  </si>
  <si>
    <t>3_2_1_93</t>
  </si>
  <si>
    <t>3_2_2_9</t>
  </si>
  <si>
    <t>3_4_11_1</t>
  </si>
  <si>
    <t>3_4_11_5</t>
  </si>
  <si>
    <t>3_5_1_1</t>
  </si>
  <si>
    <t>3_5_1_105</t>
  </si>
  <si>
    <t>3_5_1_2</t>
  </si>
  <si>
    <t>3_5_1_25</t>
  </si>
  <si>
    <t>3_5_1_28</t>
  </si>
  <si>
    <t>3_5_1_88</t>
  </si>
  <si>
    <t>3_5_2_2</t>
  </si>
  <si>
    <t>3_5_2_3</t>
  </si>
  <si>
    <t>3_5_2_6</t>
  </si>
  <si>
    <t>3_5_2_9</t>
  </si>
  <si>
    <t>3_5_3_11</t>
  </si>
  <si>
    <t>3_5_4_10</t>
  </si>
  <si>
    <t>3_5_4_12</t>
  </si>
  <si>
    <t>3_5_4_16</t>
  </si>
  <si>
    <t>3_5_4_19</t>
  </si>
  <si>
    <t>3_5_4_2</t>
  </si>
  <si>
    <t>3_5_4_25</t>
  </si>
  <si>
    <t>3_5_4_26</t>
  </si>
  <si>
    <t>3_5_4_4</t>
  </si>
  <si>
    <t>3_5_4_5</t>
  </si>
  <si>
    <t>3_5_4_9</t>
  </si>
  <si>
    <t>3_5_99_6</t>
  </si>
  <si>
    <t>3_6_1_1</t>
  </si>
  <si>
    <t>3_6_1_23</t>
  </si>
  <si>
    <t>3_6_1_27</t>
  </si>
  <si>
    <t>3_6_1_31</t>
  </si>
  <si>
    <t>3_6_1_41</t>
  </si>
  <si>
    <t>3_6_1_63</t>
  </si>
  <si>
    <t>3_7_1_12</t>
  </si>
  <si>
    <t>4_1_1_12</t>
  </si>
  <si>
    <t>4_1_1_20</t>
  </si>
  <si>
    <t>4_1_1_21</t>
  </si>
  <si>
    <t>4_1_1_23</t>
  </si>
  <si>
    <t>4_1_1_36</t>
  </si>
  <si>
    <t>4_1_1_50</t>
  </si>
  <si>
    <t>4_1_1_83</t>
  </si>
  <si>
    <t>4_1_2_13</t>
  </si>
  <si>
    <t>4_1_2_14</t>
  </si>
  <si>
    <t>4_1_2_25</t>
  </si>
  <si>
    <t>4_1_2_4</t>
  </si>
  <si>
    <t>4_1_2_40</t>
  </si>
  <si>
    <t>4_1_2_48</t>
  </si>
  <si>
    <t>4_1_3_27</t>
  </si>
  <si>
    <t>4_1_3_3</t>
  </si>
  <si>
    <t>4_1_99_12</t>
  </si>
  <si>
    <t>4_1_99_17</t>
  </si>
  <si>
    <t>4_1_99_22</t>
  </si>
  <si>
    <t>4_2_1_10</t>
  </si>
  <si>
    <t>4_2_1_11</t>
  </si>
  <si>
    <t>4_2_1_126</t>
  </si>
  <si>
    <t>4_2_1_157</t>
  </si>
  <si>
    <t>4_2_1_172</t>
  </si>
  <si>
    <t>4_2_1_19</t>
  </si>
  <si>
    <t>4_2_1_2</t>
  </si>
  <si>
    <t>4_2_1_24</t>
  </si>
  <si>
    <t>4_2_1_3</t>
  </si>
  <si>
    <t>4_2_1_33</t>
  </si>
  <si>
    <t>4_2_1_46</t>
  </si>
  <si>
    <t>4_2_1_51</t>
  </si>
  <si>
    <t>4_2_1_59</t>
  </si>
  <si>
    <t>4_2_1_9</t>
  </si>
  <si>
    <t>4_2_3_1</t>
  </si>
  <si>
    <t>4_2_3_3</t>
  </si>
  <si>
    <t>4_2_3_4</t>
  </si>
  <si>
    <t>4_2_3_5</t>
  </si>
  <si>
    <t>4_3_1_15</t>
  </si>
  <si>
    <t>4_3_1_17</t>
  </si>
  <si>
    <t>4_3_1_19</t>
  </si>
  <si>
    <t>4_3_1_7</t>
  </si>
  <si>
    <t>4_3_2_1</t>
  </si>
  <si>
    <t>4_3_2_10</t>
  </si>
  <si>
    <t>4_3_2_2</t>
  </si>
  <si>
    <t>4_3_3_7</t>
  </si>
  <si>
    <t>4_4_1_13</t>
  </si>
  <si>
    <t>4_4_1_21</t>
  </si>
  <si>
    <t>4_4_1_28</t>
  </si>
  <si>
    <t>4_6_1_12</t>
  </si>
  <si>
    <t>4_6_1_17</t>
  </si>
  <si>
    <t>5_1_1_1</t>
  </si>
  <si>
    <t>5_1_1_12</t>
  </si>
  <si>
    <t>5_1_1_3</t>
  </si>
  <si>
    <t>5_1_1_4</t>
  </si>
  <si>
    <t>5_1_1_7</t>
  </si>
  <si>
    <t>5_1_3_1</t>
  </si>
  <si>
    <t>5_1_3_13</t>
  </si>
  <si>
    <t>5_1_3_14</t>
  </si>
  <si>
    <t>5_1_3_2</t>
  </si>
  <si>
    <t>5_1_3_4</t>
  </si>
  <si>
    <t>5_1_3_9</t>
  </si>
  <si>
    <t>5_2_1_8</t>
  </si>
  <si>
    <t>5_3_1_1</t>
  </si>
  <si>
    <t>5_3_1_16</t>
  </si>
  <si>
    <t>5_3_1_5</t>
  </si>
  <si>
    <t>5_3_1_6</t>
  </si>
  <si>
    <t>5_3_1_8</t>
  </si>
  <si>
    <t>5_3_1_9</t>
  </si>
  <si>
    <t>5_4_2_10</t>
  </si>
  <si>
    <t>5_4_2_12</t>
  </si>
  <si>
    <t>5_4_2_6</t>
  </si>
  <si>
    <t>5_4_2_7</t>
  </si>
  <si>
    <t>5_4_3_5</t>
  </si>
  <si>
    <t>5_4_3_9</t>
  </si>
  <si>
    <t>5_4_99_12</t>
  </si>
  <si>
    <t>5_4_99_18</t>
  </si>
  <si>
    <t>5_4_99_60</t>
  </si>
  <si>
    <t>6_1_1_1</t>
  </si>
  <si>
    <t>6_1_1_10</t>
  </si>
  <si>
    <t>6_1_1_11</t>
  </si>
  <si>
    <t>6_1_1_12</t>
  </si>
  <si>
    <t>6_1_1_13</t>
  </si>
  <si>
    <t>6_1_1_14</t>
  </si>
  <si>
    <t>6_1_1_15</t>
  </si>
  <si>
    <t>6_1_1_16</t>
  </si>
  <si>
    <t>6_1_1_17</t>
  </si>
  <si>
    <t>6_1_1_19</t>
  </si>
  <si>
    <t>6_1_1_2</t>
  </si>
  <si>
    <t>6_1_1_20</t>
  </si>
  <si>
    <t>6_1_1_21</t>
  </si>
  <si>
    <t>6_1_1_22</t>
  </si>
  <si>
    <t>6_1_1_3</t>
  </si>
  <si>
    <t>6_1_1_4</t>
  </si>
  <si>
    <t>6_1_1_5</t>
  </si>
  <si>
    <t>6_1_1_6</t>
  </si>
  <si>
    <t>6_1_1_7</t>
  </si>
  <si>
    <t>6_1_1_9</t>
  </si>
  <si>
    <t>6_3_1_1</t>
  </si>
  <si>
    <t>6_3_1_2</t>
  </si>
  <si>
    <t>6_3_1_5</t>
  </si>
  <si>
    <t>6_3_2_1</t>
  </si>
  <si>
    <t>6_3_2_10</t>
  </si>
  <si>
    <t>6_3_2_13</t>
  </si>
  <si>
    <t>6_3_2_35</t>
  </si>
  <si>
    <t>6_3_2_4</t>
  </si>
  <si>
    <t>6_3_2_5</t>
  </si>
  <si>
    <t>6_3_2_6</t>
  </si>
  <si>
    <t>6_3_2_8</t>
  </si>
  <si>
    <t>6_3_2_9</t>
  </si>
  <si>
    <t>6_3_3_1</t>
  </si>
  <si>
    <t>6_3_3_2</t>
  </si>
  <si>
    <t>6_3_4_13</t>
  </si>
  <si>
    <t>6_3_4_14</t>
  </si>
  <si>
    <t>6_3_4_15</t>
  </si>
  <si>
    <t>6_3_4_19</t>
  </si>
  <si>
    <t>6_3_4_21</t>
  </si>
  <si>
    <t>6_3_4_3</t>
  </si>
  <si>
    <t>6_3_4_4</t>
  </si>
  <si>
    <t>6_3_4_5</t>
  </si>
  <si>
    <t>6_3_5_2</t>
  </si>
  <si>
    <t>6_3_5_3</t>
  </si>
  <si>
    <t>6_3_5_4</t>
  </si>
  <si>
    <t>6_3_5_5</t>
  </si>
  <si>
    <t>6_4_1_1</t>
  </si>
  <si>
    <t>6_4_1_2</t>
  </si>
  <si>
    <t>6_5_1_2</t>
  </si>
  <si>
    <t>7_1_2_2</t>
  </si>
  <si>
    <t>Protein_Accession</t>
  </si>
  <si>
    <t>Locus_Tag</t>
  </si>
  <si>
    <t>C00114 + C00003</t>
  </si>
  <si>
    <t>C00114 * C00003</t>
  </si>
  <si>
    <t>C00576 + C00004 + C00080</t>
  </si>
  <si>
    <t>C00576 * C00004 * C00080</t>
  </si>
  <si>
    <t>C00114 + C00006</t>
  </si>
  <si>
    <t>C00114 * C00006</t>
  </si>
  <si>
    <t>C00576 + C00005 + C00080</t>
  </si>
  <si>
    <t>C00576 * C00005 * C00080</t>
  </si>
  <si>
    <t>C00226 + C00003</t>
  </si>
  <si>
    <t>C00226 * C00003</t>
  </si>
  <si>
    <t>C00071 + C00004 + C00080</t>
  </si>
  <si>
    <t>C00071 * C00004 * C00080</t>
  </si>
  <si>
    <t>C00418 + C00003</t>
  </si>
  <si>
    <t>C00418 * C00003</t>
  </si>
  <si>
    <t>C00772 + C00004 + C00080</t>
  </si>
  <si>
    <t>C00772 * C00004 * C00080</t>
  </si>
  <si>
    <t>C00469 + C00003</t>
  </si>
  <si>
    <t>C00469 * C00003</t>
  </si>
  <si>
    <t>C00084 + C00004 + C00080</t>
  </si>
  <si>
    <t>C00084 * C00004 * C00080</t>
  </si>
  <si>
    <t>C00473 + C00003</t>
  </si>
  <si>
    <t>C00473 * C00003</t>
  </si>
  <si>
    <t>C00376 + C00004 + C00080</t>
  </si>
  <si>
    <t>C00376 * C00004 * C00080</t>
  </si>
  <si>
    <t>C00756 + C00003</t>
  </si>
  <si>
    <t>C00756 * C00003</t>
  </si>
  <si>
    <t>C01545 + C00004 + C00080</t>
  </si>
  <si>
    <t>C01545 * C00004 * C00080</t>
  </si>
  <si>
    <t>C01612 + C00003</t>
  </si>
  <si>
    <t>C01612 * C00003</t>
  </si>
  <si>
    <t>C01450 + C00004 + C00080</t>
  </si>
  <si>
    <t>C01450 * C00004 * C00080</t>
  </si>
  <si>
    <t>C02909 + C00003</t>
  </si>
  <si>
    <t>C02909 * C00003</t>
  </si>
  <si>
    <t>C14099 + C00004 + C00080</t>
  </si>
  <si>
    <t>C14099 * C00004 * C00080</t>
  </si>
  <si>
    <t>C05444 + C00003</t>
  </si>
  <si>
    <t>C05444 * C00003</t>
  </si>
  <si>
    <t>C05445 + C00004 + C00080</t>
  </si>
  <si>
    <t>C05445 * C00004 * C00080</t>
  </si>
  <si>
    <t>C05576 + C00003</t>
  </si>
  <si>
    <t>C05576 * C00003</t>
  </si>
  <si>
    <t>C05577 + C00004 + C00080</t>
  </si>
  <si>
    <t>C05577 * C00004 * C00080</t>
  </si>
  <si>
    <t>C06611 + C00003</t>
  </si>
  <si>
    <t>C06611 * C00003</t>
  </si>
  <si>
    <t>C06613 + C00004 + C00080</t>
  </si>
  <si>
    <t>C06613 * C00004 * C00080</t>
  </si>
  <si>
    <t>C06612 + C00003</t>
  </si>
  <si>
    <t>C06612 * C00003</t>
  </si>
  <si>
    <t>C16348 + C00004 + C00080</t>
  </si>
  <si>
    <t>C16348 * C00004 * C00080</t>
  </si>
  <si>
    <t>C06899 + C00004 + C00080</t>
  </si>
  <si>
    <t>C06899 * C00004 * C00080</t>
  </si>
  <si>
    <t>C07490 + C00003 + C00001</t>
  </si>
  <si>
    <t>C07490 * C00003 * C00001</t>
  </si>
  <si>
    <t>C07645 + C00004 + C00080</t>
  </si>
  <si>
    <t>C07645 * C00004 * C00080</t>
  </si>
  <si>
    <t>C16551 + C00003</t>
  </si>
  <si>
    <t>C16551 * C00003</t>
  </si>
  <si>
    <t>C14089 + C00003</t>
  </si>
  <si>
    <t>C14089 * C00003</t>
  </si>
  <si>
    <t>C14090 + C00004 + C00080</t>
  </si>
  <si>
    <t>C14090 * C00004 * C00080</t>
  </si>
  <si>
    <t>C16310 + C00004 + C00080</t>
  </si>
  <si>
    <t>C16310 * C00004 * C00080</t>
  </si>
  <si>
    <t>C08492 + C00003</t>
  </si>
  <si>
    <t>C08492 * C00003</t>
  </si>
  <si>
    <t>C16586 + C00003</t>
  </si>
  <si>
    <t>C16586 * C00003</t>
  </si>
  <si>
    <t>C16587 + C00004 + C00080</t>
  </si>
  <si>
    <t>C16587 * C00004 * C00080</t>
  </si>
  <si>
    <t>C16595 + C00003</t>
  </si>
  <si>
    <t>C16595 * C00003</t>
  </si>
  <si>
    <t>C16596 + C00004 + C00080</t>
  </si>
  <si>
    <t>C16596 * C00004 * C00080</t>
  </si>
  <si>
    <t>C01271 + C00006</t>
  </si>
  <si>
    <t>C01271 * C00006</t>
  </si>
  <si>
    <t>C00685 + C00005 + C00080</t>
  </si>
  <si>
    <t>C00685 * C00005 * C00080</t>
  </si>
  <si>
    <t>C04618 + C00006</t>
  </si>
  <si>
    <t>C04618 * C00006</t>
  </si>
  <si>
    <t>C05744 + C00005 + C00080</t>
  </si>
  <si>
    <t>C05744 * C00005 * C00080</t>
  </si>
  <si>
    <t>C04619 + C00006</t>
  </si>
  <si>
    <t>C04619 * C00006</t>
  </si>
  <si>
    <t>C05753 + C00005</t>
  </si>
  <si>
    <t>C05753 * C00005</t>
  </si>
  <si>
    <t>C04620 + C00006</t>
  </si>
  <si>
    <t>C04620 * C00006</t>
  </si>
  <si>
    <t>C05750 + C00005 + C00080</t>
  </si>
  <si>
    <t>C05750 * C00005 * C00080</t>
  </si>
  <si>
    <t>C04633 + C00006</t>
  </si>
  <si>
    <t>C04633 * C00006</t>
  </si>
  <si>
    <t>C05762 + C00005 + C00080</t>
  </si>
  <si>
    <t>C05762 * C00005 * C00080</t>
  </si>
  <si>
    <t>C04688 + C00006</t>
  </si>
  <si>
    <t>C04688 * C00006</t>
  </si>
  <si>
    <t>C05759 + C00005 + C00080</t>
  </si>
  <si>
    <t>C05759 * C00005 * C00080</t>
  </si>
  <si>
    <t>C05747 + C00006</t>
  </si>
  <si>
    <t>C05747 * C00006</t>
  </si>
  <si>
    <t>C05746 + C00005 + C00080</t>
  </si>
  <si>
    <t>C05746 * C00005 * C00080</t>
  </si>
  <si>
    <t>C05757 + C00006</t>
  </si>
  <si>
    <t>C05757 * C00006</t>
  </si>
  <si>
    <t>C05756 + C00005 + C00080</t>
  </si>
  <si>
    <t>C05756 * C00005 * C00080</t>
  </si>
  <si>
    <t>C16219 + C00005 + C00080</t>
  </si>
  <si>
    <t>C16219 * C00005 * C00080</t>
  </si>
  <si>
    <t>C16220 + C00006</t>
  </si>
  <si>
    <t>C16220 * C00006</t>
  </si>
  <si>
    <t>C20372 + C00005 + C00080</t>
  </si>
  <si>
    <t>C20372 * C00005 * C00080</t>
  </si>
  <si>
    <t>C20373 + C00006</t>
  </si>
  <si>
    <t>C20373 * C00006</t>
  </si>
  <si>
    <t>C20376 + C00005 + C00080</t>
  </si>
  <si>
    <t>C20376 * C00005 * C00080</t>
  </si>
  <si>
    <t>C20377 + C00006</t>
  </si>
  <si>
    <t>C20377 * C00006</t>
  </si>
  <si>
    <t>C03319 + C00006</t>
  </si>
  <si>
    <t>C03319 * C00006</t>
  </si>
  <si>
    <t>C00688 + C00005 + C00080</t>
  </si>
  <si>
    <t>C00688 * C00005 * C00080</t>
  </si>
  <si>
    <t>C01096 + C00003</t>
  </si>
  <si>
    <t>C01096 * C00003</t>
  </si>
  <si>
    <t>C00085 + C00004 + C00080</t>
  </si>
  <si>
    <t>C00085 * C00004 * C00080</t>
  </si>
  <si>
    <t>C05345 + C00004 + C00080</t>
  </si>
  <si>
    <t>C05345 * C00004 * C00080</t>
  </si>
  <si>
    <t>C01144 + C00006</t>
  </si>
  <si>
    <t>C01144 * C00006</t>
  </si>
  <si>
    <t>C00332 + C00005 + C00080</t>
  </si>
  <si>
    <t>C00332 * C00005 * C00080</t>
  </si>
  <si>
    <t>C05116 + C00006</t>
  </si>
  <si>
    <t>C05116 * C00006</t>
  </si>
  <si>
    <t>C14145 + C00003</t>
  </si>
  <si>
    <t>C14145 * C00003</t>
  </si>
  <si>
    <t>C02232 + C00004 + C00080</t>
  </si>
  <si>
    <t>C02232 * C00004 * C00080</t>
  </si>
  <si>
    <t>C00644 + C00003</t>
  </si>
  <si>
    <t>C00644 * C00003</t>
  </si>
  <si>
    <t>C04454 + C00006</t>
  </si>
  <si>
    <t>C04454 * C00006</t>
  </si>
  <si>
    <t>C01268 + C00005 + C00080</t>
  </si>
  <si>
    <t>C01268 * C00005 * C00080</t>
  </si>
  <si>
    <t>C00130 + C00003 + C00001</t>
  </si>
  <si>
    <t>C00130 * C00003 * C00001</t>
  </si>
  <si>
    <t>C00655 + C00004 + C00080</t>
  </si>
  <si>
    <t>C00655 * C00004 * C00080</t>
  </si>
  <si>
    <t>C04646 + C00003 + C00001</t>
  </si>
  <si>
    <t>C04646 * C00003 * C00001</t>
  </si>
  <si>
    <t>C16618 + C00004 + C00080</t>
  </si>
  <si>
    <t>C16618 * C00004 * C00080</t>
  </si>
  <si>
    <t>C00860 + C00003</t>
  </si>
  <si>
    <t>C00860 * C00003</t>
  </si>
  <si>
    <t>C01929 + C00004 + C00080</t>
  </si>
  <si>
    <t>C01929 * C00004 * C00080</t>
  </si>
  <si>
    <t>C00860 + C00003 + C00001</t>
  </si>
  <si>
    <t>C00860 * C00003 * C00001</t>
  </si>
  <si>
    <t>C00135 + C00004 + C00080</t>
  </si>
  <si>
    <t>C00135 * C00004 * C00080</t>
  </si>
  <si>
    <t>C01929 + C00001 + C00003</t>
  </si>
  <si>
    <t>C01929 * C00001 * C00003</t>
  </si>
  <si>
    <t>C00493 + C00006</t>
  </si>
  <si>
    <t>C00493 * C00006</t>
  </si>
  <si>
    <t>C02637 + C00005 + C00080</t>
  </si>
  <si>
    <t>C02637 * C00005 * C00080</t>
  </si>
  <si>
    <t>C02637 + C00006</t>
  </si>
  <si>
    <t>C02637 * C00006</t>
  </si>
  <si>
    <t>C22438 + C00005 + C00080</t>
  </si>
  <si>
    <t>C22438 * C00005 * C00080</t>
  </si>
  <si>
    <t>C11434 + C00006</t>
  </si>
  <si>
    <t>C11434 * C00006</t>
  </si>
  <si>
    <t>C11437 + C00005 + C00080</t>
  </si>
  <si>
    <t>C11437 * C00005 * C00080</t>
  </si>
  <si>
    <t>C00186 + C00003</t>
  </si>
  <si>
    <t>C00186 * C00003</t>
  </si>
  <si>
    <t>C00022 + C00004 + C00080</t>
  </si>
  <si>
    <t>C00022 * C00004 * C00080</t>
  </si>
  <si>
    <t>C05823 + C00003</t>
  </si>
  <si>
    <t>C05823 * C00003</t>
  </si>
  <si>
    <t>C00957 + C00004 + C00080</t>
  </si>
  <si>
    <t>C00957 * C00004 * C00080</t>
  </si>
  <si>
    <t>C05984 + C00003</t>
  </si>
  <si>
    <t>C05984 * C00003</t>
  </si>
  <si>
    <t>C00109 + C00004 + C00080</t>
  </si>
  <si>
    <t>C00109 * C00004 * C00080</t>
  </si>
  <si>
    <t>C00263 + C00003</t>
  </si>
  <si>
    <t>C00263 * C00003</t>
  </si>
  <si>
    <t>C00441 + C00004 + C00080</t>
  </si>
  <si>
    <t>C00441 * C00004 * C00080</t>
  </si>
  <si>
    <t>C00263 + C00006</t>
  </si>
  <si>
    <t>C00263 * C00006</t>
  </si>
  <si>
    <t>C00441 + C00005 + C00080</t>
  </si>
  <si>
    <t>C00441 * C00005 * C00080</t>
  </si>
  <si>
    <t>C01089 + C00003</t>
  </si>
  <si>
    <t>C01089 * C00003</t>
  </si>
  <si>
    <t>C00164 + C00004 + C00080</t>
  </si>
  <si>
    <t>C00164 * C00004 * C00080</t>
  </si>
  <si>
    <t>C00022 + C00011</t>
  </si>
  <si>
    <t>C00022 * C00011</t>
  </si>
  <si>
    <t>C00149 + C00006</t>
  </si>
  <si>
    <t>C00149 * C00006</t>
  </si>
  <si>
    <t>C00022 + C00011 + C00005 + C00080</t>
  </si>
  <si>
    <t>C00022 * C00011 * C00005 * C00080</t>
  </si>
  <si>
    <t>C00258 + C00003</t>
  </si>
  <si>
    <t>C00258 * C00003</t>
  </si>
  <si>
    <t>C01146 + C00004 + C00080</t>
  </si>
  <si>
    <t>C01146 * C00004 * C00080</t>
  </si>
  <si>
    <t>C00258 + C00006</t>
  </si>
  <si>
    <t>C00258 * C00006</t>
  </si>
  <si>
    <t>C01146 + C00005 + C00080</t>
  </si>
  <si>
    <t>C01146 * C00005 * C00080</t>
  </si>
  <si>
    <t>C00109 + C00011 + C00004 + C00080</t>
  </si>
  <si>
    <t>C00109 * C00011 * C00004 * C00080</t>
  </si>
  <si>
    <t>C06032 + C00003</t>
  </si>
  <si>
    <t>C06032 * C00003</t>
  </si>
  <si>
    <t>C00233 + C00011</t>
  </si>
  <si>
    <t>C00233 * C00011</t>
  </si>
  <si>
    <t>C04411 + C00003</t>
  </si>
  <si>
    <t>C04411 * C00003</t>
  </si>
  <si>
    <t>C00233 + C00011 + C00004 + C00080</t>
  </si>
  <si>
    <t>C00233 * C00011 * C00004 * C00080</t>
  </si>
  <si>
    <t>C04236 + C00004 + C00080</t>
  </si>
  <si>
    <t>C04236 * C00004 * C00080</t>
  </si>
  <si>
    <t>C00900 + C00005 + C00080</t>
  </si>
  <si>
    <t>C00900 * C00005 * C00080</t>
  </si>
  <si>
    <t>C04039 + C00006</t>
  </si>
  <si>
    <t>C04039 * C00006</t>
  </si>
  <si>
    <t>C04272 + C00006</t>
  </si>
  <si>
    <t>C04272 * C00006</t>
  </si>
  <si>
    <t>C06010 + C00005 + C00080</t>
  </si>
  <si>
    <t>C06010 * C00005 * C00080</t>
  </si>
  <si>
    <t>C04181 + C00005 + C00080</t>
  </si>
  <si>
    <t>C04181 * C00005 * C00080</t>
  </si>
  <si>
    <t>C06007 + C00006</t>
  </si>
  <si>
    <t>C06007 * C00006</t>
  </si>
  <si>
    <t>C14463 + C00005 + C00080</t>
  </si>
  <si>
    <t>C14463 * C00005 * C00080</t>
  </si>
  <si>
    <t>C00093 + C00003</t>
  </si>
  <si>
    <t>C00093 * C00003</t>
  </si>
  <si>
    <t>C00111 + C00004 + C00080</t>
  </si>
  <si>
    <t>C00111 * C00004 * C00080</t>
  </si>
  <si>
    <t>C00093 + C00006</t>
  </si>
  <si>
    <t>C00093 * C00006</t>
  </si>
  <si>
    <t>C00111 + C00005 + C00080</t>
  </si>
  <si>
    <t>C00111 * C00005 * C00080</t>
  </si>
  <si>
    <t>C00027 + C00004 + C00080</t>
  </si>
  <si>
    <t>C00027 * C00004 * C00080</t>
  </si>
  <si>
    <t>C00003 + C00001</t>
  </si>
  <si>
    <t>C00003 * C00001</t>
  </si>
  <si>
    <t>C00342 + C15498</t>
  </si>
  <si>
    <t>C00342 * C15498</t>
  </si>
  <si>
    <t>C00343 + C00001 + C01335</t>
  </si>
  <si>
    <t>C00343 * C00001 * C01335</t>
  </si>
  <si>
    <t>C00007 + C00001</t>
  </si>
  <si>
    <t>C00007 * C00001</t>
  </si>
  <si>
    <t>C00132 + C00027</t>
  </si>
  <si>
    <t>C00132 * C00027</t>
  </si>
  <si>
    <t>C00067 + C00001</t>
  </si>
  <si>
    <t>C00067 * C00001</t>
  </si>
  <si>
    <t>C00632 + C00007</t>
  </si>
  <si>
    <t>C00632 * C00007</t>
  </si>
  <si>
    <t>C05640 + C00704 + C00027 + C00080</t>
  </si>
  <si>
    <t>C05640 * C00704 * C00027 * C00080</t>
  </si>
  <si>
    <t>C00704 + C00080</t>
  </si>
  <si>
    <t>C00704 * C00080</t>
  </si>
  <si>
    <t>C00027 + C00007</t>
  </si>
  <si>
    <t>C00027 * C00007</t>
  </si>
  <si>
    <t>C14818 + C00007 + C00001</t>
  </si>
  <si>
    <t>C14818 * C00007 * C00001</t>
  </si>
  <si>
    <t>C22881 + C00080</t>
  </si>
  <si>
    <t>C22881 * C00080</t>
  </si>
  <si>
    <t>C22881 + C00080 + C00027</t>
  </si>
  <si>
    <t>C22881 * C00080 * C00027</t>
  </si>
  <si>
    <t>C14818 + C00027 + C00001</t>
  </si>
  <si>
    <t>C14818 * C00027 * C00001</t>
  </si>
  <si>
    <t>C00147 + C00003 + C00001</t>
  </si>
  <si>
    <t>C00147 * C00003 * C00001</t>
  </si>
  <si>
    <t>C22499 + C00004 + C00080</t>
  </si>
  <si>
    <t>C22499 * C00004 * C00080</t>
  </si>
  <si>
    <t>C00262 + C00003 + C00001</t>
  </si>
  <si>
    <t>C00262 * C00003 * C00001</t>
  </si>
  <si>
    <t>C00385 + C00004 + C00080</t>
  </si>
  <si>
    <t>C00385 * C00004 * C00080</t>
  </si>
  <si>
    <t>C00385 + C00003 + C00001</t>
  </si>
  <si>
    <t>C00385 * C00003 * C00001</t>
  </si>
  <si>
    <t>C00366 + C00004 + C00080</t>
  </si>
  <si>
    <t>C00366 * C00004 * C00080</t>
  </si>
  <si>
    <t>C22499 + C00003 + C00001</t>
  </si>
  <si>
    <t>C22499 * C00003 * C00001</t>
  </si>
  <si>
    <t>C22500 + C00004 + C00080</t>
  </si>
  <si>
    <t>C22500 * C00004 * C00080</t>
  </si>
  <si>
    <t>C03972 + C00003 + C00001</t>
  </si>
  <si>
    <t>C03972 * C00003 * C00001</t>
  </si>
  <si>
    <t>C20258 + C00004 + C00080</t>
  </si>
  <si>
    <t>C20258 * C00004 * C00080</t>
  </si>
  <si>
    <t>C03972 + C00006 + C00001</t>
  </si>
  <si>
    <t>C03972 * C00006 * C00001</t>
  </si>
  <si>
    <t>C20258 + C00005 + C00080</t>
  </si>
  <si>
    <t>C20258 * C00005 * C00080</t>
  </si>
  <si>
    <t>C00058 + C00003</t>
  </si>
  <si>
    <t>C00058 * C00003</t>
  </si>
  <si>
    <t>C00080 + C00011 + C00004</t>
  </si>
  <si>
    <t>C00080 * C00011 * C00004</t>
  </si>
  <si>
    <t>C00206 + C00343 + C00001</t>
  </si>
  <si>
    <t>C00206 * C00343 * C00001</t>
  </si>
  <si>
    <t>C00342 + C00008</t>
  </si>
  <si>
    <t>C00342 * C00008</t>
  </si>
  <si>
    <t>C00361 + C00343 + C00001</t>
  </si>
  <si>
    <t>C00361 * C00343 * C00001</t>
  </si>
  <si>
    <t>C00035 + C00342</t>
  </si>
  <si>
    <t>C00035 * C00342</t>
  </si>
  <si>
    <t>C00705 + C00343 + C00001</t>
  </si>
  <si>
    <t>C00705 * C00343 * C00001</t>
  </si>
  <si>
    <t>C00342 + C00112</t>
  </si>
  <si>
    <t>C00342 * C00112</t>
  </si>
  <si>
    <t>C01346 + C00343 + C00001</t>
  </si>
  <si>
    <t>C01346 * C00343 * C00001</t>
  </si>
  <si>
    <t>C00342 + C00015</t>
  </si>
  <si>
    <t>C00342 * C00015</t>
  </si>
  <si>
    <t>C04232 + C00343 + C00001</t>
  </si>
  <si>
    <t>C04232 * C00343 * C00001</t>
  </si>
  <si>
    <t>C03723 + C00342</t>
  </si>
  <si>
    <t>C03723 * C00342</t>
  </si>
  <si>
    <t>C04232 + C03170 + C00001</t>
  </si>
  <si>
    <t>C04232 * C03170 * C00001</t>
  </si>
  <si>
    <t>C03723 + C02090</t>
  </si>
  <si>
    <t>C03723 * C02090</t>
  </si>
  <si>
    <t>C04232 + C16664 + C00001</t>
  </si>
  <si>
    <t>C04232 * C16664 * C00001</t>
  </si>
  <si>
    <t>C03723 + C16663</t>
  </si>
  <si>
    <t>C03723 * C16663</t>
  </si>
  <si>
    <t>C21750 + C00343 + C00001</t>
  </si>
  <si>
    <t>C21750 * C00343 * C00001</t>
  </si>
  <si>
    <t>C21748 + C00342</t>
  </si>
  <si>
    <t>C21748 * C00342</t>
  </si>
  <si>
    <t>C00131 + C00343 + C00001</t>
  </si>
  <si>
    <t>C00131 * C00343 * C00001</t>
  </si>
  <si>
    <t>C00002 + C00342</t>
  </si>
  <si>
    <t>C00002 * C00342</t>
  </si>
  <si>
    <t>C00286 + C00343 + C00001</t>
  </si>
  <si>
    <t>C00286 * C00343 * C00001</t>
  </si>
  <si>
    <t>C00044 + C00342</t>
  </si>
  <si>
    <t>C00044 * C00342</t>
  </si>
  <si>
    <t>C00458 + C00343 + C00001</t>
  </si>
  <si>
    <t>C00458 * C00343 * C00001</t>
  </si>
  <si>
    <t>C00063 + C00342</t>
  </si>
  <si>
    <t>C00063 * C00342</t>
  </si>
  <si>
    <t>C00460 + C00343 + C00001</t>
  </si>
  <si>
    <t>C00460 * C00343 * C00001</t>
  </si>
  <si>
    <t>C00075 + C00342</t>
  </si>
  <si>
    <t>C00075 * C00342</t>
  </si>
  <si>
    <t>C00677 + C00343 + C00001</t>
  </si>
  <si>
    <t>C00677 * C00343 * C00001</t>
  </si>
  <si>
    <t>C03802 + C00342</t>
  </si>
  <si>
    <t>C03802 * C00342</t>
  </si>
  <si>
    <t>C11453 + C00138</t>
  </si>
  <si>
    <t>C11453 * C00138</t>
  </si>
  <si>
    <t>C11811 + C00001 + C00139</t>
  </si>
  <si>
    <t>C11811 * C00001 * C00139</t>
  </si>
  <si>
    <t>C00235 + C00139 + C00001</t>
  </si>
  <si>
    <t>C00235 * C00139 * C00001</t>
  </si>
  <si>
    <t>C11811 + C00138 + C00080</t>
  </si>
  <si>
    <t>C11811 * C00138 * C00080</t>
  </si>
  <si>
    <t>C00129 + C00139 + C00001</t>
  </si>
  <si>
    <t>C00129 * C00139 * C00001</t>
  </si>
  <si>
    <t>C01978 + C00028 + C00001</t>
  </si>
  <si>
    <t>C01978 * C00028 * C00001</t>
  </si>
  <si>
    <t>C19647 + C00030</t>
  </si>
  <si>
    <t>C19647 * C00030</t>
  </si>
  <si>
    <t>C00084 + C00010 + C00003</t>
  </si>
  <si>
    <t>C00084 * C00010 * C00003</t>
  </si>
  <si>
    <t>C00024 + C00004 + C00080</t>
  </si>
  <si>
    <t>C00024 * C00004 * C00080</t>
  </si>
  <si>
    <t>C01412 + C00010 + C00003</t>
  </si>
  <si>
    <t>C01412 * C00010 * C00003</t>
  </si>
  <si>
    <t>C00136 + C00004 + C00080</t>
  </si>
  <si>
    <t>C00136 * C00004 * C00080</t>
  </si>
  <si>
    <t>C00441 + C00009 + C00006</t>
  </si>
  <si>
    <t>C00441 * C00009 * C00006</t>
  </si>
  <si>
    <t>C03082 + C00005 + C00080</t>
  </si>
  <si>
    <t>C03082 * C00005 * C00080</t>
  </si>
  <si>
    <t>C01250 + C00009 + C00006</t>
  </si>
  <si>
    <t>C01250 * C00009 * C00006</t>
  </si>
  <si>
    <t>C04133 + C00005 + C00080</t>
  </si>
  <si>
    <t>C04133 * C00005 * C00080</t>
  </si>
  <si>
    <t>C00237 + C00001 + C00139</t>
  </si>
  <si>
    <t>C00237 * C00001 * C00139</t>
  </si>
  <si>
    <t>C00011 + C00138 + C00080</t>
  </si>
  <si>
    <t>C00011 * C00138 * C00080</t>
  </si>
  <si>
    <t>C06020 + C00010 + C00011 + C00138</t>
  </si>
  <si>
    <t>C06020 * C00010 * C00011 * C00138</t>
  </si>
  <si>
    <t>C00024 + C06021 + C00001 + C00139</t>
  </si>
  <si>
    <t>C00024 * C06021 * C00001 * C00139</t>
  </si>
  <si>
    <t>C00331 + C00010 + C00139</t>
  </si>
  <si>
    <t>C00331 * C00010 * C00139</t>
  </si>
  <si>
    <t>C15489 + C00011 + C00138</t>
  </si>
  <si>
    <t>C15489 * C00011 * C00138</t>
  </si>
  <si>
    <t>C00227 + C00014 + C00343 + C00001</t>
  </si>
  <si>
    <t>C00227 * C00014 * C00343 * C00001</t>
  </si>
  <si>
    <t>C00037 + C00009 + C00342</t>
  </si>
  <si>
    <t>C00037 * C00009 * C00342</t>
  </si>
  <si>
    <t>C00227 + C00218 + C00343 + C00001</t>
  </si>
  <si>
    <t>C00227 * C00218 * C00343 * C00001</t>
  </si>
  <si>
    <t>C00213 + C00009 + C00342</t>
  </si>
  <si>
    <t>C00213 * C00009 * C00342</t>
  </si>
  <si>
    <t>C00337 + C00003</t>
  </si>
  <si>
    <t>C00337 * C00003</t>
  </si>
  <si>
    <t>C00295 + C00080 + C00004</t>
  </si>
  <si>
    <t>C00295 * C00080 * C00004</t>
  </si>
  <si>
    <t>C06319 + C00006</t>
  </si>
  <si>
    <t>C06319 * C00006</t>
  </si>
  <si>
    <t>C06320 + C00005 + C00080</t>
  </si>
  <si>
    <t>C06320 * C00005 * C00080</t>
  </si>
  <si>
    <t>C02463 + C00003</t>
  </si>
  <si>
    <t>C02463 * C00003</t>
  </si>
  <si>
    <t>C05778 + C00004 + C00080</t>
  </si>
  <si>
    <t>C05778 * C00004 * C00080</t>
  </si>
  <si>
    <t>C00100 + C00003</t>
  </si>
  <si>
    <t>C00100 * C00003</t>
  </si>
  <si>
    <t>C00894 + C00004 + C00080</t>
  </si>
  <si>
    <t>C00894 * C00004 * C00080</t>
  </si>
  <si>
    <t>C01050 + C00003</t>
  </si>
  <si>
    <t>C01050 * C00003</t>
  </si>
  <si>
    <t>C04631 + C00004 + C00080</t>
  </si>
  <si>
    <t>C04631 * C00004 * C00080</t>
  </si>
  <si>
    <t>C01050 + C00006</t>
  </si>
  <si>
    <t>C01050 * C00006</t>
  </si>
  <si>
    <t>C04631 + C00005 + C00080</t>
  </si>
  <si>
    <t>C04631 * C00005 * C00080</t>
  </si>
  <si>
    <t>C00025 + C00006</t>
  </si>
  <si>
    <t>C00025 * C00006</t>
  </si>
  <si>
    <t>C00064 + C00026 + C00005 + C00080</t>
  </si>
  <si>
    <t>C00064 * C00026 * C00005 * C00080</t>
  </si>
  <si>
    <t>C00025 + C00006 + C00001</t>
  </si>
  <si>
    <t>C00025 * C00006 * C00001</t>
  </si>
  <si>
    <t>C00026 + C00014 + C00005 + C00080</t>
  </si>
  <si>
    <t>C00026 * C00014 * C00005 * C00080</t>
  </si>
  <si>
    <t>C00064 + C00001</t>
  </si>
  <si>
    <t>C00064 * C00001</t>
  </si>
  <si>
    <t>C00025 + C00014</t>
  </si>
  <si>
    <t>C00025 * C00014</t>
  </si>
  <si>
    <t>C00025 + C00003 + C00001</t>
  </si>
  <si>
    <t>C00025 * C00003 * C00001</t>
  </si>
  <si>
    <t>C00026 + C00014 + C00004 + C00080</t>
  </si>
  <si>
    <t>C00026 * C00014 * C00004 * C00080</t>
  </si>
  <si>
    <t>C05167 + C00001 + C00003</t>
  </si>
  <si>
    <t>C05167 * C00001 * C00003</t>
  </si>
  <si>
    <t>C00161 + C00014 + C00004 + C00080</t>
  </si>
  <si>
    <t>C00161 * C00014 * C00004 * C00080</t>
  </si>
  <si>
    <t>C05167 + C00001 + C00006</t>
  </si>
  <si>
    <t>C05167 * C00001 * C00006</t>
  </si>
  <si>
    <t>C00161 + C00014 + C00005 + C00080</t>
  </si>
  <si>
    <t>C00161 * C00014 * C00005 * C00080</t>
  </si>
  <si>
    <t>C00049 + C00001 + C00007</t>
  </si>
  <si>
    <t>C00049 * C00001 * C00007</t>
  </si>
  <si>
    <t>C00036 + C00014 + C00027</t>
  </si>
  <si>
    <t>C00036 * C00014 * C00027</t>
  </si>
  <si>
    <t>C00049 + C00007</t>
  </si>
  <si>
    <t>C00049 * C00007</t>
  </si>
  <si>
    <t>C05840 + C00027</t>
  </si>
  <si>
    <t>C05840 * C00027</t>
  </si>
  <si>
    <t>C00037 + C02051</t>
  </si>
  <si>
    <t>C00037 * C02051</t>
  </si>
  <si>
    <t>C01242 + C00011</t>
  </si>
  <si>
    <t>C01242 * C00011</t>
  </si>
  <si>
    <t>C00148 + C00003</t>
  </si>
  <si>
    <t>C00148 * C00003</t>
  </si>
  <si>
    <t>C03912 + C00004 + C00080</t>
  </si>
  <si>
    <t>C03912 * C00004 * C00080</t>
  </si>
  <si>
    <t>C00148 + C00006</t>
  </si>
  <si>
    <t>C00148 * C00006</t>
  </si>
  <si>
    <t>C03912 + C00005 + C00080</t>
  </si>
  <si>
    <t>C03912 * C00005 * C00080</t>
  </si>
  <si>
    <t>C01157 + C00003</t>
  </si>
  <si>
    <t>C01157 * C00003</t>
  </si>
  <si>
    <t>C04281 + C00004 + C00080</t>
  </si>
  <si>
    <t>C04281 * C00004 * C00080</t>
  </si>
  <si>
    <t>C01157 + C00006</t>
  </si>
  <si>
    <t>C01157 * C00006</t>
  </si>
  <si>
    <t>C04281 + C00005 + C00080</t>
  </si>
  <si>
    <t>C04281 * C00005 * C00080</t>
  </si>
  <si>
    <t>C00440 + C00003</t>
  </si>
  <si>
    <t>C00440 * C00003</t>
  </si>
  <si>
    <t>C00143 + C00004 + C00080</t>
  </si>
  <si>
    <t>C00143 * C00004 * C00080</t>
  </si>
  <si>
    <t>C00440 + C00006</t>
  </si>
  <si>
    <t>C00440 * C00006</t>
  </si>
  <si>
    <t>C00143 + C00005 + C00080</t>
  </si>
  <si>
    <t>C00143 * C00005 * C00080</t>
  </si>
  <si>
    <t>C00101 + C00003</t>
  </si>
  <si>
    <t>C00101 * C00003</t>
  </si>
  <si>
    <t>C00415 + C00004 + C00080</t>
  </si>
  <si>
    <t>C00415 * C00004 * C00080</t>
  </si>
  <si>
    <t>C00504 + C00004 + C00080</t>
  </si>
  <si>
    <t>C00504 * C00004 * C00080</t>
  </si>
  <si>
    <t>C00101 + C00006</t>
  </si>
  <si>
    <t>C00101 * C00006</t>
  </si>
  <si>
    <t>C00415 + C00005 + C00080</t>
  </si>
  <si>
    <t>C00415 * C00005 * C00080</t>
  </si>
  <si>
    <t>C00504 + C00005 + C00080</t>
  </si>
  <si>
    <t>C00504 * C00005 * C00080</t>
  </si>
  <si>
    <t>C00272 + C00006</t>
  </si>
  <si>
    <t>C00272 * C00006</t>
  </si>
  <si>
    <t>C02953 + C00005 + C00080</t>
  </si>
  <si>
    <t>C02953 * C00005 * C00080</t>
  </si>
  <si>
    <t>C00415 + C00003</t>
  </si>
  <si>
    <t>C00415 * C00003</t>
  </si>
  <si>
    <t>C00415 + C00006</t>
  </si>
  <si>
    <t>C00415 * C00006</t>
  </si>
  <si>
    <t>C00143 + C00006</t>
  </si>
  <si>
    <t>C00143 * C00006</t>
  </si>
  <si>
    <t>C00445 + C00005</t>
  </si>
  <si>
    <t>C00445 * C00005</t>
  </si>
  <si>
    <t>C00014 + C00003 + C00001</t>
  </si>
  <si>
    <t>C00014 * C00003 * C00001</t>
  </si>
  <si>
    <t>C00192 + C00004 + C00080</t>
  </si>
  <si>
    <t>C00192 * C00004 * C00080</t>
  </si>
  <si>
    <t>C00028 + C00014 + C00001</t>
  </si>
  <si>
    <t>C00028 * C00014 * C00001</t>
  </si>
  <si>
    <t>C00192 + C00030</t>
  </si>
  <si>
    <t>C00192 * C00030</t>
  </si>
  <si>
    <t>C00010 + C00006</t>
  </si>
  <si>
    <t>C00010 * C00006</t>
  </si>
  <si>
    <t>C02015 + C00005 + C00080</t>
  </si>
  <si>
    <t>C02015 * C00005 * C00080</t>
  </si>
  <si>
    <t>C00579 + C00003</t>
  </si>
  <si>
    <t>C00579 * C00003</t>
  </si>
  <si>
    <t>C00248 + C00004 + C00080</t>
  </si>
  <si>
    <t>C00248 * C00004 * C00080</t>
  </si>
  <si>
    <t>C02972 + C00003</t>
  </si>
  <si>
    <t>C02972 * C00003</t>
  </si>
  <si>
    <t>C02051 + C00004 + C00080</t>
  </si>
  <si>
    <t>C02051 * C00004 * C00080</t>
  </si>
  <si>
    <t>C15973 + C00003</t>
  </si>
  <si>
    <t>C15973 * C00003</t>
  </si>
  <si>
    <t>C15972 + C00004 + C00080</t>
  </si>
  <si>
    <t>C15972 * C00004 * C00080</t>
  </si>
  <si>
    <t>C16832 + C00003</t>
  </si>
  <si>
    <t>C16832 * C00003</t>
  </si>
  <si>
    <t>C16237 + C00004 + C00080</t>
  </si>
  <si>
    <t>C16237 * C00004 * C00080</t>
  </si>
  <si>
    <t>C00005 + C00080 + C18902</t>
  </si>
  <si>
    <t>C00005 * C00080 * C18902</t>
  </si>
  <si>
    <t>C00006 + C00001 + C05703</t>
  </si>
  <si>
    <t>C00006 * C00001 * C05703</t>
  </si>
  <si>
    <t>C00097 + C00051 + C00006</t>
  </si>
  <si>
    <t>C00097 * C00051 * C00006</t>
  </si>
  <si>
    <t>C05526 + C00005</t>
  </si>
  <si>
    <t>C05526 * C00005</t>
  </si>
  <si>
    <t>C00342 + C00006</t>
  </si>
  <si>
    <t>C00342 * C00006</t>
  </si>
  <si>
    <t>C00343 + C00005 + C00080</t>
  </si>
  <si>
    <t>C00343 * C00005 * C00080</t>
  </si>
  <si>
    <t>C01528 + C00006 + C00001</t>
  </si>
  <si>
    <t>C01528 * C00006 * C00001</t>
  </si>
  <si>
    <t>C05684 + C00005 + C00080</t>
  </si>
  <si>
    <t>C05684 * C00005 * C00080</t>
  </si>
  <si>
    <t>C00073 + C00343 + C00001</t>
  </si>
  <si>
    <t>C00073 * C00343 * C00001</t>
  </si>
  <si>
    <t>C15999 + C00342</t>
  </si>
  <si>
    <t>C15999 * C00342</t>
  </si>
  <si>
    <t>C03023 + C00343 + C00001</t>
  </si>
  <si>
    <t>C03023 * C00343 * C00001</t>
  </si>
  <si>
    <t>C03895 + C00342</t>
  </si>
  <si>
    <t>C03895 * C00342</t>
  </si>
  <si>
    <t>C00019 + C05196 + C05197</t>
  </si>
  <si>
    <t>C00019 * C05196 * C05197</t>
  </si>
  <si>
    <t>C05198 + C00073 + C05199 + C05312</t>
  </si>
  <si>
    <t>C05198 * C00073 * C05199 * C05312</t>
  </si>
  <si>
    <t>C00019 + C01051</t>
  </si>
  <si>
    <t>C00019 * C01051</t>
  </si>
  <si>
    <t>C00021 + C02463</t>
  </si>
  <si>
    <t>C00021 * C02463</t>
  </si>
  <si>
    <t>C00021 + C15527</t>
  </si>
  <si>
    <t>C00021 * C15527</t>
  </si>
  <si>
    <t>C00019 + C02469</t>
  </si>
  <si>
    <t>C00019 * C02469</t>
  </si>
  <si>
    <t>C00021 + C05778</t>
  </si>
  <si>
    <t>C00021 * C05778</t>
  </si>
  <si>
    <t>C00019 + C15527</t>
  </si>
  <si>
    <t>C00019 * C15527</t>
  </si>
  <si>
    <t>C00019 + C06406</t>
  </si>
  <si>
    <t>C00019 * C06406</t>
  </si>
  <si>
    <t>C00021 + C06407</t>
  </si>
  <si>
    <t>C00021 * C06407</t>
  </si>
  <si>
    <t>C11539 + C00019</t>
  </si>
  <si>
    <t>C11539 * C00019</t>
  </si>
  <si>
    <t>C11540 + C00021</t>
  </si>
  <si>
    <t>C11540 * C00021</t>
  </si>
  <si>
    <t>C11538 + C00019</t>
  </si>
  <si>
    <t>C11538 * C00019</t>
  </si>
  <si>
    <t>C17401 + C00021</t>
  </si>
  <si>
    <t>C17401 * C00021</t>
  </si>
  <si>
    <t>C00019 + C00240</t>
  </si>
  <si>
    <t>C00019 * C00240</t>
  </si>
  <si>
    <t>C00021 + C04153</t>
  </si>
  <si>
    <t>C00021 * C04153</t>
  </si>
  <si>
    <t>C00019 + C20648</t>
  </si>
  <si>
    <t>C00019 * C20648</t>
  </si>
  <si>
    <t>C00021 + C20796</t>
  </si>
  <si>
    <t>C00021 * C20796</t>
  </si>
  <si>
    <t>C16243 + C00019</t>
  </si>
  <si>
    <t>C16243 * C00019</t>
  </si>
  <si>
    <t>C11542 + C00021</t>
  </si>
  <si>
    <t>C11542 * C00021</t>
  </si>
  <si>
    <t>C00019 + C01977</t>
  </si>
  <si>
    <t>C00019 * C01977</t>
  </si>
  <si>
    <t>C00021 + C04157</t>
  </si>
  <si>
    <t>C00021 * C04157</t>
  </si>
  <si>
    <t>C11540 + C00019</t>
  </si>
  <si>
    <t>C11540 * C00019</t>
  </si>
  <si>
    <t>C16242 + C00021</t>
  </si>
  <si>
    <t>C16242 * C00021</t>
  </si>
  <si>
    <t>C16244 + C00019</t>
  </si>
  <si>
    <t>C16244 * C00019</t>
  </si>
  <si>
    <t>C11545 + C00021</t>
  </si>
  <si>
    <t>C11545 * C00021</t>
  </si>
  <si>
    <t>C02583 + C00019</t>
  </si>
  <si>
    <t>C02583 * C00019</t>
  </si>
  <si>
    <t>C20858 + C00021</t>
  </si>
  <si>
    <t>C20858 * C00021</t>
  </si>
  <si>
    <t>C00021 + C04160</t>
  </si>
  <si>
    <t>C00021 * C04160</t>
  </si>
  <si>
    <t>C00365 + C00143</t>
  </si>
  <si>
    <t>C00365 * C00143</t>
  </si>
  <si>
    <t>C00415 + C00364</t>
  </si>
  <si>
    <t>C00415 * C00364</t>
  </si>
  <si>
    <t>C00019 + C11478</t>
  </si>
  <si>
    <t>C00019 * C11478</t>
  </si>
  <si>
    <t>C00021 + C04728</t>
  </si>
  <si>
    <t>C00021 * C04728</t>
  </si>
  <si>
    <t>C04250 + C02743</t>
  </si>
  <si>
    <t>C04250 * C02743</t>
  </si>
  <si>
    <t>C03800 + C11475</t>
  </si>
  <si>
    <t>C03800 * C11475</t>
  </si>
  <si>
    <t>C00065 + C01217</t>
  </si>
  <si>
    <t>C00065 * C01217</t>
  </si>
  <si>
    <t>C04377 + C00037 + C00001</t>
  </si>
  <si>
    <t>C04377 * C00037 * C00001</t>
  </si>
  <si>
    <t>C00143 + C00037 + C00001</t>
  </si>
  <si>
    <t>C00143 * C00037 * C00001</t>
  </si>
  <si>
    <t>C00101 + C00065</t>
  </si>
  <si>
    <t>C00101 * C00065</t>
  </si>
  <si>
    <t>C00143 + C00141 + C00001</t>
  </si>
  <si>
    <t>C00143 * C00141 * C00001</t>
  </si>
  <si>
    <t>C00101 + C00966</t>
  </si>
  <si>
    <t>C00101 * C00966</t>
  </si>
  <si>
    <t>C00141 + C00067</t>
  </si>
  <si>
    <t>C00141 * C00067</t>
  </si>
  <si>
    <t>C00234 + C03838</t>
  </si>
  <si>
    <t>C00234 * C03838</t>
  </si>
  <si>
    <t>C00101 + C04376</t>
  </si>
  <si>
    <t>C00101 * C04376</t>
  </si>
  <si>
    <t>C03838 + C00445 + C00001</t>
  </si>
  <si>
    <t>C03838 * C00445 * C00001</t>
  </si>
  <si>
    <t>C04376 + C00101</t>
  </si>
  <si>
    <t>C04376 * C00101</t>
  </si>
  <si>
    <t>C00234 + C04677</t>
  </si>
  <si>
    <t>C00234 * C04677</t>
  </si>
  <si>
    <t>C00101 + C04734</t>
  </si>
  <si>
    <t>C00101 * C04734</t>
  </si>
  <si>
    <t>C02430 + C00234</t>
  </si>
  <si>
    <t>C02430 * C00234</t>
  </si>
  <si>
    <t>C00101 + C03294</t>
  </si>
  <si>
    <t>C00101 * C03294</t>
  </si>
  <si>
    <t>C00169 + C00049</t>
  </si>
  <si>
    <t>C00169 * C00049</t>
  </si>
  <si>
    <t>C00009 + C00438</t>
  </si>
  <si>
    <t>C00009 * C00438</t>
  </si>
  <si>
    <t>C00169 + C00077</t>
  </si>
  <si>
    <t>C00169 * C00077</t>
  </si>
  <si>
    <t>C00009 + C00327</t>
  </si>
  <si>
    <t>C00009 * C00327</t>
  </si>
  <si>
    <t>C00085 + C00118</t>
  </si>
  <si>
    <t>C00085 * C00118</t>
  </si>
  <si>
    <t>C00279 + C00231</t>
  </si>
  <si>
    <t>C00279 * C00231</t>
  </si>
  <si>
    <t>C00231 + C00068</t>
  </si>
  <si>
    <t>C00231 * C00068</t>
  </si>
  <si>
    <t>C13378 + C00118</t>
  </si>
  <si>
    <t>C13378 * C00118</t>
  </si>
  <si>
    <t>C05345 + C00118</t>
  </si>
  <si>
    <t>C05345 * C00118</t>
  </si>
  <si>
    <t>C05382 + C00068</t>
  </si>
  <si>
    <t>C05382 * C00068</t>
  </si>
  <si>
    <t>C13378 + C00117</t>
  </si>
  <si>
    <t>C13378 * C00117</t>
  </si>
  <si>
    <t>C05382 + C00118</t>
  </si>
  <si>
    <t>C05382 * C00118</t>
  </si>
  <si>
    <t>C00117 + C00231</t>
  </si>
  <si>
    <t>C00117 * C00231</t>
  </si>
  <si>
    <t>C12214 + C00117</t>
  </si>
  <si>
    <t>C12214 * C00117</t>
  </si>
  <si>
    <t>C12215 + C05382</t>
  </si>
  <si>
    <t>C12215 * C05382</t>
  </si>
  <si>
    <t>C00279 + C00085</t>
  </si>
  <si>
    <t>C00279 * C00085</t>
  </si>
  <si>
    <t>C00279 + C05345</t>
  </si>
  <si>
    <t>C00279 * C05345</t>
  </si>
  <si>
    <t>C00022 + C00068</t>
  </si>
  <si>
    <t>C00022 * C00068</t>
  </si>
  <si>
    <t>C05125 + C00011</t>
  </si>
  <si>
    <t>C05125 * C00011</t>
  </si>
  <si>
    <t>C00022 + C00109</t>
  </si>
  <si>
    <t>C00022 * C00109</t>
  </si>
  <si>
    <t>C06006 + C00011</t>
  </si>
  <si>
    <t>C06006 * C00011</t>
  </si>
  <si>
    <t>C00109 + C05125</t>
  </si>
  <si>
    <t>C00109 * C05125</t>
  </si>
  <si>
    <t>C06006 + C00068</t>
  </si>
  <si>
    <t>C06006 * C00068</t>
  </si>
  <si>
    <t>C00900 + C00011</t>
  </si>
  <si>
    <t>C00900 * C00011</t>
  </si>
  <si>
    <t>C00900 + C00068</t>
  </si>
  <si>
    <t>C00900 * C00068</t>
  </si>
  <si>
    <t>C05125 + C00022</t>
  </si>
  <si>
    <t>C05125 * C00022</t>
  </si>
  <si>
    <t>C06010 + C00011</t>
  </si>
  <si>
    <t>C06010 * C00011</t>
  </si>
  <si>
    <t>C06010 + C00068</t>
  </si>
  <si>
    <t>C06010 * C00068</t>
  </si>
  <si>
    <t>C00022 + C00118</t>
  </si>
  <si>
    <t>C00022 * C00118</t>
  </si>
  <si>
    <t>C11437 + C00011</t>
  </si>
  <si>
    <t>C11437 * C00011</t>
  </si>
  <si>
    <t>C00024 + C00025</t>
  </si>
  <si>
    <t>C00024 * C00025</t>
  </si>
  <si>
    <t>C00010 + C00624</t>
  </si>
  <si>
    <t>C00010 * C00624</t>
  </si>
  <si>
    <t>C00093 + C00040</t>
  </si>
  <si>
    <t>C00093 * C00040</t>
  </si>
  <si>
    <t>C00681 + C00010</t>
  </si>
  <si>
    <t>C00681 * C00010</t>
  </si>
  <si>
    <t>C00173 + C00093</t>
  </si>
  <si>
    <t>C00173 * C00093</t>
  </si>
  <si>
    <t>C00681 + C00229</t>
  </si>
  <si>
    <t>C00681 * C00229</t>
  </si>
  <si>
    <t>C00605 + C00093</t>
  </si>
  <si>
    <t>C00605 * C00093</t>
  </si>
  <si>
    <t>C00010 + C00681</t>
  </si>
  <si>
    <t>C00010 * C00681</t>
  </si>
  <si>
    <t>C00024 + C06156</t>
  </si>
  <si>
    <t>C00024 * C06156</t>
  </si>
  <si>
    <t>C00010 + C04501</t>
  </si>
  <si>
    <t>C00010 * C04501</t>
  </si>
  <si>
    <t>C00024 + C06021 + C00080</t>
  </si>
  <si>
    <t>C00024 * C06021 * C00080</t>
  </si>
  <si>
    <t>C00237 + C06020 + C00010</t>
  </si>
  <si>
    <t>C00237 * C06020 * C00010</t>
  </si>
  <si>
    <t>C00101 + C00024</t>
  </si>
  <si>
    <t>C00101 * C00024</t>
  </si>
  <si>
    <t>C00440 + C00010 + C00237</t>
  </si>
  <si>
    <t>C00440 * C00010 * C00237</t>
  </si>
  <si>
    <t>C00173 + C01209</t>
  </si>
  <si>
    <t>C00173 * C01209</t>
  </si>
  <si>
    <t>C00685 + C00011 + C00229</t>
  </si>
  <si>
    <t>C00685 * C00011 * C00229</t>
  </si>
  <si>
    <t>C03939 + C01209</t>
  </si>
  <si>
    <t>C03939 * C01209</t>
  </si>
  <si>
    <t>C05744 + C00011 + C00229</t>
  </si>
  <si>
    <t>C05744 * C00011 * C00229</t>
  </si>
  <si>
    <t>C05223 + C01209</t>
  </si>
  <si>
    <t>C05223 * C01209</t>
  </si>
  <si>
    <t>C05759 + C00011 + C00229</t>
  </si>
  <si>
    <t>C05759 * C00011 * C00229</t>
  </si>
  <si>
    <t>C05745 + C01209</t>
  </si>
  <si>
    <t>C05745 * C01209</t>
  </si>
  <si>
    <t>C05746 + C00011 + C00229</t>
  </si>
  <si>
    <t>C05746 * C00011 * C00229</t>
  </si>
  <si>
    <t>C05749 + C01209</t>
  </si>
  <si>
    <t>C05749 * C01209</t>
  </si>
  <si>
    <t>C05750 + C00011 + C00229</t>
  </si>
  <si>
    <t>C05750 * C00011 * C00229</t>
  </si>
  <si>
    <t>C05752 + C01209</t>
  </si>
  <si>
    <t>C05752 * C01209</t>
  </si>
  <si>
    <t>C05753 + C00011 + C00229</t>
  </si>
  <si>
    <t>C05753 * C00011 * C00229</t>
  </si>
  <si>
    <t>C05755 + C01209</t>
  </si>
  <si>
    <t>C05755 * C01209</t>
  </si>
  <si>
    <t>C05756 + C00011 + C00229</t>
  </si>
  <si>
    <t>C05756 * C00011 * C00229</t>
  </si>
  <si>
    <t>C05761 + C01209</t>
  </si>
  <si>
    <t>C05761 * C01209</t>
  </si>
  <si>
    <t>C05762 + C00011 + C00229</t>
  </si>
  <si>
    <t>C05762 * C00011 * C00229</t>
  </si>
  <si>
    <t>C05764 + C01209</t>
  </si>
  <si>
    <t>C05764 * C01209</t>
  </si>
  <si>
    <t>C16219 + C00229 + C00011</t>
  </si>
  <si>
    <t>C16219 * C00229 * C00011</t>
  </si>
  <si>
    <t>C19673 + C01209</t>
  </si>
  <si>
    <t>C19673 * C01209</t>
  </si>
  <si>
    <t>C20372 + C00011 + C00229</t>
  </si>
  <si>
    <t>C20372 * C00011 * C00229</t>
  </si>
  <si>
    <t>C20375 + C01209</t>
  </si>
  <si>
    <t>C20375 * C01209</t>
  </si>
  <si>
    <t>C20376 + C00011 + C00229</t>
  </si>
  <si>
    <t>C20376 * C00011 * C00229</t>
  </si>
  <si>
    <t>C00024 + C01209</t>
  </si>
  <si>
    <t>C00024 * C01209</t>
  </si>
  <si>
    <t>C05744 + C00010 + C00011</t>
  </si>
  <si>
    <t>C05744 * C00010 * C00011</t>
  </si>
  <si>
    <t>C00136 + C00009</t>
  </si>
  <si>
    <t>C00136 * C00009</t>
  </si>
  <si>
    <t>C00010 + C02527</t>
  </si>
  <si>
    <t>C00010 * C02527</t>
  </si>
  <si>
    <t>C00100 + C00009</t>
  </si>
  <si>
    <t>C00100 * C00009</t>
  </si>
  <si>
    <t>C02876 + C00010</t>
  </si>
  <si>
    <t>C02876 * C00010</t>
  </si>
  <si>
    <t>C20641 + C17324</t>
  </si>
  <si>
    <t>C20641 * C17324</t>
  </si>
  <si>
    <t>C00020 + C20751</t>
  </si>
  <si>
    <t>C00020 * C20751</t>
  </si>
  <si>
    <t>C00133 + C00024</t>
  </si>
  <si>
    <t>C00133 * C00024</t>
  </si>
  <si>
    <t>C03341 + C00010</t>
  </si>
  <si>
    <t>C03341 * C00010</t>
  </si>
  <si>
    <t>C00024 + C03803</t>
  </si>
  <si>
    <t>C00024 * C03803</t>
  </si>
  <si>
    <t>C00010 + C04341</t>
  </si>
  <si>
    <t>C00010 * C04341</t>
  </si>
  <si>
    <t>C00173 + C00009</t>
  </si>
  <si>
    <t>C00173 * C00009</t>
  </si>
  <si>
    <t>C02133 + C00229</t>
  </si>
  <si>
    <t>C02133 * C00229</t>
  </si>
  <si>
    <t>C00003 + C01997 + C00001</t>
  </si>
  <si>
    <t>C00003 * C01997 * C00001</t>
  </si>
  <si>
    <t>C00153 + C02415 + C20658 + C00080</t>
  </si>
  <si>
    <t>C00153 * C02415 * C20658 * C00080</t>
  </si>
  <si>
    <t>C00003 + C20743 + C00001</t>
  </si>
  <si>
    <t>C00003 * C20743 * C00001</t>
  </si>
  <si>
    <t>C00153 + C02188 + C20658 + C00080</t>
  </si>
  <si>
    <t>C00153 * C02188 * C20658 * C00080</t>
  </si>
  <si>
    <t>C00024 + C00263</t>
  </si>
  <si>
    <t>C00024 * C00263</t>
  </si>
  <si>
    <t>C00010 + C01077</t>
  </si>
  <si>
    <t>C00010 * C01077</t>
  </si>
  <si>
    <t>C00437 + C00025</t>
  </si>
  <si>
    <t>C00437 * C00025</t>
  </si>
  <si>
    <t>C00077 + C00624</t>
  </si>
  <si>
    <t>C00077 * C00624</t>
  </si>
  <si>
    <t>C00083 + C00229</t>
  </si>
  <si>
    <t>C00083 * C00229</t>
  </si>
  <si>
    <t>C00010 + C01209</t>
  </si>
  <si>
    <t>C00010 * C01209</t>
  </si>
  <si>
    <t>C00024 + C00058</t>
  </si>
  <si>
    <t>C00024 * C00058</t>
  </si>
  <si>
    <t>C00010 + C00022</t>
  </si>
  <si>
    <t>C00010 * C00022</t>
  </si>
  <si>
    <t>C00109 + C00010</t>
  </si>
  <si>
    <t>C00109 * C00010</t>
  </si>
  <si>
    <t>C00100 + C00058</t>
  </si>
  <si>
    <t>C00100 * C00058</t>
  </si>
  <si>
    <t>C00024 + C00009</t>
  </si>
  <si>
    <t>C00024 * C00009</t>
  </si>
  <si>
    <t>C00010 + C00227</t>
  </si>
  <si>
    <t>C00010 * C00227</t>
  </si>
  <si>
    <t>C03972 + C00024 + C00001</t>
  </si>
  <si>
    <t>C03972 * C00024 * C00001</t>
  </si>
  <si>
    <t>C05539 + C00010</t>
  </si>
  <si>
    <t>C05539 * C00010</t>
  </si>
  <si>
    <t>C00010 + C00332</t>
  </si>
  <si>
    <t>C00010 * C00332</t>
  </si>
  <si>
    <t>C00024 + C00136</t>
  </si>
  <si>
    <t>C00024 * C00136</t>
  </si>
  <si>
    <t>C00010 + C05269</t>
  </si>
  <si>
    <t>C00010 * C05269</t>
  </si>
  <si>
    <t>C00100 + C00024</t>
  </si>
  <si>
    <t>C00100 * C00024</t>
  </si>
  <si>
    <t>C00010 + C03344</t>
  </si>
  <si>
    <t>C00010 * C03344</t>
  </si>
  <si>
    <t>C00051 + C00151</t>
  </si>
  <si>
    <t>C00051 * C00151</t>
  </si>
  <si>
    <t>C01419 + C03740</t>
  </si>
  <si>
    <t>C01419 * C03740</t>
  </si>
  <si>
    <t>C02166 + C00045</t>
  </si>
  <si>
    <t>C02166 * C00045</t>
  </si>
  <si>
    <t>C05951 + C03363</t>
  </si>
  <si>
    <t>C05951 * C03363</t>
  </si>
  <si>
    <t>C02320 + C00001</t>
  </si>
  <si>
    <t>C02320 * C00001</t>
  </si>
  <si>
    <t>C05729 + C00025</t>
  </si>
  <si>
    <t>C05729 * C00025</t>
  </si>
  <si>
    <t>C02512 + C00025</t>
  </si>
  <si>
    <t>C02512 * C00025</t>
  </si>
  <si>
    <t>C05711 + C00001</t>
  </si>
  <si>
    <t>C05711 * C00001</t>
  </si>
  <si>
    <t>C03193 + C00045</t>
  </si>
  <si>
    <t>C03193 * C00045</t>
  </si>
  <si>
    <t>C00012 + C03363</t>
  </si>
  <si>
    <t>C00012 * C03363</t>
  </si>
  <si>
    <t>C03193 + C00245</t>
  </si>
  <si>
    <t>C03193 * C00245</t>
  </si>
  <si>
    <t>C00012 + C05844</t>
  </si>
  <si>
    <t>C00012 * C05844</t>
  </si>
  <si>
    <t>C03193 + C05689</t>
  </si>
  <si>
    <t>C03193 * C05689</t>
  </si>
  <si>
    <t>C00012 + C05695</t>
  </si>
  <si>
    <t>C00012 * C05695</t>
  </si>
  <si>
    <t>C05670 + C00025</t>
  </si>
  <si>
    <t>C05670 * C00025</t>
  </si>
  <si>
    <t>C06114 + C00001</t>
  </si>
  <si>
    <t>C06114 * C00001</t>
  </si>
  <si>
    <t>C02504 + C00010</t>
  </si>
  <si>
    <t>C02504 * C00010</t>
  </si>
  <si>
    <t>C00024 + C00141 + C00001</t>
  </si>
  <si>
    <t>C00024 * C00141 * C00001</t>
  </si>
  <si>
    <t>C00024 + C00001 + C00026</t>
  </si>
  <si>
    <t>C00024 * C00001 * C00026</t>
  </si>
  <si>
    <t>C01251 + C00010</t>
  </si>
  <si>
    <t>C01251 * C00010</t>
  </si>
  <si>
    <t>C00369 + C00009</t>
  </si>
  <si>
    <t>C00369 * C00009</t>
  </si>
  <si>
    <t>C00718 + C00103</t>
  </si>
  <si>
    <t>C00718 * C00103</t>
  </si>
  <si>
    <t>C00718 + C00009</t>
  </si>
  <si>
    <t>C00718 * C00009</t>
  </si>
  <si>
    <t>G10495 + C00009</t>
  </si>
  <si>
    <t>G10495 * C00009</t>
  </si>
  <si>
    <t>G10495 + C00103</t>
  </si>
  <si>
    <t>G10495 * C00103</t>
  </si>
  <si>
    <t>G10545 + C00009</t>
  </si>
  <si>
    <t>G10545 * C00009</t>
  </si>
  <si>
    <t>C00498 + C00718</t>
  </si>
  <si>
    <t>C00498 * C00718</t>
  </si>
  <si>
    <t>C00008 + C00718</t>
  </si>
  <si>
    <t>C00008 * C00718</t>
  </si>
  <si>
    <t>G10495 + G11109</t>
  </si>
  <si>
    <t>G10495 * G11109</t>
  </si>
  <si>
    <t>G10495 + G11113</t>
  </si>
  <si>
    <t>G10495 * G11113</t>
  </si>
  <si>
    <t>C04851 + C00043</t>
  </si>
  <si>
    <t>C04851 * C00043</t>
  </si>
  <si>
    <t>C05893 + C00015</t>
  </si>
  <si>
    <t>C05893 * C00015</t>
  </si>
  <si>
    <t>C05897 + C00043</t>
  </si>
  <si>
    <t>C05897 * C00043</t>
  </si>
  <si>
    <t>C05898 + C00015</t>
  </si>
  <si>
    <t>C05898 * C00015</t>
  </si>
  <si>
    <t>G10551 + G10610</t>
  </si>
  <si>
    <t>G10551 * G10610</t>
  </si>
  <si>
    <t>G10550 + G10619</t>
  </si>
  <si>
    <t>G10550 * G10619</t>
  </si>
  <si>
    <t>G10552 + G10610</t>
  </si>
  <si>
    <t>G10552 * G10610</t>
  </si>
  <si>
    <t>G10553 + G10619</t>
  </si>
  <si>
    <t>G10553 * G10619</t>
  </si>
  <si>
    <t>G10556 + G10610</t>
  </si>
  <si>
    <t>G10556 * G10610</t>
  </si>
  <si>
    <t>G10555 + G10619</t>
  </si>
  <si>
    <t>G10555 * G10619</t>
  </si>
  <si>
    <t>C00212 + C00009</t>
  </si>
  <si>
    <t>C00212 * C00009</t>
  </si>
  <si>
    <t>C00147 + C00620</t>
  </si>
  <si>
    <t>C00147 * C00620</t>
  </si>
  <si>
    <t>C00294 + C00009</t>
  </si>
  <si>
    <t>C00294 * C00009</t>
  </si>
  <si>
    <t>C00262 + C00620</t>
  </si>
  <si>
    <t>C00262 * C00620</t>
  </si>
  <si>
    <t>C00330 + C00009</t>
  </si>
  <si>
    <t>C00330 * C00009</t>
  </si>
  <si>
    <t>C00242 + C00672</t>
  </si>
  <si>
    <t>C00242 * C00672</t>
  </si>
  <si>
    <t>C00387 + C00009</t>
  </si>
  <si>
    <t>C00387 * C00009</t>
  </si>
  <si>
    <t>C00242 + C00620</t>
  </si>
  <si>
    <t>C00242 * C00620</t>
  </si>
  <si>
    <t>C00559 + C00009</t>
  </si>
  <si>
    <t>C00559 * C00009</t>
  </si>
  <si>
    <t>C00147 + C00672</t>
  </si>
  <si>
    <t>C00147 * C00672</t>
  </si>
  <si>
    <t>C01762 + C00009</t>
  </si>
  <si>
    <t>C01762 * C00009</t>
  </si>
  <si>
    <t>C00385 + C00620</t>
  </si>
  <si>
    <t>C00385 * C00620</t>
  </si>
  <si>
    <t>C03150 + C00009</t>
  </si>
  <si>
    <t>C03150 * C00009</t>
  </si>
  <si>
    <t>C00153 + C00620</t>
  </si>
  <si>
    <t>C00153 * C00620</t>
  </si>
  <si>
    <t>C05512 + C00009</t>
  </si>
  <si>
    <t>C05512 * C00009</t>
  </si>
  <si>
    <t>C00262 + C00672</t>
  </si>
  <si>
    <t>C00262 * C00672</t>
  </si>
  <si>
    <t>C05841 + C00009</t>
  </si>
  <si>
    <t>C05841 * C00009</t>
  </si>
  <si>
    <t>C00253 + C00620 + C00080</t>
  </si>
  <si>
    <t>C00253 * C00620 * C00080</t>
  </si>
  <si>
    <t>C15586 + C00009</t>
  </si>
  <si>
    <t>C15586 * C00009</t>
  </si>
  <si>
    <t>C15587 + C00620</t>
  </si>
  <si>
    <t>C15587 * C00620</t>
  </si>
  <si>
    <t>C20463 + C00009</t>
  </si>
  <si>
    <t>C20463 * C00009</t>
  </si>
  <si>
    <t>C15587 + C00672</t>
  </si>
  <si>
    <t>C15587 * C00672</t>
  </si>
  <si>
    <t>C01103 + C00013</t>
  </si>
  <si>
    <t>C01103 * C00013</t>
  </si>
  <si>
    <t>C00295 + C00119</t>
  </si>
  <si>
    <t>C00295 * C00119</t>
  </si>
  <si>
    <t>C07649 + C00119</t>
  </si>
  <si>
    <t>C07649 * C00119</t>
  </si>
  <si>
    <t>C16634 + C00013</t>
  </si>
  <si>
    <t>C16634 * C00013</t>
  </si>
  <si>
    <t>C03090 + C00013 + C00025</t>
  </si>
  <si>
    <t>C03090 * C00013 * C00025</t>
  </si>
  <si>
    <t>C00064 + C00119 + C00001</t>
  </si>
  <si>
    <t>C00064 * C00119 * C00001</t>
  </si>
  <si>
    <t>C02739 + C00013</t>
  </si>
  <si>
    <t>C02739 * C00013</t>
  </si>
  <si>
    <t>C00002 + C00119</t>
  </si>
  <si>
    <t>C00002 * C00119</t>
  </si>
  <si>
    <t>C01185 + C00013 + C00011</t>
  </si>
  <si>
    <t>C01185 * C00013 * C00011</t>
  </si>
  <si>
    <t>C03722 + C00119</t>
  </si>
  <si>
    <t>C03722 * C00119</t>
  </si>
  <si>
    <t>C00214 + C00009</t>
  </si>
  <si>
    <t>C00214 * C00009</t>
  </si>
  <si>
    <t>C00178 + C00672</t>
  </si>
  <si>
    <t>C00178 * C00672</t>
  </si>
  <si>
    <t>C00299 + C00009</t>
  </si>
  <si>
    <t>C00299 * C00009</t>
  </si>
  <si>
    <t>C00106 + C00620</t>
  </si>
  <si>
    <t>C00106 * C00620</t>
  </si>
  <si>
    <t>C00475 + C00009</t>
  </si>
  <si>
    <t>C00475 * C00009</t>
  </si>
  <si>
    <t>C00380 + C00620</t>
  </si>
  <si>
    <t>C00380 * C00620</t>
  </si>
  <si>
    <t>C00526 + C00009</t>
  </si>
  <si>
    <t>C00526 * C00009</t>
  </si>
  <si>
    <t>C00106 + C00672</t>
  </si>
  <si>
    <t>C00106 * C00672</t>
  </si>
  <si>
    <t>C03169 + C00009</t>
  </si>
  <si>
    <t>C03169 * C00009</t>
  </si>
  <si>
    <t>C00396 + C00620 + C00080</t>
  </si>
  <si>
    <t>C00396 * C00620 * C00080</t>
  </si>
  <si>
    <t>C01185 + C03114</t>
  </si>
  <si>
    <t>C01185 * C03114</t>
  </si>
  <si>
    <t>C00253 + C04778 + C00080</t>
  </si>
  <si>
    <t>C00253 * C04778 * C00080</t>
  </si>
  <si>
    <t>C00144 + C00013</t>
  </si>
  <si>
    <t>C00144 * C00013</t>
  </si>
  <si>
    <t>C00242 + C00119</t>
  </si>
  <si>
    <t>C00242 * C00119</t>
  </si>
  <si>
    <t>C00655 + C00013</t>
  </si>
  <si>
    <t>C00655 * C00013</t>
  </si>
  <si>
    <t>C00385 + C00119</t>
  </si>
  <si>
    <t>C00385 * C00119</t>
  </si>
  <si>
    <t>C01977 + C16675</t>
  </si>
  <si>
    <t>C01977 * C16675</t>
  </si>
  <si>
    <t>C20446 + C00242</t>
  </si>
  <si>
    <t>C20446 * C00242</t>
  </si>
  <si>
    <t>C02970 + C00119</t>
  </si>
  <si>
    <t>C02970 * C00119</t>
  </si>
  <si>
    <t>C20352 + C00013</t>
  </si>
  <si>
    <t>C20352 * C00013</t>
  </si>
  <si>
    <t>C00020 + C00013</t>
  </si>
  <si>
    <t>C00020 * C00013</t>
  </si>
  <si>
    <t>C00147 + C00119</t>
  </si>
  <si>
    <t>C00147 * C00119</t>
  </si>
  <si>
    <t>C04677 + C00013</t>
  </si>
  <si>
    <t>C04677 * C00013</t>
  </si>
  <si>
    <t>C04051 + C00119</t>
  </si>
  <si>
    <t>C04051 * C00119</t>
  </si>
  <si>
    <t>C00130 + C00013</t>
  </si>
  <si>
    <t>C00130 * C00013</t>
  </si>
  <si>
    <t>C00262 + C00119</t>
  </si>
  <si>
    <t>C00262 * C00119</t>
  </si>
  <si>
    <t>C02380 + C00119</t>
  </si>
  <si>
    <t>C02380 * C00119</t>
  </si>
  <si>
    <t>C04646 + C00013</t>
  </si>
  <si>
    <t>C04646 * C00013</t>
  </si>
  <si>
    <t>C07648 + C00119</t>
  </si>
  <si>
    <t>C07648 * C00119</t>
  </si>
  <si>
    <t>C16619 + C00013</t>
  </si>
  <si>
    <t>C16619 * C00013</t>
  </si>
  <si>
    <t>C16614 + C00119</t>
  </si>
  <si>
    <t>C16614 * C00119</t>
  </si>
  <si>
    <t>C16615 + C00013</t>
  </si>
  <si>
    <t>C16615 * C00013</t>
  </si>
  <si>
    <t>C00105 + C00013</t>
  </si>
  <si>
    <t>C00105 * C00013</t>
  </si>
  <si>
    <t>C00106 + C00119</t>
  </si>
  <si>
    <t>C00106 * C00119</t>
  </si>
  <si>
    <t>C00019 + C20446</t>
  </si>
  <si>
    <t>C00019 * C20446</t>
  </si>
  <si>
    <t>C00073 + C00147 + C19647</t>
  </si>
  <si>
    <t>C00073 * C00147 * C19647</t>
  </si>
  <si>
    <t>C01300 + C00568</t>
  </si>
  <si>
    <t>C01300 * C00568</t>
  </si>
  <si>
    <t>C00921 + C00001</t>
  </si>
  <si>
    <t>C00921 * C00001</t>
  </si>
  <si>
    <t>C04807 + C00568</t>
  </si>
  <si>
    <t>C04807 * C00568</t>
  </si>
  <si>
    <t>C00013 + C00921</t>
  </si>
  <si>
    <t>C00013 * C00921</t>
  </si>
  <si>
    <t>C01137 + C00134</t>
  </si>
  <si>
    <t>C01137 * C00134</t>
  </si>
  <si>
    <t>C00170 + C00315</t>
  </si>
  <si>
    <t>C00170 * C00315</t>
  </si>
  <si>
    <t>C01137 + C01672</t>
  </si>
  <si>
    <t>C01137 * C01672</t>
  </si>
  <si>
    <t>C00170 + C16565</t>
  </si>
  <si>
    <t>C00170 * C16565</t>
  </si>
  <si>
    <t>C00074 + C03175</t>
  </si>
  <si>
    <t>C00074 * C03175</t>
  </si>
  <si>
    <t>C00009 + C01269</t>
  </si>
  <si>
    <t>C00009 * C01269</t>
  </si>
  <si>
    <t>C04752 + C04327</t>
  </si>
  <si>
    <t>C04752 * C04327</t>
  </si>
  <si>
    <t>C00013 + C01081</t>
  </si>
  <si>
    <t>C00013 * C01081</t>
  </si>
  <si>
    <t>C04752 + C20246</t>
  </si>
  <si>
    <t>C04752 * C20246</t>
  </si>
  <si>
    <t>C00013 + C01081 + C00011</t>
  </si>
  <si>
    <t>C00013 * C01081 * C00011</t>
  </si>
  <si>
    <t>C04752 + C20247</t>
  </si>
  <si>
    <t>C04752 * C20247</t>
  </si>
  <si>
    <t>C01081 + C00013 + C00011</t>
  </si>
  <si>
    <t>C01081 * C00013 * C00011</t>
  </si>
  <si>
    <t>C00979 + C00283</t>
  </si>
  <si>
    <t>C00979 * C00283</t>
  </si>
  <si>
    <t>C00097 + C00033</t>
  </si>
  <si>
    <t>C00097 * C00033</t>
  </si>
  <si>
    <t>C00979 + C00320 + C00342 + C00080</t>
  </si>
  <si>
    <t>C00979 * C00320 * C00342 * C00080</t>
  </si>
  <si>
    <t>C00097 + C00094 + C00343 + C00033</t>
  </si>
  <si>
    <t>C00097 * C00094 * C00343 * C00033</t>
  </si>
  <si>
    <t>C00979 + C01528</t>
  </si>
  <si>
    <t>C00979 * C01528</t>
  </si>
  <si>
    <t>C05688 + C00033</t>
  </si>
  <si>
    <t>C05688 * C00033</t>
  </si>
  <si>
    <t>C01005 + C00283</t>
  </si>
  <si>
    <t>C01005 * C00283</t>
  </si>
  <si>
    <t>C00097 + C00009</t>
  </si>
  <si>
    <t>C00097 * C00009</t>
  </si>
  <si>
    <t>C00074 + C00279 + C00001</t>
  </si>
  <si>
    <t>C00074 * C00279 * C00001</t>
  </si>
  <si>
    <t>C04691 + C00009</t>
  </si>
  <si>
    <t>C04691 * C00009</t>
  </si>
  <si>
    <t>C00002 + C05335 + C00001</t>
  </si>
  <si>
    <t>C00002 * C05335 * C00001</t>
  </si>
  <si>
    <t>C00009 + C00013 + C05691</t>
  </si>
  <si>
    <t>C00009 * C00013 * C05691</t>
  </si>
  <si>
    <t>C00009 + C00013 + C00019</t>
  </si>
  <si>
    <t>C00009 * C00013 * C00019</t>
  </si>
  <si>
    <t>C00002 + C00073 + C00001</t>
  </si>
  <si>
    <t>C00002 * C00073 * C00001</t>
  </si>
  <si>
    <t>C00931 + C00001</t>
  </si>
  <si>
    <t>C00931 * C00001</t>
  </si>
  <si>
    <t>C01024 + C00014</t>
  </si>
  <si>
    <t>C01024 * C00014</t>
  </si>
  <si>
    <t>C00074 + C00043</t>
  </si>
  <si>
    <t>C00074 * C00043</t>
  </si>
  <si>
    <t>C04631 + C00009</t>
  </si>
  <si>
    <t>C04631 * C00009</t>
  </si>
  <si>
    <t>C03722 + C00001 + C00009</t>
  </si>
  <si>
    <t>C03722 * C00001 * C00009</t>
  </si>
  <si>
    <t>C05840 + C00111</t>
  </si>
  <si>
    <t>C05840 * C00111</t>
  </si>
  <si>
    <t>C00235 + C17324</t>
  </si>
  <si>
    <t>C00235 * C17324</t>
  </si>
  <si>
    <t>C00013 + C04432</t>
  </si>
  <si>
    <t>C00013 * C04432</t>
  </si>
  <si>
    <t>C04732 + C15556</t>
  </si>
  <si>
    <t>C04732 * C15556</t>
  </si>
  <si>
    <t>C04332 + C00001 + C00009</t>
  </si>
  <si>
    <t>C04332 * C00001 * C00009</t>
  </si>
  <si>
    <t>C00255 + C04732</t>
  </si>
  <si>
    <t>C00255 * C04732</t>
  </si>
  <si>
    <t>C00064 + C00085</t>
  </si>
  <si>
    <t>C00064 * C00085</t>
  </si>
  <si>
    <t>C00025 + C00352</t>
  </si>
  <si>
    <t>C00025 * C00352</t>
  </si>
  <si>
    <t>C03557 + C00022</t>
  </si>
  <si>
    <t>C03557 * C00022</t>
  </si>
  <si>
    <t>C03167 + C00041</t>
  </si>
  <si>
    <t>C03167 * C00041</t>
  </si>
  <si>
    <t>C00251 + C00014</t>
  </si>
  <si>
    <t>C00251 * C00014</t>
  </si>
  <si>
    <t>C11355 + C00001</t>
  </si>
  <si>
    <t>C11355 * C00001</t>
  </si>
  <si>
    <t>C00251 + C00064</t>
  </si>
  <si>
    <t>C00251 * C00064</t>
  </si>
  <si>
    <t>C11355 + C00025</t>
  </si>
  <si>
    <t>C11355 * C00025</t>
  </si>
  <si>
    <t>C00079 + C00026</t>
  </si>
  <si>
    <t>C00079 * C00026</t>
  </si>
  <si>
    <t>C00166 + C00025</t>
  </si>
  <si>
    <t>C00166 * C00025</t>
  </si>
  <si>
    <t>C00082 + C00026</t>
  </si>
  <si>
    <t>C00082 * C00026</t>
  </si>
  <si>
    <t>C01179 + C00025</t>
  </si>
  <si>
    <t>C01179 * C00025</t>
  </si>
  <si>
    <t>C01100 + C00026</t>
  </si>
  <si>
    <t>C01100 * C00026</t>
  </si>
  <si>
    <t>C01267 + C00025</t>
  </si>
  <si>
    <t>C01267 * C00025</t>
  </si>
  <si>
    <t>C00002 + C00641</t>
  </si>
  <si>
    <t>C00002 * C00641</t>
  </si>
  <si>
    <t>C00008 + C00416</t>
  </si>
  <si>
    <t>C00008 * C00416</t>
  </si>
  <si>
    <t>C00002 + C00085</t>
  </si>
  <si>
    <t>C00002 * C00085</t>
  </si>
  <si>
    <t>C00008 + C00354</t>
  </si>
  <si>
    <t>C00008 * C00354</t>
  </si>
  <si>
    <t>C00002 + C05345</t>
  </si>
  <si>
    <t>C00002 * C05345</t>
  </si>
  <si>
    <t>C00008 + C05378</t>
  </si>
  <si>
    <t>C00008 * C05378</t>
  </si>
  <si>
    <t>C00002 + C05382</t>
  </si>
  <si>
    <t>C00002 * C05382</t>
  </si>
  <si>
    <t>C00008 + C00447</t>
  </si>
  <si>
    <t>C00008 * C00447</t>
  </si>
  <si>
    <t>C00063 + C00085</t>
  </si>
  <si>
    <t>C00063 * C00085</t>
  </si>
  <si>
    <t>C00112 + C00354</t>
  </si>
  <si>
    <t>C00112 * C00354</t>
  </si>
  <si>
    <t>C00063 + C01097</t>
  </si>
  <si>
    <t>C00063 * C01097</t>
  </si>
  <si>
    <t>C00112 + C03785</t>
  </si>
  <si>
    <t>C00112 * C03785</t>
  </si>
  <si>
    <t>C00075 + C00085</t>
  </si>
  <si>
    <t>C00075 * C00085</t>
  </si>
  <si>
    <t>C00015 + C00354</t>
  </si>
  <si>
    <t>C00015 * C00354</t>
  </si>
  <si>
    <t>C00075 + C01097</t>
  </si>
  <si>
    <t>C00075 * C01097</t>
  </si>
  <si>
    <t>C00015 + C03785</t>
  </si>
  <si>
    <t>C00015 * C03785</t>
  </si>
  <si>
    <t>C00081 + C00085</t>
  </si>
  <si>
    <t>C00081 * C00085</t>
  </si>
  <si>
    <t>C00104 + C00354</t>
  </si>
  <si>
    <t>C00104 * C00354</t>
  </si>
  <si>
    <t>C00081 + C01097</t>
  </si>
  <si>
    <t>C00081 * C01097</t>
  </si>
  <si>
    <t>C00104 + C03785</t>
  </si>
  <si>
    <t>C00104 * C03785</t>
  </si>
  <si>
    <t>C01097 + C00002</t>
  </si>
  <si>
    <t>C01097 * C00002</t>
  </si>
  <si>
    <t>C03785 + C00008</t>
  </si>
  <si>
    <t>C03785 * C00008</t>
  </si>
  <si>
    <t>C11435 + C00002</t>
  </si>
  <si>
    <t>C11435 * C00002</t>
  </si>
  <si>
    <t>C11436 + C00008</t>
  </si>
  <si>
    <t>C11436 * C00008</t>
  </si>
  <si>
    <t>C00002 + C00121</t>
  </si>
  <si>
    <t>C00002 * C00121</t>
  </si>
  <si>
    <t>C00008 + C00117</t>
  </si>
  <si>
    <t>C00008 * C00117</t>
  </si>
  <si>
    <t>C00673 + C00008</t>
  </si>
  <si>
    <t>C00673 * C00008</t>
  </si>
  <si>
    <t>C01801 + C00002</t>
  </si>
  <si>
    <t>C01801 * C00002</t>
  </si>
  <si>
    <t>C06508 + C00002</t>
  </si>
  <si>
    <t>C06508 * C00002</t>
  </si>
  <si>
    <t>C06509 + C00008</t>
  </si>
  <si>
    <t>C06509 * C00008</t>
  </si>
  <si>
    <t>C06508 + C00044</t>
  </si>
  <si>
    <t>C06508 * C00044</t>
  </si>
  <si>
    <t>C06509 + C00035</t>
  </si>
  <si>
    <t>C06509 * C00035</t>
  </si>
  <si>
    <t>C00002 + C00310</t>
  </si>
  <si>
    <t>C00002 * C00310</t>
  </si>
  <si>
    <t>C00008 + C00231</t>
  </si>
  <si>
    <t>C00008 * C00231</t>
  </si>
  <si>
    <t>C00002 + C19769 + C00001</t>
  </si>
  <si>
    <t>C00002 * C19769 * C00001</t>
  </si>
  <si>
    <t>C00008 + C16698</t>
  </si>
  <si>
    <t>C00008 * C16698</t>
  </si>
  <si>
    <t>C00008 + C19770</t>
  </si>
  <si>
    <t>C00008 * C19770</t>
  </si>
  <si>
    <t>C00016 + C19803</t>
  </si>
  <si>
    <t>C00016 * C19803</t>
  </si>
  <si>
    <t>C20730 + C00020</t>
  </si>
  <si>
    <t>C20730 * C00020</t>
  </si>
  <si>
    <t>C04261 + C11544</t>
  </si>
  <si>
    <t>C04261 * C11544</t>
  </si>
  <si>
    <t>C00615 + C16699</t>
  </si>
  <si>
    <t>C00615 * C16699</t>
  </si>
  <si>
    <t>C04261 + C00031</t>
  </si>
  <si>
    <t>C04261 * C00031</t>
  </si>
  <si>
    <t>C00615 + C00668</t>
  </si>
  <si>
    <t>C00615 * C00668</t>
  </si>
  <si>
    <t>C04261 + C00095</t>
  </si>
  <si>
    <t>C04261 * C00095</t>
  </si>
  <si>
    <t>C00615 + C01094</t>
  </si>
  <si>
    <t>C00615 * C01094</t>
  </si>
  <si>
    <t>C04261 + C00185</t>
  </si>
  <si>
    <t>C04261 * C00185</t>
  </si>
  <si>
    <t>C00615 + C04534</t>
  </si>
  <si>
    <t>C00615 * C04534</t>
  </si>
  <si>
    <t>C00002 + C00882</t>
  </si>
  <si>
    <t>C00002 * C00882</t>
  </si>
  <si>
    <t>C00008 + C00010</t>
  </si>
  <si>
    <t>C00008 * C00010</t>
  </si>
  <si>
    <t>C00002 + C00255</t>
  </si>
  <si>
    <t>C00002 * C00255</t>
  </si>
  <si>
    <t>C00008 + C00061</t>
  </si>
  <si>
    <t>C00008 * C00061</t>
  </si>
  <si>
    <t>C00002 + C00116</t>
  </si>
  <si>
    <t>C00002 * C00116</t>
  </si>
  <si>
    <t>C00008 + C00093</t>
  </si>
  <si>
    <t>C00008 * C00093</t>
  </si>
  <si>
    <t>C00002 + C00831</t>
  </si>
  <si>
    <t>C00002 * C00831</t>
  </si>
  <si>
    <t>C00008 + C01134</t>
  </si>
  <si>
    <t>C00008 * C01134</t>
  </si>
  <si>
    <t>C00002 + C00864</t>
  </si>
  <si>
    <t>C00002 * C00864</t>
  </si>
  <si>
    <t>C00008 + C03492</t>
  </si>
  <si>
    <t>C00008 * C03492</t>
  </si>
  <si>
    <t>C00002 + C04079</t>
  </si>
  <si>
    <t>C00002 * C04079</t>
  </si>
  <si>
    <t>C00008 + C04352</t>
  </si>
  <si>
    <t>C00008 * C04352</t>
  </si>
  <si>
    <t>C00002 + C00250</t>
  </si>
  <si>
    <t>C00002 * C00250</t>
  </si>
  <si>
    <t>C00008 + C00018</t>
  </si>
  <si>
    <t>C00008 * C00018</t>
  </si>
  <si>
    <t>C00002 + C00314</t>
  </si>
  <si>
    <t>C00002 * C00314</t>
  </si>
  <si>
    <t>C00008 + C00627</t>
  </si>
  <si>
    <t>C00008 * C00627</t>
  </si>
  <si>
    <t>C00002 + C00534</t>
  </si>
  <si>
    <t>C00002 * C00534</t>
  </si>
  <si>
    <t>C00008 + C00647</t>
  </si>
  <si>
    <t>C00008 * C00647</t>
  </si>
  <si>
    <t>C00002 + C00263</t>
  </si>
  <si>
    <t>C00002 * C00263</t>
  </si>
  <si>
    <t>C00008 + C01102</t>
  </si>
  <si>
    <t>C00008 * C01102</t>
  </si>
  <si>
    <t>C00002 + C00022</t>
  </si>
  <si>
    <t>C00002 * C00022</t>
  </si>
  <si>
    <t>C00008 + C00074</t>
  </si>
  <si>
    <t>C00008 * C00074</t>
  </si>
  <si>
    <t>C00044 + C00022</t>
  </si>
  <si>
    <t>C00044 * C00022</t>
  </si>
  <si>
    <t>C00035 + C00074</t>
  </si>
  <si>
    <t>C00035 * C00074</t>
  </si>
  <si>
    <t>C00063 + C00022</t>
  </si>
  <si>
    <t>C00063 * C00022</t>
  </si>
  <si>
    <t>C00112 + C00074</t>
  </si>
  <si>
    <t>C00112 * C00074</t>
  </si>
  <si>
    <t>C00075 + C00022</t>
  </si>
  <si>
    <t>C00075 * C00022</t>
  </si>
  <si>
    <t>C00015 + C00074</t>
  </si>
  <si>
    <t>C00015 * C00074</t>
  </si>
  <si>
    <t>C00081 + C00022</t>
  </si>
  <si>
    <t>C00081 * C00022</t>
  </si>
  <si>
    <t>C00104 + C00074</t>
  </si>
  <si>
    <t>C00104 * C00074</t>
  </si>
  <si>
    <t>C00131 + C00022</t>
  </si>
  <si>
    <t>C00131 * C00022</t>
  </si>
  <si>
    <t>C00206 + C00074</t>
  </si>
  <si>
    <t>C00206 * C00074</t>
  </si>
  <si>
    <t>C00201 + C00022</t>
  </si>
  <si>
    <t>C00201 * C00022</t>
  </si>
  <si>
    <t>C00454 + C00074</t>
  </si>
  <si>
    <t>C00454 * C00074</t>
  </si>
  <si>
    <t>C00286 + C00022</t>
  </si>
  <si>
    <t>C00286 * C00022</t>
  </si>
  <si>
    <t>C00361 + C00074</t>
  </si>
  <si>
    <t>C00361 * C00074</t>
  </si>
  <si>
    <t>C00002 + C01279</t>
  </si>
  <si>
    <t>C00002 * C01279</t>
  </si>
  <si>
    <t>C00008 + C04556</t>
  </si>
  <si>
    <t>C00008 * C04556</t>
  </si>
  <si>
    <t>C00002 + C04294</t>
  </si>
  <si>
    <t>C00002 * C04294</t>
  </si>
  <si>
    <t>C00008 + C04327</t>
  </si>
  <si>
    <t>C00008 * C04327</t>
  </si>
  <si>
    <t>C00002 + C01094</t>
  </si>
  <si>
    <t>C00002 * C01094</t>
  </si>
  <si>
    <t>C00002 + C00493</t>
  </si>
  <si>
    <t>C00002 * C00493</t>
  </si>
  <si>
    <t>C00008 + C03175</t>
  </si>
  <si>
    <t>C00008 * C03175</t>
  </si>
  <si>
    <t>C00002 + C00017</t>
  </si>
  <si>
    <t>C00002 * C00017</t>
  </si>
  <si>
    <t>C00008 + C00562</t>
  </si>
  <si>
    <t>C00008 * C00562</t>
  </si>
  <si>
    <t>C00002 + C01609</t>
  </si>
  <si>
    <t>C00002 * C01609</t>
  </si>
  <si>
    <t>C00008 + C02729</t>
  </si>
  <si>
    <t>C00008 * C02729</t>
  </si>
  <si>
    <t>C00002 + C00613</t>
  </si>
  <si>
    <t>C00002 * C00613</t>
  </si>
  <si>
    <t>C00008 + C21101</t>
  </si>
  <si>
    <t>C00008 * C21101</t>
  </si>
  <si>
    <t>C00002 + C00197</t>
  </si>
  <si>
    <t>C00002 * C00197</t>
  </si>
  <si>
    <t>C00008 + C00236</t>
  </si>
  <si>
    <t>C00008 * C00236</t>
  </si>
  <si>
    <t>C00002 + C00049</t>
  </si>
  <si>
    <t>C00002 * C00049</t>
  </si>
  <si>
    <t>C00008 + C03082</t>
  </si>
  <si>
    <t>C00008 * C03082</t>
  </si>
  <si>
    <t>C00002 + C00246</t>
  </si>
  <si>
    <t>C00002 * C00246</t>
  </si>
  <si>
    <t>C00008 + C02527</t>
  </si>
  <si>
    <t>C00008 * C02527</t>
  </si>
  <si>
    <t>C00002 + C00624</t>
  </si>
  <si>
    <t>C00002 * C00624</t>
  </si>
  <si>
    <t>C00008 + C04133</t>
  </si>
  <si>
    <t>C00008 * C04133</t>
  </si>
  <si>
    <t>C00074 + C00615</t>
  </si>
  <si>
    <t>C00074 * C00615</t>
  </si>
  <si>
    <t>C00022 + C04261</t>
  </si>
  <si>
    <t>C00022 * C04261</t>
  </si>
  <si>
    <t>C00002 + C00105</t>
  </si>
  <si>
    <t>C00002 * C00105</t>
  </si>
  <si>
    <t>C00008 + C00015</t>
  </si>
  <si>
    <t>C00008 * C00015</t>
  </si>
  <si>
    <t>C00002 + C00055</t>
  </si>
  <si>
    <t>C00002 * C00055</t>
  </si>
  <si>
    <t>C00008 + C00112</t>
  </si>
  <si>
    <t>C00008 * C00112</t>
  </si>
  <si>
    <t>C00002 + C00239</t>
  </si>
  <si>
    <t>C00002 * C00239</t>
  </si>
  <si>
    <t>C00008 + C00705</t>
  </si>
  <si>
    <t>C00008 * C00705</t>
  </si>
  <si>
    <t>C00002 + C00020</t>
  </si>
  <si>
    <t>C00002 * C00020</t>
  </si>
  <si>
    <t>C00002 + C00360</t>
  </si>
  <si>
    <t>C00002 * C00360</t>
  </si>
  <si>
    <t>C00008 + C00206</t>
  </si>
  <si>
    <t>C00008 * C00206</t>
  </si>
  <si>
    <t>C00068 + C00008</t>
  </si>
  <si>
    <t>C00068 * C00008</t>
  </si>
  <si>
    <t>C03028 + C00020</t>
  </si>
  <si>
    <t>C03028 * C00020</t>
  </si>
  <si>
    <t>C00002 + C04556</t>
  </si>
  <si>
    <t>C00002 * C04556</t>
  </si>
  <si>
    <t>C00008 + C04752</t>
  </si>
  <si>
    <t>C00008 * C04752</t>
  </si>
  <si>
    <t>C00002 + C00144</t>
  </si>
  <si>
    <t>C00002 * C00144</t>
  </si>
  <si>
    <t>C00008 + C00035</t>
  </si>
  <si>
    <t>C00008 * C00035</t>
  </si>
  <si>
    <t>C00002 + C00362</t>
  </si>
  <si>
    <t>C00002 * C00362</t>
  </si>
  <si>
    <t>C00008 + C00361</t>
  </si>
  <si>
    <t>C00008 * C00361</t>
  </si>
  <si>
    <t>C22441 + C00002</t>
  </si>
  <si>
    <t>C22441 * C00002</t>
  </si>
  <si>
    <t>C22442 + C00008</t>
  </si>
  <si>
    <t>C22442 * C00008</t>
  </si>
  <si>
    <t>C00002 + C00364</t>
  </si>
  <si>
    <t>C00002 * C00364</t>
  </si>
  <si>
    <t>C00008 + C00363</t>
  </si>
  <si>
    <t>C00008 * C00363</t>
  </si>
  <si>
    <t>C00002 + C00365</t>
  </si>
  <si>
    <t>C00002 * C00365</t>
  </si>
  <si>
    <t>C00008 + C01346</t>
  </si>
  <si>
    <t>C00008 * C01346</t>
  </si>
  <si>
    <t>C00002 + C00117</t>
  </si>
  <si>
    <t>C00002 * C00117</t>
  </si>
  <si>
    <t>C00020 + C00119</t>
  </si>
  <si>
    <t>C00020 * C00119</t>
  </si>
  <si>
    <t>C00002 + C00378</t>
  </si>
  <si>
    <t>C00002 * C00378</t>
  </si>
  <si>
    <t>C00020 + C00068</t>
  </si>
  <si>
    <t>C00020 * C00068</t>
  </si>
  <si>
    <t>C00002 + C01300</t>
  </si>
  <si>
    <t>C00002 * C01300</t>
  </si>
  <si>
    <t>C00020 + C04807</t>
  </si>
  <si>
    <t>C00020 * C04807</t>
  </si>
  <si>
    <t>C00002 + C00044</t>
  </si>
  <si>
    <t>C00002 * C00044</t>
  </si>
  <si>
    <t>C00020 + C04494</t>
  </si>
  <si>
    <t>C00020 * C04494</t>
  </si>
  <si>
    <t>C00029 + C00446</t>
  </si>
  <si>
    <t>C00029 * C00446</t>
  </si>
  <si>
    <t>C00103 + C00052</t>
  </si>
  <si>
    <t>C00103 * C00052</t>
  </si>
  <si>
    <t>C00002 + C00455</t>
  </si>
  <si>
    <t>C00002 * C00455</t>
  </si>
  <si>
    <t>C00013 + C00003</t>
  </si>
  <si>
    <t>C00013 * C00003</t>
  </si>
  <si>
    <t>C00002 + C01185</t>
  </si>
  <si>
    <t>C00002 * C01185</t>
  </si>
  <si>
    <t>C00013 + C00857</t>
  </si>
  <si>
    <t>C00013 * C00857</t>
  </si>
  <si>
    <t>C00002 + C00061</t>
  </si>
  <si>
    <t>C00002 * C00061</t>
  </si>
  <si>
    <t>C00013 + C00016</t>
  </si>
  <si>
    <t>C00013 * C00016</t>
  </si>
  <si>
    <t>C00075 + C04501</t>
  </si>
  <si>
    <t>C00075 * C04501</t>
  </si>
  <si>
    <t>C00013 + C00043</t>
  </si>
  <si>
    <t>C00013 * C00043</t>
  </si>
  <si>
    <t>C00459 + C00103</t>
  </si>
  <si>
    <t>C00459 * C00103</t>
  </si>
  <si>
    <t>C00013 + C00842</t>
  </si>
  <si>
    <t>C00013 * C00842</t>
  </si>
  <si>
    <t>C00002 + C00103</t>
  </si>
  <si>
    <t>C00002 * C00103</t>
  </si>
  <si>
    <t>C00013 + C00498</t>
  </si>
  <si>
    <t>C00013 * C00498</t>
  </si>
  <si>
    <t>C00002 + C01134</t>
  </si>
  <si>
    <t>C00002 * C01134</t>
  </si>
  <si>
    <t>C00013 + C00882</t>
  </si>
  <si>
    <t>C00013 * C00882</t>
  </si>
  <si>
    <t>C00063 + C00416</t>
  </si>
  <si>
    <t>C00063 * C00416</t>
  </si>
  <si>
    <t>C00013 + C00269</t>
  </si>
  <si>
    <t>C00013 * C00269</t>
  </si>
  <si>
    <t>C00066 + C00009</t>
  </si>
  <si>
    <t>C00066 * C00009</t>
  </si>
  <si>
    <t>C00066 + C00454</t>
  </si>
  <si>
    <t>C00066 * C00454</t>
  </si>
  <si>
    <t>C00002 + C00046</t>
  </si>
  <si>
    <t>C00002 * C00046</t>
  </si>
  <si>
    <t>C00013 + C00046</t>
  </si>
  <si>
    <t>C00013 * C00046</t>
  </si>
  <si>
    <t>C00044 + C00046</t>
  </si>
  <si>
    <t>C00044 * C00046</t>
  </si>
  <si>
    <t>C00063 + C00046</t>
  </si>
  <si>
    <t>C00063 * C00046</t>
  </si>
  <si>
    <t>C00075 + C00046</t>
  </si>
  <si>
    <t>C00075 * C00046</t>
  </si>
  <si>
    <t>C20864 + C00013</t>
  </si>
  <si>
    <t>C20864 * C00013</t>
  </si>
  <si>
    <t>C00201 + C00046</t>
  </si>
  <si>
    <t>C00201 * C00046</t>
  </si>
  <si>
    <t>C11434 + C00063</t>
  </si>
  <si>
    <t>C11434 * C00063</t>
  </si>
  <si>
    <t>C11435 + C00013</t>
  </si>
  <si>
    <t>C11435 * C00013</t>
  </si>
  <si>
    <t>C06509 + C00044</t>
  </si>
  <si>
    <t>C06509 * C00044</t>
  </si>
  <si>
    <t>C06510 + C00013</t>
  </si>
  <si>
    <t>C06510 * C00013</t>
  </si>
  <si>
    <t>C16463 + C00013</t>
  </si>
  <si>
    <t>C16463 * C00013</t>
  </si>
  <si>
    <t>C00131 + C00039</t>
  </si>
  <si>
    <t>C00131 * C00039</t>
  </si>
  <si>
    <t>C00013 + C00039</t>
  </si>
  <si>
    <t>C00013 * C00039</t>
  </si>
  <si>
    <t>C00286 + C00039</t>
  </si>
  <si>
    <t>C00286 * C00039</t>
  </si>
  <si>
    <t>C00458 + C00039</t>
  </si>
  <si>
    <t>C00458 * C00039</t>
  </si>
  <si>
    <t>C00459 + C00039</t>
  </si>
  <si>
    <t>C00459 * C00039</t>
  </si>
  <si>
    <t>C00677 + C00039</t>
  </si>
  <si>
    <t>C00677 * C00039</t>
  </si>
  <si>
    <t>C02211 + C00063</t>
  </si>
  <si>
    <t>C02211 * C00063</t>
  </si>
  <si>
    <t>C19078 + C00013</t>
  </si>
  <si>
    <t>C19078 * C00013</t>
  </si>
  <si>
    <t>C02211 + C00063 + C00002</t>
  </si>
  <si>
    <t>C02211 * C00063 * C00002</t>
  </si>
  <si>
    <t>C19085 + C00013</t>
  </si>
  <si>
    <t>C19085 * C00013</t>
  </si>
  <si>
    <t>C19078 + C00063</t>
  </si>
  <si>
    <t>C19078 * C00063</t>
  </si>
  <si>
    <t>C19080 + C00013</t>
  </si>
  <si>
    <t>C19080 * C00013</t>
  </si>
  <si>
    <t>C19080 + C00002</t>
  </si>
  <si>
    <t>C19080 * C00002</t>
  </si>
  <si>
    <t>C18237 + C00063</t>
  </si>
  <si>
    <t>C18237 * C00063</t>
  </si>
  <si>
    <t>C21485 + C00013</t>
  </si>
  <si>
    <t>C21485 * C00013</t>
  </si>
  <si>
    <t>C18237 + C00044</t>
  </si>
  <si>
    <t>C18237 * C00044</t>
  </si>
  <si>
    <t>C19871 + C00013</t>
  </si>
  <si>
    <t>C19871 * C00013</t>
  </si>
  <si>
    <t>C00046 + C00009</t>
  </si>
  <si>
    <t>C00046 * C00009</t>
  </si>
  <si>
    <t>C00046 + C00454</t>
  </si>
  <si>
    <t>C00046 * C00454</t>
  </si>
  <si>
    <t>C00046 + C00008</t>
  </si>
  <si>
    <t>C00046 * C00008</t>
  </si>
  <si>
    <t>C00046 + C00015</t>
  </si>
  <si>
    <t>C00046 * C00015</t>
  </si>
  <si>
    <t>C00046 + C00035</t>
  </si>
  <si>
    <t>C00046 * C00035</t>
  </si>
  <si>
    <t>C00046 + C00112</t>
  </si>
  <si>
    <t>C00046 * C00112</t>
  </si>
  <si>
    <t>C00013 + C20565</t>
  </si>
  <si>
    <t>C00013 * C20565</t>
  </si>
  <si>
    <t>C00188 + C00002 + C00288 + C00080</t>
  </si>
  <si>
    <t>C00188 * C00002 * C00288 * C00080</t>
  </si>
  <si>
    <t>C20641 + C00013 + C00001</t>
  </si>
  <si>
    <t>C20641 * C00013 * C00001</t>
  </si>
  <si>
    <t>C00075 + C00103</t>
  </si>
  <si>
    <t>C00075 * C00103</t>
  </si>
  <si>
    <t>C00013 + C00029</t>
  </si>
  <si>
    <t>C00013 * C00029</t>
  </si>
  <si>
    <t>C04702 + C17556</t>
  </si>
  <si>
    <t>C04702 * C17556</t>
  </si>
  <si>
    <t>C00105 + C04851</t>
  </si>
  <si>
    <t>C00105 * C04851</t>
  </si>
  <si>
    <t>C04882 + C17556</t>
  </si>
  <si>
    <t>C04882 * C17556</t>
  </si>
  <si>
    <t>C00105 + C05897</t>
  </si>
  <si>
    <t>C00105 * C05897</t>
  </si>
  <si>
    <t>C00194 + C00144</t>
  </si>
  <si>
    <t>C00194 * C00144</t>
  </si>
  <si>
    <t>C06510 + C05775</t>
  </si>
  <si>
    <t>C06510 * C05775</t>
  </si>
  <si>
    <t>C06510 + C04778</t>
  </si>
  <si>
    <t>C06510 * C04778</t>
  </si>
  <si>
    <t>C00144 + C21153</t>
  </si>
  <si>
    <t>C00144 * C21153</t>
  </si>
  <si>
    <t>C00002 + C20396</t>
  </si>
  <si>
    <t>C00002 * C20396</t>
  </si>
  <si>
    <t>C20422 + C00147</t>
  </si>
  <si>
    <t>C20422 * C00147</t>
  </si>
  <si>
    <t>C00269 + C00093</t>
  </si>
  <si>
    <t>C00269 * C00093</t>
  </si>
  <si>
    <t>C00055 + C03892</t>
  </si>
  <si>
    <t>C00055 * C03892</t>
  </si>
  <si>
    <t>C00010 + C03688</t>
  </si>
  <si>
    <t>C00010 * C03688</t>
  </si>
  <si>
    <t>C00054 + C00229</t>
  </si>
  <si>
    <t>C00054 * C00229</t>
  </si>
  <si>
    <t>C00002 + C00022 + C00009</t>
  </si>
  <si>
    <t>C00002 * C00022 * C00009</t>
  </si>
  <si>
    <t>C00020 + C00074 + C00013</t>
  </si>
  <si>
    <t>C00020 * C00074 * C00013</t>
  </si>
  <si>
    <t>C00002 + C01528 + C00001</t>
  </si>
  <si>
    <t>C00002 * C01528 * C00001</t>
  </si>
  <si>
    <t>C00020 + C05172 + C00009</t>
  </si>
  <si>
    <t>C00020 * C05172 * C00009</t>
  </si>
  <si>
    <t>C11437 + C15809 + C15814</t>
  </si>
  <si>
    <t>C11437 * C15809 * C15814</t>
  </si>
  <si>
    <t>C20246 + C15810 + C00001</t>
  </si>
  <si>
    <t>C20246 * C15810 * C00001</t>
  </si>
  <si>
    <t>C00868 + C15812 + C00002</t>
  </si>
  <si>
    <t>C00868 * C15812 * C00002</t>
  </si>
  <si>
    <t>C17322 + C15811 + C00020 + C00013</t>
  </si>
  <si>
    <t>C17322 * C15811 * C00020 * C00013</t>
  </si>
  <si>
    <t>C00097 + C02342</t>
  </si>
  <si>
    <t>C00097 * C02342</t>
  </si>
  <si>
    <t>C00065 + C04161</t>
  </si>
  <si>
    <t>C00065 * C04161</t>
  </si>
  <si>
    <t>C15812 + C15813 + C00030</t>
  </si>
  <si>
    <t>C15812 * C15813 * C00030</t>
  </si>
  <si>
    <t>C00020 + C15814 + C15811 + C00028</t>
  </si>
  <si>
    <t>C00020 * C15814 * C15811 * C00028</t>
  </si>
  <si>
    <t>C01909 + C17023 + C00019 + C05359 + C00080</t>
  </si>
  <si>
    <t>C01909 * C17023 * C00019 * C05359 * C00080</t>
  </si>
  <si>
    <t>C00120 + C00073 + C05198</t>
  </si>
  <si>
    <t>C00120 * C00073 * C05198</t>
  </si>
  <si>
    <t>C00097 + C02743</t>
  </si>
  <si>
    <t>C00097 * C02743</t>
  </si>
  <si>
    <t>C00041 + C21440</t>
  </si>
  <si>
    <t>C00041 * C21440</t>
  </si>
  <si>
    <t>C15811 + C00097</t>
  </si>
  <si>
    <t>C15811 * C00097</t>
  </si>
  <si>
    <t>C15812 + C00041</t>
  </si>
  <si>
    <t>C15812 * C00041</t>
  </si>
  <si>
    <t>C15812 + C02743</t>
  </si>
  <si>
    <t>C15812 * C02743</t>
  </si>
  <si>
    <t>C15811 + C21440</t>
  </si>
  <si>
    <t>C15811 * C21440</t>
  </si>
  <si>
    <t>C04432 + C17023 + C00019</t>
  </si>
  <si>
    <t>C04432 * C17023 * C00019</t>
  </si>
  <si>
    <t>C20753 + C00021 + C00073 + C05198</t>
  </si>
  <si>
    <t>C20753 * C00021 * C00073 * C05198</t>
  </si>
  <si>
    <t>C20755 + C00073 + C05198</t>
  </si>
  <si>
    <t>C20755 * C00073 * C05198</t>
  </si>
  <si>
    <t>C20755 + C00019</t>
  </si>
  <si>
    <t>C20755 * C00019</t>
  </si>
  <si>
    <t>C20753 + C00021</t>
  </si>
  <si>
    <t>C20753 * C00021</t>
  </si>
  <si>
    <t>C20756 + C17023 + C00019 + C00030</t>
  </si>
  <si>
    <t>C20756 * C17023 * C00019 * C00030</t>
  </si>
  <si>
    <t>C20758 + C00021 + C00073 + C05198 + C00028</t>
  </si>
  <si>
    <t>C20758 * C00021 * C00073 * C05198 * C00028</t>
  </si>
  <si>
    <t>C06481 + C05172</t>
  </si>
  <si>
    <t>C06481 * C05172</t>
  </si>
  <si>
    <t>C06482 + C00009</t>
  </si>
  <si>
    <t>C06482 * C00009</t>
  </si>
  <si>
    <t>C03880 + C00001</t>
  </si>
  <si>
    <t>C03880 * C00001</t>
  </si>
  <si>
    <t>C03523 + C00066</t>
  </si>
  <si>
    <t>C03523 * C00066</t>
  </si>
  <si>
    <t>C01100 + C00001</t>
  </si>
  <si>
    <t>C01100 * C00001</t>
  </si>
  <si>
    <t>C00860 + C00009</t>
  </si>
  <si>
    <t>C00860 * C00009</t>
  </si>
  <si>
    <t>C00562 + C00001</t>
  </si>
  <si>
    <t>C00562 * C00001</t>
  </si>
  <si>
    <t>C00017 + C00009</t>
  </si>
  <si>
    <t>C00017 * C00009</t>
  </si>
  <si>
    <t>C00934 + C00001</t>
  </si>
  <si>
    <t>C00934 * C00001</t>
  </si>
  <si>
    <t>C11477 + C00009</t>
  </si>
  <si>
    <t>C11477 * C00009</t>
  </si>
  <si>
    <t>C01167 + C00001</t>
  </si>
  <si>
    <t>C01167 * C00001</t>
  </si>
  <si>
    <t>C00585 + C00009</t>
  </si>
  <si>
    <t>C00585 * C00009</t>
  </si>
  <si>
    <t>C00020 + C00001</t>
  </si>
  <si>
    <t>C00020 * C00001</t>
  </si>
  <si>
    <t>C00055 + C00001</t>
  </si>
  <si>
    <t>C00055 * C00001</t>
  </si>
  <si>
    <t>C00105 + C00001</t>
  </si>
  <si>
    <t>C00105 * C00001</t>
  </si>
  <si>
    <t>C00130 + C00001</t>
  </si>
  <si>
    <t>C00130 * C00001</t>
  </si>
  <si>
    <t>C00144 + C00001</t>
  </si>
  <si>
    <t>C00144 * C00001</t>
  </si>
  <si>
    <t>C00239 + C00001</t>
  </si>
  <si>
    <t>C00239 * C00001</t>
  </si>
  <si>
    <t>C00881 + C00009</t>
  </si>
  <si>
    <t>C00881 * C00009</t>
  </si>
  <si>
    <t>C00360 + C00001</t>
  </si>
  <si>
    <t>C00360 * C00001</t>
  </si>
  <si>
    <t>C00362 + C00001</t>
  </si>
  <si>
    <t>C00362 * C00001</t>
  </si>
  <si>
    <t>C00364 + C00001</t>
  </si>
  <si>
    <t>C00364 * C00001</t>
  </si>
  <si>
    <t>C00365 + C00001</t>
  </si>
  <si>
    <t>C00365 * C00001</t>
  </si>
  <si>
    <t>C00455 + C00001</t>
  </si>
  <si>
    <t>C00455 * C00001</t>
  </si>
  <si>
    <t>C00655 + C00001</t>
  </si>
  <si>
    <t>C00655 * C00001</t>
  </si>
  <si>
    <t>C01185 + C00001</t>
  </si>
  <si>
    <t>C01185 * C00001</t>
  </si>
  <si>
    <t>C02520 + C00001</t>
  </si>
  <si>
    <t>C02520 * C00001</t>
  </si>
  <si>
    <t>C00911 + C00009</t>
  </si>
  <si>
    <t>C00911 * C00009</t>
  </si>
  <si>
    <t>C06196 + C00001</t>
  </si>
  <si>
    <t>C06196 * C00001</t>
  </si>
  <si>
    <t>C16463 + C00001</t>
  </si>
  <si>
    <t>C16463 * C00001</t>
  </si>
  <si>
    <t>C11544 + C00001</t>
  </si>
  <si>
    <t>C11544 * C00001</t>
  </si>
  <si>
    <t>C00159 + C00258</t>
  </si>
  <si>
    <t>C00159 * C00258</t>
  </si>
  <si>
    <t>C00089 + C00001</t>
  </si>
  <si>
    <t>C00089 * C00001</t>
  </si>
  <si>
    <t>C00095 + C00031</t>
  </si>
  <si>
    <t>C00095 * C00031</t>
  </si>
  <si>
    <t>C02336 + C00267</t>
  </si>
  <si>
    <t>C02336 * C00267</t>
  </si>
  <si>
    <t>C00208 + C00001</t>
  </si>
  <si>
    <t>C00208 * C00001</t>
  </si>
  <si>
    <t>G00275 + C00001</t>
  </si>
  <si>
    <t>G00275 * C00001</t>
  </si>
  <si>
    <t>G00370 + C00001</t>
  </si>
  <si>
    <t>G00370 * C00001</t>
  </si>
  <si>
    <t>C04534 + C00001</t>
  </si>
  <si>
    <t>C04534 * C00001</t>
  </si>
  <si>
    <t>C00031 + C00092</t>
  </si>
  <si>
    <t>C00031 * C00092</t>
  </si>
  <si>
    <t>C06187 + C00001</t>
  </si>
  <si>
    <t>C06187 * C00001</t>
  </si>
  <si>
    <t>C00530 + C01172</t>
  </si>
  <si>
    <t>C00530 * C01172</t>
  </si>
  <si>
    <t>C06188 + C00001</t>
  </si>
  <si>
    <t>C06188 * C00001</t>
  </si>
  <si>
    <t>C02323 + C01172</t>
  </si>
  <si>
    <t>C02323 * C01172</t>
  </si>
  <si>
    <t>G10518 + C00001</t>
  </si>
  <si>
    <t>G10518 * C00001</t>
  </si>
  <si>
    <t>C00001 + C00689</t>
  </si>
  <si>
    <t>C00001 * C00689</t>
  </si>
  <si>
    <t>C00001 + G09795</t>
  </si>
  <si>
    <t>C00001 * G09795</t>
  </si>
  <si>
    <t>C00021 + C00001</t>
  </si>
  <si>
    <t>C00021 * C00001</t>
  </si>
  <si>
    <t>C03539 + C00147</t>
  </si>
  <si>
    <t>C03539 * C00147</t>
  </si>
  <si>
    <t>C00170 + C00001</t>
  </si>
  <si>
    <t>C00170 * C00001</t>
  </si>
  <si>
    <t>C00147 + C03089</t>
  </si>
  <si>
    <t>C00147 * C03089</t>
  </si>
  <si>
    <t>C05198 + C00001</t>
  </si>
  <si>
    <t>C05198 * C00001</t>
  </si>
  <si>
    <t>C22288 + C00147</t>
  </si>
  <si>
    <t>C22288 * C00147</t>
  </si>
  <si>
    <t>C01419 + C00001</t>
  </si>
  <si>
    <t>C01419 * C00001</t>
  </si>
  <si>
    <t>C00097 + C00037</t>
  </si>
  <si>
    <t>C00097 * C00037</t>
  </si>
  <si>
    <t>C05729 + C00001</t>
  </si>
  <si>
    <t>C05729 * C00001</t>
  </si>
  <si>
    <t>C05726 + C00037</t>
  </si>
  <si>
    <t>C05726 * C00037</t>
  </si>
  <si>
    <t>C00012 + C00001</t>
  </si>
  <si>
    <t>C00012 * C00001</t>
  </si>
  <si>
    <t>C00148 + C00012</t>
  </si>
  <si>
    <t>C00148 * C00012</t>
  </si>
  <si>
    <t>C00152 + C00001</t>
  </si>
  <si>
    <t>C00152 * C00001</t>
  </si>
  <si>
    <t>C00049 + C00014</t>
  </si>
  <si>
    <t>C00049 * C00014</t>
  </si>
  <si>
    <t>C00241 + C00001</t>
  </si>
  <si>
    <t>C00241 * C00001</t>
  </si>
  <si>
    <t>C00060 + C00014</t>
  </si>
  <si>
    <t>C00060 * C00014</t>
  </si>
  <si>
    <t>C01674 + C00001</t>
  </si>
  <si>
    <t>C01674 * C00001</t>
  </si>
  <si>
    <t>C21747 + C00033</t>
  </si>
  <si>
    <t>C21747 * C00033</t>
  </si>
  <si>
    <t>C00819 + C00001</t>
  </si>
  <si>
    <t>C00819 * C00001</t>
  </si>
  <si>
    <t>C00217 + C00014</t>
  </si>
  <si>
    <t>C00217 * C00014</t>
  </si>
  <si>
    <t>C00357 + C00001</t>
  </si>
  <si>
    <t>C00357 * C00001</t>
  </si>
  <si>
    <t>C00352 + C00033</t>
  </si>
  <si>
    <t>C00352 * C00033</t>
  </si>
  <si>
    <t>C02999 + C00001</t>
  </si>
  <si>
    <t>C02999 * C00001</t>
  </si>
  <si>
    <t>C02713 + C00041</t>
  </si>
  <si>
    <t>C02713 * C00041</t>
  </si>
  <si>
    <t>C04258 + C00001</t>
  </si>
  <si>
    <t>C04258 * C00001</t>
  </si>
  <si>
    <t>C00058 + C03617</t>
  </si>
  <si>
    <t>C00058 * C03617</t>
  </si>
  <si>
    <t>C11439 + C00001</t>
  </si>
  <si>
    <t>C11439 * C00001</t>
  </si>
  <si>
    <t>C11440 + C00058</t>
  </si>
  <si>
    <t>C11440 * C00058</t>
  </si>
  <si>
    <t>C00429 + C00001</t>
  </si>
  <si>
    <t>C00429 * C00001</t>
  </si>
  <si>
    <t>C16630 + C00001</t>
  </si>
  <si>
    <t>C16630 * C00001</t>
  </si>
  <si>
    <t>C21028 + C00001</t>
  </si>
  <si>
    <t>C21028 * C00001</t>
  </si>
  <si>
    <t>C00337 + C00001</t>
  </si>
  <si>
    <t>C00337 * C00001</t>
  </si>
  <si>
    <t>C00395 + C00001</t>
  </si>
  <si>
    <t>C00395 * C00001</t>
  </si>
  <si>
    <t>C01866 + C00001</t>
  </si>
  <si>
    <t>C01866 * C00001</t>
  </si>
  <si>
    <t>C05551 + C00001</t>
  </si>
  <si>
    <t>C05551 * C00001</t>
  </si>
  <si>
    <t>C00002 + C01879 + C00001</t>
  </si>
  <si>
    <t>C00002 * C01879 * C00001</t>
  </si>
  <si>
    <t>C00008 + C00009 + C00025</t>
  </si>
  <si>
    <t>C00008 * C00009 * C00025</t>
  </si>
  <si>
    <t>C00179 + C00001</t>
  </si>
  <si>
    <t>C00179 * C00001</t>
  </si>
  <si>
    <t>C00134 + C00086</t>
  </si>
  <si>
    <t>C00134 * C00086</t>
  </si>
  <si>
    <t>C00365 + C00014</t>
  </si>
  <si>
    <t>C00365 * C00014</t>
  </si>
  <si>
    <t>C00044 + C00001</t>
  </si>
  <si>
    <t>C00044 * C00001</t>
  </si>
  <si>
    <t>C04895 + C00058</t>
  </si>
  <si>
    <t>C04895 * C00058</t>
  </si>
  <si>
    <t>C04895 + C00001</t>
  </si>
  <si>
    <t>C04895 * C00001</t>
  </si>
  <si>
    <t>C05922 + C00001</t>
  </si>
  <si>
    <t>C05922 * C00001</t>
  </si>
  <si>
    <t>C05923 + C00058</t>
  </si>
  <si>
    <t>C05923 * C00058</t>
  </si>
  <si>
    <t>C02741 + C00001</t>
  </si>
  <si>
    <t>C02741 * C00001</t>
  </si>
  <si>
    <t>C00147 + C00001</t>
  </si>
  <si>
    <t>C00147 * C00001</t>
  </si>
  <si>
    <t>C00262 + C00014</t>
  </si>
  <si>
    <t>C00262 * C00014</t>
  </si>
  <si>
    <t>C00058 + C01304 + C00009</t>
  </si>
  <si>
    <t>C00058 * C01304 * C00009</t>
  </si>
  <si>
    <t>C01304 + C00001</t>
  </si>
  <si>
    <t>C01304 * C00001</t>
  </si>
  <si>
    <t>C01268 + C00014</t>
  </si>
  <si>
    <t>C01268 * C00014</t>
  </si>
  <si>
    <t>C00212 + C00001</t>
  </si>
  <si>
    <t>C00212 * C00001</t>
  </si>
  <si>
    <t>C00294 + C00014</t>
  </si>
  <si>
    <t>C00294 * C00014</t>
  </si>
  <si>
    <t>C00559 + C00001</t>
  </si>
  <si>
    <t>C00559 * C00001</t>
  </si>
  <si>
    <t>C05512 + C00014</t>
  </si>
  <si>
    <t>C05512 * C00014</t>
  </si>
  <si>
    <t>C00475 + C00001</t>
  </si>
  <si>
    <t>C00475 * C00001</t>
  </si>
  <si>
    <t>C00299 + C00014</t>
  </si>
  <si>
    <t>C00299 * C00014</t>
  </si>
  <si>
    <t>C00881 + C00001</t>
  </si>
  <si>
    <t>C00881 * C00001</t>
  </si>
  <si>
    <t>C00526 + C00014</t>
  </si>
  <si>
    <t>C00526 * C00014</t>
  </si>
  <si>
    <t>C16635 + C00001</t>
  </si>
  <si>
    <t>C16635 * C00001</t>
  </si>
  <si>
    <t>C12739 + C00014</t>
  </si>
  <si>
    <t>C12739 * C00014</t>
  </si>
  <si>
    <t>C00445 + C00001</t>
  </si>
  <si>
    <t>C00445 * C00001</t>
  </si>
  <si>
    <t>C00234 + C00080</t>
  </si>
  <si>
    <t>C00234 * C00080</t>
  </si>
  <si>
    <t>C00352 + C00001</t>
  </si>
  <si>
    <t>C00352 * C00001</t>
  </si>
  <si>
    <t>C00085 + C00014</t>
  </si>
  <si>
    <t>C00085 * C00014</t>
  </si>
  <si>
    <t>C00013 + C00001</t>
  </si>
  <si>
    <t>C00013 * C00001</t>
  </si>
  <si>
    <t>C00460 + C00001</t>
  </si>
  <si>
    <t>C00460 * C00001</t>
  </si>
  <si>
    <t>C00365 + C00013</t>
  </si>
  <si>
    <t>C00365 * C00013</t>
  </si>
  <si>
    <t>C21751 + C00001</t>
  </si>
  <si>
    <t>C21751 * C00001</t>
  </si>
  <si>
    <t>C04242 + C00013</t>
  </si>
  <si>
    <t>C04242 * C00013</t>
  </si>
  <si>
    <t>C04574 + C00001</t>
  </si>
  <si>
    <t>C04574 * C00001</t>
  </si>
  <si>
    <t>C17556 + C00009</t>
  </si>
  <si>
    <t>C17556 * C00009</t>
  </si>
  <si>
    <t>C02739 + C00001</t>
  </si>
  <si>
    <t>C02739 * C00001</t>
  </si>
  <si>
    <t>C02741 + C00013</t>
  </si>
  <si>
    <t>C02741 * C00013</t>
  </si>
  <si>
    <t>C01260 + C00001</t>
  </si>
  <si>
    <t>C01260 * C00001</t>
  </si>
  <si>
    <t>C20422 + C00001</t>
  </si>
  <si>
    <t>C20422 * C00001</t>
  </si>
  <si>
    <t>C20423 + C00013</t>
  </si>
  <si>
    <t>C20423 * C00013</t>
  </si>
  <si>
    <t>C16242 + C00001</t>
  </si>
  <si>
    <t>C16242 * C00001</t>
  </si>
  <si>
    <t>C16243 + C00084</t>
  </si>
  <si>
    <t>C16243 * C00084</t>
  </si>
  <si>
    <t>C00041 + C00011</t>
  </si>
  <si>
    <t>C00041 * C00011</t>
  </si>
  <si>
    <t>C00041 + C09306</t>
  </si>
  <si>
    <t>C00041 * C09306</t>
  </si>
  <si>
    <t>C00047 + C00011</t>
  </si>
  <si>
    <t>C00047 * C00011</t>
  </si>
  <si>
    <t>C03373 + C00011</t>
  </si>
  <si>
    <t>C03373 * C00011</t>
  </si>
  <si>
    <t>C00105 + C00011</t>
  </si>
  <si>
    <t>C00105 * C00011</t>
  </si>
  <si>
    <t>C01134 + C00011</t>
  </si>
  <si>
    <t>C01134 * C00011</t>
  </si>
  <si>
    <t>C00019 + C00080</t>
  </si>
  <si>
    <t>C00019 * C00080</t>
  </si>
  <si>
    <t>C01137 + C00011</t>
  </si>
  <si>
    <t>C01137 * C00011</t>
  </si>
  <si>
    <t>C00642 + C00080</t>
  </si>
  <si>
    <t>C00642 * C00080</t>
  </si>
  <si>
    <t>C01468 + C00011</t>
  </si>
  <si>
    <t>C01468 * C00011</t>
  </si>
  <si>
    <t>C00111 + C00118</t>
  </si>
  <si>
    <t>C00111 * C00118</t>
  </si>
  <si>
    <t>C00111 + C00279</t>
  </si>
  <si>
    <t>C00111 * C00279</t>
  </si>
  <si>
    <t>C00111 + C00577</t>
  </si>
  <si>
    <t>C00111 * C00577</t>
  </si>
  <si>
    <t>C00118 + C00022</t>
  </si>
  <si>
    <t>C00118 * C00022</t>
  </si>
  <si>
    <t>C00266 + C01300</t>
  </si>
  <si>
    <t>C00266 * C01300</t>
  </si>
  <si>
    <t>C00118 + C00084</t>
  </si>
  <si>
    <t>C00118 * C00084</t>
  </si>
  <si>
    <t>C00037 + C00084</t>
  </si>
  <si>
    <t>C00037 * C00084</t>
  </si>
  <si>
    <t>C00108 + C00022 + C00001</t>
  </si>
  <si>
    <t>C00108 * C00022 * C00001</t>
  </si>
  <si>
    <t>C00108 + C00022 + C00025</t>
  </si>
  <si>
    <t>C00108 * C00022 * C00025</t>
  </si>
  <si>
    <t>C00645 + C00022</t>
  </si>
  <si>
    <t>C00645 * C00022</t>
  </si>
  <si>
    <t>C15556 + C00058</t>
  </si>
  <si>
    <t>C15556 * C00058</t>
  </si>
  <si>
    <t>C03373 + C00019</t>
  </si>
  <si>
    <t>C03373 * C00019</t>
  </si>
  <si>
    <t>C04556 + C05198 + C00073 + C00058 + C00237</t>
  </si>
  <si>
    <t>C04556 * C05198 * C00073 * C00058 * C00237</t>
  </si>
  <si>
    <t>C00044 + C00019 + C00030</t>
  </si>
  <si>
    <t>C00044 * C00019 * C00030</t>
  </si>
  <si>
    <t>C21310 + C05198 + C00073 + C00028</t>
  </si>
  <si>
    <t>C21310 * C05198 * C00073 * C00028</t>
  </si>
  <si>
    <t>C02637 + C00001</t>
  </si>
  <si>
    <t>C02637 * C00001</t>
  </si>
  <si>
    <t>C00074 + C00001</t>
  </si>
  <si>
    <t>C00074 * C00001</t>
  </si>
  <si>
    <t>C04309 + C00001</t>
  </si>
  <si>
    <t>C04309 * C00001</t>
  </si>
  <si>
    <t>C00256 + C00357</t>
  </si>
  <si>
    <t>C00256 * C00357</t>
  </si>
  <si>
    <t>C16698 + C00001</t>
  </si>
  <si>
    <t>C16698 * C00001</t>
  </si>
  <si>
    <t>C21090 + C00001</t>
  </si>
  <si>
    <t>C21090 * C00001</t>
  </si>
  <si>
    <t>C03912 + C00001</t>
  </si>
  <si>
    <t>C03912 * C00001</t>
  </si>
  <si>
    <t>C01267 + C00001</t>
  </si>
  <si>
    <t>C01267 * C00001</t>
  </si>
  <si>
    <t>C00122 + C00001</t>
  </si>
  <si>
    <t>C00122 * C00001</t>
  </si>
  <si>
    <t>C00417 + C00001</t>
  </si>
  <si>
    <t>C00417 * C00001</t>
  </si>
  <si>
    <t>C02631 + C00001</t>
  </si>
  <si>
    <t>C02631 * C00001</t>
  </si>
  <si>
    <t>C11907 + C00001</t>
  </si>
  <si>
    <t>C11907 * C00001</t>
  </si>
  <si>
    <t>C00166 + C00001 + C00011</t>
  </si>
  <si>
    <t>C00166 * C00001 * C00011</t>
  </si>
  <si>
    <t>C00079 + C00001 + C00011</t>
  </si>
  <si>
    <t>C00079 * C00001 * C00011</t>
  </si>
  <si>
    <t>C00693 + C00001</t>
  </si>
  <si>
    <t>C00693 * C00001</t>
  </si>
  <si>
    <t>C04246 + C00001</t>
  </si>
  <si>
    <t>C04246 * C00001</t>
  </si>
  <si>
    <t>C05754 + C00001</t>
  </si>
  <si>
    <t>C05754 * C00001</t>
  </si>
  <si>
    <t>C05751 + C00001</t>
  </si>
  <si>
    <t>C05751 * C00001</t>
  </si>
  <si>
    <t>C05763 + C00001</t>
  </si>
  <si>
    <t>C05763 * C00001</t>
  </si>
  <si>
    <t>C05760 + C00001</t>
  </si>
  <si>
    <t>C05760 * C00001</t>
  </si>
  <si>
    <t>C05748 + C00001</t>
  </si>
  <si>
    <t>C05748 * C00001</t>
  </si>
  <si>
    <t>C05758 + C00001</t>
  </si>
  <si>
    <t>C05758 * C00001</t>
  </si>
  <si>
    <t>C20374 + C00001</t>
  </si>
  <si>
    <t>C20374 * C00001</t>
  </si>
  <si>
    <t>C20378 + C00001</t>
  </si>
  <si>
    <t>C20378 * C00001</t>
  </si>
  <si>
    <t>C00141 + C00001</t>
  </si>
  <si>
    <t>C00141 * C00001</t>
  </si>
  <si>
    <t>C00671 + C00001</t>
  </si>
  <si>
    <t>C00671 * C00001</t>
  </si>
  <si>
    <t>C01102 + C00001</t>
  </si>
  <si>
    <t>C01102 * C00001</t>
  </si>
  <si>
    <t>C00188 + C00009</t>
  </si>
  <si>
    <t>C00188 * C00009</t>
  </si>
  <si>
    <t>C06055 + C00001</t>
  </si>
  <si>
    <t>C06055 * C00001</t>
  </si>
  <si>
    <t>C06056 + C00009</t>
  </si>
  <si>
    <t>C06056 * C00009</t>
  </si>
  <si>
    <t>C00546 + C00009</t>
  </si>
  <si>
    <t>C00546 * C00009</t>
  </si>
  <si>
    <t>C00944 + C00009</t>
  </si>
  <si>
    <t>C00944 * C00009</t>
  </si>
  <si>
    <t>C00251 + C00009</t>
  </si>
  <si>
    <t>C00251 * C00009</t>
  </si>
  <si>
    <t>C00022 + C00014</t>
  </si>
  <si>
    <t>C00022 * C00014</t>
  </si>
  <si>
    <t>C06393 + C00001</t>
  </si>
  <si>
    <t>C06393 * C00001</t>
  </si>
  <si>
    <t>C02218 + C00001</t>
  </si>
  <si>
    <t>C02218 * C00001</t>
  </si>
  <si>
    <t>C00161 + C00014</t>
  </si>
  <si>
    <t>C00161 * C00014</t>
  </si>
  <si>
    <t>C20904 + C00001</t>
  </si>
  <si>
    <t>C20904 * C00001</t>
  </si>
  <si>
    <t>C00109 + C00014</t>
  </si>
  <si>
    <t>C00109 * C00014</t>
  </si>
  <si>
    <t>C20905 + C00001</t>
  </si>
  <si>
    <t>C20905 * C00001</t>
  </si>
  <si>
    <t>C00084 + C00014</t>
  </si>
  <si>
    <t>C00084 * C00014</t>
  </si>
  <si>
    <t>C11823 + C00014</t>
  </si>
  <si>
    <t>C11823 * C00014</t>
  </si>
  <si>
    <t>C00122 + C00062</t>
  </si>
  <si>
    <t>C00122 * C00062</t>
  </si>
  <si>
    <t>C04916 + C00014</t>
  </si>
  <si>
    <t>C04916 * C00014</t>
  </si>
  <si>
    <t>C04677 + C04666 + C00001</t>
  </si>
  <si>
    <t>C04677 * C04666 * C00001</t>
  </si>
  <si>
    <t>C04916 + C00064</t>
  </si>
  <si>
    <t>C04916 * C00064</t>
  </si>
  <si>
    <t>C04666 + C04677 + C00025</t>
  </si>
  <si>
    <t>C04666 * C04677 * C00025</t>
  </si>
  <si>
    <t>C00122 + C00020</t>
  </si>
  <si>
    <t>C00122 * C00020</t>
  </si>
  <si>
    <t>C00122 + C04677</t>
  </si>
  <si>
    <t>C00122 * C04677</t>
  </si>
  <si>
    <t>C22441 + C00122</t>
  </si>
  <si>
    <t>C22441 * C00122</t>
  </si>
  <si>
    <t>C00441 + C00022</t>
  </si>
  <si>
    <t>C00441 * C00022</t>
  </si>
  <si>
    <t>C20258 + C00001</t>
  </si>
  <si>
    <t>C20258 * C00001</t>
  </si>
  <si>
    <t>C00097 + C00001</t>
  </si>
  <si>
    <t>C00097 * C00001</t>
  </si>
  <si>
    <t>C00283 + C00022 + C00014</t>
  </si>
  <si>
    <t>C00283 * C00022 * C00014</t>
  </si>
  <si>
    <t>C00491 + C00001</t>
  </si>
  <si>
    <t>C00491 * C00001</t>
  </si>
  <si>
    <t>C00022 + C00014 + C01962</t>
  </si>
  <si>
    <t>C00022 * C00014 * C01962</t>
  </si>
  <si>
    <t>C02291 + C00001</t>
  </si>
  <si>
    <t>C02291 * C00001</t>
  </si>
  <si>
    <t>C00155 + C00014 + C00022</t>
  </si>
  <si>
    <t>C00155 * C00014 * C00022</t>
  </si>
  <si>
    <t>C02749 + C00001</t>
  </si>
  <si>
    <t>C02749 * C00001</t>
  </si>
  <si>
    <t>C00812 + C00014 + C00022</t>
  </si>
  <si>
    <t>C00812 * C00014 * C00022</t>
  </si>
  <si>
    <t>C02882 + C00001</t>
  </si>
  <si>
    <t>C02882 * C00001</t>
  </si>
  <si>
    <t>C00145 + C00014 + C00022</t>
  </si>
  <si>
    <t>C00145 * C00014 * C00022</t>
  </si>
  <si>
    <t>C01336 + C00014 + C00022</t>
  </si>
  <si>
    <t>C01336 * C00014 * C00022</t>
  </si>
  <si>
    <t>C05689 + C00001</t>
  </si>
  <si>
    <t>C05689 * C00001</t>
  </si>
  <si>
    <t>C00022 + C00014 + C05703</t>
  </si>
  <si>
    <t>C00022 * C00014 * C05703</t>
  </si>
  <si>
    <t>C05699 + C00001</t>
  </si>
  <si>
    <t>C05699 * C00001</t>
  </si>
  <si>
    <t>C05698 + C00014 + C00022</t>
  </si>
  <si>
    <t>C05698 * C00014 * C00022</t>
  </si>
  <si>
    <t>C11838 + C00155</t>
  </si>
  <si>
    <t>C11838 * C00155</t>
  </si>
  <si>
    <t>C11453 + C00055</t>
  </si>
  <si>
    <t>C11453 * C00055</t>
  </si>
  <si>
    <t>C21310 + C00001</t>
  </si>
  <si>
    <t>C21310 * C00001</t>
  </si>
  <si>
    <t>C18239 + C00013</t>
  </si>
  <si>
    <t>C18239 * C00013</t>
  </si>
  <si>
    <t>C00043 + C00001</t>
  </si>
  <si>
    <t>C00043 * C00001</t>
  </si>
  <si>
    <t>C00645 + C00015</t>
  </si>
  <si>
    <t>C00645 * C00015</t>
  </si>
  <si>
    <t>C01170 + C00001</t>
  </si>
  <si>
    <t>C01170 * C00001</t>
  </si>
  <si>
    <t>C00002 + C00082 + C00787</t>
  </si>
  <si>
    <t>C00002 * C00082 * C00787</t>
  </si>
  <si>
    <t>C00020 + C00013 + C02839</t>
  </si>
  <si>
    <t>C00020 * C00013 * C02839</t>
  </si>
  <si>
    <t>C00002 + C00073 + C01647</t>
  </si>
  <si>
    <t>C00002 * C00073 * C01647</t>
  </si>
  <si>
    <t>C00020 + C00013 + C02430</t>
  </si>
  <si>
    <t>C00020 * C00013 * C02430</t>
  </si>
  <si>
    <t>C00002 + C05335 + C01647</t>
  </si>
  <si>
    <t>C00002 * C05335 * C01647</t>
  </si>
  <si>
    <t>C00020 + C00013 + C05336</t>
  </si>
  <si>
    <t>C00020 * C00013 * C05336</t>
  </si>
  <si>
    <t>C00002 + C00065 + C01650</t>
  </si>
  <si>
    <t>C00002 * C00065 * C01650</t>
  </si>
  <si>
    <t>C00020 + C00013 + C02553</t>
  </si>
  <si>
    <t>C00020 * C00013 * C02553</t>
  </si>
  <si>
    <t>C00002 + C00065 + C16636</t>
  </si>
  <si>
    <t>C00002 * C00065 * C16636</t>
  </si>
  <si>
    <t>C00020 + C00013 + C06481</t>
  </si>
  <si>
    <t>C00020 * C00013 * C06481</t>
  </si>
  <si>
    <t>C01638 + C00049 + C00002</t>
  </si>
  <si>
    <t>C01638 * C00049 * C00002</t>
  </si>
  <si>
    <t>C02984 + C00013 + C00020</t>
  </si>
  <si>
    <t>C02984 * C00013 * C00020</t>
  </si>
  <si>
    <t>C00002 + C00133 + C00653</t>
  </si>
  <si>
    <t>C00002 * C00133 * C00653</t>
  </si>
  <si>
    <t>C00020 + C00013 + C04260</t>
  </si>
  <si>
    <t>C00020 * C00013 * C04260</t>
  </si>
  <si>
    <t>C00002 + C00133 + G13167</t>
  </si>
  <si>
    <t>C00002 * C00133 * G13167</t>
  </si>
  <si>
    <t>C00020 + C00013 + G13180</t>
  </si>
  <si>
    <t>C00020 * C00013 * G13180</t>
  </si>
  <si>
    <t>C00002 + C00133 + G13170</t>
  </si>
  <si>
    <t>C00002 * C00133 * G13170</t>
  </si>
  <si>
    <t>C00020 + C00013 + G13171</t>
  </si>
  <si>
    <t>C00020 * C00013 * G13171</t>
  </si>
  <si>
    <t>C00002 + C00133 + G13174</t>
  </si>
  <si>
    <t>C00002 * C00133 * G13174</t>
  </si>
  <si>
    <t>C00020 + C00013 + G13175</t>
  </si>
  <si>
    <t>C00020 * C00013 * G13175</t>
  </si>
  <si>
    <t>C00002 + C00133 + G13176</t>
  </si>
  <si>
    <t>C00002 * C00133 * G13176</t>
  </si>
  <si>
    <t>C00020 + C00013 + G13177</t>
  </si>
  <si>
    <t>C00020 * C00013 * G13177</t>
  </si>
  <si>
    <t>C00002 + C00133 + G13178</t>
  </si>
  <si>
    <t>C00002 * C00133 * G13178</t>
  </si>
  <si>
    <t>C00020 + C00013 + G13179</t>
  </si>
  <si>
    <t>C00020 * C00013 * G13179</t>
  </si>
  <si>
    <t>C00002 + C00133 + G13185</t>
  </si>
  <si>
    <t>C00002 * C00133 * G13185</t>
  </si>
  <si>
    <t>C00020 + C00013 + G13186</t>
  </si>
  <si>
    <t>C00020 * C00013 * G13186</t>
  </si>
  <si>
    <t>C00002 + C00133 + G13192</t>
  </si>
  <si>
    <t>C00002 * C00133 * G13192</t>
  </si>
  <si>
    <t>C00020 + C00013 + G13193</t>
  </si>
  <si>
    <t>C00020 * C00013 * G13193</t>
  </si>
  <si>
    <t>C00002 + C00037 + C01642</t>
  </si>
  <si>
    <t>C00002 * C00037 * C01642</t>
  </si>
  <si>
    <t>C00020 + C00013 + C02412</t>
  </si>
  <si>
    <t>C00020 * C00013 * C02412</t>
  </si>
  <si>
    <t>C00002 + C00148 + C01649</t>
  </si>
  <si>
    <t>C00002 * C00148 * C01649</t>
  </si>
  <si>
    <t>C00020 + C00013 + C02702</t>
  </si>
  <si>
    <t>C00020 * C00013 * C02702</t>
  </si>
  <si>
    <t>C00002 + C00097 + C01639</t>
  </si>
  <si>
    <t>C00002 * C00097 * C01639</t>
  </si>
  <si>
    <t>C00020 + C00013 + C03125</t>
  </si>
  <si>
    <t>C00020 * C00013 * C03125</t>
  </si>
  <si>
    <t>C01641 + C00025 + C00002</t>
  </si>
  <si>
    <t>C01641 * C00025 * C00002</t>
  </si>
  <si>
    <t>C02987 + C00013 + C00020</t>
  </si>
  <si>
    <t>C02987 * C00013 * C00020</t>
  </si>
  <si>
    <t>C00002 + C00062 + C01636</t>
  </si>
  <si>
    <t>C00002 * C00062 * C01636</t>
  </si>
  <si>
    <t>C00020 + C00013 + C02163</t>
  </si>
  <si>
    <t>C00020 * C00013 * C02163</t>
  </si>
  <si>
    <t>C00002 + C00078 + C01652</t>
  </si>
  <si>
    <t>C00002 * C00078 * C01652</t>
  </si>
  <si>
    <t>C00020 + C00013 + C03512</t>
  </si>
  <si>
    <t>C00020 * C00013 * C03512</t>
  </si>
  <si>
    <t>C00002 + C00079 + C01648</t>
  </si>
  <si>
    <t>C00002 * C00079 * C01648</t>
  </si>
  <si>
    <t>C00020 + C00013 + C03511</t>
  </si>
  <si>
    <t>C00020 * C00013 * C03511</t>
  </si>
  <si>
    <t>C00002 + C00135 + C01643</t>
  </si>
  <si>
    <t>C00002 * C00135 * C01643</t>
  </si>
  <si>
    <t>C00020 + C00013 + C02988</t>
  </si>
  <si>
    <t>C00020 * C00013 * C02988</t>
  </si>
  <si>
    <t>C00002 + C00152 + C01637</t>
  </si>
  <si>
    <t>C00002 * C00152 * C01637</t>
  </si>
  <si>
    <t>C00020 + C00013 + C03402</t>
  </si>
  <si>
    <t>C00020 * C00013 * C03402</t>
  </si>
  <si>
    <t>C00002 + C00188 + C01651</t>
  </si>
  <si>
    <t>C00002 * C00188 * C01651</t>
  </si>
  <si>
    <t>C00020 + C00013 + C02992</t>
  </si>
  <si>
    <t>C00020 * C00013 * C02992</t>
  </si>
  <si>
    <t>C00002 + C00123 + C01645</t>
  </si>
  <si>
    <t>C00002 * C00123 * C01645</t>
  </si>
  <si>
    <t>C00020 + C00013 + C02047</t>
  </si>
  <si>
    <t>C00020 * C00013 * C02047</t>
  </si>
  <si>
    <t>C00002 + C00407 + C01644</t>
  </si>
  <si>
    <t>C00002 * C00407 * C01644</t>
  </si>
  <si>
    <t>C00020 + C00013 + C03127</t>
  </si>
  <si>
    <t>C00020 * C00013 * C03127</t>
  </si>
  <si>
    <t>C00002 + C00047 + C01646</t>
  </si>
  <si>
    <t>C00002 * C00047 * C01646</t>
  </si>
  <si>
    <t>C00020 + C00013 + C01931</t>
  </si>
  <si>
    <t>C00020 * C00013 * C01931</t>
  </si>
  <si>
    <t>C00002 + C00041 + C01635</t>
  </si>
  <si>
    <t>C00002 * C00041 * C01635</t>
  </si>
  <si>
    <t>C00020 + C00013 + C00886</t>
  </si>
  <si>
    <t>C00020 * C00013 * C00886</t>
  </si>
  <si>
    <t>C00002 + C00183 + C01653</t>
  </si>
  <si>
    <t>C00002 * C00183 * C01653</t>
  </si>
  <si>
    <t>C00020 + C00013 + C02554</t>
  </si>
  <si>
    <t>C00020 * C00013 * C02554</t>
  </si>
  <si>
    <t>C00002 + C00049 + C00014</t>
  </si>
  <si>
    <t>C00002 * C00049 * C00014</t>
  </si>
  <si>
    <t>C00020 + C00013 + C00152</t>
  </si>
  <si>
    <t>C00020 * C00013 * C00152</t>
  </si>
  <si>
    <t>C00002 + C00025 + C00014</t>
  </si>
  <si>
    <t>C00002 * C00025 * C00014</t>
  </si>
  <si>
    <t>C00008 + C00009 + C00064</t>
  </si>
  <si>
    <t>C00008 * C00009 * C00064</t>
  </si>
  <si>
    <t>C00002 + C00857 + C00014</t>
  </si>
  <si>
    <t>C00002 * C00857 * C00014</t>
  </si>
  <si>
    <t>C00020 + C00013 + C00003</t>
  </si>
  <si>
    <t>C00020 * C00013 * C00003</t>
  </si>
  <si>
    <t>C00002 + C00522 + C00099</t>
  </si>
  <si>
    <t>C00002 * C00522 * C00099</t>
  </si>
  <si>
    <t>C00020 + C00013 + C00864</t>
  </si>
  <si>
    <t>C00020 * C00013 * C00864</t>
  </si>
  <si>
    <t>C00002 + C04877 + C00993</t>
  </si>
  <si>
    <t>C00002 * C04877 * C00993</t>
  </si>
  <si>
    <t>C00008 + C00009 + C04882</t>
  </si>
  <si>
    <t>C00008 * C00009 * C04882</t>
  </si>
  <si>
    <t>C00002 + C05892 + C00993</t>
  </si>
  <si>
    <t>C00002 * C05892 * C00993</t>
  </si>
  <si>
    <t>C00008 + C00009 + C04702</t>
  </si>
  <si>
    <t>C00008 * C00009 * C04702</t>
  </si>
  <si>
    <t>C00002 + C00692 + C00680</t>
  </si>
  <si>
    <t>C00002 * C00692 * C00680</t>
  </si>
  <si>
    <t>C00008 + C00009 + C04877</t>
  </si>
  <si>
    <t>C00008 * C00009 * C04877</t>
  </si>
  <si>
    <t>C00133 + C00740 + C00002</t>
  </si>
  <si>
    <t>C00133 * C00740 * C00002</t>
  </si>
  <si>
    <t>C19719 + C00008 + C00009</t>
  </si>
  <si>
    <t>C19719 * C00008 * C00009</t>
  </si>
  <si>
    <t>C00002 + C00133</t>
  </si>
  <si>
    <t>C00002 * C00133</t>
  </si>
  <si>
    <t>C00008 + C00009 + C00993</t>
  </si>
  <si>
    <t>C00008 * C00009 * C00993</t>
  </si>
  <si>
    <t>C00063 + C03492 + C00097</t>
  </si>
  <si>
    <t>C00063 * C03492 * C00097</t>
  </si>
  <si>
    <t>C00055 + C00013 + C04352</t>
  </si>
  <si>
    <t>C00055 * C00013 * C04352</t>
  </si>
  <si>
    <t>C00002 + C04751 + C00049</t>
  </si>
  <si>
    <t>C00002 * C04751 * C00049</t>
  </si>
  <si>
    <t>C00008 + C00009 + C04823</t>
  </si>
  <si>
    <t>C00008 * C00009 * C04823</t>
  </si>
  <si>
    <t>C00002 + C01050 + C00041</t>
  </si>
  <si>
    <t>C00002 * C01050 * C00041</t>
  </si>
  <si>
    <t>C00008 + C00009 + C01212</t>
  </si>
  <si>
    <t>C00008 * C00009 * C01212</t>
  </si>
  <si>
    <t>C00002 + C01212 + C00217</t>
  </si>
  <si>
    <t>C00002 * C01212 * C00217</t>
  </si>
  <si>
    <t>C00008 + C00009 + C00692</t>
  </si>
  <si>
    <t>C00008 * C00009 * C00692</t>
  </si>
  <si>
    <t>C00002 + C04640</t>
  </si>
  <si>
    <t>C00002 * C04640</t>
  </si>
  <si>
    <t>C00008 + C00009 + C03373</t>
  </si>
  <si>
    <t>C00008 * C00009 * C03373</t>
  </si>
  <si>
    <t>C00002 + C03479 + C00080</t>
  </si>
  <si>
    <t>C00002 * C03479 * C00080</t>
  </si>
  <si>
    <t>C00008 + C00009 + C00445</t>
  </si>
  <si>
    <t>C00008 * C00009 * C00445</t>
  </si>
  <si>
    <t>C00002 + C03090 + C00037</t>
  </si>
  <si>
    <t>C00002 * C03090 * C00037</t>
  </si>
  <si>
    <t>C00008 + C00009 + C03838</t>
  </si>
  <si>
    <t>C00008 * C00009 * C03838</t>
  </si>
  <si>
    <t>C00002 + C06250 + C00288</t>
  </si>
  <si>
    <t>C00002 * C06250 * C00288</t>
  </si>
  <si>
    <t>C00008 + C00009 + C04419</t>
  </si>
  <si>
    <t>C00008 * C00009 * C04419</t>
  </si>
  <si>
    <t>C00002 + C00120</t>
  </si>
  <si>
    <t>C00002 * C00120</t>
  </si>
  <si>
    <t>C00013 + C05921</t>
  </si>
  <si>
    <t>C00013 * C05921</t>
  </si>
  <si>
    <t>C00002 + C00120 + C04735</t>
  </si>
  <si>
    <t>C00002 * C00120 * C04735</t>
  </si>
  <si>
    <t>C00020 + C00013 + C04681</t>
  </si>
  <si>
    <t>C00020 * C00013 * C04681</t>
  </si>
  <si>
    <t>C05921 + C06249</t>
  </si>
  <si>
    <t>C05921 * C06249</t>
  </si>
  <si>
    <t>C00020 + C06250</t>
  </si>
  <si>
    <t>C00020 * C06250</t>
  </si>
  <si>
    <t>C19722 + C00047 + C00002</t>
  </si>
  <si>
    <t>C19722 * C00047 * C00002</t>
  </si>
  <si>
    <t>C19723 + C00020 + C00013 + C00001</t>
  </si>
  <si>
    <t>C19723 * C00020 * C00013 * C00001</t>
  </si>
  <si>
    <t>C01185 + C00013 + C00008 + C00009</t>
  </si>
  <si>
    <t>C01185 * C00013 * C00008 * C00009</t>
  </si>
  <si>
    <t>C00253 + C00119 + C00002 + C00001 + C00080</t>
  </si>
  <si>
    <t>C00253 * C00119 * C00002 * C00001 * C00080</t>
  </si>
  <si>
    <t>C00101 + C00058 + C00002</t>
  </si>
  <si>
    <t>C00101 * C00058 * C00002</t>
  </si>
  <si>
    <t>C00008 + C00009 + C00234</t>
  </si>
  <si>
    <t>C00008 * C00009 * C00234</t>
  </si>
  <si>
    <t>C00044 + C00130 + C00049</t>
  </si>
  <si>
    <t>C00044 * C00130 * C00049</t>
  </si>
  <si>
    <t>C00035 + C00009 + C03794</t>
  </si>
  <si>
    <t>C00035 * C00009 * C03794</t>
  </si>
  <si>
    <t>C00002 + C00327 + C00049</t>
  </si>
  <si>
    <t>C00002 * C00327 * C00049</t>
  </si>
  <si>
    <t>C00020 + C00013 + C03406</t>
  </si>
  <si>
    <t>C00020 * C00013 * C03406</t>
  </si>
  <si>
    <t>C00002 + C00655 + C00014</t>
  </si>
  <si>
    <t>C00002 * C00655 * C00014</t>
  </si>
  <si>
    <t>C00020 + C00013 + C00144</t>
  </si>
  <si>
    <t>C00020 * C00013 * C00144</t>
  </si>
  <si>
    <t>C00002 + C00655 + C00064 + C00001</t>
  </si>
  <si>
    <t>C00002 * C00655 * C00064 * C00001</t>
  </si>
  <si>
    <t>C00020 + C00013 + C00144 + C00025</t>
  </si>
  <si>
    <t>C00020 * C00013 * C00144 * C00025</t>
  </si>
  <si>
    <t>C16618 + C00002 + C00064 + C00001</t>
  </si>
  <si>
    <t>C16618 * C00002 * C00064 * C00001</t>
  </si>
  <si>
    <t>C16619 + C00020 + C00013 + C00025</t>
  </si>
  <si>
    <t>C16619 * C00020 * C00013 * C00025</t>
  </si>
  <si>
    <t>C00002 + C04376 + C00064 + C00001</t>
  </si>
  <si>
    <t>C00002 * C04376 * C00064 * C00001</t>
  </si>
  <si>
    <t>C00008 + C00009 + C04640 + C00025</t>
  </si>
  <si>
    <t>C00008 * C00009 * C04640 * C00025</t>
  </si>
  <si>
    <t>C00002 + C00049 + C00064 + C00001</t>
  </si>
  <si>
    <t>C00002 * C00049 * C00064 * C00001</t>
  </si>
  <si>
    <t>C00020 + C00013 + C00152 + C00025</t>
  </si>
  <si>
    <t>C00020 * C00013 * C00152 * C00025</t>
  </si>
  <si>
    <t>C00002 + C00064 + C00288 + C00001</t>
  </si>
  <si>
    <t>C00002 * C00064 * C00288 * C00001</t>
  </si>
  <si>
    <t>C00008 + C00009 + C00025 + C00169</t>
  </si>
  <si>
    <t>C00008 * C00009 * C00025 * C00169</t>
  </si>
  <si>
    <t>C00002 + C00288</t>
  </si>
  <si>
    <t>C00002 * C00288</t>
  </si>
  <si>
    <t>C00008 + C20969</t>
  </si>
  <si>
    <t>C00008 * C20969</t>
  </si>
  <si>
    <t>C00002 + C00288 + C00014</t>
  </si>
  <si>
    <t>C00002 * C00288 * C00014</t>
  </si>
  <si>
    <t>C00008 + C00009 + C00169</t>
  </si>
  <si>
    <t>C00008 * C00009 * C00169</t>
  </si>
  <si>
    <t>C00002 + C01563</t>
  </si>
  <si>
    <t>C00002 * C01563</t>
  </si>
  <si>
    <t>C00008 + C00169</t>
  </si>
  <si>
    <t>C00008 * C00169</t>
  </si>
  <si>
    <t>C00014 + C20969</t>
  </si>
  <si>
    <t>C00014 * C20969</t>
  </si>
  <si>
    <t>C01563 + C00009</t>
  </si>
  <si>
    <t>C01563 * C00009</t>
  </si>
  <si>
    <t>C00002 + C00022 + C00288</t>
  </si>
  <si>
    <t>C00002 * C00022 * C00288</t>
  </si>
  <si>
    <t>C00008 + C00009 + C00036</t>
  </si>
  <si>
    <t>C00008 * C00009 * C00036</t>
  </si>
  <si>
    <t>C00002 + C00024 + C00288</t>
  </si>
  <si>
    <t>C00002 * C00024 * C00288</t>
  </si>
  <si>
    <t>C00008 + C00009 + C00083</t>
  </si>
  <si>
    <t>C00008 * C00009 * C00083</t>
  </si>
  <si>
    <t>C00003 + C00039 + C02128</t>
  </si>
  <si>
    <t>C00003 * C00039 * C02128</t>
  </si>
  <si>
    <t>C00020 + C00455 + C00039</t>
  </si>
  <si>
    <t>C00020 * C00455 * C00039</t>
  </si>
  <si>
    <t>C00002 + C00001</t>
  </si>
  <si>
    <t>C00002 * C00001</t>
  </si>
  <si>
    <t>C00008 + C00009</t>
  </si>
  <si>
    <t>C00008 * C00009</t>
  </si>
  <si>
    <t>Acetate</t>
  </si>
  <si>
    <t>Butanoate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</si>
</sst>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8"/>
      <color rgb="FF5B616B"/>
      <name val="Aptos Narrow"/>
      <family val="2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rgb="FFF1F1F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40">
    <xf numFmtId="0" fontId="0" fillId="0" borderId="0" xfId="0"/>
    <xf numFmtId="0" fontId="19" fillId="0" borderId="0" xfId="0" applyFont="1" applyAlignment="1">
      <alignment vertical="top"/>
    </xf>
    <xf numFmtId="0" fontId="19" fillId="0" borderId="10" xfId="0" applyFont="1" applyBorder="1" applyAlignment="1">
      <alignment horizontal="left" vertical="top" wrapText="1"/>
    </xf>
    <xf numFmtId="0" fontId="19" fillId="0" borderId="10" xfId="0" applyFont="1" applyBorder="1" applyAlignment="1">
      <alignment vertical="top" wrapText="1"/>
    </xf>
    <xf numFmtId="0" fontId="19" fillId="0" borderId="0" xfId="0" applyFont="1" applyAlignment="1">
      <alignment horizontal="left" vertical="top" wrapText="1"/>
    </xf>
    <xf numFmtId="0" fontId="19" fillId="0" borderId="0" xfId="0" applyFont="1" applyAlignment="1">
      <alignment horizontal="center" vertical="center"/>
    </xf>
    <xf numFmtId="0" fontId="16" fillId="0" borderId="0" xfId="0" applyFont="1"/>
    <xf numFmtId="0" fontId="20" fillId="0" borderId="0" xfId="0" applyFont="1" applyAlignment="1">
      <alignment wrapText="1"/>
    </xf>
    <xf numFmtId="0" fontId="16" fillId="33" borderId="11" xfId="0" applyFont="1" applyFill="1" applyBorder="1" applyAlignment="1">
      <alignment vertical="center" wrapText="1"/>
    </xf>
    <xf numFmtId="0" fontId="0" fillId="0" borderId="0" xfId="0" applyAlignment="1">
      <alignment wrapText="1"/>
    </xf>
    <xf numFmtId="0" fontId="0" fillId="33" borderId="0" xfId="0" applyFill="1" applyAlignment="1">
      <alignment vertical="center" wrapText="1"/>
    </xf>
    <xf numFmtId="0" fontId="16" fillId="0" borderId="0" xfId="0" applyFont="1" applyAlignment="1">
      <alignment wrapText="1"/>
    </xf>
    <xf numFmtId="0" fontId="14" fillId="0" borderId="0" xfId="0" applyFont="1" applyAlignment="1">
      <alignment wrapText="1"/>
    </xf>
    <xf numFmtId="0" fontId="18" fillId="0" borderId="0" xfId="42"/>
    <xf numFmtId="0" fontId="21" fillId="0" borderId="10" xfId="0" applyFont="1" applyBorder="1" applyAlignment="1">
      <alignment horizontal="left" vertical="center" wrapText="1" indent="1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16" fillId="34" borderId="0" xfId="0" applyFont="1" applyFill="1"/>
    <xf numFmtId="0" fontId="0" fillId="34" borderId="0" xfId="0" applyFill="1"/>
    <xf numFmtId="0" fontId="16" fillId="35" borderId="0" xfId="0" applyFont="1" applyFill="1"/>
    <xf numFmtId="0" fontId="0" fillId="35" borderId="0" xfId="0" applyFill="1"/>
    <xf numFmtId="0" fontId="20" fillId="0" borderId="0" xfId="0" quotePrefix="1" applyFont="1" applyAlignment="1">
      <alignment wrapText="1"/>
    </xf>
    <xf numFmtId="0" fontId="16" fillId="36" borderId="0" xfId="0" applyFont="1" applyFill="1"/>
    <xf numFmtId="0" fontId="16" fillId="37" borderId="0" xfId="0" applyFont="1" applyFill="1"/>
    <xf numFmtId="0" fontId="16" fillId="38" borderId="0" xfId="0" applyFont="1" applyFill="1"/>
    <xf numFmtId="0" fontId="16" fillId="39" borderId="0" xfId="0" applyFont="1" applyFill="1" applyAlignment="1">
      <alignment wrapText="1"/>
    </xf>
    <xf numFmtId="0" fontId="16" fillId="40" borderId="0" xfId="0" applyFont="1" applyFill="1" applyAlignment="1">
      <alignment wrapText="1"/>
    </xf>
    <xf numFmtId="0" fontId="16" fillId="41" borderId="0" xfId="0" applyFont="1" applyFill="1"/>
    <xf numFmtId="0" fontId="16" fillId="42" borderId="0" xfId="0" applyFont="1" applyFill="1"/>
    <xf numFmtId="0" fontId="0" fillId="36" borderId="0" xfId="0" applyFill="1"/>
    <xf numFmtId="0" fontId="0" fillId="37" borderId="0" xfId="0" applyFill="1"/>
    <xf numFmtId="0" fontId="0" fillId="38" borderId="0" xfId="0" applyFill="1"/>
    <xf numFmtId="0" fontId="0" fillId="39" borderId="0" xfId="0" applyFill="1"/>
    <xf numFmtId="0" fontId="0" fillId="40" borderId="0" xfId="0" applyFill="1"/>
    <xf numFmtId="0" fontId="0" fillId="41" borderId="0" xfId="0" applyFill="1"/>
    <xf numFmtId="0" fontId="0" fillId="42" borderId="0" xfId="0" applyFill="1"/>
    <xf numFmtId="0" fontId="16" fillId="43" borderId="0" xfId="0" applyFont="1" applyFill="1" applyAlignment="1">
      <alignment wrapText="1"/>
    </xf>
    <xf numFmtId="0" fontId="0" fillId="43" borderId="0" xfId="0" applyFill="1" applyAlignment="1">
      <alignment wrapText="1"/>
    </xf>
    <xf numFmtId="0" fontId="18" fillId="0" borderId="0" xfId="42" applyFill="1" applyAlignment="1">
      <alignment vertical="top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Paper">
      <a:dk1>
        <a:sysClr val="windowText" lastClr="000000"/>
      </a:dk1>
      <a:lt1>
        <a:sysClr val="window" lastClr="FFFFFF"/>
      </a:lt1>
      <a:dk2>
        <a:srgbClr val="444D26"/>
      </a:dk2>
      <a:lt2>
        <a:srgbClr val="FEFAC9"/>
      </a:lt2>
      <a:accent1>
        <a:srgbClr val="A5B592"/>
      </a:accent1>
      <a:accent2>
        <a:srgbClr val="F3A447"/>
      </a:accent2>
      <a:accent3>
        <a:srgbClr val="E7BC29"/>
      </a:accent3>
      <a:accent4>
        <a:srgbClr val="D092A7"/>
      </a:accent4>
      <a:accent5>
        <a:srgbClr val="9C85C0"/>
      </a:accent5>
      <a:accent6>
        <a:srgbClr val="809EC2"/>
      </a:accent6>
      <a:hlink>
        <a:srgbClr val="8E58B6"/>
      </a:hlink>
      <a:folHlink>
        <a:srgbClr val="7F6F6F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ncbi.nlm.nih.gov/datasets/genome/GCF_000027105.1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C9AE3-DAA1-491A-BC74-9D36EB5CBDF4}">
  <dimension ref="A1:C27"/>
  <sheetViews>
    <sheetView tabSelected="1" zoomScale="111" workbookViewId="0">
      <selection activeCell="B1" sqref="B1"/>
    </sheetView>
  </sheetViews>
  <sheetFormatPr defaultRowHeight="14.25" x14ac:dyDescent="0.45"/>
  <cols>
    <col min="1" max="1" width="24.33203125" customWidth="1"/>
    <col min="2" max="2" width="17.19921875" customWidth="1"/>
    <col min="3" max="3" width="17.59765625" customWidth="1"/>
  </cols>
  <sheetData>
    <row r="1" spans="1:3" ht="14.65" thickBot="1" x14ac:dyDescent="0.5">
      <c r="A1" s="1" t="s">
        <v>10254</v>
      </c>
      <c r="B1" s="39" t="s">
        <v>10308</v>
      </c>
    </row>
    <row r="2" spans="1:3" ht="14.65" thickBot="1" x14ac:dyDescent="0.5">
      <c r="A2" s="2" t="s">
        <v>10255</v>
      </c>
      <c r="B2" s="1" t="s">
        <v>10309</v>
      </c>
    </row>
    <row r="3" spans="1:3" x14ac:dyDescent="0.45">
      <c r="A3" s="2" t="s">
        <v>10256</v>
      </c>
      <c r="B3" s="2" t="s">
        <v>10310</v>
      </c>
      <c r="C3" s="14"/>
    </row>
    <row r="4" spans="1:3" ht="14.65" thickBot="1" x14ac:dyDescent="0.5">
      <c r="A4" s="1" t="s">
        <v>10257</v>
      </c>
      <c r="B4" s="1"/>
    </row>
    <row r="5" spans="1:3" ht="14.65" thickBot="1" x14ac:dyDescent="0.5">
      <c r="A5" s="2" t="s">
        <v>10258</v>
      </c>
      <c r="B5" s="1" t="s">
        <v>10311</v>
      </c>
    </row>
    <row r="6" spans="1:3" x14ac:dyDescent="0.45">
      <c r="A6" s="3" t="s">
        <v>10259</v>
      </c>
      <c r="B6" s="13" t="s">
        <v>13</v>
      </c>
    </row>
    <row r="7" spans="1:3" x14ac:dyDescent="0.45">
      <c r="A7" s="4"/>
      <c r="B7" s="15" t="s">
        <v>10260</v>
      </c>
      <c r="C7" s="15" t="s">
        <v>10261</v>
      </c>
    </row>
    <row r="8" spans="1:3" x14ac:dyDescent="0.45">
      <c r="A8" s="4" t="s">
        <v>10262</v>
      </c>
      <c r="B8" s="15" t="s">
        <v>10312</v>
      </c>
      <c r="C8" s="15" t="s">
        <v>10312</v>
      </c>
    </row>
    <row r="9" spans="1:3" x14ac:dyDescent="0.45">
      <c r="A9" s="4" t="s">
        <v>10263</v>
      </c>
      <c r="B9" s="15" t="s">
        <v>10312</v>
      </c>
      <c r="C9" s="15" t="s">
        <v>10312</v>
      </c>
    </row>
    <row r="10" spans="1:3" x14ac:dyDescent="0.45">
      <c r="A10" s="4" t="s">
        <v>10264</v>
      </c>
      <c r="B10" s="15">
        <v>1</v>
      </c>
      <c r="C10" s="15">
        <v>1</v>
      </c>
    </row>
    <row r="11" spans="1:3" x14ac:dyDescent="0.45">
      <c r="A11" s="4" t="s">
        <v>10265</v>
      </c>
      <c r="B11" s="15">
        <v>1</v>
      </c>
      <c r="C11" s="15">
        <v>1</v>
      </c>
    </row>
    <row r="12" spans="1:3" x14ac:dyDescent="0.45">
      <c r="A12" s="4" t="s">
        <v>10266</v>
      </c>
      <c r="B12" s="15" t="s">
        <v>10312</v>
      </c>
      <c r="C12" s="15" t="s">
        <v>10312</v>
      </c>
    </row>
    <row r="13" spans="1:3" x14ac:dyDescent="0.45">
      <c r="A13" s="4" t="s">
        <v>10267</v>
      </c>
      <c r="B13" s="15">
        <v>1</v>
      </c>
      <c r="C13" s="15">
        <v>1</v>
      </c>
    </row>
    <row r="14" spans="1:3" x14ac:dyDescent="0.45">
      <c r="A14" s="4" t="s">
        <v>10268</v>
      </c>
      <c r="B14" s="15">
        <v>3</v>
      </c>
      <c r="C14" s="15">
        <v>3</v>
      </c>
    </row>
    <row r="15" spans="1:3" x14ac:dyDescent="0.45">
      <c r="A15" s="4" t="s">
        <v>10269</v>
      </c>
      <c r="B15" s="15" t="s">
        <v>10313</v>
      </c>
      <c r="C15" s="15" t="s">
        <v>10313</v>
      </c>
    </row>
    <row r="16" spans="1:3" x14ac:dyDescent="0.45">
      <c r="A16" s="4" t="s">
        <v>10270</v>
      </c>
      <c r="B16" s="15">
        <v>1</v>
      </c>
      <c r="C16" s="15">
        <v>1</v>
      </c>
    </row>
    <row r="17" spans="1:3" x14ac:dyDescent="0.45">
      <c r="A17" s="4" t="s">
        <v>10271</v>
      </c>
      <c r="B17" s="15">
        <v>29</v>
      </c>
      <c r="C17" s="15">
        <v>29</v>
      </c>
    </row>
    <row r="18" spans="1:3" x14ac:dyDescent="0.45">
      <c r="A18" s="4" t="s">
        <v>10272</v>
      </c>
      <c r="B18" s="5" t="s">
        <v>3</v>
      </c>
      <c r="C18" s="5" t="s">
        <v>3</v>
      </c>
    </row>
    <row r="19" spans="1:3" x14ac:dyDescent="0.45">
      <c r="A19" s="4" t="s">
        <v>10273</v>
      </c>
      <c r="B19" s="16">
        <v>3827</v>
      </c>
      <c r="C19" s="16">
        <v>3546</v>
      </c>
    </row>
    <row r="20" spans="1:3" x14ac:dyDescent="0.45">
      <c r="A20" s="4" t="s">
        <v>10274</v>
      </c>
      <c r="B20" s="16">
        <v>3680</v>
      </c>
      <c r="C20" s="16">
        <v>3508</v>
      </c>
    </row>
    <row r="21" spans="1:3" x14ac:dyDescent="0.45">
      <c r="B21" s="15"/>
      <c r="C21" s="15"/>
    </row>
    <row r="22" spans="1:3" x14ac:dyDescent="0.45">
      <c r="A22" s="4" t="s">
        <v>10275</v>
      </c>
      <c r="B22" s="15" t="s">
        <v>13</v>
      </c>
      <c r="C22" s="15" t="s">
        <v>10314</v>
      </c>
    </row>
    <row r="23" spans="1:3" x14ac:dyDescent="0.45">
      <c r="B23" s="15"/>
      <c r="C23" s="15"/>
    </row>
    <row r="24" spans="1:3" x14ac:dyDescent="0.45">
      <c r="B24" s="15"/>
      <c r="C24" s="15"/>
    </row>
    <row r="25" spans="1:3" x14ac:dyDescent="0.45">
      <c r="A25" t="s">
        <v>10276</v>
      </c>
      <c r="B25" s="15"/>
      <c r="C25" s="15"/>
    </row>
    <row r="26" spans="1:3" x14ac:dyDescent="0.45">
      <c r="A26" t="s">
        <v>10277</v>
      </c>
      <c r="B26" s="17">
        <v>0.98960000000000004</v>
      </c>
      <c r="C26" s="15"/>
    </row>
    <row r="27" spans="1:3" x14ac:dyDescent="0.45">
      <c r="A27" t="s">
        <v>10278</v>
      </c>
      <c r="B27" s="17">
        <v>3.5000000000000001E-3</v>
      </c>
      <c r="C27" s="15"/>
    </row>
  </sheetData>
  <hyperlinks>
    <hyperlink ref="B1" r:id="rId1" xr:uid="{971480F3-C6E4-404F-8AC0-F45A8CB8E102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C983E-9B2C-4329-8D8E-3CA7DC6A69C7}">
  <dimension ref="A1:M3828"/>
  <sheetViews>
    <sheetView workbookViewId="0">
      <selection activeCell="K1" sqref="K1"/>
    </sheetView>
  </sheetViews>
  <sheetFormatPr defaultRowHeight="14.25" x14ac:dyDescent="0.45"/>
  <cols>
    <col min="1" max="1" width="16.265625" customWidth="1"/>
    <col min="4" max="4" width="11.3984375" bestFit="1" customWidth="1"/>
    <col min="9" max="9" width="12.19921875" bestFit="1" customWidth="1"/>
    <col min="10" max="10" width="17.86328125" bestFit="1" customWidth="1"/>
    <col min="11" max="11" width="14.73046875" bestFit="1" customWidth="1"/>
    <col min="12" max="12" width="11.53125" bestFit="1" customWidth="1"/>
    <col min="13" max="13" width="17.19921875" bestFit="1" customWidth="1"/>
  </cols>
  <sheetData>
    <row r="1" spans="1:13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45">
      <c r="A2" t="s">
        <v>13</v>
      </c>
      <c r="B2">
        <v>1</v>
      </c>
      <c r="C2">
        <v>1320</v>
      </c>
      <c r="E2" t="s">
        <v>14</v>
      </c>
      <c r="F2" t="s">
        <v>15</v>
      </c>
      <c r="G2" t="s">
        <v>16</v>
      </c>
      <c r="H2">
        <v>0</v>
      </c>
      <c r="I2" t="s">
        <v>17</v>
      </c>
      <c r="K2" t="s">
        <v>18</v>
      </c>
      <c r="L2">
        <v>439</v>
      </c>
      <c r="M2" t="s">
        <v>19</v>
      </c>
    </row>
    <row r="3" spans="1:13" x14ac:dyDescent="0.45">
      <c r="A3" t="s">
        <v>13</v>
      </c>
      <c r="B3">
        <v>1562</v>
      </c>
      <c r="C3">
        <v>2668</v>
      </c>
      <c r="E3" t="s">
        <v>14</v>
      </c>
      <c r="F3" t="s">
        <v>20</v>
      </c>
      <c r="G3" t="s">
        <v>21</v>
      </c>
      <c r="H3">
        <v>0</v>
      </c>
      <c r="I3" t="s">
        <v>17</v>
      </c>
      <c r="K3" t="s">
        <v>22</v>
      </c>
      <c r="L3">
        <v>368</v>
      </c>
      <c r="M3" t="s">
        <v>23</v>
      </c>
    </row>
    <row r="4" spans="1:13" x14ac:dyDescent="0.45">
      <c r="A4" t="s">
        <v>13</v>
      </c>
      <c r="B4">
        <v>2805</v>
      </c>
      <c r="C4">
        <v>3011</v>
      </c>
      <c r="E4" t="s">
        <v>14</v>
      </c>
      <c r="F4" t="s">
        <v>24</v>
      </c>
      <c r="G4" t="s">
        <v>25</v>
      </c>
      <c r="H4">
        <v>0</v>
      </c>
      <c r="I4" t="s">
        <v>17</v>
      </c>
      <c r="K4" t="s">
        <v>26</v>
      </c>
      <c r="L4">
        <v>68</v>
      </c>
      <c r="M4" t="s">
        <v>27</v>
      </c>
    </row>
    <row r="5" spans="1:13" x14ac:dyDescent="0.45">
      <c r="A5" t="s">
        <v>13</v>
      </c>
      <c r="B5">
        <v>3029</v>
      </c>
      <c r="C5">
        <v>4144</v>
      </c>
      <c r="E5" t="s">
        <v>14</v>
      </c>
      <c r="F5" t="s">
        <v>28</v>
      </c>
      <c r="G5" t="s">
        <v>29</v>
      </c>
      <c r="H5">
        <v>0</v>
      </c>
      <c r="I5" t="s">
        <v>17</v>
      </c>
      <c r="K5" t="s">
        <v>30</v>
      </c>
      <c r="L5">
        <v>371</v>
      </c>
      <c r="M5" t="s">
        <v>31</v>
      </c>
    </row>
    <row r="6" spans="1:13" x14ac:dyDescent="0.45">
      <c r="A6" t="s">
        <v>13</v>
      </c>
      <c r="B6">
        <v>4145</v>
      </c>
      <c r="C6">
        <v>6046</v>
      </c>
      <c r="E6" t="s">
        <v>14</v>
      </c>
      <c r="F6" t="s">
        <v>32</v>
      </c>
      <c r="G6" t="s">
        <v>33</v>
      </c>
      <c r="H6">
        <v>0</v>
      </c>
      <c r="I6" t="s">
        <v>17</v>
      </c>
      <c r="K6" t="s">
        <v>34</v>
      </c>
      <c r="L6">
        <v>633</v>
      </c>
      <c r="M6" t="s">
        <v>35</v>
      </c>
    </row>
    <row r="7" spans="1:13" x14ac:dyDescent="0.45">
      <c r="A7" t="s">
        <v>13</v>
      </c>
      <c r="B7">
        <v>6066</v>
      </c>
      <c r="C7">
        <v>8492</v>
      </c>
      <c r="E7" t="s">
        <v>14</v>
      </c>
      <c r="F7" t="s">
        <v>36</v>
      </c>
      <c r="G7" t="s">
        <v>37</v>
      </c>
      <c r="H7">
        <v>0</v>
      </c>
      <c r="I7" t="s">
        <v>17</v>
      </c>
      <c r="K7" t="s">
        <v>38</v>
      </c>
      <c r="L7">
        <v>808</v>
      </c>
      <c r="M7" t="s">
        <v>39</v>
      </c>
    </row>
    <row r="8" spans="1:13" x14ac:dyDescent="0.45">
      <c r="A8" t="s">
        <v>13</v>
      </c>
      <c r="B8">
        <v>8561</v>
      </c>
      <c r="C8">
        <v>8857</v>
      </c>
      <c r="E8" t="s">
        <v>14</v>
      </c>
      <c r="F8" t="s">
        <v>40</v>
      </c>
      <c r="H8">
        <v>0</v>
      </c>
      <c r="I8" t="s">
        <v>17</v>
      </c>
      <c r="K8" t="s">
        <v>41</v>
      </c>
      <c r="L8">
        <v>98</v>
      </c>
      <c r="M8" t="s">
        <v>42</v>
      </c>
    </row>
    <row r="9" spans="1:13" x14ac:dyDescent="0.45">
      <c r="A9" t="s">
        <v>13</v>
      </c>
      <c r="B9">
        <v>8857</v>
      </c>
      <c r="C9">
        <v>9117</v>
      </c>
      <c r="E9" t="s">
        <v>14</v>
      </c>
      <c r="F9" t="s">
        <v>43</v>
      </c>
      <c r="H9">
        <v>0</v>
      </c>
      <c r="I9" t="s">
        <v>17</v>
      </c>
      <c r="K9" t="s">
        <v>44</v>
      </c>
      <c r="L9">
        <v>86</v>
      </c>
      <c r="M9" t="s">
        <v>45</v>
      </c>
    </row>
    <row r="10" spans="1:13" x14ac:dyDescent="0.45">
      <c r="A10" t="s">
        <v>13</v>
      </c>
      <c r="B10">
        <v>9129</v>
      </c>
      <c r="C10">
        <v>9446</v>
      </c>
      <c r="E10" t="s">
        <v>14</v>
      </c>
      <c r="F10" t="s">
        <v>46</v>
      </c>
      <c r="H10">
        <v>0</v>
      </c>
      <c r="I10" t="s">
        <v>17</v>
      </c>
      <c r="K10" t="s">
        <v>47</v>
      </c>
      <c r="L10">
        <v>105</v>
      </c>
      <c r="M10" t="s">
        <v>48</v>
      </c>
    </row>
    <row r="11" spans="1:13" x14ac:dyDescent="0.45">
      <c r="A11" t="s">
        <v>13</v>
      </c>
      <c r="B11">
        <v>9450</v>
      </c>
      <c r="C11">
        <v>9857</v>
      </c>
      <c r="E11" t="s">
        <v>14</v>
      </c>
      <c r="F11" t="s">
        <v>49</v>
      </c>
      <c r="H11">
        <v>0</v>
      </c>
      <c r="I11" t="s">
        <v>17</v>
      </c>
      <c r="K11" t="s">
        <v>50</v>
      </c>
      <c r="L11">
        <v>135</v>
      </c>
      <c r="M11" t="s">
        <v>51</v>
      </c>
    </row>
    <row r="12" spans="1:13" x14ac:dyDescent="0.45">
      <c r="A12" t="s">
        <v>13</v>
      </c>
      <c r="B12">
        <v>9857</v>
      </c>
      <c r="C12">
        <v>10630</v>
      </c>
      <c r="E12" t="s">
        <v>14</v>
      </c>
      <c r="F12" t="s">
        <v>52</v>
      </c>
      <c r="H12">
        <v>0</v>
      </c>
      <c r="I12" t="s">
        <v>17</v>
      </c>
      <c r="K12" t="s">
        <v>53</v>
      </c>
      <c r="L12">
        <v>257</v>
      </c>
      <c r="M12" t="s">
        <v>54</v>
      </c>
    </row>
    <row r="13" spans="1:13" x14ac:dyDescent="0.45">
      <c r="A13" t="s">
        <v>13</v>
      </c>
      <c r="B13">
        <v>10812</v>
      </c>
      <c r="C13">
        <v>12314</v>
      </c>
      <c r="E13" t="s">
        <v>14</v>
      </c>
      <c r="F13" t="s">
        <v>55</v>
      </c>
      <c r="H13">
        <v>0</v>
      </c>
      <c r="I13" t="s">
        <v>56</v>
      </c>
      <c r="M13" t="s">
        <v>57</v>
      </c>
    </row>
    <row r="14" spans="1:13" x14ac:dyDescent="0.45">
      <c r="A14" t="s">
        <v>13</v>
      </c>
      <c r="B14">
        <v>12598</v>
      </c>
      <c r="C14">
        <v>15495</v>
      </c>
      <c r="E14" t="s">
        <v>14</v>
      </c>
      <c r="F14" t="s">
        <v>58</v>
      </c>
      <c r="H14">
        <v>0</v>
      </c>
      <c r="I14" t="s">
        <v>56</v>
      </c>
      <c r="M14" t="s">
        <v>59</v>
      </c>
    </row>
    <row r="15" spans="1:13" x14ac:dyDescent="0.45">
      <c r="A15" t="s">
        <v>13</v>
      </c>
      <c r="B15">
        <v>15610</v>
      </c>
      <c r="C15">
        <v>15726</v>
      </c>
      <c r="E15" t="s">
        <v>14</v>
      </c>
      <c r="F15" t="s">
        <v>60</v>
      </c>
      <c r="G15" t="s">
        <v>61</v>
      </c>
      <c r="H15">
        <v>0</v>
      </c>
      <c r="I15" t="s">
        <v>56</v>
      </c>
      <c r="M15" t="s">
        <v>62</v>
      </c>
    </row>
    <row r="16" spans="1:13" x14ac:dyDescent="0.45">
      <c r="A16" t="s">
        <v>13</v>
      </c>
      <c r="B16">
        <v>15853</v>
      </c>
      <c r="C16">
        <v>16362</v>
      </c>
      <c r="E16" t="s">
        <v>14</v>
      </c>
      <c r="F16" t="s">
        <v>63</v>
      </c>
      <c r="H16">
        <v>0</v>
      </c>
      <c r="I16" t="s">
        <v>17</v>
      </c>
      <c r="K16" t="s">
        <v>64</v>
      </c>
      <c r="L16">
        <v>169</v>
      </c>
      <c r="M16" t="s">
        <v>65</v>
      </c>
    </row>
    <row r="17" spans="1:13" x14ac:dyDescent="0.45">
      <c r="A17" t="s">
        <v>13</v>
      </c>
      <c r="B17">
        <v>16374</v>
      </c>
      <c r="C17">
        <v>17255</v>
      </c>
      <c r="E17" t="s">
        <v>14</v>
      </c>
      <c r="F17" t="s">
        <v>66</v>
      </c>
      <c r="H17">
        <v>0</v>
      </c>
      <c r="I17" t="s">
        <v>17</v>
      </c>
      <c r="K17" t="s">
        <v>67</v>
      </c>
      <c r="L17">
        <v>293</v>
      </c>
      <c r="M17" t="s">
        <v>68</v>
      </c>
    </row>
    <row r="18" spans="1:13" x14ac:dyDescent="0.45">
      <c r="A18" t="s">
        <v>13</v>
      </c>
      <c r="B18">
        <v>17713</v>
      </c>
      <c r="C18">
        <v>18984</v>
      </c>
      <c r="E18" t="s">
        <v>14</v>
      </c>
      <c r="F18" t="s">
        <v>69</v>
      </c>
      <c r="G18" t="s">
        <v>70</v>
      </c>
      <c r="H18">
        <v>0</v>
      </c>
      <c r="I18" t="s">
        <v>17</v>
      </c>
      <c r="K18" t="s">
        <v>71</v>
      </c>
      <c r="L18">
        <v>423</v>
      </c>
      <c r="M18" t="s">
        <v>72</v>
      </c>
    </row>
    <row r="19" spans="1:13" x14ac:dyDescent="0.45">
      <c r="A19" t="s">
        <v>13</v>
      </c>
      <c r="B19">
        <v>19304</v>
      </c>
      <c r="C19">
        <v>19759</v>
      </c>
      <c r="E19" t="s">
        <v>14</v>
      </c>
      <c r="F19" t="s">
        <v>73</v>
      </c>
      <c r="H19">
        <v>0</v>
      </c>
      <c r="I19" t="s">
        <v>17</v>
      </c>
      <c r="K19" t="s">
        <v>74</v>
      </c>
      <c r="L19">
        <v>151</v>
      </c>
      <c r="M19" t="s">
        <v>75</v>
      </c>
    </row>
    <row r="20" spans="1:13" x14ac:dyDescent="0.45">
      <c r="A20" t="s">
        <v>13</v>
      </c>
      <c r="B20">
        <v>19760</v>
      </c>
      <c r="C20">
        <v>19851</v>
      </c>
      <c r="E20" t="s">
        <v>14</v>
      </c>
      <c r="F20" t="s">
        <v>76</v>
      </c>
      <c r="H20">
        <v>0</v>
      </c>
      <c r="I20" t="s">
        <v>77</v>
      </c>
      <c r="M20" t="s">
        <v>78</v>
      </c>
    </row>
    <row r="21" spans="1:13" x14ac:dyDescent="0.45">
      <c r="A21" t="s">
        <v>13</v>
      </c>
      <c r="B21">
        <v>19889</v>
      </c>
      <c r="C21">
        <v>20153</v>
      </c>
      <c r="E21" t="s">
        <v>14</v>
      </c>
      <c r="F21" t="s">
        <v>79</v>
      </c>
      <c r="G21" t="s">
        <v>80</v>
      </c>
      <c r="H21">
        <v>0</v>
      </c>
      <c r="I21" t="s">
        <v>81</v>
      </c>
      <c r="M21" t="s">
        <v>82</v>
      </c>
    </row>
    <row r="22" spans="1:13" x14ac:dyDescent="0.45">
      <c r="A22" t="s">
        <v>13</v>
      </c>
      <c r="B22">
        <v>20230</v>
      </c>
      <c r="C22">
        <v>21867</v>
      </c>
      <c r="E22" t="s">
        <v>14</v>
      </c>
      <c r="F22" t="s">
        <v>83</v>
      </c>
      <c r="G22" t="s">
        <v>84</v>
      </c>
      <c r="H22">
        <v>0</v>
      </c>
      <c r="I22" t="s">
        <v>17</v>
      </c>
      <c r="K22" t="s">
        <v>85</v>
      </c>
      <c r="L22">
        <v>545</v>
      </c>
      <c r="M22" t="s">
        <v>86</v>
      </c>
    </row>
    <row r="23" spans="1:13" x14ac:dyDescent="0.45">
      <c r="A23" t="s">
        <v>13</v>
      </c>
      <c r="B23">
        <v>21926</v>
      </c>
      <c r="C23">
        <v>22276</v>
      </c>
      <c r="E23" t="s">
        <v>14</v>
      </c>
      <c r="F23" t="s">
        <v>87</v>
      </c>
      <c r="H23">
        <v>0</v>
      </c>
      <c r="I23" t="s">
        <v>17</v>
      </c>
      <c r="K23" t="s">
        <v>88</v>
      </c>
      <c r="L23">
        <v>116</v>
      </c>
      <c r="M23" t="s">
        <v>89</v>
      </c>
    </row>
    <row r="24" spans="1:13" x14ac:dyDescent="0.45">
      <c r="A24" t="s">
        <v>13</v>
      </c>
      <c r="B24">
        <v>22289</v>
      </c>
      <c r="C24">
        <v>22888</v>
      </c>
      <c r="E24" t="s">
        <v>14</v>
      </c>
      <c r="F24" t="s">
        <v>90</v>
      </c>
      <c r="G24" t="s">
        <v>91</v>
      </c>
      <c r="H24">
        <v>0</v>
      </c>
      <c r="I24" t="s">
        <v>17</v>
      </c>
      <c r="K24" t="s">
        <v>92</v>
      </c>
      <c r="L24">
        <v>199</v>
      </c>
      <c r="M24" t="s">
        <v>93</v>
      </c>
    </row>
    <row r="25" spans="1:13" x14ac:dyDescent="0.45">
      <c r="A25" t="s">
        <v>13</v>
      </c>
      <c r="B25">
        <v>23029</v>
      </c>
      <c r="C25">
        <v>23250</v>
      </c>
      <c r="E25" t="s">
        <v>14</v>
      </c>
      <c r="F25" t="s">
        <v>43</v>
      </c>
      <c r="H25">
        <v>0</v>
      </c>
      <c r="I25" t="s">
        <v>17</v>
      </c>
      <c r="K25" t="s">
        <v>94</v>
      </c>
      <c r="L25">
        <v>73</v>
      </c>
      <c r="M25" t="s">
        <v>95</v>
      </c>
    </row>
    <row r="26" spans="1:13" x14ac:dyDescent="0.45">
      <c r="A26" t="s">
        <v>13</v>
      </c>
      <c r="B26">
        <v>23321</v>
      </c>
      <c r="C26">
        <v>24526</v>
      </c>
      <c r="E26" t="s">
        <v>96</v>
      </c>
      <c r="F26" t="s">
        <v>97</v>
      </c>
      <c r="H26">
        <v>0</v>
      </c>
      <c r="I26" t="s">
        <v>17</v>
      </c>
      <c r="K26" t="s">
        <v>98</v>
      </c>
      <c r="L26">
        <v>401</v>
      </c>
      <c r="M26" t="s">
        <v>99</v>
      </c>
    </row>
    <row r="27" spans="1:13" x14ac:dyDescent="0.45">
      <c r="A27" t="s">
        <v>13</v>
      </c>
      <c r="B27">
        <v>25034</v>
      </c>
      <c r="C27">
        <v>26536</v>
      </c>
      <c r="E27" t="s">
        <v>14</v>
      </c>
      <c r="F27" t="s">
        <v>55</v>
      </c>
      <c r="H27">
        <v>0</v>
      </c>
      <c r="I27" t="s">
        <v>56</v>
      </c>
      <c r="M27" t="s">
        <v>100</v>
      </c>
    </row>
    <row r="28" spans="1:13" x14ac:dyDescent="0.45">
      <c r="A28" t="s">
        <v>13</v>
      </c>
      <c r="B28">
        <v>26820</v>
      </c>
      <c r="C28">
        <v>29717</v>
      </c>
      <c r="E28" t="s">
        <v>14</v>
      </c>
      <c r="F28" t="s">
        <v>58</v>
      </c>
      <c r="H28">
        <v>0</v>
      </c>
      <c r="I28" t="s">
        <v>56</v>
      </c>
      <c r="M28" t="s">
        <v>101</v>
      </c>
    </row>
    <row r="29" spans="1:13" x14ac:dyDescent="0.45">
      <c r="A29" t="s">
        <v>13</v>
      </c>
      <c r="B29">
        <v>29899</v>
      </c>
      <c r="C29">
        <v>30015</v>
      </c>
      <c r="E29" t="s">
        <v>14</v>
      </c>
      <c r="F29" t="s">
        <v>60</v>
      </c>
      <c r="G29" t="s">
        <v>61</v>
      </c>
      <c r="H29">
        <v>0</v>
      </c>
      <c r="I29" t="s">
        <v>56</v>
      </c>
      <c r="M29" t="s">
        <v>102</v>
      </c>
    </row>
    <row r="30" spans="1:13" x14ac:dyDescent="0.45">
      <c r="A30" t="s">
        <v>13</v>
      </c>
      <c r="B30">
        <v>30022</v>
      </c>
      <c r="C30">
        <v>30096</v>
      </c>
      <c r="E30" t="s">
        <v>14</v>
      </c>
      <c r="F30" t="s">
        <v>103</v>
      </c>
      <c r="H30">
        <v>0</v>
      </c>
      <c r="I30" t="s">
        <v>77</v>
      </c>
      <c r="M30" t="s">
        <v>104</v>
      </c>
    </row>
    <row r="31" spans="1:13" x14ac:dyDescent="0.45">
      <c r="A31" t="s">
        <v>13</v>
      </c>
      <c r="B31">
        <v>30103</v>
      </c>
      <c r="C31">
        <v>30188</v>
      </c>
      <c r="E31" t="s">
        <v>14</v>
      </c>
      <c r="F31" t="s">
        <v>105</v>
      </c>
      <c r="H31">
        <v>0</v>
      </c>
      <c r="I31" t="s">
        <v>77</v>
      </c>
      <c r="M31" t="s">
        <v>106</v>
      </c>
    </row>
    <row r="32" spans="1:13" x14ac:dyDescent="0.45">
      <c r="A32" t="s">
        <v>13</v>
      </c>
      <c r="B32">
        <v>30204</v>
      </c>
      <c r="C32">
        <v>30279</v>
      </c>
      <c r="E32" t="s">
        <v>14</v>
      </c>
      <c r="F32" t="s">
        <v>107</v>
      </c>
      <c r="H32">
        <v>0</v>
      </c>
      <c r="I32" t="s">
        <v>77</v>
      </c>
      <c r="M32" t="s">
        <v>108</v>
      </c>
    </row>
    <row r="33" spans="1:13" x14ac:dyDescent="0.45">
      <c r="A33" t="s">
        <v>13</v>
      </c>
      <c r="B33">
        <v>30287</v>
      </c>
      <c r="C33">
        <v>30361</v>
      </c>
      <c r="E33" t="s">
        <v>14</v>
      </c>
      <c r="F33" t="s">
        <v>109</v>
      </c>
      <c r="H33">
        <v>0</v>
      </c>
      <c r="I33" t="s">
        <v>77</v>
      </c>
      <c r="M33" t="s">
        <v>110</v>
      </c>
    </row>
    <row r="34" spans="1:13" x14ac:dyDescent="0.45">
      <c r="A34" t="s">
        <v>13</v>
      </c>
      <c r="B34">
        <v>30371</v>
      </c>
      <c r="C34">
        <v>30444</v>
      </c>
      <c r="E34" t="s">
        <v>14</v>
      </c>
      <c r="F34" t="s">
        <v>111</v>
      </c>
      <c r="H34">
        <v>0</v>
      </c>
      <c r="I34" t="s">
        <v>77</v>
      </c>
      <c r="M34" t="s">
        <v>112</v>
      </c>
    </row>
    <row r="35" spans="1:13" x14ac:dyDescent="0.45">
      <c r="A35" t="s">
        <v>13</v>
      </c>
      <c r="B35">
        <v>30450</v>
      </c>
      <c r="C35">
        <v>30525</v>
      </c>
      <c r="E35" t="s">
        <v>14</v>
      </c>
      <c r="F35" t="s">
        <v>113</v>
      </c>
      <c r="H35">
        <v>0</v>
      </c>
      <c r="I35" t="s">
        <v>77</v>
      </c>
      <c r="M35" t="s">
        <v>114</v>
      </c>
    </row>
    <row r="36" spans="1:13" x14ac:dyDescent="0.45">
      <c r="A36" t="s">
        <v>13</v>
      </c>
      <c r="B36">
        <v>30531</v>
      </c>
      <c r="C36">
        <v>30607</v>
      </c>
      <c r="E36" t="s">
        <v>14</v>
      </c>
      <c r="F36" t="s">
        <v>115</v>
      </c>
      <c r="H36">
        <v>0</v>
      </c>
      <c r="I36" t="s">
        <v>77</v>
      </c>
      <c r="M36" t="s">
        <v>116</v>
      </c>
    </row>
    <row r="37" spans="1:13" x14ac:dyDescent="0.45">
      <c r="A37" t="s">
        <v>13</v>
      </c>
      <c r="B37">
        <v>30617</v>
      </c>
      <c r="C37">
        <v>30691</v>
      </c>
      <c r="E37" t="s">
        <v>14</v>
      </c>
      <c r="F37" t="s">
        <v>117</v>
      </c>
      <c r="H37">
        <v>0</v>
      </c>
      <c r="I37" t="s">
        <v>77</v>
      </c>
      <c r="M37" t="s">
        <v>118</v>
      </c>
    </row>
    <row r="38" spans="1:13" x14ac:dyDescent="0.45">
      <c r="A38" t="s">
        <v>13</v>
      </c>
      <c r="B38">
        <v>30706</v>
      </c>
      <c r="C38">
        <v>30790</v>
      </c>
      <c r="E38" t="s">
        <v>14</v>
      </c>
      <c r="F38" t="s">
        <v>119</v>
      </c>
      <c r="H38">
        <v>0</v>
      </c>
      <c r="I38" t="s">
        <v>77</v>
      </c>
      <c r="M38" t="s">
        <v>120</v>
      </c>
    </row>
    <row r="39" spans="1:13" x14ac:dyDescent="0.45">
      <c r="A39" t="s">
        <v>13</v>
      </c>
      <c r="B39">
        <v>30799</v>
      </c>
      <c r="C39">
        <v>30882</v>
      </c>
      <c r="E39" t="s">
        <v>14</v>
      </c>
      <c r="F39" t="s">
        <v>105</v>
      </c>
      <c r="H39">
        <v>0</v>
      </c>
      <c r="I39" t="s">
        <v>77</v>
      </c>
      <c r="M39" t="s">
        <v>121</v>
      </c>
    </row>
    <row r="40" spans="1:13" x14ac:dyDescent="0.45">
      <c r="A40" t="s">
        <v>13</v>
      </c>
      <c r="B40">
        <v>30912</v>
      </c>
      <c r="C40">
        <v>30988</v>
      </c>
      <c r="E40" t="s">
        <v>14</v>
      </c>
      <c r="F40" t="s">
        <v>122</v>
      </c>
      <c r="H40">
        <v>0</v>
      </c>
      <c r="I40" t="s">
        <v>77</v>
      </c>
      <c r="M40" t="s">
        <v>123</v>
      </c>
    </row>
    <row r="41" spans="1:13" x14ac:dyDescent="0.45">
      <c r="A41" t="s">
        <v>13</v>
      </c>
      <c r="B41">
        <v>30996</v>
      </c>
      <c r="C41">
        <v>31071</v>
      </c>
      <c r="E41" t="s">
        <v>14</v>
      </c>
      <c r="F41" t="s">
        <v>124</v>
      </c>
      <c r="H41">
        <v>0</v>
      </c>
      <c r="I41" t="s">
        <v>77</v>
      </c>
      <c r="M41" t="s">
        <v>125</v>
      </c>
    </row>
    <row r="42" spans="1:13" x14ac:dyDescent="0.45">
      <c r="A42" t="s">
        <v>13</v>
      </c>
      <c r="B42">
        <v>31160</v>
      </c>
      <c r="C42">
        <v>31248</v>
      </c>
      <c r="E42" t="s">
        <v>14</v>
      </c>
      <c r="F42" t="s">
        <v>76</v>
      </c>
      <c r="H42">
        <v>0</v>
      </c>
      <c r="I42" t="s">
        <v>77</v>
      </c>
      <c r="M42" t="s">
        <v>126</v>
      </c>
    </row>
    <row r="43" spans="1:13" x14ac:dyDescent="0.45">
      <c r="A43" t="s">
        <v>13</v>
      </c>
      <c r="B43">
        <v>31252</v>
      </c>
      <c r="C43">
        <v>31327</v>
      </c>
      <c r="E43" t="s">
        <v>14</v>
      </c>
      <c r="F43" t="s">
        <v>127</v>
      </c>
      <c r="H43">
        <v>0</v>
      </c>
      <c r="I43" t="s">
        <v>77</v>
      </c>
      <c r="M43" t="s">
        <v>128</v>
      </c>
    </row>
    <row r="44" spans="1:13" x14ac:dyDescent="0.45">
      <c r="A44" t="s">
        <v>13</v>
      </c>
      <c r="B44">
        <v>31334</v>
      </c>
      <c r="C44">
        <v>31407</v>
      </c>
      <c r="E44" t="s">
        <v>14</v>
      </c>
      <c r="F44" t="s">
        <v>107</v>
      </c>
      <c r="H44">
        <v>0</v>
      </c>
      <c r="I44" t="s">
        <v>77</v>
      </c>
      <c r="M44" t="s">
        <v>129</v>
      </c>
    </row>
    <row r="45" spans="1:13" x14ac:dyDescent="0.45">
      <c r="A45" t="s">
        <v>13</v>
      </c>
      <c r="B45">
        <v>31422</v>
      </c>
      <c r="C45">
        <v>31498</v>
      </c>
      <c r="E45" t="s">
        <v>14</v>
      </c>
      <c r="F45" t="s">
        <v>130</v>
      </c>
      <c r="H45">
        <v>0</v>
      </c>
      <c r="I45" t="s">
        <v>77</v>
      </c>
      <c r="M45" t="s">
        <v>131</v>
      </c>
    </row>
    <row r="46" spans="1:13" x14ac:dyDescent="0.45">
      <c r="A46" t="s">
        <v>13</v>
      </c>
      <c r="B46">
        <v>31522</v>
      </c>
      <c r="C46">
        <v>31598</v>
      </c>
      <c r="E46" t="s">
        <v>14</v>
      </c>
      <c r="F46" t="s">
        <v>132</v>
      </c>
      <c r="H46">
        <v>0</v>
      </c>
      <c r="I46" t="s">
        <v>77</v>
      </c>
      <c r="M46" t="s">
        <v>133</v>
      </c>
    </row>
    <row r="47" spans="1:13" x14ac:dyDescent="0.45">
      <c r="A47" t="s">
        <v>13</v>
      </c>
      <c r="B47">
        <v>31606</v>
      </c>
      <c r="C47">
        <v>31682</v>
      </c>
      <c r="E47" t="s">
        <v>14</v>
      </c>
      <c r="F47" t="s">
        <v>134</v>
      </c>
      <c r="H47">
        <v>0</v>
      </c>
      <c r="I47" t="s">
        <v>77</v>
      </c>
      <c r="M47" t="s">
        <v>135</v>
      </c>
    </row>
    <row r="48" spans="1:13" x14ac:dyDescent="0.45">
      <c r="A48" t="s">
        <v>13</v>
      </c>
      <c r="B48">
        <v>31691</v>
      </c>
      <c r="C48">
        <v>31766</v>
      </c>
      <c r="E48" t="s">
        <v>14</v>
      </c>
      <c r="F48" t="s">
        <v>136</v>
      </c>
      <c r="H48">
        <v>0</v>
      </c>
      <c r="I48" t="s">
        <v>77</v>
      </c>
      <c r="M48" t="s">
        <v>137</v>
      </c>
    </row>
    <row r="49" spans="1:13" x14ac:dyDescent="0.45">
      <c r="A49" t="s">
        <v>13</v>
      </c>
      <c r="B49">
        <v>31774</v>
      </c>
      <c r="C49">
        <v>31847</v>
      </c>
      <c r="E49" t="s">
        <v>14</v>
      </c>
      <c r="F49" t="s">
        <v>138</v>
      </c>
      <c r="H49">
        <v>0</v>
      </c>
      <c r="I49" t="s">
        <v>77</v>
      </c>
      <c r="M49" t="s">
        <v>139</v>
      </c>
    </row>
    <row r="50" spans="1:13" x14ac:dyDescent="0.45">
      <c r="A50" t="s">
        <v>13</v>
      </c>
      <c r="B50">
        <v>31854</v>
      </c>
      <c r="C50">
        <v>31928</v>
      </c>
      <c r="E50" t="s">
        <v>14</v>
      </c>
      <c r="F50" t="s">
        <v>103</v>
      </c>
      <c r="H50">
        <v>0</v>
      </c>
      <c r="I50" t="s">
        <v>77</v>
      </c>
      <c r="M50" t="s">
        <v>140</v>
      </c>
    </row>
    <row r="51" spans="1:13" x14ac:dyDescent="0.45">
      <c r="A51" t="s">
        <v>13</v>
      </c>
      <c r="B51">
        <v>31934</v>
      </c>
      <c r="C51">
        <v>32019</v>
      </c>
      <c r="E51" t="s">
        <v>14</v>
      </c>
      <c r="F51" t="s">
        <v>105</v>
      </c>
      <c r="H51">
        <v>0</v>
      </c>
      <c r="I51" t="s">
        <v>77</v>
      </c>
      <c r="M51" t="s">
        <v>141</v>
      </c>
    </row>
    <row r="52" spans="1:13" x14ac:dyDescent="0.45">
      <c r="A52" t="s">
        <v>13</v>
      </c>
      <c r="B52">
        <v>32035</v>
      </c>
      <c r="C52">
        <v>32110</v>
      </c>
      <c r="E52" t="s">
        <v>14</v>
      </c>
      <c r="F52" t="s">
        <v>107</v>
      </c>
      <c r="H52">
        <v>0</v>
      </c>
      <c r="I52" t="s">
        <v>77</v>
      </c>
      <c r="M52" t="s">
        <v>142</v>
      </c>
    </row>
    <row r="53" spans="1:13" x14ac:dyDescent="0.45">
      <c r="A53" t="s">
        <v>13</v>
      </c>
      <c r="B53">
        <v>32118</v>
      </c>
      <c r="C53">
        <v>32192</v>
      </c>
      <c r="E53" t="s">
        <v>14</v>
      </c>
      <c r="F53" t="s">
        <v>109</v>
      </c>
      <c r="H53">
        <v>0</v>
      </c>
      <c r="I53" t="s">
        <v>77</v>
      </c>
      <c r="M53" t="s">
        <v>143</v>
      </c>
    </row>
    <row r="54" spans="1:13" x14ac:dyDescent="0.45">
      <c r="A54" t="s">
        <v>13</v>
      </c>
      <c r="B54">
        <v>32202</v>
      </c>
      <c r="C54">
        <v>32275</v>
      </c>
      <c r="E54" t="s">
        <v>14</v>
      </c>
      <c r="F54" t="s">
        <v>111</v>
      </c>
      <c r="H54">
        <v>0</v>
      </c>
      <c r="I54" t="s">
        <v>77</v>
      </c>
      <c r="M54" t="s">
        <v>144</v>
      </c>
    </row>
    <row r="55" spans="1:13" x14ac:dyDescent="0.45">
      <c r="A55" t="s">
        <v>13</v>
      </c>
      <c r="B55">
        <v>32281</v>
      </c>
      <c r="C55">
        <v>32356</v>
      </c>
      <c r="E55" t="s">
        <v>14</v>
      </c>
      <c r="F55" t="s">
        <v>113</v>
      </c>
      <c r="H55">
        <v>0</v>
      </c>
      <c r="I55" t="s">
        <v>77</v>
      </c>
      <c r="M55" t="s">
        <v>145</v>
      </c>
    </row>
    <row r="56" spans="1:13" x14ac:dyDescent="0.45">
      <c r="A56" t="s">
        <v>13</v>
      </c>
      <c r="B56">
        <v>32362</v>
      </c>
      <c r="C56">
        <v>32438</v>
      </c>
      <c r="E56" t="s">
        <v>14</v>
      </c>
      <c r="F56" t="s">
        <v>115</v>
      </c>
      <c r="H56">
        <v>0</v>
      </c>
      <c r="I56" t="s">
        <v>77</v>
      </c>
      <c r="M56" t="s">
        <v>146</v>
      </c>
    </row>
    <row r="57" spans="1:13" x14ac:dyDescent="0.45">
      <c r="A57" t="s">
        <v>13</v>
      </c>
      <c r="B57">
        <v>32448</v>
      </c>
      <c r="C57">
        <v>32522</v>
      </c>
      <c r="E57" t="s">
        <v>14</v>
      </c>
      <c r="F57" t="s">
        <v>117</v>
      </c>
      <c r="H57">
        <v>0</v>
      </c>
      <c r="I57" t="s">
        <v>77</v>
      </c>
      <c r="M57" t="s">
        <v>147</v>
      </c>
    </row>
    <row r="58" spans="1:13" x14ac:dyDescent="0.45">
      <c r="A58" t="s">
        <v>13</v>
      </c>
      <c r="B58">
        <v>32537</v>
      </c>
      <c r="C58">
        <v>32621</v>
      </c>
      <c r="E58" t="s">
        <v>14</v>
      </c>
      <c r="F58" t="s">
        <v>119</v>
      </c>
      <c r="H58">
        <v>0</v>
      </c>
      <c r="I58" t="s">
        <v>77</v>
      </c>
      <c r="M58" t="s">
        <v>148</v>
      </c>
    </row>
    <row r="59" spans="1:13" x14ac:dyDescent="0.45">
      <c r="A59" t="s">
        <v>13</v>
      </c>
      <c r="B59">
        <v>32631</v>
      </c>
      <c r="C59">
        <v>32714</v>
      </c>
      <c r="E59" t="s">
        <v>14</v>
      </c>
      <c r="F59" t="s">
        <v>105</v>
      </c>
      <c r="H59">
        <v>0</v>
      </c>
      <c r="I59" t="s">
        <v>77</v>
      </c>
      <c r="M59" t="s">
        <v>149</v>
      </c>
    </row>
    <row r="60" spans="1:13" x14ac:dyDescent="0.45">
      <c r="A60" t="s">
        <v>13</v>
      </c>
      <c r="B60">
        <v>32738</v>
      </c>
      <c r="C60">
        <v>32812</v>
      </c>
      <c r="E60" t="s">
        <v>14</v>
      </c>
      <c r="F60" t="s">
        <v>111</v>
      </c>
      <c r="H60">
        <v>0</v>
      </c>
      <c r="I60" t="s">
        <v>77</v>
      </c>
      <c r="M60" t="s">
        <v>150</v>
      </c>
    </row>
    <row r="61" spans="1:13" x14ac:dyDescent="0.45">
      <c r="A61" t="s">
        <v>13</v>
      </c>
      <c r="B61">
        <v>32837</v>
      </c>
      <c r="C61">
        <v>32913</v>
      </c>
      <c r="E61" t="s">
        <v>14</v>
      </c>
      <c r="F61" t="s">
        <v>122</v>
      </c>
      <c r="H61">
        <v>0</v>
      </c>
      <c r="I61" t="s">
        <v>77</v>
      </c>
      <c r="M61" t="s">
        <v>151</v>
      </c>
    </row>
    <row r="62" spans="1:13" x14ac:dyDescent="0.45">
      <c r="A62" t="s">
        <v>13</v>
      </c>
      <c r="B62">
        <v>32923</v>
      </c>
      <c r="C62">
        <v>32998</v>
      </c>
      <c r="E62" t="s">
        <v>14</v>
      </c>
      <c r="F62" t="s">
        <v>124</v>
      </c>
      <c r="H62">
        <v>0</v>
      </c>
      <c r="I62" t="s">
        <v>77</v>
      </c>
      <c r="M62" t="s">
        <v>152</v>
      </c>
    </row>
    <row r="63" spans="1:13" x14ac:dyDescent="0.45">
      <c r="A63" t="s">
        <v>13</v>
      </c>
      <c r="B63">
        <v>33007</v>
      </c>
      <c r="C63">
        <v>33082</v>
      </c>
      <c r="E63" t="s">
        <v>14</v>
      </c>
      <c r="F63" t="s">
        <v>136</v>
      </c>
      <c r="H63">
        <v>0</v>
      </c>
      <c r="I63" t="s">
        <v>77</v>
      </c>
      <c r="M63" t="s">
        <v>153</v>
      </c>
    </row>
    <row r="64" spans="1:13" x14ac:dyDescent="0.45">
      <c r="A64" t="s">
        <v>13</v>
      </c>
      <c r="B64">
        <v>33085</v>
      </c>
      <c r="C64">
        <v>33173</v>
      </c>
      <c r="E64" t="s">
        <v>14</v>
      </c>
      <c r="F64" t="s">
        <v>76</v>
      </c>
      <c r="H64">
        <v>0</v>
      </c>
      <c r="I64" t="s">
        <v>77</v>
      </c>
      <c r="M64" t="s">
        <v>154</v>
      </c>
    </row>
    <row r="65" spans="1:13" x14ac:dyDescent="0.45">
      <c r="A65" t="s">
        <v>13</v>
      </c>
      <c r="B65">
        <v>33177</v>
      </c>
      <c r="C65">
        <v>33252</v>
      </c>
      <c r="E65" t="s">
        <v>14</v>
      </c>
      <c r="F65" t="s">
        <v>127</v>
      </c>
      <c r="H65">
        <v>0</v>
      </c>
      <c r="I65" t="s">
        <v>77</v>
      </c>
      <c r="M65" t="s">
        <v>155</v>
      </c>
    </row>
    <row r="66" spans="1:13" x14ac:dyDescent="0.45">
      <c r="A66" t="s">
        <v>13</v>
      </c>
      <c r="B66">
        <v>33259</v>
      </c>
      <c r="C66">
        <v>33332</v>
      </c>
      <c r="E66" t="s">
        <v>14</v>
      </c>
      <c r="F66" t="s">
        <v>107</v>
      </c>
      <c r="H66">
        <v>0</v>
      </c>
      <c r="I66" t="s">
        <v>77</v>
      </c>
      <c r="M66" t="s">
        <v>156</v>
      </c>
    </row>
    <row r="67" spans="1:13" x14ac:dyDescent="0.45">
      <c r="A67" t="s">
        <v>13</v>
      </c>
      <c r="B67">
        <v>33347</v>
      </c>
      <c r="C67">
        <v>33423</v>
      </c>
      <c r="E67" t="s">
        <v>14</v>
      </c>
      <c r="F67" t="s">
        <v>130</v>
      </c>
      <c r="H67">
        <v>0</v>
      </c>
      <c r="I67" t="s">
        <v>77</v>
      </c>
      <c r="M67" t="s">
        <v>157</v>
      </c>
    </row>
    <row r="68" spans="1:13" x14ac:dyDescent="0.45">
      <c r="A68" t="s">
        <v>13</v>
      </c>
      <c r="B68">
        <v>33441</v>
      </c>
      <c r="C68">
        <v>33517</v>
      </c>
      <c r="E68" t="s">
        <v>14</v>
      </c>
      <c r="F68" t="s">
        <v>134</v>
      </c>
      <c r="H68">
        <v>0</v>
      </c>
      <c r="I68" t="s">
        <v>77</v>
      </c>
      <c r="M68" t="s">
        <v>158</v>
      </c>
    </row>
    <row r="69" spans="1:13" x14ac:dyDescent="0.45">
      <c r="A69" t="s">
        <v>13</v>
      </c>
      <c r="B69">
        <v>33526</v>
      </c>
      <c r="C69">
        <v>33601</v>
      </c>
      <c r="E69" t="s">
        <v>14</v>
      </c>
      <c r="F69" t="s">
        <v>136</v>
      </c>
      <c r="H69">
        <v>0</v>
      </c>
      <c r="I69" t="s">
        <v>77</v>
      </c>
      <c r="M69" t="s">
        <v>159</v>
      </c>
    </row>
    <row r="70" spans="1:13" x14ac:dyDescent="0.45">
      <c r="A70" t="s">
        <v>13</v>
      </c>
      <c r="B70">
        <v>33609</v>
      </c>
      <c r="C70">
        <v>33682</v>
      </c>
      <c r="E70" t="s">
        <v>14</v>
      </c>
      <c r="F70" t="s">
        <v>138</v>
      </c>
      <c r="H70">
        <v>0</v>
      </c>
      <c r="I70" t="s">
        <v>77</v>
      </c>
      <c r="M70" t="s">
        <v>160</v>
      </c>
    </row>
    <row r="71" spans="1:13" x14ac:dyDescent="0.45">
      <c r="A71" t="s">
        <v>13</v>
      </c>
      <c r="B71">
        <v>33690</v>
      </c>
      <c r="C71">
        <v>33766</v>
      </c>
      <c r="E71" t="s">
        <v>14</v>
      </c>
      <c r="F71" t="s">
        <v>122</v>
      </c>
      <c r="H71">
        <v>0</v>
      </c>
      <c r="I71" t="s">
        <v>77</v>
      </c>
      <c r="M71" t="s">
        <v>161</v>
      </c>
    </row>
    <row r="72" spans="1:13" x14ac:dyDescent="0.45">
      <c r="A72" t="s">
        <v>13</v>
      </c>
      <c r="B72">
        <v>33779</v>
      </c>
      <c r="C72">
        <v>33854</v>
      </c>
      <c r="E72" t="s">
        <v>14</v>
      </c>
      <c r="F72" t="s">
        <v>113</v>
      </c>
      <c r="H72">
        <v>0</v>
      </c>
      <c r="I72" t="s">
        <v>77</v>
      </c>
      <c r="M72" t="s">
        <v>162</v>
      </c>
    </row>
    <row r="73" spans="1:13" x14ac:dyDescent="0.45">
      <c r="A73" t="s">
        <v>13</v>
      </c>
      <c r="B73">
        <v>33930</v>
      </c>
      <c r="C73">
        <v>34343</v>
      </c>
      <c r="E73" t="s">
        <v>14</v>
      </c>
      <c r="F73" t="s">
        <v>43</v>
      </c>
      <c r="H73">
        <v>0</v>
      </c>
      <c r="I73" t="s">
        <v>17</v>
      </c>
      <c r="K73" t="s">
        <v>163</v>
      </c>
      <c r="L73">
        <v>137</v>
      </c>
      <c r="M73" t="s">
        <v>164</v>
      </c>
    </row>
    <row r="74" spans="1:13" x14ac:dyDescent="0.45">
      <c r="A74" t="s">
        <v>13</v>
      </c>
      <c r="B74">
        <v>34652</v>
      </c>
      <c r="C74">
        <v>38083</v>
      </c>
      <c r="E74" t="s">
        <v>14</v>
      </c>
      <c r="F74" t="s">
        <v>165</v>
      </c>
      <c r="H74">
        <v>0</v>
      </c>
      <c r="I74" t="s">
        <v>17</v>
      </c>
      <c r="K74" t="s">
        <v>166</v>
      </c>
      <c r="L74">
        <v>1143</v>
      </c>
      <c r="M74" t="s">
        <v>167</v>
      </c>
    </row>
    <row r="75" spans="1:13" x14ac:dyDescent="0.45">
      <c r="A75" t="s">
        <v>13</v>
      </c>
      <c r="B75">
        <v>38325</v>
      </c>
      <c r="C75">
        <v>40253</v>
      </c>
      <c r="E75" t="s">
        <v>14</v>
      </c>
      <c r="F75" t="s">
        <v>168</v>
      </c>
      <c r="H75">
        <v>0</v>
      </c>
      <c r="I75" t="s">
        <v>17</v>
      </c>
      <c r="K75" t="s">
        <v>169</v>
      </c>
      <c r="L75">
        <v>642</v>
      </c>
      <c r="M75" t="s">
        <v>170</v>
      </c>
    </row>
    <row r="76" spans="1:13" x14ac:dyDescent="0.45">
      <c r="A76" t="s">
        <v>13</v>
      </c>
      <c r="B76">
        <v>40715</v>
      </c>
      <c r="C76">
        <v>41170</v>
      </c>
      <c r="E76" t="s">
        <v>14</v>
      </c>
      <c r="F76" t="s">
        <v>171</v>
      </c>
      <c r="H76">
        <v>0</v>
      </c>
      <c r="I76" t="s">
        <v>17</v>
      </c>
      <c r="K76" t="s">
        <v>172</v>
      </c>
      <c r="L76">
        <v>151</v>
      </c>
      <c r="M76" t="s">
        <v>173</v>
      </c>
    </row>
    <row r="77" spans="1:13" x14ac:dyDescent="0.45">
      <c r="A77" t="s">
        <v>13</v>
      </c>
      <c r="B77">
        <v>41177</v>
      </c>
      <c r="C77">
        <v>41671</v>
      </c>
      <c r="E77" t="s">
        <v>14</v>
      </c>
      <c r="F77" t="s">
        <v>174</v>
      </c>
      <c r="H77">
        <v>0</v>
      </c>
      <c r="I77" t="s">
        <v>17</v>
      </c>
      <c r="K77" t="s">
        <v>175</v>
      </c>
      <c r="L77">
        <v>164</v>
      </c>
      <c r="M77" t="s">
        <v>176</v>
      </c>
    </row>
    <row r="78" spans="1:13" x14ac:dyDescent="0.45">
      <c r="A78" t="s">
        <v>13</v>
      </c>
      <c r="B78">
        <v>41687</v>
      </c>
      <c r="C78">
        <v>42712</v>
      </c>
      <c r="E78" t="s">
        <v>14</v>
      </c>
      <c r="F78" t="s">
        <v>177</v>
      </c>
      <c r="H78">
        <v>0</v>
      </c>
      <c r="I78" t="s">
        <v>17</v>
      </c>
      <c r="K78" t="s">
        <v>178</v>
      </c>
      <c r="L78">
        <v>341</v>
      </c>
      <c r="M78" t="s">
        <v>179</v>
      </c>
    </row>
    <row r="79" spans="1:13" x14ac:dyDescent="0.45">
      <c r="A79" t="s">
        <v>13</v>
      </c>
      <c r="B79">
        <v>42699</v>
      </c>
      <c r="C79">
        <v>45146</v>
      </c>
      <c r="E79" t="s">
        <v>14</v>
      </c>
      <c r="F79" t="s">
        <v>180</v>
      </c>
      <c r="H79">
        <v>0</v>
      </c>
      <c r="I79" t="s">
        <v>17</v>
      </c>
      <c r="K79" t="s">
        <v>181</v>
      </c>
      <c r="L79">
        <v>815</v>
      </c>
      <c r="M79" t="s">
        <v>182</v>
      </c>
    </row>
    <row r="80" spans="1:13" x14ac:dyDescent="0.45">
      <c r="A80" t="s">
        <v>13</v>
      </c>
      <c r="B80">
        <v>45326</v>
      </c>
      <c r="C80">
        <v>46699</v>
      </c>
      <c r="E80" t="s">
        <v>14</v>
      </c>
      <c r="F80" t="s">
        <v>183</v>
      </c>
      <c r="G80" t="s">
        <v>184</v>
      </c>
      <c r="H80">
        <v>0</v>
      </c>
      <c r="I80" t="s">
        <v>17</v>
      </c>
      <c r="K80" t="s">
        <v>185</v>
      </c>
      <c r="L80">
        <v>457</v>
      </c>
      <c r="M80" t="s">
        <v>186</v>
      </c>
    </row>
    <row r="81" spans="1:13" x14ac:dyDescent="0.45">
      <c r="A81" t="s">
        <v>13</v>
      </c>
      <c r="B81">
        <v>46702</v>
      </c>
      <c r="C81">
        <v>47772</v>
      </c>
      <c r="E81" t="s">
        <v>14</v>
      </c>
      <c r="F81" t="s">
        <v>187</v>
      </c>
      <c r="G81" t="s">
        <v>188</v>
      </c>
      <c r="H81">
        <v>0</v>
      </c>
      <c r="I81" t="s">
        <v>17</v>
      </c>
      <c r="K81" t="s">
        <v>189</v>
      </c>
      <c r="L81">
        <v>356</v>
      </c>
      <c r="M81" t="s">
        <v>190</v>
      </c>
    </row>
    <row r="82" spans="1:13" x14ac:dyDescent="0.45">
      <c r="A82" t="s">
        <v>13</v>
      </c>
      <c r="B82">
        <v>47861</v>
      </c>
      <c r="C82">
        <v>48955</v>
      </c>
      <c r="E82" t="s">
        <v>14</v>
      </c>
      <c r="F82" t="s">
        <v>191</v>
      </c>
      <c r="H82">
        <v>0</v>
      </c>
      <c r="I82" t="s">
        <v>17</v>
      </c>
      <c r="K82" t="s">
        <v>192</v>
      </c>
      <c r="L82">
        <v>364</v>
      </c>
      <c r="M82" t="s">
        <v>193</v>
      </c>
    </row>
    <row r="83" spans="1:13" x14ac:dyDescent="0.45">
      <c r="A83" t="s">
        <v>13</v>
      </c>
      <c r="B83">
        <v>49084</v>
      </c>
      <c r="C83">
        <v>51261</v>
      </c>
      <c r="E83" t="s">
        <v>14</v>
      </c>
      <c r="F83" t="s">
        <v>43</v>
      </c>
      <c r="H83">
        <v>0</v>
      </c>
      <c r="I83" t="s">
        <v>17</v>
      </c>
      <c r="K83" t="s">
        <v>194</v>
      </c>
      <c r="L83">
        <v>725</v>
      </c>
      <c r="M83" t="s">
        <v>195</v>
      </c>
    </row>
    <row r="84" spans="1:13" x14ac:dyDescent="0.45">
      <c r="A84" t="s">
        <v>13</v>
      </c>
      <c r="B84">
        <v>51447</v>
      </c>
      <c r="C84">
        <v>52292</v>
      </c>
      <c r="E84" t="s">
        <v>96</v>
      </c>
      <c r="F84" t="s">
        <v>196</v>
      </c>
      <c r="H84">
        <v>0</v>
      </c>
      <c r="I84" t="s">
        <v>17</v>
      </c>
      <c r="K84" t="s">
        <v>197</v>
      </c>
      <c r="L84">
        <v>281</v>
      </c>
      <c r="M84" t="s">
        <v>198</v>
      </c>
    </row>
    <row r="85" spans="1:13" x14ac:dyDescent="0.45">
      <c r="A85" t="s">
        <v>13</v>
      </c>
      <c r="B85">
        <v>52509</v>
      </c>
      <c r="C85">
        <v>53675</v>
      </c>
      <c r="E85" t="s">
        <v>14</v>
      </c>
      <c r="F85" t="s">
        <v>199</v>
      </c>
      <c r="H85">
        <v>0</v>
      </c>
      <c r="I85" t="s">
        <v>17</v>
      </c>
      <c r="K85" t="s">
        <v>200</v>
      </c>
      <c r="L85">
        <v>388</v>
      </c>
      <c r="M85" t="s">
        <v>201</v>
      </c>
    </row>
    <row r="86" spans="1:13" x14ac:dyDescent="0.45">
      <c r="A86" t="s">
        <v>13</v>
      </c>
      <c r="B86">
        <v>53697</v>
      </c>
      <c r="C86">
        <v>55343</v>
      </c>
      <c r="E86" t="s">
        <v>14</v>
      </c>
      <c r="F86" t="s">
        <v>202</v>
      </c>
      <c r="H86">
        <v>0</v>
      </c>
      <c r="I86" t="s">
        <v>17</v>
      </c>
      <c r="K86" t="s">
        <v>203</v>
      </c>
      <c r="L86">
        <v>548</v>
      </c>
      <c r="M86" t="s">
        <v>204</v>
      </c>
    </row>
    <row r="87" spans="1:13" x14ac:dyDescent="0.45">
      <c r="A87" t="s">
        <v>13</v>
      </c>
      <c r="B87">
        <v>55440</v>
      </c>
      <c r="C87">
        <v>56813</v>
      </c>
      <c r="E87" t="s">
        <v>14</v>
      </c>
      <c r="F87" t="s">
        <v>205</v>
      </c>
      <c r="H87">
        <v>0</v>
      </c>
      <c r="I87" t="s">
        <v>17</v>
      </c>
      <c r="K87" t="s">
        <v>206</v>
      </c>
      <c r="L87">
        <v>457</v>
      </c>
      <c r="M87" t="s">
        <v>207</v>
      </c>
    </row>
    <row r="88" spans="1:13" x14ac:dyDescent="0.45">
      <c r="A88" t="s">
        <v>13</v>
      </c>
      <c r="B88">
        <v>57258</v>
      </c>
      <c r="C88">
        <v>58211</v>
      </c>
      <c r="E88" t="s">
        <v>14</v>
      </c>
      <c r="F88" t="s">
        <v>208</v>
      </c>
      <c r="H88">
        <v>0</v>
      </c>
      <c r="I88" t="s">
        <v>17</v>
      </c>
      <c r="K88" t="s">
        <v>209</v>
      </c>
      <c r="L88">
        <v>317</v>
      </c>
      <c r="M88" t="s">
        <v>210</v>
      </c>
    </row>
    <row r="89" spans="1:13" x14ac:dyDescent="0.45">
      <c r="A89" t="s">
        <v>13</v>
      </c>
      <c r="B89">
        <v>58249</v>
      </c>
      <c r="C89">
        <v>59211</v>
      </c>
      <c r="E89" t="s">
        <v>14</v>
      </c>
      <c r="F89" t="s">
        <v>211</v>
      </c>
      <c r="H89">
        <v>0</v>
      </c>
      <c r="I89" t="s">
        <v>17</v>
      </c>
      <c r="K89" t="s">
        <v>212</v>
      </c>
      <c r="L89">
        <v>320</v>
      </c>
      <c r="M89" t="s">
        <v>213</v>
      </c>
    </row>
    <row r="90" spans="1:13" x14ac:dyDescent="0.45">
      <c r="A90" t="s">
        <v>13</v>
      </c>
      <c r="B90">
        <v>59236</v>
      </c>
      <c r="C90">
        <v>60222</v>
      </c>
      <c r="E90" t="s">
        <v>14</v>
      </c>
      <c r="F90" t="s">
        <v>214</v>
      </c>
      <c r="H90">
        <v>0</v>
      </c>
      <c r="I90" t="s">
        <v>17</v>
      </c>
      <c r="K90" t="s">
        <v>215</v>
      </c>
      <c r="L90">
        <v>328</v>
      </c>
      <c r="M90" t="s">
        <v>216</v>
      </c>
    </row>
    <row r="91" spans="1:13" x14ac:dyDescent="0.45">
      <c r="A91" t="s">
        <v>13</v>
      </c>
      <c r="B91">
        <v>60235</v>
      </c>
      <c r="C91">
        <v>61281</v>
      </c>
      <c r="E91" t="s">
        <v>14</v>
      </c>
      <c r="F91" t="s">
        <v>217</v>
      </c>
      <c r="H91">
        <v>0</v>
      </c>
      <c r="I91" t="s">
        <v>17</v>
      </c>
      <c r="K91" t="s">
        <v>218</v>
      </c>
      <c r="L91">
        <v>348</v>
      </c>
      <c r="M91" t="s">
        <v>219</v>
      </c>
    </row>
    <row r="92" spans="1:13" x14ac:dyDescent="0.45">
      <c r="A92" t="s">
        <v>13</v>
      </c>
      <c r="B92">
        <v>61448</v>
      </c>
      <c r="C92">
        <v>63178</v>
      </c>
      <c r="E92" t="s">
        <v>14</v>
      </c>
      <c r="F92" t="s">
        <v>220</v>
      </c>
      <c r="G92" t="s">
        <v>221</v>
      </c>
      <c r="H92">
        <v>0</v>
      </c>
      <c r="I92" t="s">
        <v>17</v>
      </c>
      <c r="K92" t="s">
        <v>222</v>
      </c>
      <c r="L92">
        <v>576</v>
      </c>
      <c r="M92" t="s">
        <v>223</v>
      </c>
    </row>
    <row r="93" spans="1:13" x14ac:dyDescent="0.45">
      <c r="A93" t="s">
        <v>13</v>
      </c>
      <c r="B93">
        <v>63596</v>
      </c>
      <c r="C93">
        <v>66544</v>
      </c>
      <c r="E93" t="s">
        <v>14</v>
      </c>
      <c r="F93" t="s">
        <v>224</v>
      </c>
      <c r="H93">
        <v>0</v>
      </c>
      <c r="I93" t="s">
        <v>17</v>
      </c>
      <c r="K93" t="s">
        <v>225</v>
      </c>
      <c r="L93">
        <v>982</v>
      </c>
      <c r="M93" t="s">
        <v>226</v>
      </c>
    </row>
    <row r="94" spans="1:13" x14ac:dyDescent="0.45">
      <c r="A94" t="s">
        <v>13</v>
      </c>
      <c r="B94">
        <v>66522</v>
      </c>
      <c r="C94">
        <v>66986</v>
      </c>
      <c r="E94" t="s">
        <v>14</v>
      </c>
      <c r="F94" t="s">
        <v>227</v>
      </c>
      <c r="H94">
        <v>0</v>
      </c>
      <c r="I94" t="s">
        <v>17</v>
      </c>
      <c r="K94" t="s">
        <v>228</v>
      </c>
      <c r="L94">
        <v>154</v>
      </c>
      <c r="M94" t="s">
        <v>229</v>
      </c>
    </row>
    <row r="95" spans="1:13" x14ac:dyDescent="0.45">
      <c r="A95" t="s">
        <v>13</v>
      </c>
      <c r="B95">
        <v>67099</v>
      </c>
      <c r="C95">
        <v>67401</v>
      </c>
      <c r="E95" t="s">
        <v>14</v>
      </c>
      <c r="F95" t="s">
        <v>230</v>
      </c>
      <c r="H95">
        <v>0</v>
      </c>
      <c r="I95" t="s">
        <v>17</v>
      </c>
      <c r="K95" t="s">
        <v>231</v>
      </c>
      <c r="L95">
        <v>100</v>
      </c>
      <c r="M95" t="s">
        <v>232</v>
      </c>
    </row>
    <row r="96" spans="1:13" x14ac:dyDescent="0.45">
      <c r="A96" t="s">
        <v>13</v>
      </c>
      <c r="B96">
        <v>67478</v>
      </c>
      <c r="C96">
        <v>68827</v>
      </c>
      <c r="E96" t="s">
        <v>14</v>
      </c>
      <c r="F96" t="s">
        <v>233</v>
      </c>
      <c r="H96">
        <v>0</v>
      </c>
      <c r="I96" t="s">
        <v>17</v>
      </c>
      <c r="K96" t="s">
        <v>234</v>
      </c>
      <c r="L96">
        <v>449</v>
      </c>
      <c r="M96" t="s">
        <v>235</v>
      </c>
    </row>
    <row r="97" spans="1:13" x14ac:dyDescent="0.45">
      <c r="A97" t="s">
        <v>13</v>
      </c>
      <c r="B97">
        <v>68862</v>
      </c>
      <c r="C97">
        <v>69335</v>
      </c>
      <c r="E97" t="s">
        <v>14</v>
      </c>
      <c r="F97" t="s">
        <v>43</v>
      </c>
      <c r="H97">
        <v>0</v>
      </c>
      <c r="I97" t="s">
        <v>17</v>
      </c>
      <c r="K97" t="s">
        <v>236</v>
      </c>
      <c r="L97">
        <v>157</v>
      </c>
      <c r="M97" t="s">
        <v>237</v>
      </c>
    </row>
    <row r="98" spans="1:13" x14ac:dyDescent="0.45">
      <c r="A98" t="s">
        <v>13</v>
      </c>
      <c r="B98">
        <v>69507</v>
      </c>
      <c r="C98">
        <v>70157</v>
      </c>
      <c r="E98" t="s">
        <v>14</v>
      </c>
      <c r="F98" t="s">
        <v>238</v>
      </c>
      <c r="H98">
        <v>0</v>
      </c>
      <c r="I98" t="s">
        <v>17</v>
      </c>
      <c r="K98" t="s">
        <v>239</v>
      </c>
      <c r="L98">
        <v>216</v>
      </c>
      <c r="M98" t="s">
        <v>240</v>
      </c>
    </row>
    <row r="99" spans="1:13" x14ac:dyDescent="0.45">
      <c r="A99" t="s">
        <v>13</v>
      </c>
      <c r="B99">
        <v>70331</v>
      </c>
      <c r="C99">
        <v>71263</v>
      </c>
      <c r="E99" t="s">
        <v>14</v>
      </c>
      <c r="F99" t="s">
        <v>241</v>
      </c>
      <c r="H99">
        <v>0</v>
      </c>
      <c r="I99" t="s">
        <v>17</v>
      </c>
      <c r="K99" t="s">
        <v>242</v>
      </c>
      <c r="L99">
        <v>310</v>
      </c>
      <c r="M99" t="s">
        <v>243</v>
      </c>
    </row>
    <row r="100" spans="1:13" x14ac:dyDescent="0.45">
      <c r="A100" t="s">
        <v>13</v>
      </c>
      <c r="B100">
        <v>71537</v>
      </c>
      <c r="C100">
        <v>72250</v>
      </c>
      <c r="E100" t="s">
        <v>14</v>
      </c>
      <c r="F100" t="s">
        <v>244</v>
      </c>
      <c r="G100" t="s">
        <v>245</v>
      </c>
      <c r="H100">
        <v>0</v>
      </c>
      <c r="I100" t="s">
        <v>17</v>
      </c>
      <c r="K100" t="s">
        <v>246</v>
      </c>
      <c r="L100">
        <v>237</v>
      </c>
      <c r="M100" t="s">
        <v>247</v>
      </c>
    </row>
    <row r="101" spans="1:13" x14ac:dyDescent="0.45">
      <c r="A101" t="s">
        <v>13</v>
      </c>
      <c r="B101">
        <v>72247</v>
      </c>
      <c r="C101">
        <v>72732</v>
      </c>
      <c r="E101" t="s">
        <v>14</v>
      </c>
      <c r="F101" t="s">
        <v>248</v>
      </c>
      <c r="G101" t="s">
        <v>249</v>
      </c>
      <c r="H101">
        <v>0</v>
      </c>
      <c r="I101" t="s">
        <v>17</v>
      </c>
      <c r="K101" t="s">
        <v>250</v>
      </c>
      <c r="L101">
        <v>161</v>
      </c>
      <c r="M101" t="s">
        <v>251</v>
      </c>
    </row>
    <row r="102" spans="1:13" x14ac:dyDescent="0.45">
      <c r="A102" t="s">
        <v>13</v>
      </c>
      <c r="B102">
        <v>73099</v>
      </c>
      <c r="C102">
        <v>74814</v>
      </c>
      <c r="E102" t="s">
        <v>14</v>
      </c>
      <c r="F102" t="s">
        <v>252</v>
      </c>
      <c r="H102">
        <v>0</v>
      </c>
      <c r="I102" t="s">
        <v>17</v>
      </c>
      <c r="K102" t="s">
        <v>253</v>
      </c>
      <c r="L102">
        <v>571</v>
      </c>
      <c r="M102" t="s">
        <v>254</v>
      </c>
    </row>
    <row r="103" spans="1:13" x14ac:dyDescent="0.45">
      <c r="A103" t="s">
        <v>13</v>
      </c>
      <c r="B103">
        <v>74936</v>
      </c>
      <c r="C103">
        <v>76381</v>
      </c>
      <c r="E103" t="s">
        <v>14</v>
      </c>
      <c r="F103" t="s">
        <v>252</v>
      </c>
      <c r="G103" t="s">
        <v>255</v>
      </c>
      <c r="H103">
        <v>0</v>
      </c>
      <c r="I103" t="s">
        <v>17</v>
      </c>
      <c r="K103" t="s">
        <v>256</v>
      </c>
      <c r="L103">
        <v>481</v>
      </c>
      <c r="M103" t="s">
        <v>257</v>
      </c>
    </row>
    <row r="104" spans="1:13" x14ac:dyDescent="0.45">
      <c r="A104" t="s">
        <v>13</v>
      </c>
      <c r="B104">
        <v>76821</v>
      </c>
      <c r="C104">
        <v>78302</v>
      </c>
      <c r="E104" t="s">
        <v>14</v>
      </c>
      <c r="F104" t="s">
        <v>258</v>
      </c>
      <c r="G104" t="s">
        <v>259</v>
      </c>
      <c r="H104">
        <v>0</v>
      </c>
      <c r="I104" t="s">
        <v>17</v>
      </c>
      <c r="K104" t="s">
        <v>260</v>
      </c>
      <c r="L104">
        <v>493</v>
      </c>
      <c r="M104" t="s">
        <v>261</v>
      </c>
    </row>
    <row r="105" spans="1:13" x14ac:dyDescent="0.45">
      <c r="A105" t="s">
        <v>13</v>
      </c>
      <c r="B105">
        <v>78523</v>
      </c>
      <c r="C105">
        <v>78678</v>
      </c>
      <c r="E105" t="s">
        <v>14</v>
      </c>
      <c r="F105" t="s">
        <v>43</v>
      </c>
      <c r="H105">
        <v>0</v>
      </c>
      <c r="I105" t="s">
        <v>17</v>
      </c>
      <c r="K105" t="s">
        <v>262</v>
      </c>
      <c r="L105">
        <v>51</v>
      </c>
      <c r="M105" t="s">
        <v>263</v>
      </c>
    </row>
    <row r="106" spans="1:13" x14ac:dyDescent="0.45">
      <c r="A106" t="s">
        <v>13</v>
      </c>
      <c r="B106">
        <v>78823</v>
      </c>
      <c r="C106">
        <v>80220</v>
      </c>
      <c r="E106" t="s">
        <v>14</v>
      </c>
      <c r="F106" t="s">
        <v>264</v>
      </c>
      <c r="G106" t="s">
        <v>265</v>
      </c>
      <c r="H106">
        <v>0</v>
      </c>
      <c r="I106" t="s">
        <v>17</v>
      </c>
      <c r="K106" t="s">
        <v>266</v>
      </c>
      <c r="L106">
        <v>465</v>
      </c>
      <c r="M106" t="s">
        <v>267</v>
      </c>
    </row>
    <row r="107" spans="1:13" x14ac:dyDescent="0.45">
      <c r="A107" t="s">
        <v>13</v>
      </c>
      <c r="B107">
        <v>80205</v>
      </c>
      <c r="C107">
        <v>80618</v>
      </c>
      <c r="E107" t="s">
        <v>14</v>
      </c>
      <c r="F107" t="s">
        <v>268</v>
      </c>
      <c r="H107">
        <v>0</v>
      </c>
      <c r="I107" t="s">
        <v>17</v>
      </c>
      <c r="K107" t="s">
        <v>269</v>
      </c>
      <c r="L107">
        <v>137</v>
      </c>
      <c r="M107" t="s">
        <v>270</v>
      </c>
    </row>
    <row r="108" spans="1:13" x14ac:dyDescent="0.45">
      <c r="A108" t="s">
        <v>13</v>
      </c>
      <c r="B108">
        <v>80725</v>
      </c>
      <c r="C108">
        <v>80829</v>
      </c>
      <c r="E108" t="s">
        <v>14</v>
      </c>
      <c r="F108" t="s">
        <v>271</v>
      </c>
      <c r="H108">
        <v>0</v>
      </c>
      <c r="I108" t="s">
        <v>272</v>
      </c>
      <c r="M108" t="s">
        <v>273</v>
      </c>
    </row>
    <row r="109" spans="1:13" x14ac:dyDescent="0.45">
      <c r="A109" t="s">
        <v>13</v>
      </c>
      <c r="B109">
        <v>81126</v>
      </c>
      <c r="C109">
        <v>81956</v>
      </c>
      <c r="E109" t="s">
        <v>14</v>
      </c>
      <c r="F109" t="s">
        <v>274</v>
      </c>
      <c r="G109" t="s">
        <v>275</v>
      </c>
      <c r="H109">
        <v>0</v>
      </c>
      <c r="I109" t="s">
        <v>17</v>
      </c>
      <c r="K109" t="s">
        <v>276</v>
      </c>
      <c r="L109">
        <v>276</v>
      </c>
      <c r="M109" t="s">
        <v>277</v>
      </c>
    </row>
    <row r="110" spans="1:13" x14ac:dyDescent="0.45">
      <c r="A110" t="s">
        <v>13</v>
      </c>
      <c r="B110">
        <v>81969</v>
      </c>
      <c r="C110">
        <v>82463</v>
      </c>
      <c r="E110" t="s">
        <v>14</v>
      </c>
      <c r="F110" t="s">
        <v>278</v>
      </c>
      <c r="H110">
        <v>0</v>
      </c>
      <c r="I110" t="s">
        <v>17</v>
      </c>
      <c r="K110" t="s">
        <v>279</v>
      </c>
      <c r="L110">
        <v>164</v>
      </c>
      <c r="M110" t="s">
        <v>280</v>
      </c>
    </row>
    <row r="111" spans="1:13" x14ac:dyDescent="0.45">
      <c r="A111" t="s">
        <v>13</v>
      </c>
      <c r="B111">
        <v>82490</v>
      </c>
      <c r="C111">
        <v>83866</v>
      </c>
      <c r="E111" t="s">
        <v>14</v>
      </c>
      <c r="F111" t="s">
        <v>281</v>
      </c>
      <c r="H111">
        <v>0</v>
      </c>
      <c r="I111" t="s">
        <v>17</v>
      </c>
      <c r="K111" t="s">
        <v>282</v>
      </c>
      <c r="L111">
        <v>458</v>
      </c>
      <c r="M111" t="s">
        <v>283</v>
      </c>
    </row>
    <row r="112" spans="1:13" x14ac:dyDescent="0.45">
      <c r="A112" t="s">
        <v>13</v>
      </c>
      <c r="B112">
        <v>83842</v>
      </c>
      <c r="C112">
        <v>84942</v>
      </c>
      <c r="E112" t="s">
        <v>14</v>
      </c>
      <c r="F112" t="s">
        <v>284</v>
      </c>
      <c r="H112">
        <v>0</v>
      </c>
      <c r="I112" t="s">
        <v>17</v>
      </c>
      <c r="K112" t="s">
        <v>285</v>
      </c>
      <c r="L112">
        <v>366</v>
      </c>
      <c r="M112" t="s">
        <v>286</v>
      </c>
    </row>
    <row r="113" spans="1:13" x14ac:dyDescent="0.45">
      <c r="A113" t="s">
        <v>13</v>
      </c>
      <c r="B113">
        <v>84988</v>
      </c>
      <c r="C113">
        <v>85329</v>
      </c>
      <c r="E113" t="s">
        <v>14</v>
      </c>
      <c r="F113" t="s">
        <v>271</v>
      </c>
      <c r="H113">
        <v>0</v>
      </c>
      <c r="I113" t="s">
        <v>272</v>
      </c>
      <c r="M113" t="s">
        <v>287</v>
      </c>
    </row>
    <row r="114" spans="1:13" x14ac:dyDescent="0.45">
      <c r="A114" t="s">
        <v>13</v>
      </c>
      <c r="B114">
        <v>85423</v>
      </c>
      <c r="C114">
        <v>86160</v>
      </c>
      <c r="E114" t="s">
        <v>14</v>
      </c>
      <c r="F114" t="s">
        <v>288</v>
      </c>
      <c r="G114" t="s">
        <v>289</v>
      </c>
      <c r="H114">
        <v>0</v>
      </c>
      <c r="I114" t="s">
        <v>17</v>
      </c>
      <c r="K114" t="s">
        <v>290</v>
      </c>
      <c r="L114">
        <v>245</v>
      </c>
      <c r="M114" t="s">
        <v>291</v>
      </c>
    </row>
    <row r="115" spans="1:13" x14ac:dyDescent="0.45">
      <c r="A115" t="s">
        <v>13</v>
      </c>
      <c r="B115">
        <v>86163</v>
      </c>
      <c r="C115">
        <v>86690</v>
      </c>
      <c r="E115" t="s">
        <v>14</v>
      </c>
      <c r="F115" t="s">
        <v>292</v>
      </c>
      <c r="H115">
        <v>0</v>
      </c>
      <c r="I115" t="s">
        <v>17</v>
      </c>
      <c r="K115" t="s">
        <v>293</v>
      </c>
      <c r="L115">
        <v>175</v>
      </c>
      <c r="M115" t="s">
        <v>294</v>
      </c>
    </row>
    <row r="116" spans="1:13" x14ac:dyDescent="0.45">
      <c r="A116" t="s">
        <v>13</v>
      </c>
      <c r="B116">
        <v>86755</v>
      </c>
      <c r="C116">
        <v>87402</v>
      </c>
      <c r="E116" t="s">
        <v>14</v>
      </c>
      <c r="F116" t="s">
        <v>295</v>
      </c>
      <c r="G116" t="s">
        <v>296</v>
      </c>
      <c r="H116">
        <v>0</v>
      </c>
      <c r="I116" t="s">
        <v>17</v>
      </c>
      <c r="K116" t="s">
        <v>297</v>
      </c>
      <c r="L116">
        <v>215</v>
      </c>
      <c r="M116" t="s">
        <v>298</v>
      </c>
    </row>
    <row r="117" spans="1:13" x14ac:dyDescent="0.45">
      <c r="A117" t="s">
        <v>13</v>
      </c>
      <c r="B117">
        <v>87476</v>
      </c>
      <c r="C117">
        <v>88669</v>
      </c>
      <c r="E117" t="s">
        <v>14</v>
      </c>
      <c r="F117" t="s">
        <v>299</v>
      </c>
      <c r="G117" t="s">
        <v>300</v>
      </c>
      <c r="H117">
        <v>0</v>
      </c>
      <c r="I117" t="s">
        <v>17</v>
      </c>
      <c r="K117" t="s">
        <v>301</v>
      </c>
      <c r="L117">
        <v>397</v>
      </c>
      <c r="M117" t="s">
        <v>302</v>
      </c>
    </row>
    <row r="118" spans="1:13" x14ac:dyDescent="0.45">
      <c r="A118" t="s">
        <v>13</v>
      </c>
      <c r="B118">
        <v>88919</v>
      </c>
      <c r="C118">
        <v>89068</v>
      </c>
      <c r="E118" t="s">
        <v>14</v>
      </c>
      <c r="F118" t="s">
        <v>303</v>
      </c>
      <c r="G118" t="s">
        <v>304</v>
      </c>
      <c r="H118">
        <v>0</v>
      </c>
      <c r="I118" t="s">
        <v>17</v>
      </c>
      <c r="K118" t="s">
        <v>305</v>
      </c>
      <c r="L118">
        <v>49</v>
      </c>
      <c r="M118" t="s">
        <v>306</v>
      </c>
    </row>
    <row r="119" spans="1:13" x14ac:dyDescent="0.45">
      <c r="A119" t="s">
        <v>13</v>
      </c>
      <c r="B119">
        <v>89094</v>
      </c>
      <c r="C119">
        <v>89315</v>
      </c>
      <c r="E119" t="s">
        <v>14</v>
      </c>
      <c r="F119" t="s">
        <v>307</v>
      </c>
      <c r="G119" t="s">
        <v>308</v>
      </c>
      <c r="H119">
        <v>0</v>
      </c>
      <c r="I119" t="s">
        <v>17</v>
      </c>
      <c r="K119" t="s">
        <v>309</v>
      </c>
      <c r="L119">
        <v>73</v>
      </c>
      <c r="M119" t="s">
        <v>310</v>
      </c>
    </row>
    <row r="120" spans="1:13" x14ac:dyDescent="0.45">
      <c r="A120" t="s">
        <v>13</v>
      </c>
      <c r="B120">
        <v>89335</v>
      </c>
      <c r="C120">
        <v>89877</v>
      </c>
      <c r="E120" t="s">
        <v>14</v>
      </c>
      <c r="F120" t="s">
        <v>311</v>
      </c>
      <c r="G120" t="s">
        <v>312</v>
      </c>
      <c r="H120">
        <v>0</v>
      </c>
      <c r="I120" t="s">
        <v>17</v>
      </c>
      <c r="K120" t="s">
        <v>313</v>
      </c>
      <c r="L120">
        <v>180</v>
      </c>
      <c r="M120" t="s">
        <v>314</v>
      </c>
    </row>
    <row r="121" spans="1:13" x14ac:dyDescent="0.45">
      <c r="A121" t="s">
        <v>13</v>
      </c>
      <c r="B121">
        <v>89913</v>
      </c>
      <c r="C121">
        <v>90338</v>
      </c>
      <c r="E121" t="s">
        <v>14</v>
      </c>
      <c r="F121" t="s">
        <v>315</v>
      </c>
      <c r="G121" t="s">
        <v>316</v>
      </c>
      <c r="H121">
        <v>0</v>
      </c>
      <c r="I121" t="s">
        <v>17</v>
      </c>
      <c r="K121" t="s">
        <v>317</v>
      </c>
      <c r="L121">
        <v>141</v>
      </c>
      <c r="M121" t="s">
        <v>318</v>
      </c>
    </row>
    <row r="122" spans="1:13" x14ac:dyDescent="0.45">
      <c r="A122" t="s">
        <v>13</v>
      </c>
      <c r="B122">
        <v>90408</v>
      </c>
      <c r="C122">
        <v>91106</v>
      </c>
      <c r="E122" t="s">
        <v>14</v>
      </c>
      <c r="F122" t="s">
        <v>319</v>
      </c>
      <c r="G122" t="s">
        <v>320</v>
      </c>
      <c r="H122">
        <v>0</v>
      </c>
      <c r="I122" t="s">
        <v>17</v>
      </c>
      <c r="K122" t="s">
        <v>321</v>
      </c>
      <c r="L122">
        <v>232</v>
      </c>
      <c r="M122" t="s">
        <v>322</v>
      </c>
    </row>
    <row r="123" spans="1:13" x14ac:dyDescent="0.45">
      <c r="A123" t="s">
        <v>13</v>
      </c>
      <c r="B123">
        <v>91329</v>
      </c>
      <c r="C123">
        <v>91835</v>
      </c>
      <c r="E123" t="s">
        <v>14</v>
      </c>
      <c r="F123" t="s">
        <v>323</v>
      </c>
      <c r="G123" t="s">
        <v>324</v>
      </c>
      <c r="H123">
        <v>0</v>
      </c>
      <c r="I123" t="s">
        <v>17</v>
      </c>
      <c r="K123" t="s">
        <v>325</v>
      </c>
      <c r="L123">
        <v>168</v>
      </c>
      <c r="M123" t="s">
        <v>326</v>
      </c>
    </row>
    <row r="124" spans="1:13" x14ac:dyDescent="0.45">
      <c r="A124" t="s">
        <v>13</v>
      </c>
      <c r="B124">
        <v>91893</v>
      </c>
      <c r="C124">
        <v>92258</v>
      </c>
      <c r="E124" t="s">
        <v>14</v>
      </c>
      <c r="F124" t="s">
        <v>327</v>
      </c>
      <c r="G124" t="s">
        <v>328</v>
      </c>
      <c r="H124">
        <v>0</v>
      </c>
      <c r="I124" t="s">
        <v>17</v>
      </c>
      <c r="K124" t="s">
        <v>329</v>
      </c>
      <c r="L124">
        <v>121</v>
      </c>
      <c r="M124" t="s">
        <v>330</v>
      </c>
    </row>
    <row r="125" spans="1:13" x14ac:dyDescent="0.45">
      <c r="A125" t="s">
        <v>13</v>
      </c>
      <c r="B125">
        <v>92650</v>
      </c>
      <c r="C125">
        <v>93438</v>
      </c>
      <c r="E125" t="s">
        <v>14</v>
      </c>
      <c r="F125" t="s">
        <v>331</v>
      </c>
      <c r="H125">
        <v>0</v>
      </c>
      <c r="I125" t="s">
        <v>17</v>
      </c>
      <c r="K125" t="s">
        <v>332</v>
      </c>
      <c r="L125">
        <v>262</v>
      </c>
      <c r="M125" t="s">
        <v>333</v>
      </c>
    </row>
    <row r="126" spans="1:13" x14ac:dyDescent="0.45">
      <c r="A126" t="s">
        <v>13</v>
      </c>
      <c r="B126">
        <v>93909</v>
      </c>
      <c r="C126">
        <v>97625</v>
      </c>
      <c r="E126" t="s">
        <v>14</v>
      </c>
      <c r="F126" t="s">
        <v>334</v>
      </c>
      <c r="H126">
        <v>0</v>
      </c>
      <c r="I126" t="s">
        <v>17</v>
      </c>
      <c r="K126" t="s">
        <v>335</v>
      </c>
      <c r="L126">
        <v>1238</v>
      </c>
      <c r="M126" t="s">
        <v>336</v>
      </c>
    </row>
    <row r="127" spans="1:13" x14ac:dyDescent="0.45">
      <c r="A127" t="s">
        <v>13</v>
      </c>
      <c r="B127">
        <v>97667</v>
      </c>
      <c r="C127">
        <v>101152</v>
      </c>
      <c r="E127" t="s">
        <v>14</v>
      </c>
      <c r="F127" t="s">
        <v>337</v>
      </c>
      <c r="G127" t="s">
        <v>338</v>
      </c>
      <c r="H127">
        <v>0</v>
      </c>
      <c r="I127" t="s">
        <v>17</v>
      </c>
      <c r="K127" t="s">
        <v>339</v>
      </c>
      <c r="L127">
        <v>1161</v>
      </c>
      <c r="M127" t="s">
        <v>340</v>
      </c>
    </row>
    <row r="128" spans="1:13" x14ac:dyDescent="0.45">
      <c r="A128" t="s">
        <v>13</v>
      </c>
      <c r="B128">
        <v>101441</v>
      </c>
      <c r="C128">
        <v>101863</v>
      </c>
      <c r="E128" t="s">
        <v>14</v>
      </c>
      <c r="F128" t="s">
        <v>341</v>
      </c>
      <c r="G128" t="s">
        <v>342</v>
      </c>
      <c r="H128">
        <v>0</v>
      </c>
      <c r="I128" t="s">
        <v>17</v>
      </c>
      <c r="K128" t="s">
        <v>343</v>
      </c>
      <c r="L128">
        <v>140</v>
      </c>
      <c r="M128" t="s">
        <v>344</v>
      </c>
    </row>
    <row r="129" spans="1:13" x14ac:dyDescent="0.45">
      <c r="A129" t="s">
        <v>13</v>
      </c>
      <c r="B129">
        <v>101986</v>
      </c>
      <c r="C129">
        <v>102456</v>
      </c>
      <c r="E129" t="s">
        <v>14</v>
      </c>
      <c r="F129" t="s">
        <v>345</v>
      </c>
      <c r="G129" t="s">
        <v>346</v>
      </c>
      <c r="H129">
        <v>0</v>
      </c>
      <c r="I129" t="s">
        <v>17</v>
      </c>
      <c r="K129" t="s">
        <v>347</v>
      </c>
      <c r="L129">
        <v>156</v>
      </c>
      <c r="M129" t="s">
        <v>348</v>
      </c>
    </row>
    <row r="130" spans="1:13" x14ac:dyDescent="0.45">
      <c r="A130" t="s">
        <v>13</v>
      </c>
      <c r="B130">
        <v>102505</v>
      </c>
      <c r="C130">
        <v>104571</v>
      </c>
      <c r="E130" t="s">
        <v>14</v>
      </c>
      <c r="F130" t="s">
        <v>168</v>
      </c>
      <c r="G130" t="s">
        <v>349</v>
      </c>
      <c r="H130">
        <v>0</v>
      </c>
      <c r="I130" t="s">
        <v>17</v>
      </c>
      <c r="K130" t="s">
        <v>350</v>
      </c>
      <c r="L130">
        <v>688</v>
      </c>
      <c r="M130" t="s">
        <v>351</v>
      </c>
    </row>
    <row r="131" spans="1:13" x14ac:dyDescent="0.45">
      <c r="A131" t="s">
        <v>13</v>
      </c>
      <c r="B131">
        <v>104662</v>
      </c>
      <c r="C131">
        <v>105855</v>
      </c>
      <c r="E131" t="s">
        <v>14</v>
      </c>
      <c r="F131" t="s">
        <v>299</v>
      </c>
      <c r="G131" t="s">
        <v>300</v>
      </c>
      <c r="H131">
        <v>0</v>
      </c>
      <c r="I131" t="s">
        <v>17</v>
      </c>
      <c r="K131" t="s">
        <v>301</v>
      </c>
      <c r="L131">
        <v>397</v>
      </c>
      <c r="M131" t="s">
        <v>352</v>
      </c>
    </row>
    <row r="132" spans="1:13" x14ac:dyDescent="0.45">
      <c r="A132" t="s">
        <v>13</v>
      </c>
      <c r="B132">
        <v>106228</v>
      </c>
      <c r="C132">
        <v>106539</v>
      </c>
      <c r="E132" t="s">
        <v>14</v>
      </c>
      <c r="F132" t="s">
        <v>353</v>
      </c>
      <c r="G132" t="s">
        <v>354</v>
      </c>
      <c r="H132">
        <v>0</v>
      </c>
      <c r="I132" t="s">
        <v>17</v>
      </c>
      <c r="K132" t="s">
        <v>355</v>
      </c>
      <c r="L132">
        <v>103</v>
      </c>
      <c r="M132" t="s">
        <v>356</v>
      </c>
    </row>
    <row r="133" spans="1:13" x14ac:dyDescent="0.45">
      <c r="A133" t="s">
        <v>13</v>
      </c>
      <c r="B133">
        <v>106631</v>
      </c>
      <c r="C133">
        <v>107260</v>
      </c>
      <c r="E133" t="s">
        <v>14</v>
      </c>
      <c r="F133" t="s">
        <v>357</v>
      </c>
      <c r="G133" t="s">
        <v>358</v>
      </c>
      <c r="H133">
        <v>0</v>
      </c>
      <c r="I133" t="s">
        <v>17</v>
      </c>
      <c r="K133" t="s">
        <v>359</v>
      </c>
      <c r="L133">
        <v>209</v>
      </c>
      <c r="M133" t="s">
        <v>360</v>
      </c>
    </row>
    <row r="134" spans="1:13" x14ac:dyDescent="0.45">
      <c r="A134" t="s">
        <v>13</v>
      </c>
      <c r="B134">
        <v>107290</v>
      </c>
      <c r="C134">
        <v>107913</v>
      </c>
      <c r="E134" t="s">
        <v>14</v>
      </c>
      <c r="F134" t="s">
        <v>361</v>
      </c>
      <c r="G134" t="s">
        <v>362</v>
      </c>
      <c r="H134">
        <v>0</v>
      </c>
      <c r="I134" t="s">
        <v>17</v>
      </c>
      <c r="K134" t="s">
        <v>363</v>
      </c>
      <c r="L134">
        <v>207</v>
      </c>
      <c r="M134" t="s">
        <v>364</v>
      </c>
    </row>
    <row r="135" spans="1:13" x14ac:dyDescent="0.45">
      <c r="A135" t="s">
        <v>13</v>
      </c>
      <c r="B135">
        <v>107913</v>
      </c>
      <c r="C135">
        <v>108203</v>
      </c>
      <c r="E135" t="s">
        <v>14</v>
      </c>
      <c r="F135" t="s">
        <v>365</v>
      </c>
      <c r="G135" t="s">
        <v>366</v>
      </c>
      <c r="H135">
        <v>0</v>
      </c>
      <c r="I135" t="s">
        <v>17</v>
      </c>
      <c r="K135" t="s">
        <v>367</v>
      </c>
      <c r="L135">
        <v>96</v>
      </c>
      <c r="M135" t="s">
        <v>368</v>
      </c>
    </row>
    <row r="136" spans="1:13" x14ac:dyDescent="0.45">
      <c r="A136" t="s">
        <v>13</v>
      </c>
      <c r="B136">
        <v>108233</v>
      </c>
      <c r="C136">
        <v>109063</v>
      </c>
      <c r="E136" t="s">
        <v>14</v>
      </c>
      <c r="F136" t="s">
        <v>369</v>
      </c>
      <c r="G136" t="s">
        <v>370</v>
      </c>
      <c r="H136">
        <v>0</v>
      </c>
      <c r="I136" t="s">
        <v>17</v>
      </c>
      <c r="K136" t="s">
        <v>371</v>
      </c>
      <c r="L136">
        <v>276</v>
      </c>
      <c r="M136" t="s">
        <v>372</v>
      </c>
    </row>
    <row r="137" spans="1:13" x14ac:dyDescent="0.45">
      <c r="A137" t="s">
        <v>13</v>
      </c>
      <c r="B137">
        <v>109098</v>
      </c>
      <c r="C137">
        <v>109379</v>
      </c>
      <c r="E137" t="s">
        <v>14</v>
      </c>
      <c r="F137" t="s">
        <v>373</v>
      </c>
      <c r="G137" t="s">
        <v>374</v>
      </c>
      <c r="H137">
        <v>0</v>
      </c>
      <c r="I137" t="s">
        <v>17</v>
      </c>
      <c r="K137" t="s">
        <v>375</v>
      </c>
      <c r="L137">
        <v>93</v>
      </c>
      <c r="M137" t="s">
        <v>376</v>
      </c>
    </row>
    <row r="138" spans="1:13" x14ac:dyDescent="0.45">
      <c r="A138" t="s">
        <v>13</v>
      </c>
      <c r="B138">
        <v>109411</v>
      </c>
      <c r="C138">
        <v>109746</v>
      </c>
      <c r="E138" t="s">
        <v>14</v>
      </c>
      <c r="F138" t="s">
        <v>377</v>
      </c>
      <c r="G138" t="s">
        <v>378</v>
      </c>
      <c r="H138">
        <v>0</v>
      </c>
      <c r="I138" t="s">
        <v>17</v>
      </c>
      <c r="K138" t="s">
        <v>379</v>
      </c>
      <c r="L138">
        <v>111</v>
      </c>
      <c r="M138" t="s">
        <v>380</v>
      </c>
    </row>
    <row r="139" spans="1:13" x14ac:dyDescent="0.45">
      <c r="A139" t="s">
        <v>13</v>
      </c>
      <c r="B139">
        <v>109769</v>
      </c>
      <c r="C139">
        <v>110584</v>
      </c>
      <c r="E139" t="s">
        <v>14</v>
      </c>
      <c r="F139" t="s">
        <v>381</v>
      </c>
      <c r="G139" t="s">
        <v>382</v>
      </c>
      <c r="H139">
        <v>0</v>
      </c>
      <c r="I139" t="s">
        <v>17</v>
      </c>
      <c r="K139" t="s">
        <v>383</v>
      </c>
      <c r="L139">
        <v>271</v>
      </c>
      <c r="M139" t="s">
        <v>384</v>
      </c>
    </row>
    <row r="140" spans="1:13" x14ac:dyDescent="0.45">
      <c r="A140" t="s">
        <v>13</v>
      </c>
      <c r="B140">
        <v>110620</v>
      </c>
      <c r="C140">
        <v>111051</v>
      </c>
      <c r="E140" t="s">
        <v>14</v>
      </c>
      <c r="F140" t="s">
        <v>385</v>
      </c>
      <c r="G140" t="s">
        <v>386</v>
      </c>
      <c r="H140">
        <v>0</v>
      </c>
      <c r="I140" t="s">
        <v>17</v>
      </c>
      <c r="K140" t="s">
        <v>387</v>
      </c>
      <c r="L140">
        <v>143</v>
      </c>
      <c r="M140" t="s">
        <v>388</v>
      </c>
    </row>
    <row r="141" spans="1:13" x14ac:dyDescent="0.45">
      <c r="A141" t="s">
        <v>13</v>
      </c>
      <c r="B141">
        <v>111053</v>
      </c>
      <c r="C141">
        <v>111256</v>
      </c>
      <c r="E141" t="s">
        <v>14</v>
      </c>
      <c r="F141" t="s">
        <v>389</v>
      </c>
      <c r="G141" t="s">
        <v>390</v>
      </c>
      <c r="H141">
        <v>0</v>
      </c>
      <c r="I141" t="s">
        <v>17</v>
      </c>
      <c r="K141" t="s">
        <v>391</v>
      </c>
      <c r="L141">
        <v>67</v>
      </c>
      <c r="M141" t="s">
        <v>392</v>
      </c>
    </row>
    <row r="142" spans="1:13" x14ac:dyDescent="0.45">
      <c r="A142" t="s">
        <v>13</v>
      </c>
      <c r="B142">
        <v>111280</v>
      </c>
      <c r="C142">
        <v>111534</v>
      </c>
      <c r="E142" t="s">
        <v>14</v>
      </c>
      <c r="F142" t="s">
        <v>393</v>
      </c>
      <c r="G142" t="s">
        <v>394</v>
      </c>
      <c r="H142">
        <v>0</v>
      </c>
      <c r="I142" t="s">
        <v>17</v>
      </c>
      <c r="K142" t="s">
        <v>395</v>
      </c>
      <c r="L142">
        <v>84</v>
      </c>
      <c r="M142" t="s">
        <v>396</v>
      </c>
    </row>
    <row r="143" spans="1:13" x14ac:dyDescent="0.45">
      <c r="A143" t="s">
        <v>13</v>
      </c>
      <c r="B143">
        <v>111560</v>
      </c>
      <c r="C143">
        <v>111928</v>
      </c>
      <c r="E143" t="s">
        <v>14</v>
      </c>
      <c r="F143" t="s">
        <v>397</v>
      </c>
      <c r="G143" t="s">
        <v>398</v>
      </c>
      <c r="H143">
        <v>0</v>
      </c>
      <c r="I143" t="s">
        <v>17</v>
      </c>
      <c r="K143" t="s">
        <v>399</v>
      </c>
      <c r="L143">
        <v>122</v>
      </c>
      <c r="M143" t="s">
        <v>400</v>
      </c>
    </row>
    <row r="144" spans="1:13" x14ac:dyDescent="0.45">
      <c r="A144" t="s">
        <v>13</v>
      </c>
      <c r="B144">
        <v>111952</v>
      </c>
      <c r="C144">
        <v>112257</v>
      </c>
      <c r="E144" t="s">
        <v>14</v>
      </c>
      <c r="F144" t="s">
        <v>401</v>
      </c>
      <c r="G144" t="s">
        <v>402</v>
      </c>
      <c r="H144">
        <v>0</v>
      </c>
      <c r="I144" t="s">
        <v>17</v>
      </c>
      <c r="K144" t="s">
        <v>403</v>
      </c>
      <c r="L144">
        <v>101</v>
      </c>
      <c r="M144" t="s">
        <v>404</v>
      </c>
    </row>
    <row r="145" spans="1:13" x14ac:dyDescent="0.45">
      <c r="A145" t="s">
        <v>13</v>
      </c>
      <c r="B145">
        <v>112287</v>
      </c>
      <c r="C145">
        <v>112829</v>
      </c>
      <c r="E145" t="s">
        <v>14</v>
      </c>
      <c r="F145" t="s">
        <v>405</v>
      </c>
      <c r="G145" t="s">
        <v>406</v>
      </c>
      <c r="H145">
        <v>0</v>
      </c>
      <c r="I145" t="s">
        <v>17</v>
      </c>
      <c r="K145" t="s">
        <v>407</v>
      </c>
      <c r="L145">
        <v>180</v>
      </c>
      <c r="M145" t="s">
        <v>408</v>
      </c>
    </row>
    <row r="146" spans="1:13" x14ac:dyDescent="0.45">
      <c r="A146" t="s">
        <v>13</v>
      </c>
      <c r="B146">
        <v>112847</v>
      </c>
      <c r="C146">
        <v>113032</v>
      </c>
      <c r="E146" t="s">
        <v>14</v>
      </c>
      <c r="F146" t="s">
        <v>409</v>
      </c>
      <c r="H146">
        <v>0</v>
      </c>
      <c r="I146" t="s">
        <v>17</v>
      </c>
      <c r="K146" t="s">
        <v>410</v>
      </c>
      <c r="L146">
        <v>61</v>
      </c>
      <c r="M146" t="s">
        <v>411</v>
      </c>
    </row>
    <row r="147" spans="1:13" x14ac:dyDescent="0.45">
      <c r="A147" t="s">
        <v>13</v>
      </c>
      <c r="B147">
        <v>113065</v>
      </c>
      <c r="C147">
        <v>113463</v>
      </c>
      <c r="E147" t="s">
        <v>14</v>
      </c>
      <c r="F147" t="s">
        <v>412</v>
      </c>
      <c r="G147" t="s">
        <v>413</v>
      </c>
      <c r="H147">
        <v>0</v>
      </c>
      <c r="I147" t="s">
        <v>17</v>
      </c>
      <c r="K147" t="s">
        <v>414</v>
      </c>
      <c r="L147">
        <v>132</v>
      </c>
      <c r="M147" t="s">
        <v>415</v>
      </c>
    </row>
    <row r="148" spans="1:13" x14ac:dyDescent="0.45">
      <c r="A148" t="s">
        <v>13</v>
      </c>
      <c r="B148">
        <v>113494</v>
      </c>
      <c r="C148">
        <v>114036</v>
      </c>
      <c r="E148" t="s">
        <v>14</v>
      </c>
      <c r="F148" t="s">
        <v>416</v>
      </c>
      <c r="G148" t="s">
        <v>417</v>
      </c>
      <c r="H148">
        <v>0</v>
      </c>
      <c r="I148" t="s">
        <v>17</v>
      </c>
      <c r="K148" t="s">
        <v>418</v>
      </c>
      <c r="L148">
        <v>180</v>
      </c>
      <c r="M148" t="s">
        <v>419</v>
      </c>
    </row>
    <row r="149" spans="1:13" x14ac:dyDescent="0.45">
      <c r="A149" t="s">
        <v>13</v>
      </c>
      <c r="B149">
        <v>114072</v>
      </c>
      <c r="C149">
        <v>114440</v>
      </c>
      <c r="E149" t="s">
        <v>14</v>
      </c>
      <c r="F149" t="s">
        <v>420</v>
      </c>
      <c r="G149" t="s">
        <v>421</v>
      </c>
      <c r="H149">
        <v>0</v>
      </c>
      <c r="I149" t="s">
        <v>17</v>
      </c>
      <c r="K149" t="s">
        <v>422</v>
      </c>
      <c r="L149">
        <v>122</v>
      </c>
      <c r="M149" t="s">
        <v>423</v>
      </c>
    </row>
    <row r="150" spans="1:13" x14ac:dyDescent="0.45">
      <c r="A150" t="s">
        <v>13</v>
      </c>
      <c r="B150">
        <v>114461</v>
      </c>
      <c r="C150">
        <v>114970</v>
      </c>
      <c r="E150" t="s">
        <v>14</v>
      </c>
      <c r="F150" t="s">
        <v>424</v>
      </c>
      <c r="G150" t="s">
        <v>425</v>
      </c>
      <c r="H150">
        <v>0</v>
      </c>
      <c r="I150" t="s">
        <v>17</v>
      </c>
      <c r="K150" t="s">
        <v>426</v>
      </c>
      <c r="L150">
        <v>169</v>
      </c>
      <c r="M150" t="s">
        <v>427</v>
      </c>
    </row>
    <row r="151" spans="1:13" x14ac:dyDescent="0.45">
      <c r="A151" t="s">
        <v>13</v>
      </c>
      <c r="B151">
        <v>114985</v>
      </c>
      <c r="C151">
        <v>115170</v>
      </c>
      <c r="E151" t="s">
        <v>14</v>
      </c>
      <c r="F151" t="s">
        <v>428</v>
      </c>
      <c r="G151" t="s">
        <v>429</v>
      </c>
      <c r="H151">
        <v>0</v>
      </c>
      <c r="I151" t="s">
        <v>17</v>
      </c>
      <c r="K151" t="s">
        <v>430</v>
      </c>
      <c r="L151">
        <v>61</v>
      </c>
      <c r="M151" t="s">
        <v>431</v>
      </c>
    </row>
    <row r="152" spans="1:13" x14ac:dyDescent="0.45">
      <c r="A152" t="s">
        <v>13</v>
      </c>
      <c r="B152">
        <v>115203</v>
      </c>
      <c r="C152">
        <v>115646</v>
      </c>
      <c r="E152" t="s">
        <v>14</v>
      </c>
      <c r="F152" t="s">
        <v>432</v>
      </c>
      <c r="G152" t="s">
        <v>433</v>
      </c>
      <c r="H152">
        <v>0</v>
      </c>
      <c r="I152" t="s">
        <v>17</v>
      </c>
      <c r="K152" t="s">
        <v>434</v>
      </c>
      <c r="L152">
        <v>147</v>
      </c>
      <c r="M152" t="s">
        <v>435</v>
      </c>
    </row>
    <row r="153" spans="1:13" x14ac:dyDescent="0.45">
      <c r="A153" t="s">
        <v>13</v>
      </c>
      <c r="B153">
        <v>115690</v>
      </c>
      <c r="C153">
        <v>116958</v>
      </c>
      <c r="E153" t="s">
        <v>14</v>
      </c>
      <c r="F153" t="s">
        <v>436</v>
      </c>
      <c r="G153" t="s">
        <v>437</v>
      </c>
      <c r="H153">
        <v>0</v>
      </c>
      <c r="I153" t="s">
        <v>17</v>
      </c>
      <c r="K153" t="s">
        <v>438</v>
      </c>
      <c r="L153">
        <v>422</v>
      </c>
      <c r="M153" t="s">
        <v>439</v>
      </c>
    </row>
    <row r="154" spans="1:13" x14ac:dyDescent="0.45">
      <c r="A154" t="s">
        <v>13</v>
      </c>
      <c r="B154">
        <v>116975</v>
      </c>
      <c r="C154">
        <v>117625</v>
      </c>
      <c r="E154" t="s">
        <v>14</v>
      </c>
      <c r="F154" t="s">
        <v>440</v>
      </c>
      <c r="H154">
        <v>0</v>
      </c>
      <c r="I154" t="s">
        <v>17</v>
      </c>
      <c r="K154" t="s">
        <v>441</v>
      </c>
      <c r="L154">
        <v>216</v>
      </c>
      <c r="M154" t="s">
        <v>442</v>
      </c>
    </row>
    <row r="155" spans="1:13" x14ac:dyDescent="0.45">
      <c r="A155" t="s">
        <v>13</v>
      </c>
      <c r="B155">
        <v>117626</v>
      </c>
      <c r="C155">
        <v>118372</v>
      </c>
      <c r="E155" t="s">
        <v>14</v>
      </c>
      <c r="F155" t="s">
        <v>443</v>
      </c>
      <c r="G155" t="s">
        <v>444</v>
      </c>
      <c r="H155">
        <v>0</v>
      </c>
      <c r="I155" t="s">
        <v>17</v>
      </c>
      <c r="K155" t="s">
        <v>445</v>
      </c>
      <c r="L155">
        <v>248</v>
      </c>
      <c r="M155" t="s">
        <v>446</v>
      </c>
    </row>
    <row r="156" spans="1:13" x14ac:dyDescent="0.45">
      <c r="A156" t="s">
        <v>13</v>
      </c>
      <c r="B156">
        <v>118394</v>
      </c>
      <c r="C156">
        <v>118663</v>
      </c>
      <c r="E156" t="s">
        <v>14</v>
      </c>
      <c r="F156" t="s">
        <v>447</v>
      </c>
      <c r="H156">
        <v>0</v>
      </c>
      <c r="I156" t="s">
        <v>17</v>
      </c>
      <c r="K156" t="s">
        <v>448</v>
      </c>
      <c r="L156">
        <v>89</v>
      </c>
      <c r="M156" t="s">
        <v>449</v>
      </c>
    </row>
    <row r="157" spans="1:13" x14ac:dyDescent="0.45">
      <c r="A157" t="s">
        <v>13</v>
      </c>
      <c r="B157">
        <v>118701</v>
      </c>
      <c r="C157">
        <v>118919</v>
      </c>
      <c r="E157" t="s">
        <v>14</v>
      </c>
      <c r="F157" t="s">
        <v>450</v>
      </c>
      <c r="G157" t="s">
        <v>451</v>
      </c>
      <c r="H157">
        <v>0</v>
      </c>
      <c r="I157" t="s">
        <v>17</v>
      </c>
      <c r="K157" t="s">
        <v>452</v>
      </c>
      <c r="L157">
        <v>72</v>
      </c>
      <c r="M157" t="s">
        <v>453</v>
      </c>
    </row>
    <row r="158" spans="1:13" x14ac:dyDescent="0.45">
      <c r="A158" t="s">
        <v>13</v>
      </c>
      <c r="B158">
        <v>118955</v>
      </c>
      <c r="C158">
        <v>119068</v>
      </c>
      <c r="E158" t="s">
        <v>14</v>
      </c>
      <c r="F158" t="s">
        <v>454</v>
      </c>
      <c r="G158" t="s">
        <v>455</v>
      </c>
      <c r="H158">
        <v>0</v>
      </c>
      <c r="I158" t="s">
        <v>17</v>
      </c>
      <c r="K158" t="s">
        <v>456</v>
      </c>
      <c r="L158">
        <v>37</v>
      </c>
      <c r="M158" t="s">
        <v>457</v>
      </c>
    </row>
    <row r="159" spans="1:13" x14ac:dyDescent="0.45">
      <c r="A159" t="s">
        <v>13</v>
      </c>
      <c r="B159">
        <v>119221</v>
      </c>
      <c r="C159">
        <v>119592</v>
      </c>
      <c r="E159" t="s">
        <v>14</v>
      </c>
      <c r="F159" t="s">
        <v>458</v>
      </c>
      <c r="G159" t="s">
        <v>459</v>
      </c>
      <c r="H159">
        <v>0</v>
      </c>
      <c r="I159" t="s">
        <v>17</v>
      </c>
      <c r="K159" t="s">
        <v>460</v>
      </c>
      <c r="L159">
        <v>123</v>
      </c>
      <c r="M159" t="s">
        <v>461</v>
      </c>
    </row>
    <row r="160" spans="1:13" x14ac:dyDescent="0.45">
      <c r="A160" t="s">
        <v>13</v>
      </c>
      <c r="B160">
        <v>119628</v>
      </c>
      <c r="C160">
        <v>120026</v>
      </c>
      <c r="E160" t="s">
        <v>14</v>
      </c>
      <c r="F160" t="s">
        <v>462</v>
      </c>
      <c r="G160" t="s">
        <v>463</v>
      </c>
      <c r="H160">
        <v>0</v>
      </c>
      <c r="I160" t="s">
        <v>17</v>
      </c>
      <c r="K160" t="s">
        <v>464</v>
      </c>
      <c r="L160">
        <v>132</v>
      </c>
      <c r="M160" t="s">
        <v>465</v>
      </c>
    </row>
    <row r="161" spans="1:13" x14ac:dyDescent="0.45">
      <c r="A161" t="s">
        <v>13</v>
      </c>
      <c r="B161">
        <v>120058</v>
      </c>
      <c r="C161">
        <v>120681</v>
      </c>
      <c r="E161" t="s">
        <v>14</v>
      </c>
      <c r="F161" t="s">
        <v>466</v>
      </c>
      <c r="G161" t="s">
        <v>467</v>
      </c>
      <c r="H161">
        <v>0</v>
      </c>
      <c r="I161" t="s">
        <v>17</v>
      </c>
      <c r="K161" t="s">
        <v>468</v>
      </c>
      <c r="L161">
        <v>207</v>
      </c>
      <c r="M161" t="s">
        <v>469</v>
      </c>
    </row>
    <row r="162" spans="1:13" x14ac:dyDescent="0.45">
      <c r="A162" t="s">
        <v>13</v>
      </c>
      <c r="B162">
        <v>120759</v>
      </c>
      <c r="C162">
        <v>121706</v>
      </c>
      <c r="E162" t="s">
        <v>14</v>
      </c>
      <c r="F162" t="s">
        <v>470</v>
      </c>
      <c r="H162">
        <v>0</v>
      </c>
      <c r="I162" t="s">
        <v>17</v>
      </c>
      <c r="K162" t="s">
        <v>471</v>
      </c>
      <c r="L162">
        <v>315</v>
      </c>
      <c r="M162" t="s">
        <v>472</v>
      </c>
    </row>
    <row r="163" spans="1:13" x14ac:dyDescent="0.45">
      <c r="A163" t="s">
        <v>13</v>
      </c>
      <c r="B163">
        <v>121727</v>
      </c>
      <c r="C163">
        <v>122068</v>
      </c>
      <c r="E163" t="s">
        <v>14</v>
      </c>
      <c r="F163" t="s">
        <v>473</v>
      </c>
      <c r="G163" t="s">
        <v>474</v>
      </c>
      <c r="H163">
        <v>0</v>
      </c>
      <c r="I163" t="s">
        <v>17</v>
      </c>
      <c r="K163" t="s">
        <v>475</v>
      </c>
      <c r="L163">
        <v>113</v>
      </c>
      <c r="M163" t="s">
        <v>476</v>
      </c>
    </row>
    <row r="164" spans="1:13" x14ac:dyDescent="0.45">
      <c r="A164" t="s">
        <v>13</v>
      </c>
      <c r="B164">
        <v>122188</v>
      </c>
      <c r="C164">
        <v>123021</v>
      </c>
      <c r="E164" t="s">
        <v>14</v>
      </c>
      <c r="F164" t="s">
        <v>477</v>
      </c>
      <c r="H164">
        <v>0</v>
      </c>
      <c r="I164" t="s">
        <v>17</v>
      </c>
      <c r="K164" t="s">
        <v>478</v>
      </c>
      <c r="L164">
        <v>277</v>
      </c>
      <c r="M164" t="s">
        <v>479</v>
      </c>
    </row>
    <row r="165" spans="1:13" x14ac:dyDescent="0.45">
      <c r="A165" t="s">
        <v>13</v>
      </c>
      <c r="B165">
        <v>123009</v>
      </c>
      <c r="C165">
        <v>123875</v>
      </c>
      <c r="E165" t="s">
        <v>14</v>
      </c>
      <c r="F165" t="s">
        <v>477</v>
      </c>
      <c r="H165">
        <v>0</v>
      </c>
      <c r="I165" t="s">
        <v>17</v>
      </c>
      <c r="K165" t="s">
        <v>480</v>
      </c>
      <c r="L165">
        <v>288</v>
      </c>
      <c r="M165" t="s">
        <v>481</v>
      </c>
    </row>
    <row r="166" spans="1:13" x14ac:dyDescent="0.45">
      <c r="A166" t="s">
        <v>13</v>
      </c>
      <c r="B166">
        <v>123869</v>
      </c>
      <c r="C166">
        <v>124672</v>
      </c>
      <c r="E166" t="s">
        <v>14</v>
      </c>
      <c r="F166" t="s">
        <v>482</v>
      </c>
      <c r="H166">
        <v>0</v>
      </c>
      <c r="I166" t="s">
        <v>17</v>
      </c>
      <c r="K166" t="s">
        <v>483</v>
      </c>
      <c r="L166">
        <v>267</v>
      </c>
      <c r="M166" t="s">
        <v>484</v>
      </c>
    </row>
    <row r="167" spans="1:13" x14ac:dyDescent="0.45">
      <c r="A167" t="s">
        <v>13</v>
      </c>
      <c r="B167">
        <v>124704</v>
      </c>
      <c r="C167">
        <v>125435</v>
      </c>
      <c r="E167" t="s">
        <v>14</v>
      </c>
      <c r="F167" t="s">
        <v>485</v>
      </c>
      <c r="G167" t="s">
        <v>486</v>
      </c>
      <c r="H167">
        <v>0</v>
      </c>
      <c r="I167" t="s">
        <v>17</v>
      </c>
      <c r="K167" t="s">
        <v>487</v>
      </c>
      <c r="L167">
        <v>243</v>
      </c>
      <c r="M167" t="s">
        <v>488</v>
      </c>
    </row>
    <row r="168" spans="1:13" x14ac:dyDescent="0.45">
      <c r="A168" t="s">
        <v>13</v>
      </c>
      <c r="B168">
        <v>125555</v>
      </c>
      <c r="C168">
        <v>125986</v>
      </c>
      <c r="E168" t="s">
        <v>14</v>
      </c>
      <c r="F168" t="s">
        <v>489</v>
      </c>
      <c r="G168" t="s">
        <v>490</v>
      </c>
      <c r="H168">
        <v>0</v>
      </c>
      <c r="I168" t="s">
        <v>17</v>
      </c>
      <c r="K168" t="s">
        <v>491</v>
      </c>
      <c r="L168">
        <v>143</v>
      </c>
      <c r="M168" t="s">
        <v>492</v>
      </c>
    </row>
    <row r="169" spans="1:13" x14ac:dyDescent="0.45">
      <c r="A169" t="s">
        <v>13</v>
      </c>
      <c r="B169">
        <v>126015</v>
      </c>
      <c r="C169">
        <v>126407</v>
      </c>
      <c r="E169" t="s">
        <v>14</v>
      </c>
      <c r="F169" t="s">
        <v>493</v>
      </c>
      <c r="G169" t="s">
        <v>494</v>
      </c>
      <c r="H169">
        <v>0</v>
      </c>
      <c r="I169" t="s">
        <v>17</v>
      </c>
      <c r="K169" t="s">
        <v>495</v>
      </c>
      <c r="L169">
        <v>130</v>
      </c>
      <c r="M169" t="s">
        <v>496</v>
      </c>
    </row>
    <row r="170" spans="1:13" x14ac:dyDescent="0.45">
      <c r="A170" t="s">
        <v>13</v>
      </c>
      <c r="B170">
        <v>126914</v>
      </c>
      <c r="C170">
        <v>127618</v>
      </c>
      <c r="E170" t="s">
        <v>14</v>
      </c>
      <c r="F170" t="s">
        <v>497</v>
      </c>
      <c r="G170" t="s">
        <v>498</v>
      </c>
      <c r="H170">
        <v>0</v>
      </c>
      <c r="I170" t="s">
        <v>17</v>
      </c>
      <c r="K170" t="s">
        <v>499</v>
      </c>
      <c r="L170">
        <v>234</v>
      </c>
      <c r="M170" t="s">
        <v>500</v>
      </c>
    </row>
    <row r="171" spans="1:13" x14ac:dyDescent="0.45">
      <c r="A171" t="s">
        <v>13</v>
      </c>
      <c r="B171">
        <v>127902</v>
      </c>
      <c r="C171">
        <v>129404</v>
      </c>
      <c r="E171" t="s">
        <v>14</v>
      </c>
      <c r="F171" t="s">
        <v>55</v>
      </c>
      <c r="H171">
        <v>0</v>
      </c>
      <c r="I171" t="s">
        <v>56</v>
      </c>
      <c r="M171" t="s">
        <v>501</v>
      </c>
    </row>
    <row r="172" spans="1:13" x14ac:dyDescent="0.45">
      <c r="A172" t="s">
        <v>13</v>
      </c>
      <c r="B172">
        <v>129460</v>
      </c>
      <c r="C172">
        <v>129535</v>
      </c>
      <c r="E172" t="s">
        <v>14</v>
      </c>
      <c r="F172" t="s">
        <v>502</v>
      </c>
      <c r="H172">
        <v>0</v>
      </c>
      <c r="I172" t="s">
        <v>77</v>
      </c>
      <c r="M172" t="s">
        <v>503</v>
      </c>
    </row>
    <row r="173" spans="1:13" x14ac:dyDescent="0.45">
      <c r="A173" t="s">
        <v>13</v>
      </c>
      <c r="B173">
        <v>129786</v>
      </c>
      <c r="C173">
        <v>132683</v>
      </c>
      <c r="E173" t="s">
        <v>14</v>
      </c>
      <c r="F173" t="s">
        <v>58</v>
      </c>
      <c r="H173">
        <v>0</v>
      </c>
      <c r="I173" t="s">
        <v>56</v>
      </c>
      <c r="M173" t="s">
        <v>504</v>
      </c>
    </row>
    <row r="174" spans="1:13" x14ac:dyDescent="0.45">
      <c r="A174" t="s">
        <v>13</v>
      </c>
      <c r="B174">
        <v>132934</v>
      </c>
      <c r="C174">
        <v>133010</v>
      </c>
      <c r="E174" t="s">
        <v>14</v>
      </c>
      <c r="F174" t="s">
        <v>107</v>
      </c>
      <c r="H174">
        <v>0</v>
      </c>
      <c r="I174" t="s">
        <v>77</v>
      </c>
      <c r="M174" t="s">
        <v>505</v>
      </c>
    </row>
    <row r="175" spans="1:13" x14ac:dyDescent="0.45">
      <c r="A175" t="s">
        <v>13</v>
      </c>
      <c r="B175">
        <v>133127</v>
      </c>
      <c r="C175">
        <v>134629</v>
      </c>
      <c r="E175" t="s">
        <v>14</v>
      </c>
      <c r="F175" t="s">
        <v>55</v>
      </c>
      <c r="H175">
        <v>0</v>
      </c>
      <c r="I175" t="s">
        <v>56</v>
      </c>
      <c r="M175" t="s">
        <v>506</v>
      </c>
    </row>
    <row r="176" spans="1:13" x14ac:dyDescent="0.45">
      <c r="A176" t="s">
        <v>13</v>
      </c>
      <c r="B176">
        <v>134913</v>
      </c>
      <c r="C176">
        <v>137810</v>
      </c>
      <c r="E176" t="s">
        <v>14</v>
      </c>
      <c r="F176" t="s">
        <v>58</v>
      </c>
      <c r="H176">
        <v>0</v>
      </c>
      <c r="I176" t="s">
        <v>56</v>
      </c>
      <c r="M176" t="s">
        <v>507</v>
      </c>
    </row>
    <row r="177" spans="1:13" x14ac:dyDescent="0.45">
      <c r="A177" t="s">
        <v>13</v>
      </c>
      <c r="B177">
        <v>137938</v>
      </c>
      <c r="C177">
        <v>138054</v>
      </c>
      <c r="E177" t="s">
        <v>14</v>
      </c>
      <c r="F177" t="s">
        <v>60</v>
      </c>
      <c r="G177" t="s">
        <v>61</v>
      </c>
      <c r="H177">
        <v>0</v>
      </c>
      <c r="I177" t="s">
        <v>56</v>
      </c>
      <c r="M177" t="s">
        <v>508</v>
      </c>
    </row>
    <row r="178" spans="1:13" x14ac:dyDescent="0.45">
      <c r="A178" t="s">
        <v>13</v>
      </c>
      <c r="B178">
        <v>138268</v>
      </c>
      <c r="C178">
        <v>139452</v>
      </c>
      <c r="E178" t="s">
        <v>96</v>
      </c>
      <c r="F178" t="s">
        <v>509</v>
      </c>
      <c r="H178">
        <v>0</v>
      </c>
      <c r="I178" t="s">
        <v>17</v>
      </c>
      <c r="K178" t="s">
        <v>510</v>
      </c>
      <c r="L178">
        <v>394</v>
      </c>
      <c r="M178" t="s">
        <v>511</v>
      </c>
    </row>
    <row r="179" spans="1:13" x14ac:dyDescent="0.45">
      <c r="A179" t="s">
        <v>13</v>
      </c>
      <c r="B179">
        <v>139825</v>
      </c>
      <c r="C179">
        <v>142176</v>
      </c>
      <c r="E179" t="s">
        <v>14</v>
      </c>
      <c r="F179" t="s">
        <v>512</v>
      </c>
      <c r="H179">
        <v>0</v>
      </c>
      <c r="I179" t="s">
        <v>17</v>
      </c>
      <c r="K179" t="s">
        <v>513</v>
      </c>
      <c r="L179">
        <v>783</v>
      </c>
      <c r="M179" t="s">
        <v>514</v>
      </c>
    </row>
    <row r="180" spans="1:13" x14ac:dyDescent="0.45">
      <c r="A180" t="s">
        <v>13</v>
      </c>
      <c r="B180">
        <v>142198</v>
      </c>
      <c r="C180">
        <v>142737</v>
      </c>
      <c r="E180" t="s">
        <v>14</v>
      </c>
      <c r="F180" t="s">
        <v>515</v>
      </c>
      <c r="G180" t="s">
        <v>516</v>
      </c>
      <c r="H180">
        <v>0</v>
      </c>
      <c r="I180" t="s">
        <v>17</v>
      </c>
      <c r="K180" t="s">
        <v>517</v>
      </c>
      <c r="L180">
        <v>179</v>
      </c>
      <c r="M180" t="s">
        <v>518</v>
      </c>
    </row>
    <row r="181" spans="1:13" x14ac:dyDescent="0.45">
      <c r="A181" t="s">
        <v>13</v>
      </c>
      <c r="B181">
        <v>144111</v>
      </c>
      <c r="C181">
        <v>144186</v>
      </c>
      <c r="E181" t="s">
        <v>14</v>
      </c>
      <c r="F181" t="s">
        <v>502</v>
      </c>
      <c r="H181">
        <v>0</v>
      </c>
      <c r="I181" t="s">
        <v>77</v>
      </c>
      <c r="M181" t="s">
        <v>519</v>
      </c>
    </row>
    <row r="182" spans="1:13" x14ac:dyDescent="0.45">
      <c r="A182" t="s">
        <v>13</v>
      </c>
      <c r="B182">
        <v>144561</v>
      </c>
      <c r="C182">
        <v>147458</v>
      </c>
      <c r="E182" t="s">
        <v>14</v>
      </c>
      <c r="F182" t="s">
        <v>58</v>
      </c>
      <c r="H182">
        <v>0</v>
      </c>
      <c r="I182" t="s">
        <v>56</v>
      </c>
      <c r="M182" t="s">
        <v>520</v>
      </c>
    </row>
    <row r="183" spans="1:13" x14ac:dyDescent="0.45">
      <c r="A183" t="s">
        <v>13</v>
      </c>
      <c r="B183">
        <v>147586</v>
      </c>
      <c r="C183">
        <v>147702</v>
      </c>
      <c r="E183" t="s">
        <v>14</v>
      </c>
      <c r="F183" t="s">
        <v>60</v>
      </c>
      <c r="G183" t="s">
        <v>61</v>
      </c>
      <c r="H183">
        <v>0</v>
      </c>
      <c r="I183" t="s">
        <v>56</v>
      </c>
      <c r="M183" t="s">
        <v>521</v>
      </c>
    </row>
    <row r="184" spans="1:13" x14ac:dyDescent="0.45">
      <c r="A184" t="s">
        <v>13</v>
      </c>
      <c r="B184">
        <v>147710</v>
      </c>
      <c r="C184">
        <v>147784</v>
      </c>
      <c r="E184" t="s">
        <v>14</v>
      </c>
      <c r="F184" t="s">
        <v>103</v>
      </c>
      <c r="H184">
        <v>0</v>
      </c>
      <c r="I184" t="s">
        <v>77</v>
      </c>
      <c r="M184" t="s">
        <v>522</v>
      </c>
    </row>
    <row r="185" spans="1:13" x14ac:dyDescent="0.45">
      <c r="A185" t="s">
        <v>13</v>
      </c>
      <c r="B185">
        <v>147790</v>
      </c>
      <c r="C185">
        <v>147875</v>
      </c>
      <c r="E185" t="s">
        <v>14</v>
      </c>
      <c r="F185" t="s">
        <v>105</v>
      </c>
      <c r="H185">
        <v>0</v>
      </c>
      <c r="I185" t="s">
        <v>77</v>
      </c>
      <c r="M185" t="s">
        <v>523</v>
      </c>
    </row>
    <row r="186" spans="1:13" x14ac:dyDescent="0.45">
      <c r="A186" t="s">
        <v>13</v>
      </c>
      <c r="B186">
        <v>147891</v>
      </c>
      <c r="C186">
        <v>147966</v>
      </c>
      <c r="E186" t="s">
        <v>14</v>
      </c>
      <c r="F186" t="s">
        <v>107</v>
      </c>
      <c r="H186">
        <v>0</v>
      </c>
      <c r="I186" t="s">
        <v>77</v>
      </c>
      <c r="M186" t="s">
        <v>524</v>
      </c>
    </row>
    <row r="187" spans="1:13" x14ac:dyDescent="0.45">
      <c r="A187" t="s">
        <v>13</v>
      </c>
      <c r="B187">
        <v>147974</v>
      </c>
      <c r="C187">
        <v>148048</v>
      </c>
      <c r="E187" t="s">
        <v>14</v>
      </c>
      <c r="F187" t="s">
        <v>109</v>
      </c>
      <c r="H187">
        <v>0</v>
      </c>
      <c r="I187" t="s">
        <v>77</v>
      </c>
      <c r="M187" t="s">
        <v>525</v>
      </c>
    </row>
    <row r="188" spans="1:13" x14ac:dyDescent="0.45">
      <c r="A188" t="s">
        <v>13</v>
      </c>
      <c r="B188">
        <v>148063</v>
      </c>
      <c r="C188">
        <v>148136</v>
      </c>
      <c r="E188" t="s">
        <v>14</v>
      </c>
      <c r="F188" t="s">
        <v>111</v>
      </c>
      <c r="H188">
        <v>0</v>
      </c>
      <c r="I188" t="s">
        <v>77</v>
      </c>
      <c r="M188" t="s">
        <v>526</v>
      </c>
    </row>
    <row r="189" spans="1:13" x14ac:dyDescent="0.45">
      <c r="A189" t="s">
        <v>13</v>
      </c>
      <c r="B189">
        <v>148142</v>
      </c>
      <c r="C189">
        <v>148217</v>
      </c>
      <c r="E189" t="s">
        <v>14</v>
      </c>
      <c r="F189" t="s">
        <v>113</v>
      </c>
      <c r="H189">
        <v>0</v>
      </c>
      <c r="I189" t="s">
        <v>77</v>
      </c>
      <c r="M189" t="s">
        <v>527</v>
      </c>
    </row>
    <row r="190" spans="1:13" x14ac:dyDescent="0.45">
      <c r="A190" t="s">
        <v>13</v>
      </c>
      <c r="B190">
        <v>148223</v>
      </c>
      <c r="C190">
        <v>148299</v>
      </c>
      <c r="E190" t="s">
        <v>14</v>
      </c>
      <c r="F190" t="s">
        <v>115</v>
      </c>
      <c r="H190">
        <v>0</v>
      </c>
      <c r="I190" t="s">
        <v>77</v>
      </c>
      <c r="M190" t="s">
        <v>528</v>
      </c>
    </row>
    <row r="191" spans="1:13" x14ac:dyDescent="0.45">
      <c r="A191" t="s">
        <v>13</v>
      </c>
      <c r="B191">
        <v>148310</v>
      </c>
      <c r="C191">
        <v>148384</v>
      </c>
      <c r="E191" t="s">
        <v>14</v>
      </c>
      <c r="F191" t="s">
        <v>111</v>
      </c>
      <c r="H191">
        <v>0</v>
      </c>
      <c r="I191" t="s">
        <v>77</v>
      </c>
      <c r="M191" t="s">
        <v>529</v>
      </c>
    </row>
    <row r="192" spans="1:13" x14ac:dyDescent="0.45">
      <c r="A192" t="s">
        <v>13</v>
      </c>
      <c r="B192">
        <v>148394</v>
      </c>
      <c r="C192">
        <v>148467</v>
      </c>
      <c r="E192" t="s">
        <v>14</v>
      </c>
      <c r="F192" t="s">
        <v>122</v>
      </c>
      <c r="H192">
        <v>0</v>
      </c>
      <c r="I192" t="s">
        <v>77</v>
      </c>
      <c r="M192" t="s">
        <v>530</v>
      </c>
    </row>
    <row r="193" spans="1:13" x14ac:dyDescent="0.45">
      <c r="A193" t="s">
        <v>13</v>
      </c>
      <c r="B193">
        <v>149443</v>
      </c>
      <c r="C193">
        <v>150282</v>
      </c>
      <c r="E193" t="s">
        <v>14</v>
      </c>
      <c r="F193" t="s">
        <v>531</v>
      </c>
      <c r="G193" t="s">
        <v>532</v>
      </c>
      <c r="H193">
        <v>0</v>
      </c>
      <c r="I193" t="s">
        <v>17</v>
      </c>
      <c r="K193" t="s">
        <v>533</v>
      </c>
      <c r="L193">
        <v>279</v>
      </c>
      <c r="M193" t="s">
        <v>534</v>
      </c>
    </row>
    <row r="194" spans="1:13" x14ac:dyDescent="0.45">
      <c r="A194" t="s">
        <v>13</v>
      </c>
      <c r="B194">
        <v>150279</v>
      </c>
      <c r="C194">
        <v>151460</v>
      </c>
      <c r="E194" t="s">
        <v>14</v>
      </c>
      <c r="F194" t="s">
        <v>535</v>
      </c>
      <c r="H194">
        <v>0</v>
      </c>
      <c r="I194" t="s">
        <v>17</v>
      </c>
      <c r="K194" t="s">
        <v>536</v>
      </c>
      <c r="L194">
        <v>393</v>
      </c>
      <c r="M194" t="s">
        <v>537</v>
      </c>
    </row>
    <row r="195" spans="1:13" x14ac:dyDescent="0.45">
      <c r="A195" t="s">
        <v>13</v>
      </c>
      <c r="B195">
        <v>151764</v>
      </c>
      <c r="C195">
        <v>152666</v>
      </c>
      <c r="E195" t="s">
        <v>14</v>
      </c>
      <c r="F195" t="s">
        <v>538</v>
      </c>
      <c r="G195" t="s">
        <v>539</v>
      </c>
      <c r="H195">
        <v>0</v>
      </c>
      <c r="I195" t="s">
        <v>17</v>
      </c>
      <c r="K195" t="s">
        <v>540</v>
      </c>
      <c r="L195">
        <v>300</v>
      </c>
      <c r="M195" t="s">
        <v>541</v>
      </c>
    </row>
    <row r="196" spans="1:13" x14ac:dyDescent="0.45">
      <c r="A196" t="s">
        <v>13</v>
      </c>
      <c r="B196">
        <v>152688</v>
      </c>
      <c r="C196">
        <v>153767</v>
      </c>
      <c r="E196" t="s">
        <v>14</v>
      </c>
      <c r="F196" t="s">
        <v>542</v>
      </c>
      <c r="G196" t="s">
        <v>543</v>
      </c>
      <c r="H196">
        <v>0</v>
      </c>
      <c r="I196" t="s">
        <v>17</v>
      </c>
      <c r="K196" t="s">
        <v>544</v>
      </c>
      <c r="L196">
        <v>359</v>
      </c>
      <c r="M196" t="s">
        <v>545</v>
      </c>
    </row>
    <row r="197" spans="1:13" x14ac:dyDescent="0.45">
      <c r="A197" t="s">
        <v>13</v>
      </c>
      <c r="B197">
        <v>153757</v>
      </c>
      <c r="C197">
        <v>154434</v>
      </c>
      <c r="E197" t="s">
        <v>14</v>
      </c>
      <c r="F197" t="s">
        <v>43</v>
      </c>
      <c r="H197">
        <v>0</v>
      </c>
      <c r="I197" t="s">
        <v>17</v>
      </c>
      <c r="K197" t="s">
        <v>546</v>
      </c>
      <c r="L197">
        <v>225</v>
      </c>
      <c r="M197" t="s">
        <v>547</v>
      </c>
    </row>
    <row r="198" spans="1:13" x14ac:dyDescent="0.45">
      <c r="A198" t="s">
        <v>13</v>
      </c>
      <c r="B198">
        <v>154477</v>
      </c>
      <c r="C198">
        <v>154692</v>
      </c>
      <c r="E198" t="s">
        <v>14</v>
      </c>
      <c r="F198" t="s">
        <v>548</v>
      </c>
      <c r="H198">
        <v>0</v>
      </c>
      <c r="I198" t="s">
        <v>17</v>
      </c>
      <c r="K198" t="s">
        <v>549</v>
      </c>
      <c r="L198">
        <v>71</v>
      </c>
      <c r="M198" t="s">
        <v>550</v>
      </c>
    </row>
    <row r="199" spans="1:13" x14ac:dyDescent="0.45">
      <c r="A199" t="s">
        <v>13</v>
      </c>
      <c r="B199">
        <v>154721</v>
      </c>
      <c r="C199">
        <v>155800</v>
      </c>
      <c r="E199" t="s">
        <v>14</v>
      </c>
      <c r="F199" t="s">
        <v>551</v>
      </c>
      <c r="H199">
        <v>0</v>
      </c>
      <c r="I199" t="s">
        <v>17</v>
      </c>
      <c r="K199" t="s">
        <v>552</v>
      </c>
      <c r="L199">
        <v>359</v>
      </c>
      <c r="M199" t="s">
        <v>553</v>
      </c>
    </row>
    <row r="200" spans="1:13" x14ac:dyDescent="0.45">
      <c r="A200" t="s">
        <v>13</v>
      </c>
      <c r="B200">
        <v>155800</v>
      </c>
      <c r="C200">
        <v>156552</v>
      </c>
      <c r="E200" t="s">
        <v>14</v>
      </c>
      <c r="F200" t="s">
        <v>554</v>
      </c>
      <c r="H200">
        <v>0</v>
      </c>
      <c r="I200" t="s">
        <v>17</v>
      </c>
      <c r="K200" t="s">
        <v>555</v>
      </c>
      <c r="L200">
        <v>250</v>
      </c>
      <c r="M200" t="s">
        <v>556</v>
      </c>
    </row>
    <row r="201" spans="1:13" x14ac:dyDescent="0.45">
      <c r="A201" t="s">
        <v>13</v>
      </c>
      <c r="B201">
        <v>156553</v>
      </c>
      <c r="C201">
        <v>157110</v>
      </c>
      <c r="E201" t="s">
        <v>14</v>
      </c>
      <c r="F201" t="s">
        <v>557</v>
      </c>
      <c r="H201">
        <v>0</v>
      </c>
      <c r="I201" t="s">
        <v>17</v>
      </c>
      <c r="K201" t="s">
        <v>558</v>
      </c>
      <c r="L201">
        <v>185</v>
      </c>
      <c r="M201" t="s">
        <v>559</v>
      </c>
    </row>
    <row r="202" spans="1:13" x14ac:dyDescent="0.45">
      <c r="A202" t="s">
        <v>13</v>
      </c>
      <c r="B202">
        <v>157280</v>
      </c>
      <c r="C202">
        <v>158626</v>
      </c>
      <c r="E202" t="s">
        <v>14</v>
      </c>
      <c r="F202" t="s">
        <v>560</v>
      </c>
      <c r="G202" t="s">
        <v>561</v>
      </c>
      <c r="H202">
        <v>0</v>
      </c>
      <c r="I202" t="s">
        <v>17</v>
      </c>
      <c r="K202" t="s">
        <v>562</v>
      </c>
      <c r="L202">
        <v>448</v>
      </c>
      <c r="M202" t="s">
        <v>563</v>
      </c>
    </row>
    <row r="203" spans="1:13" x14ac:dyDescent="0.45">
      <c r="A203" t="s">
        <v>13</v>
      </c>
      <c r="B203">
        <v>158893</v>
      </c>
      <c r="C203">
        <v>160725</v>
      </c>
      <c r="E203" t="s">
        <v>14</v>
      </c>
      <c r="F203" t="s">
        <v>564</v>
      </c>
      <c r="G203" t="s">
        <v>565</v>
      </c>
      <c r="H203">
        <v>0</v>
      </c>
      <c r="I203" t="s">
        <v>17</v>
      </c>
      <c r="K203" t="s">
        <v>566</v>
      </c>
      <c r="L203">
        <v>610</v>
      </c>
      <c r="M203" t="s">
        <v>567</v>
      </c>
    </row>
    <row r="204" spans="1:13" x14ac:dyDescent="0.45">
      <c r="A204" t="s">
        <v>13</v>
      </c>
      <c r="B204">
        <v>161178</v>
      </c>
      <c r="C204">
        <v>162473</v>
      </c>
      <c r="E204" t="s">
        <v>14</v>
      </c>
      <c r="F204" t="s">
        <v>568</v>
      </c>
      <c r="H204">
        <v>0</v>
      </c>
      <c r="I204" t="s">
        <v>17</v>
      </c>
      <c r="K204" t="s">
        <v>569</v>
      </c>
      <c r="L204">
        <v>431</v>
      </c>
      <c r="M204" t="s">
        <v>570</v>
      </c>
    </row>
    <row r="205" spans="1:13" x14ac:dyDescent="0.45">
      <c r="A205" t="s">
        <v>13</v>
      </c>
      <c r="B205">
        <v>162957</v>
      </c>
      <c r="C205">
        <v>163694</v>
      </c>
      <c r="E205" t="s">
        <v>14</v>
      </c>
      <c r="F205" t="s">
        <v>571</v>
      </c>
      <c r="H205">
        <v>0</v>
      </c>
      <c r="I205" t="s">
        <v>17</v>
      </c>
      <c r="K205" t="s">
        <v>572</v>
      </c>
      <c r="L205">
        <v>245</v>
      </c>
      <c r="M205" t="s">
        <v>573</v>
      </c>
    </row>
    <row r="206" spans="1:13" x14ac:dyDescent="0.45">
      <c r="A206" t="s">
        <v>13</v>
      </c>
      <c r="B206">
        <v>163715</v>
      </c>
      <c r="C206">
        <v>164968</v>
      </c>
      <c r="E206" t="s">
        <v>14</v>
      </c>
      <c r="F206" t="s">
        <v>574</v>
      </c>
      <c r="G206" t="s">
        <v>575</v>
      </c>
      <c r="H206">
        <v>0</v>
      </c>
      <c r="I206" t="s">
        <v>17</v>
      </c>
      <c r="K206" t="s">
        <v>576</v>
      </c>
      <c r="L206">
        <v>417</v>
      </c>
      <c r="M206" t="s">
        <v>577</v>
      </c>
    </row>
    <row r="207" spans="1:13" x14ac:dyDescent="0.45">
      <c r="A207" t="s">
        <v>13</v>
      </c>
      <c r="B207">
        <v>165055</v>
      </c>
      <c r="C207">
        <v>166119</v>
      </c>
      <c r="E207" t="s">
        <v>14</v>
      </c>
      <c r="F207" t="s">
        <v>578</v>
      </c>
      <c r="G207" t="s">
        <v>579</v>
      </c>
      <c r="H207">
        <v>0</v>
      </c>
      <c r="I207" t="s">
        <v>17</v>
      </c>
      <c r="K207" t="s">
        <v>580</v>
      </c>
      <c r="L207">
        <v>354</v>
      </c>
      <c r="M207" t="s">
        <v>581</v>
      </c>
    </row>
    <row r="208" spans="1:13" x14ac:dyDescent="0.45">
      <c r="A208" t="s">
        <v>13</v>
      </c>
      <c r="B208">
        <v>166185</v>
      </c>
      <c r="C208">
        <v>166853</v>
      </c>
      <c r="E208" t="s">
        <v>14</v>
      </c>
      <c r="F208" t="s">
        <v>582</v>
      </c>
      <c r="H208">
        <v>0</v>
      </c>
      <c r="I208" t="s">
        <v>17</v>
      </c>
      <c r="K208" t="s">
        <v>583</v>
      </c>
      <c r="L208">
        <v>222</v>
      </c>
      <c r="M208" t="s">
        <v>584</v>
      </c>
    </row>
    <row r="209" spans="1:13" x14ac:dyDescent="0.45">
      <c r="A209" t="s">
        <v>13</v>
      </c>
      <c r="B209">
        <v>166951</v>
      </c>
      <c r="C209">
        <v>167211</v>
      </c>
      <c r="E209" t="s">
        <v>14</v>
      </c>
      <c r="F209" t="s">
        <v>585</v>
      </c>
      <c r="G209" t="s">
        <v>586</v>
      </c>
      <c r="H209">
        <v>0</v>
      </c>
      <c r="I209" t="s">
        <v>17</v>
      </c>
      <c r="K209" t="s">
        <v>587</v>
      </c>
      <c r="L209">
        <v>86</v>
      </c>
      <c r="M209" t="s">
        <v>588</v>
      </c>
    </row>
    <row r="210" spans="1:13" x14ac:dyDescent="0.45">
      <c r="A210" t="s">
        <v>13</v>
      </c>
      <c r="B210">
        <v>167408</v>
      </c>
      <c r="C210">
        <v>168427</v>
      </c>
      <c r="E210" t="s">
        <v>14</v>
      </c>
      <c r="F210" t="s">
        <v>589</v>
      </c>
      <c r="H210">
        <v>0</v>
      </c>
      <c r="I210" t="s">
        <v>17</v>
      </c>
      <c r="K210" t="s">
        <v>590</v>
      </c>
      <c r="L210">
        <v>339</v>
      </c>
      <c r="M210" t="s">
        <v>591</v>
      </c>
    </row>
    <row r="211" spans="1:13" x14ac:dyDescent="0.45">
      <c r="A211" t="s">
        <v>13</v>
      </c>
      <c r="B211">
        <v>168443</v>
      </c>
      <c r="C211">
        <v>168871</v>
      </c>
      <c r="E211" t="s">
        <v>14</v>
      </c>
      <c r="F211" t="s">
        <v>592</v>
      </c>
      <c r="G211" t="s">
        <v>593</v>
      </c>
      <c r="H211">
        <v>0</v>
      </c>
      <c r="I211" t="s">
        <v>17</v>
      </c>
      <c r="K211" t="s">
        <v>594</v>
      </c>
      <c r="L211">
        <v>142</v>
      </c>
      <c r="M211" t="s">
        <v>595</v>
      </c>
    </row>
    <row r="212" spans="1:13" x14ac:dyDescent="0.45">
      <c r="A212" t="s">
        <v>13</v>
      </c>
      <c r="B212">
        <v>168982</v>
      </c>
      <c r="C212">
        <v>169491</v>
      </c>
      <c r="E212" t="s">
        <v>96</v>
      </c>
      <c r="F212" t="s">
        <v>596</v>
      </c>
      <c r="G212" t="s">
        <v>597</v>
      </c>
      <c r="H212">
        <v>0</v>
      </c>
      <c r="I212" t="s">
        <v>17</v>
      </c>
      <c r="K212" t="s">
        <v>598</v>
      </c>
      <c r="L212">
        <v>169</v>
      </c>
      <c r="M212" t="s">
        <v>599</v>
      </c>
    </row>
    <row r="213" spans="1:13" x14ac:dyDescent="0.45">
      <c r="A213" t="s">
        <v>13</v>
      </c>
      <c r="B213">
        <v>169920</v>
      </c>
      <c r="C213">
        <v>171113</v>
      </c>
      <c r="E213" t="s">
        <v>14</v>
      </c>
      <c r="F213" t="s">
        <v>600</v>
      </c>
      <c r="G213" t="s">
        <v>601</v>
      </c>
      <c r="H213">
        <v>0</v>
      </c>
      <c r="I213" t="s">
        <v>17</v>
      </c>
      <c r="K213" t="s">
        <v>602</v>
      </c>
      <c r="L213">
        <v>397</v>
      </c>
      <c r="M213" t="s">
        <v>603</v>
      </c>
    </row>
    <row r="214" spans="1:13" x14ac:dyDescent="0.45">
      <c r="A214" t="s">
        <v>13</v>
      </c>
      <c r="B214">
        <v>171429</v>
      </c>
      <c r="C214">
        <v>172526</v>
      </c>
      <c r="E214" t="s">
        <v>14</v>
      </c>
      <c r="F214" t="s">
        <v>604</v>
      </c>
      <c r="H214">
        <v>0</v>
      </c>
      <c r="I214" t="s">
        <v>17</v>
      </c>
      <c r="K214" t="s">
        <v>605</v>
      </c>
      <c r="L214">
        <v>365</v>
      </c>
      <c r="M214" t="s">
        <v>606</v>
      </c>
    </row>
    <row r="215" spans="1:13" x14ac:dyDescent="0.45">
      <c r="A215" t="s">
        <v>13</v>
      </c>
      <c r="B215">
        <v>172790</v>
      </c>
      <c r="C215">
        <v>175009</v>
      </c>
      <c r="E215" t="s">
        <v>14</v>
      </c>
      <c r="F215" t="s">
        <v>607</v>
      </c>
      <c r="H215">
        <v>0</v>
      </c>
      <c r="I215" t="s">
        <v>17</v>
      </c>
      <c r="K215" t="s">
        <v>608</v>
      </c>
      <c r="L215">
        <v>739</v>
      </c>
      <c r="M215" t="s">
        <v>609</v>
      </c>
    </row>
    <row r="216" spans="1:13" x14ac:dyDescent="0.45">
      <c r="A216" t="s">
        <v>13</v>
      </c>
      <c r="B216">
        <v>175012</v>
      </c>
      <c r="C216">
        <v>175794</v>
      </c>
      <c r="E216" t="s">
        <v>14</v>
      </c>
      <c r="F216" t="s">
        <v>610</v>
      </c>
      <c r="H216">
        <v>0</v>
      </c>
      <c r="I216" t="s">
        <v>17</v>
      </c>
      <c r="K216" t="s">
        <v>611</v>
      </c>
      <c r="L216">
        <v>260</v>
      </c>
      <c r="M216" t="s">
        <v>612</v>
      </c>
    </row>
    <row r="217" spans="1:13" x14ac:dyDescent="0.45">
      <c r="A217" t="s">
        <v>13</v>
      </c>
      <c r="B217">
        <v>176126</v>
      </c>
      <c r="C217">
        <v>178039</v>
      </c>
      <c r="E217" t="s">
        <v>14</v>
      </c>
      <c r="F217" t="s">
        <v>613</v>
      </c>
      <c r="H217">
        <v>0</v>
      </c>
      <c r="I217" t="s">
        <v>17</v>
      </c>
      <c r="K217" t="s">
        <v>614</v>
      </c>
      <c r="L217">
        <v>637</v>
      </c>
      <c r="M217" t="s">
        <v>615</v>
      </c>
    </row>
    <row r="218" spans="1:13" x14ac:dyDescent="0.45">
      <c r="A218" t="s">
        <v>13</v>
      </c>
      <c r="B218">
        <v>178180</v>
      </c>
      <c r="C218">
        <v>178488</v>
      </c>
      <c r="E218" t="s">
        <v>14</v>
      </c>
      <c r="F218" t="s">
        <v>616</v>
      </c>
      <c r="H218">
        <v>0</v>
      </c>
      <c r="I218" t="s">
        <v>17</v>
      </c>
      <c r="K218" t="s">
        <v>617</v>
      </c>
      <c r="L218">
        <v>102</v>
      </c>
      <c r="M218" t="s">
        <v>618</v>
      </c>
    </row>
    <row r="219" spans="1:13" x14ac:dyDescent="0.45">
      <c r="A219" t="s">
        <v>13</v>
      </c>
      <c r="B219">
        <v>178513</v>
      </c>
      <c r="C219">
        <v>178839</v>
      </c>
      <c r="E219" t="s">
        <v>14</v>
      </c>
      <c r="F219" t="s">
        <v>230</v>
      </c>
      <c r="H219">
        <v>0</v>
      </c>
      <c r="I219" t="s">
        <v>17</v>
      </c>
      <c r="K219" t="s">
        <v>619</v>
      </c>
      <c r="L219">
        <v>108</v>
      </c>
      <c r="M219" t="s">
        <v>620</v>
      </c>
    </row>
    <row r="220" spans="1:13" x14ac:dyDescent="0.45">
      <c r="A220" t="s">
        <v>13</v>
      </c>
      <c r="B220">
        <v>178878</v>
      </c>
      <c r="C220">
        <v>180212</v>
      </c>
      <c r="E220" t="s">
        <v>14</v>
      </c>
      <c r="F220" t="s">
        <v>621</v>
      </c>
      <c r="G220" t="s">
        <v>622</v>
      </c>
      <c r="H220">
        <v>0</v>
      </c>
      <c r="I220" t="s">
        <v>17</v>
      </c>
      <c r="K220" t="s">
        <v>623</v>
      </c>
      <c r="L220">
        <v>444</v>
      </c>
      <c r="M220" t="s">
        <v>624</v>
      </c>
    </row>
    <row r="221" spans="1:13" x14ac:dyDescent="0.45">
      <c r="A221" t="s">
        <v>13</v>
      </c>
      <c r="B221">
        <v>180223</v>
      </c>
      <c r="C221">
        <v>180741</v>
      </c>
      <c r="E221" t="s">
        <v>14</v>
      </c>
      <c r="F221" t="s">
        <v>625</v>
      </c>
      <c r="H221">
        <v>0</v>
      </c>
      <c r="I221" t="s">
        <v>17</v>
      </c>
      <c r="K221" t="s">
        <v>626</v>
      </c>
      <c r="L221">
        <v>172</v>
      </c>
      <c r="M221" t="s">
        <v>627</v>
      </c>
    </row>
    <row r="222" spans="1:13" x14ac:dyDescent="0.45">
      <c r="A222" t="s">
        <v>13</v>
      </c>
      <c r="B222">
        <v>180837</v>
      </c>
      <c r="C222">
        <v>181796</v>
      </c>
      <c r="E222" t="s">
        <v>14</v>
      </c>
      <c r="F222" t="s">
        <v>628</v>
      </c>
      <c r="H222">
        <v>0</v>
      </c>
      <c r="I222" t="s">
        <v>17</v>
      </c>
      <c r="K222" t="s">
        <v>629</v>
      </c>
      <c r="L222">
        <v>319</v>
      </c>
      <c r="M222" t="s">
        <v>630</v>
      </c>
    </row>
    <row r="223" spans="1:13" x14ac:dyDescent="0.45">
      <c r="A223" t="s">
        <v>13</v>
      </c>
      <c r="B223">
        <v>181844</v>
      </c>
      <c r="C223">
        <v>182896</v>
      </c>
      <c r="E223" t="s">
        <v>14</v>
      </c>
      <c r="F223" t="s">
        <v>631</v>
      </c>
      <c r="H223">
        <v>0</v>
      </c>
      <c r="I223" t="s">
        <v>17</v>
      </c>
      <c r="K223" t="s">
        <v>632</v>
      </c>
      <c r="L223">
        <v>350</v>
      </c>
      <c r="M223" t="s">
        <v>633</v>
      </c>
    </row>
    <row r="224" spans="1:13" x14ac:dyDescent="0.45">
      <c r="A224" t="s">
        <v>13</v>
      </c>
      <c r="B224">
        <v>182899</v>
      </c>
      <c r="C224">
        <v>183573</v>
      </c>
      <c r="E224" t="s">
        <v>14</v>
      </c>
      <c r="F224" t="s">
        <v>634</v>
      </c>
      <c r="H224">
        <v>0</v>
      </c>
      <c r="I224" t="s">
        <v>17</v>
      </c>
      <c r="K224" t="s">
        <v>635</v>
      </c>
      <c r="L224">
        <v>224</v>
      </c>
      <c r="M224" t="s">
        <v>636</v>
      </c>
    </row>
    <row r="225" spans="1:13" x14ac:dyDescent="0.45">
      <c r="A225" t="s">
        <v>13</v>
      </c>
      <c r="B225">
        <v>184126</v>
      </c>
      <c r="C225">
        <v>184677</v>
      </c>
      <c r="E225" t="s">
        <v>14</v>
      </c>
      <c r="F225" t="s">
        <v>637</v>
      </c>
      <c r="G225" t="s">
        <v>638</v>
      </c>
      <c r="H225">
        <v>0</v>
      </c>
      <c r="I225" t="s">
        <v>17</v>
      </c>
      <c r="K225" t="s">
        <v>639</v>
      </c>
      <c r="L225">
        <v>183</v>
      </c>
      <c r="M225" t="s">
        <v>640</v>
      </c>
    </row>
    <row r="226" spans="1:13" x14ac:dyDescent="0.45">
      <c r="A226" t="s">
        <v>13</v>
      </c>
      <c r="B226">
        <v>184809</v>
      </c>
      <c r="C226">
        <v>187484</v>
      </c>
      <c r="E226" t="s">
        <v>14</v>
      </c>
      <c r="F226" t="s">
        <v>641</v>
      </c>
      <c r="G226" t="s">
        <v>642</v>
      </c>
      <c r="H226">
        <v>0</v>
      </c>
      <c r="I226" t="s">
        <v>17</v>
      </c>
      <c r="K226" t="s">
        <v>643</v>
      </c>
      <c r="L226">
        <v>891</v>
      </c>
      <c r="M226" t="s">
        <v>644</v>
      </c>
    </row>
    <row r="227" spans="1:13" x14ac:dyDescent="0.45">
      <c r="A227" t="s">
        <v>13</v>
      </c>
      <c r="B227">
        <v>187499</v>
      </c>
      <c r="C227">
        <v>188606</v>
      </c>
      <c r="E227" t="s">
        <v>14</v>
      </c>
      <c r="F227" t="s">
        <v>645</v>
      </c>
      <c r="G227" t="s">
        <v>646</v>
      </c>
      <c r="H227">
        <v>0</v>
      </c>
      <c r="I227" t="s">
        <v>17</v>
      </c>
      <c r="K227" t="s">
        <v>647</v>
      </c>
      <c r="L227">
        <v>368</v>
      </c>
      <c r="M227" t="s">
        <v>648</v>
      </c>
    </row>
    <row r="228" spans="1:13" x14ac:dyDescent="0.45">
      <c r="A228" t="s">
        <v>13</v>
      </c>
      <c r="B228">
        <v>188750</v>
      </c>
      <c r="C228">
        <v>190891</v>
      </c>
      <c r="E228" t="s">
        <v>14</v>
      </c>
      <c r="F228" t="s">
        <v>649</v>
      </c>
      <c r="H228">
        <v>0</v>
      </c>
      <c r="I228" t="s">
        <v>17</v>
      </c>
      <c r="K228" t="s">
        <v>650</v>
      </c>
      <c r="L228">
        <v>713</v>
      </c>
      <c r="M228" t="s">
        <v>651</v>
      </c>
    </row>
    <row r="229" spans="1:13" x14ac:dyDescent="0.45">
      <c r="A229" t="s">
        <v>13</v>
      </c>
      <c r="B229">
        <v>191039</v>
      </c>
      <c r="C229">
        <v>192205</v>
      </c>
      <c r="E229" t="s">
        <v>14</v>
      </c>
      <c r="F229" t="s">
        <v>652</v>
      </c>
      <c r="H229">
        <v>0</v>
      </c>
      <c r="I229" t="s">
        <v>17</v>
      </c>
      <c r="K229" t="s">
        <v>653</v>
      </c>
      <c r="L229">
        <v>388</v>
      </c>
      <c r="M229" t="s">
        <v>654</v>
      </c>
    </row>
    <row r="230" spans="1:13" x14ac:dyDescent="0.45">
      <c r="A230" t="s">
        <v>13</v>
      </c>
      <c r="B230">
        <v>192507</v>
      </c>
      <c r="C230">
        <v>193112</v>
      </c>
      <c r="E230" t="s">
        <v>14</v>
      </c>
      <c r="F230" t="s">
        <v>655</v>
      </c>
      <c r="H230">
        <v>0</v>
      </c>
      <c r="I230" t="s">
        <v>17</v>
      </c>
      <c r="K230" t="s">
        <v>656</v>
      </c>
      <c r="L230">
        <v>201</v>
      </c>
      <c r="M230" t="s">
        <v>657</v>
      </c>
    </row>
    <row r="231" spans="1:13" x14ac:dyDescent="0.45">
      <c r="A231" t="s">
        <v>13</v>
      </c>
      <c r="B231">
        <v>193441</v>
      </c>
      <c r="C231">
        <v>194481</v>
      </c>
      <c r="E231" t="s">
        <v>14</v>
      </c>
      <c r="F231" t="s">
        <v>658</v>
      </c>
      <c r="H231">
        <v>0</v>
      </c>
      <c r="I231" t="s">
        <v>17</v>
      </c>
      <c r="K231" t="s">
        <v>659</v>
      </c>
      <c r="L231">
        <v>346</v>
      </c>
      <c r="M231" t="s">
        <v>660</v>
      </c>
    </row>
    <row r="232" spans="1:13" x14ac:dyDescent="0.45">
      <c r="A232" t="s">
        <v>13</v>
      </c>
      <c r="B232">
        <v>194620</v>
      </c>
      <c r="C232">
        <v>195072</v>
      </c>
      <c r="E232" t="s">
        <v>14</v>
      </c>
      <c r="F232" t="s">
        <v>661</v>
      </c>
      <c r="G232" t="s">
        <v>662</v>
      </c>
      <c r="H232">
        <v>0</v>
      </c>
      <c r="I232" t="s">
        <v>17</v>
      </c>
      <c r="K232" t="s">
        <v>663</v>
      </c>
      <c r="L232">
        <v>150</v>
      </c>
      <c r="M232" t="s">
        <v>664</v>
      </c>
    </row>
    <row r="233" spans="1:13" x14ac:dyDescent="0.45">
      <c r="A233" t="s">
        <v>13</v>
      </c>
      <c r="B233">
        <v>195072</v>
      </c>
      <c r="C233">
        <v>195788</v>
      </c>
      <c r="E233" t="s">
        <v>14</v>
      </c>
      <c r="F233" t="s">
        <v>665</v>
      </c>
      <c r="G233" t="s">
        <v>666</v>
      </c>
      <c r="H233">
        <v>0</v>
      </c>
      <c r="I233" t="s">
        <v>17</v>
      </c>
      <c r="K233" t="s">
        <v>667</v>
      </c>
      <c r="L233">
        <v>238</v>
      </c>
      <c r="M233" t="s">
        <v>668</v>
      </c>
    </row>
    <row r="234" spans="1:13" x14ac:dyDescent="0.45">
      <c r="A234" t="s">
        <v>13</v>
      </c>
      <c r="B234">
        <v>195778</v>
      </c>
      <c r="C234">
        <v>196254</v>
      </c>
      <c r="E234" t="s">
        <v>14</v>
      </c>
      <c r="F234" t="s">
        <v>669</v>
      </c>
      <c r="G234" t="s">
        <v>670</v>
      </c>
      <c r="H234">
        <v>0</v>
      </c>
      <c r="I234" t="s">
        <v>17</v>
      </c>
      <c r="K234" t="s">
        <v>671</v>
      </c>
      <c r="L234">
        <v>158</v>
      </c>
      <c r="M234" t="s">
        <v>672</v>
      </c>
    </row>
    <row r="235" spans="1:13" x14ac:dyDescent="0.45">
      <c r="A235" t="s">
        <v>13</v>
      </c>
      <c r="B235">
        <v>196260</v>
      </c>
      <c r="C235">
        <v>197276</v>
      </c>
      <c r="E235" t="s">
        <v>14</v>
      </c>
      <c r="F235" t="s">
        <v>673</v>
      </c>
      <c r="G235" t="s">
        <v>674</v>
      </c>
      <c r="H235">
        <v>0</v>
      </c>
      <c r="I235" t="s">
        <v>17</v>
      </c>
      <c r="K235" t="s">
        <v>675</v>
      </c>
      <c r="L235">
        <v>338</v>
      </c>
      <c r="M235" t="s">
        <v>676</v>
      </c>
    </row>
    <row r="236" spans="1:13" x14ac:dyDescent="0.45">
      <c r="A236" t="s">
        <v>13</v>
      </c>
      <c r="B236">
        <v>197573</v>
      </c>
      <c r="C236">
        <v>200281</v>
      </c>
      <c r="E236" t="s">
        <v>14</v>
      </c>
      <c r="F236" t="s">
        <v>677</v>
      </c>
      <c r="G236" t="s">
        <v>678</v>
      </c>
      <c r="H236">
        <v>0</v>
      </c>
      <c r="I236" t="s">
        <v>17</v>
      </c>
      <c r="K236" t="s">
        <v>679</v>
      </c>
      <c r="L236">
        <v>902</v>
      </c>
      <c r="M236" t="s">
        <v>680</v>
      </c>
    </row>
    <row r="237" spans="1:13" x14ac:dyDescent="0.45">
      <c r="A237" t="s">
        <v>13</v>
      </c>
      <c r="B237">
        <v>200285</v>
      </c>
      <c r="C237">
        <v>200542</v>
      </c>
      <c r="E237" t="s">
        <v>14</v>
      </c>
      <c r="F237" t="s">
        <v>681</v>
      </c>
      <c r="G237" t="s">
        <v>682</v>
      </c>
      <c r="H237">
        <v>0</v>
      </c>
      <c r="I237" t="s">
        <v>17</v>
      </c>
      <c r="K237" t="s">
        <v>683</v>
      </c>
      <c r="L237">
        <v>85</v>
      </c>
      <c r="M237" t="s">
        <v>684</v>
      </c>
    </row>
    <row r="238" spans="1:13" x14ac:dyDescent="0.45">
      <c r="A238" t="s">
        <v>13</v>
      </c>
      <c r="B238">
        <v>200535</v>
      </c>
      <c r="C238">
        <v>201485</v>
      </c>
      <c r="E238" t="s">
        <v>14</v>
      </c>
      <c r="F238" t="s">
        <v>685</v>
      </c>
      <c r="G238" t="s">
        <v>686</v>
      </c>
      <c r="H238">
        <v>0</v>
      </c>
      <c r="I238" t="s">
        <v>17</v>
      </c>
      <c r="K238" t="s">
        <v>687</v>
      </c>
      <c r="L238">
        <v>316</v>
      </c>
      <c r="M238" t="s">
        <v>688</v>
      </c>
    </row>
    <row r="239" spans="1:13" x14ac:dyDescent="0.45">
      <c r="A239" t="s">
        <v>13</v>
      </c>
      <c r="B239">
        <v>201805</v>
      </c>
      <c r="C239">
        <v>202767</v>
      </c>
      <c r="E239" t="s">
        <v>14</v>
      </c>
      <c r="F239" t="s">
        <v>689</v>
      </c>
      <c r="H239">
        <v>0</v>
      </c>
      <c r="I239" t="s">
        <v>17</v>
      </c>
      <c r="K239" t="s">
        <v>690</v>
      </c>
      <c r="L239">
        <v>320</v>
      </c>
      <c r="M239" t="s">
        <v>691</v>
      </c>
    </row>
    <row r="240" spans="1:13" x14ac:dyDescent="0.45">
      <c r="A240" t="s">
        <v>13</v>
      </c>
      <c r="B240">
        <v>202866</v>
      </c>
      <c r="C240">
        <v>203846</v>
      </c>
      <c r="E240" t="s">
        <v>96</v>
      </c>
      <c r="F240" t="s">
        <v>689</v>
      </c>
      <c r="H240">
        <v>0</v>
      </c>
      <c r="I240" t="s">
        <v>17</v>
      </c>
      <c r="K240" t="s">
        <v>692</v>
      </c>
      <c r="L240">
        <v>326</v>
      </c>
      <c r="M240" t="s">
        <v>693</v>
      </c>
    </row>
    <row r="241" spans="1:13" x14ac:dyDescent="0.45">
      <c r="A241" t="s">
        <v>13</v>
      </c>
      <c r="B241">
        <v>204974</v>
      </c>
      <c r="C241">
        <v>205441</v>
      </c>
      <c r="E241" t="s">
        <v>14</v>
      </c>
      <c r="F241" t="s">
        <v>694</v>
      </c>
      <c r="H241">
        <v>0</v>
      </c>
      <c r="I241" t="s">
        <v>17</v>
      </c>
      <c r="K241" t="s">
        <v>695</v>
      </c>
      <c r="L241">
        <v>155</v>
      </c>
      <c r="M241" t="s">
        <v>696</v>
      </c>
    </row>
    <row r="242" spans="1:13" x14ac:dyDescent="0.45">
      <c r="A242" t="s">
        <v>13</v>
      </c>
      <c r="B242">
        <v>206612</v>
      </c>
      <c r="C242">
        <v>207325</v>
      </c>
      <c r="E242" t="s">
        <v>14</v>
      </c>
      <c r="F242" t="s">
        <v>697</v>
      </c>
      <c r="H242">
        <v>0</v>
      </c>
      <c r="I242" t="s">
        <v>17</v>
      </c>
      <c r="K242" t="s">
        <v>698</v>
      </c>
      <c r="L242">
        <v>237</v>
      </c>
      <c r="M242" t="s">
        <v>699</v>
      </c>
    </row>
    <row r="243" spans="1:13" x14ac:dyDescent="0.45">
      <c r="A243" t="s">
        <v>13</v>
      </c>
      <c r="B243">
        <v>207598</v>
      </c>
      <c r="C243">
        <v>209370</v>
      </c>
      <c r="E243" t="s">
        <v>14</v>
      </c>
      <c r="F243" t="s">
        <v>700</v>
      </c>
      <c r="H243">
        <v>0</v>
      </c>
      <c r="I243" t="s">
        <v>17</v>
      </c>
      <c r="K243" t="s">
        <v>701</v>
      </c>
      <c r="L243">
        <v>590</v>
      </c>
      <c r="M243" t="s">
        <v>702</v>
      </c>
    </row>
    <row r="244" spans="1:13" x14ac:dyDescent="0.45">
      <c r="A244" t="s">
        <v>13</v>
      </c>
      <c r="B244">
        <v>209392</v>
      </c>
      <c r="C244">
        <v>210813</v>
      </c>
      <c r="E244" t="s">
        <v>14</v>
      </c>
      <c r="F244" t="s">
        <v>703</v>
      </c>
      <c r="G244" t="s">
        <v>704</v>
      </c>
      <c r="H244">
        <v>0</v>
      </c>
      <c r="I244" t="s">
        <v>17</v>
      </c>
      <c r="K244" t="s">
        <v>705</v>
      </c>
      <c r="L244">
        <v>473</v>
      </c>
      <c r="M244" t="s">
        <v>706</v>
      </c>
    </row>
    <row r="245" spans="1:13" x14ac:dyDescent="0.45">
      <c r="A245" t="s">
        <v>13</v>
      </c>
      <c r="B245">
        <v>210842</v>
      </c>
      <c r="C245">
        <v>211912</v>
      </c>
      <c r="E245" t="s">
        <v>14</v>
      </c>
      <c r="F245" t="s">
        <v>707</v>
      </c>
      <c r="H245">
        <v>0</v>
      </c>
      <c r="I245" t="s">
        <v>17</v>
      </c>
      <c r="K245" t="s">
        <v>708</v>
      </c>
      <c r="L245">
        <v>356</v>
      </c>
      <c r="M245" t="s">
        <v>709</v>
      </c>
    </row>
    <row r="246" spans="1:13" x14ac:dyDescent="0.45">
      <c r="A246" t="s">
        <v>13</v>
      </c>
      <c r="B246">
        <v>211928</v>
      </c>
      <c r="C246">
        <v>212179</v>
      </c>
      <c r="E246" t="s">
        <v>14</v>
      </c>
      <c r="F246" t="s">
        <v>710</v>
      </c>
      <c r="H246">
        <v>0</v>
      </c>
      <c r="I246" t="s">
        <v>17</v>
      </c>
      <c r="K246" t="s">
        <v>711</v>
      </c>
      <c r="L246">
        <v>83</v>
      </c>
      <c r="M246" t="s">
        <v>712</v>
      </c>
    </row>
    <row r="247" spans="1:13" x14ac:dyDescent="0.45">
      <c r="A247" t="s">
        <v>13</v>
      </c>
      <c r="B247">
        <v>212230</v>
      </c>
      <c r="C247">
        <v>212433</v>
      </c>
      <c r="E247" t="s">
        <v>14</v>
      </c>
      <c r="F247" t="s">
        <v>43</v>
      </c>
      <c r="H247">
        <v>0</v>
      </c>
      <c r="I247" t="s">
        <v>17</v>
      </c>
      <c r="K247" t="s">
        <v>713</v>
      </c>
      <c r="L247">
        <v>67</v>
      </c>
      <c r="M247" t="s">
        <v>714</v>
      </c>
    </row>
    <row r="248" spans="1:13" x14ac:dyDescent="0.45">
      <c r="A248" t="s">
        <v>13</v>
      </c>
      <c r="B248">
        <v>212917</v>
      </c>
      <c r="C248">
        <v>213210</v>
      </c>
      <c r="E248" t="s">
        <v>14</v>
      </c>
      <c r="F248" t="s">
        <v>43</v>
      </c>
      <c r="H248">
        <v>0</v>
      </c>
      <c r="I248" t="s">
        <v>17</v>
      </c>
      <c r="K248" t="s">
        <v>715</v>
      </c>
      <c r="L248">
        <v>97</v>
      </c>
      <c r="M248" t="s">
        <v>716</v>
      </c>
    </row>
    <row r="249" spans="1:13" x14ac:dyDescent="0.45">
      <c r="A249" t="s">
        <v>13</v>
      </c>
      <c r="B249">
        <v>213342</v>
      </c>
      <c r="C249">
        <v>214691</v>
      </c>
      <c r="E249" t="s">
        <v>96</v>
      </c>
      <c r="F249" t="s">
        <v>717</v>
      </c>
      <c r="H249">
        <v>0</v>
      </c>
      <c r="I249" t="s">
        <v>17</v>
      </c>
      <c r="K249" t="s">
        <v>718</v>
      </c>
      <c r="L249">
        <v>449</v>
      </c>
      <c r="M249" t="s">
        <v>719</v>
      </c>
    </row>
    <row r="250" spans="1:13" x14ac:dyDescent="0.45">
      <c r="A250" t="s">
        <v>13</v>
      </c>
      <c r="B250">
        <v>214728</v>
      </c>
      <c r="C250">
        <v>215948</v>
      </c>
      <c r="E250" t="s">
        <v>96</v>
      </c>
      <c r="F250" t="s">
        <v>720</v>
      </c>
      <c r="H250">
        <v>0</v>
      </c>
      <c r="I250" t="s">
        <v>17</v>
      </c>
      <c r="K250" t="s">
        <v>721</v>
      </c>
      <c r="L250">
        <v>406</v>
      </c>
      <c r="M250" t="s">
        <v>722</v>
      </c>
    </row>
    <row r="251" spans="1:13" x14ac:dyDescent="0.45">
      <c r="A251" t="s">
        <v>13</v>
      </c>
      <c r="B251">
        <v>216317</v>
      </c>
      <c r="C251">
        <v>218329</v>
      </c>
      <c r="E251" t="s">
        <v>96</v>
      </c>
      <c r="F251" t="s">
        <v>723</v>
      </c>
      <c r="H251">
        <v>0</v>
      </c>
      <c r="I251" t="s">
        <v>17</v>
      </c>
      <c r="K251" t="s">
        <v>724</v>
      </c>
      <c r="L251">
        <v>670</v>
      </c>
      <c r="M251" t="s">
        <v>725</v>
      </c>
    </row>
    <row r="252" spans="1:13" x14ac:dyDescent="0.45">
      <c r="A252" t="s">
        <v>13</v>
      </c>
      <c r="B252">
        <v>218800</v>
      </c>
      <c r="C252">
        <v>219450</v>
      </c>
      <c r="E252" t="s">
        <v>14</v>
      </c>
      <c r="F252" t="s">
        <v>726</v>
      </c>
      <c r="H252">
        <v>0</v>
      </c>
      <c r="I252" t="s">
        <v>17</v>
      </c>
      <c r="K252" t="s">
        <v>727</v>
      </c>
      <c r="L252">
        <v>216</v>
      </c>
      <c r="M252" t="s">
        <v>728</v>
      </c>
    </row>
    <row r="253" spans="1:13" x14ac:dyDescent="0.45">
      <c r="A253" t="s">
        <v>13</v>
      </c>
      <c r="B253">
        <v>219590</v>
      </c>
      <c r="C253">
        <v>220966</v>
      </c>
      <c r="E253" t="s">
        <v>96</v>
      </c>
      <c r="F253" t="s">
        <v>729</v>
      </c>
      <c r="H253">
        <v>0</v>
      </c>
      <c r="I253" t="s">
        <v>17</v>
      </c>
      <c r="K253" t="s">
        <v>730</v>
      </c>
      <c r="L253">
        <v>458</v>
      </c>
      <c r="M253" t="s">
        <v>731</v>
      </c>
    </row>
    <row r="254" spans="1:13" x14ac:dyDescent="0.45">
      <c r="A254" t="s">
        <v>13</v>
      </c>
      <c r="B254">
        <v>220982</v>
      </c>
      <c r="C254">
        <v>222895</v>
      </c>
      <c r="E254" t="s">
        <v>96</v>
      </c>
      <c r="F254" t="s">
        <v>732</v>
      </c>
      <c r="H254">
        <v>0</v>
      </c>
      <c r="I254" t="s">
        <v>17</v>
      </c>
      <c r="K254" t="s">
        <v>733</v>
      </c>
      <c r="L254">
        <v>637</v>
      </c>
      <c r="M254" t="s">
        <v>734</v>
      </c>
    </row>
    <row r="255" spans="1:13" x14ac:dyDescent="0.45">
      <c r="A255" t="s">
        <v>13</v>
      </c>
      <c r="B255">
        <v>223031</v>
      </c>
      <c r="C255">
        <v>223663</v>
      </c>
      <c r="E255" t="s">
        <v>14</v>
      </c>
      <c r="F255" t="s">
        <v>735</v>
      </c>
      <c r="H255">
        <v>0</v>
      </c>
      <c r="I255" t="s">
        <v>17</v>
      </c>
      <c r="K255" t="s">
        <v>736</v>
      </c>
      <c r="L255">
        <v>210</v>
      </c>
      <c r="M255" t="s">
        <v>737</v>
      </c>
    </row>
    <row r="256" spans="1:13" x14ac:dyDescent="0.45">
      <c r="A256" t="s">
        <v>13</v>
      </c>
      <c r="B256">
        <v>223802</v>
      </c>
      <c r="C256">
        <v>224341</v>
      </c>
      <c r="E256" t="s">
        <v>14</v>
      </c>
      <c r="F256" t="s">
        <v>738</v>
      </c>
      <c r="H256">
        <v>0</v>
      </c>
      <c r="I256" t="s">
        <v>17</v>
      </c>
      <c r="K256" t="s">
        <v>739</v>
      </c>
      <c r="L256">
        <v>179</v>
      </c>
      <c r="M256" t="s">
        <v>740</v>
      </c>
    </row>
    <row r="257" spans="1:13" x14ac:dyDescent="0.45">
      <c r="A257" t="s">
        <v>13</v>
      </c>
      <c r="B257">
        <v>224517</v>
      </c>
      <c r="C257">
        <v>224687</v>
      </c>
      <c r="E257" t="s">
        <v>96</v>
      </c>
      <c r="F257" t="s">
        <v>741</v>
      </c>
      <c r="H257">
        <v>0</v>
      </c>
      <c r="I257" t="s">
        <v>17</v>
      </c>
      <c r="K257" t="s">
        <v>742</v>
      </c>
      <c r="L257">
        <v>56</v>
      </c>
      <c r="M257" t="s">
        <v>743</v>
      </c>
    </row>
    <row r="258" spans="1:13" x14ac:dyDescent="0.45">
      <c r="A258" t="s">
        <v>13</v>
      </c>
      <c r="B258">
        <v>224972</v>
      </c>
      <c r="C258">
        <v>226039</v>
      </c>
      <c r="E258" t="s">
        <v>14</v>
      </c>
      <c r="F258" t="s">
        <v>744</v>
      </c>
      <c r="H258">
        <v>0</v>
      </c>
      <c r="I258" t="s">
        <v>17</v>
      </c>
      <c r="K258" t="s">
        <v>745</v>
      </c>
      <c r="L258">
        <v>355</v>
      </c>
      <c r="M258" t="s">
        <v>746</v>
      </c>
    </row>
    <row r="259" spans="1:13" x14ac:dyDescent="0.45">
      <c r="A259" t="s">
        <v>13</v>
      </c>
      <c r="B259">
        <v>226209</v>
      </c>
      <c r="C259">
        <v>228110</v>
      </c>
      <c r="E259" t="s">
        <v>14</v>
      </c>
      <c r="F259" t="s">
        <v>747</v>
      </c>
      <c r="G259" t="s">
        <v>748</v>
      </c>
      <c r="H259">
        <v>0</v>
      </c>
      <c r="I259" t="s">
        <v>17</v>
      </c>
      <c r="K259" t="s">
        <v>749</v>
      </c>
      <c r="L259">
        <v>633</v>
      </c>
      <c r="M259" t="s">
        <v>750</v>
      </c>
    </row>
    <row r="260" spans="1:13" x14ac:dyDescent="0.45">
      <c r="A260" t="s">
        <v>13</v>
      </c>
      <c r="B260">
        <v>228103</v>
      </c>
      <c r="C260">
        <v>228576</v>
      </c>
      <c r="E260" t="s">
        <v>14</v>
      </c>
      <c r="F260" t="s">
        <v>751</v>
      </c>
      <c r="H260">
        <v>0</v>
      </c>
      <c r="I260" t="s">
        <v>17</v>
      </c>
      <c r="K260" t="s">
        <v>752</v>
      </c>
      <c r="L260">
        <v>157</v>
      </c>
      <c r="M260" t="s">
        <v>753</v>
      </c>
    </row>
    <row r="261" spans="1:13" x14ac:dyDescent="0.45">
      <c r="A261" t="s">
        <v>13</v>
      </c>
      <c r="B261">
        <v>228551</v>
      </c>
      <c r="C261">
        <v>229777</v>
      </c>
      <c r="E261" t="s">
        <v>14</v>
      </c>
      <c r="F261" t="s">
        <v>754</v>
      </c>
      <c r="H261">
        <v>0</v>
      </c>
      <c r="I261" t="s">
        <v>17</v>
      </c>
      <c r="K261" t="s">
        <v>755</v>
      </c>
      <c r="L261">
        <v>408</v>
      </c>
      <c r="M261" t="s">
        <v>756</v>
      </c>
    </row>
    <row r="262" spans="1:13" x14ac:dyDescent="0.45">
      <c r="A262" t="s">
        <v>13</v>
      </c>
      <c r="B262">
        <v>229916</v>
      </c>
      <c r="C262">
        <v>231103</v>
      </c>
      <c r="E262" t="s">
        <v>96</v>
      </c>
      <c r="F262" t="s">
        <v>757</v>
      </c>
      <c r="H262">
        <v>0</v>
      </c>
      <c r="I262" t="s">
        <v>17</v>
      </c>
      <c r="K262" t="s">
        <v>758</v>
      </c>
      <c r="L262">
        <v>395</v>
      </c>
      <c r="M262" t="s">
        <v>759</v>
      </c>
    </row>
    <row r="263" spans="1:13" x14ac:dyDescent="0.45">
      <c r="A263" t="s">
        <v>13</v>
      </c>
      <c r="B263">
        <v>231376</v>
      </c>
      <c r="C263">
        <v>232200</v>
      </c>
      <c r="E263" t="s">
        <v>14</v>
      </c>
      <c r="F263" t="s">
        <v>760</v>
      </c>
      <c r="H263">
        <v>0</v>
      </c>
      <c r="I263" t="s">
        <v>17</v>
      </c>
      <c r="K263" t="s">
        <v>761</v>
      </c>
      <c r="L263">
        <v>274</v>
      </c>
      <c r="M263" t="s">
        <v>762</v>
      </c>
    </row>
    <row r="264" spans="1:13" x14ac:dyDescent="0.45">
      <c r="A264" t="s">
        <v>13</v>
      </c>
      <c r="B264">
        <v>232329</v>
      </c>
      <c r="C264">
        <v>233594</v>
      </c>
      <c r="E264" t="s">
        <v>14</v>
      </c>
      <c r="F264" t="s">
        <v>763</v>
      </c>
      <c r="G264" t="s">
        <v>764</v>
      </c>
      <c r="H264">
        <v>0</v>
      </c>
      <c r="I264" t="s">
        <v>17</v>
      </c>
      <c r="K264" t="s">
        <v>765</v>
      </c>
      <c r="L264">
        <v>421</v>
      </c>
      <c r="M264" t="s">
        <v>766</v>
      </c>
    </row>
    <row r="265" spans="1:13" x14ac:dyDescent="0.45">
      <c r="A265" t="s">
        <v>13</v>
      </c>
      <c r="B265">
        <v>233787</v>
      </c>
      <c r="C265">
        <v>234443</v>
      </c>
      <c r="E265" t="s">
        <v>14</v>
      </c>
      <c r="F265" t="s">
        <v>767</v>
      </c>
      <c r="H265">
        <v>0</v>
      </c>
      <c r="I265" t="s">
        <v>17</v>
      </c>
      <c r="K265" t="s">
        <v>768</v>
      </c>
      <c r="L265">
        <v>218</v>
      </c>
      <c r="M265" t="s">
        <v>769</v>
      </c>
    </row>
    <row r="266" spans="1:13" x14ac:dyDescent="0.45">
      <c r="A266" t="s">
        <v>13</v>
      </c>
      <c r="B266">
        <v>234774</v>
      </c>
      <c r="C266">
        <v>235907</v>
      </c>
      <c r="E266" t="s">
        <v>14</v>
      </c>
      <c r="F266" t="s">
        <v>767</v>
      </c>
      <c r="H266">
        <v>0</v>
      </c>
      <c r="I266" t="s">
        <v>17</v>
      </c>
      <c r="K266" t="s">
        <v>770</v>
      </c>
      <c r="L266">
        <v>377</v>
      </c>
      <c r="M266" t="s">
        <v>771</v>
      </c>
    </row>
    <row r="267" spans="1:13" x14ac:dyDescent="0.45">
      <c r="A267" t="s">
        <v>13</v>
      </c>
      <c r="B267">
        <v>236834</v>
      </c>
      <c r="C267">
        <v>237856</v>
      </c>
      <c r="E267" t="s">
        <v>14</v>
      </c>
      <c r="F267" t="s">
        <v>772</v>
      </c>
      <c r="H267">
        <v>0</v>
      </c>
      <c r="I267" t="s">
        <v>17</v>
      </c>
      <c r="K267" t="s">
        <v>773</v>
      </c>
      <c r="L267">
        <v>340</v>
      </c>
      <c r="M267" t="s">
        <v>774</v>
      </c>
    </row>
    <row r="268" spans="1:13" x14ac:dyDescent="0.45">
      <c r="A268" t="s">
        <v>13</v>
      </c>
      <c r="B268">
        <v>238152</v>
      </c>
      <c r="C268">
        <v>239072</v>
      </c>
      <c r="E268" t="s">
        <v>14</v>
      </c>
      <c r="F268" t="s">
        <v>775</v>
      </c>
      <c r="G268" t="s">
        <v>776</v>
      </c>
      <c r="H268">
        <v>0</v>
      </c>
      <c r="I268" t="s">
        <v>17</v>
      </c>
      <c r="K268" t="s">
        <v>777</v>
      </c>
      <c r="L268">
        <v>306</v>
      </c>
      <c r="M268" t="s">
        <v>778</v>
      </c>
    </row>
    <row r="269" spans="1:13" x14ac:dyDescent="0.45">
      <c r="A269" t="s">
        <v>13</v>
      </c>
      <c r="B269">
        <v>239111</v>
      </c>
      <c r="C269">
        <v>239803</v>
      </c>
      <c r="E269" t="s">
        <v>14</v>
      </c>
      <c r="F269" t="s">
        <v>779</v>
      </c>
      <c r="H269">
        <v>0</v>
      </c>
      <c r="I269" t="s">
        <v>17</v>
      </c>
      <c r="K269" t="s">
        <v>780</v>
      </c>
      <c r="L269">
        <v>230</v>
      </c>
      <c r="M269" t="s">
        <v>781</v>
      </c>
    </row>
    <row r="270" spans="1:13" x14ac:dyDescent="0.45">
      <c r="A270" t="s">
        <v>13</v>
      </c>
      <c r="B270">
        <v>239796</v>
      </c>
      <c r="C270">
        <v>240698</v>
      </c>
      <c r="E270" t="s">
        <v>14</v>
      </c>
      <c r="F270" t="s">
        <v>782</v>
      </c>
      <c r="H270">
        <v>0</v>
      </c>
      <c r="I270" t="s">
        <v>17</v>
      </c>
      <c r="K270" t="s">
        <v>783</v>
      </c>
      <c r="L270">
        <v>300</v>
      </c>
      <c r="M270" t="s">
        <v>784</v>
      </c>
    </row>
    <row r="271" spans="1:13" x14ac:dyDescent="0.45">
      <c r="A271" t="s">
        <v>13</v>
      </c>
      <c r="B271">
        <v>240783</v>
      </c>
      <c r="C271">
        <v>241367</v>
      </c>
      <c r="E271" t="s">
        <v>14</v>
      </c>
      <c r="F271" t="s">
        <v>785</v>
      </c>
      <c r="G271" t="s">
        <v>786</v>
      </c>
      <c r="H271">
        <v>0</v>
      </c>
      <c r="I271" t="s">
        <v>17</v>
      </c>
      <c r="K271" t="s">
        <v>787</v>
      </c>
      <c r="L271">
        <v>194</v>
      </c>
      <c r="M271" t="s">
        <v>788</v>
      </c>
    </row>
    <row r="272" spans="1:13" x14ac:dyDescent="0.45">
      <c r="A272" t="s">
        <v>13</v>
      </c>
      <c r="B272">
        <v>241582</v>
      </c>
      <c r="C272">
        <v>242508</v>
      </c>
      <c r="E272" t="s">
        <v>14</v>
      </c>
      <c r="F272" t="s">
        <v>789</v>
      </c>
      <c r="H272">
        <v>0</v>
      </c>
      <c r="I272" t="s">
        <v>17</v>
      </c>
      <c r="K272" t="s">
        <v>790</v>
      </c>
      <c r="L272">
        <v>308</v>
      </c>
      <c r="M272" t="s">
        <v>791</v>
      </c>
    </row>
    <row r="273" spans="1:13" x14ac:dyDescent="0.45">
      <c r="A273" t="s">
        <v>13</v>
      </c>
      <c r="B273">
        <v>242560</v>
      </c>
      <c r="C273">
        <v>243450</v>
      </c>
      <c r="E273" t="s">
        <v>96</v>
      </c>
      <c r="F273" t="s">
        <v>792</v>
      </c>
      <c r="H273">
        <v>0</v>
      </c>
      <c r="I273" t="s">
        <v>17</v>
      </c>
      <c r="K273" t="s">
        <v>793</v>
      </c>
      <c r="L273">
        <v>296</v>
      </c>
      <c r="M273" t="s">
        <v>794</v>
      </c>
    </row>
    <row r="274" spans="1:13" x14ac:dyDescent="0.45">
      <c r="A274" t="s">
        <v>13</v>
      </c>
      <c r="B274">
        <v>243638</v>
      </c>
      <c r="C274">
        <v>244669</v>
      </c>
      <c r="E274" t="s">
        <v>14</v>
      </c>
      <c r="F274" t="s">
        <v>795</v>
      </c>
      <c r="H274">
        <v>0</v>
      </c>
      <c r="I274" t="s">
        <v>17</v>
      </c>
      <c r="K274" t="s">
        <v>796</v>
      </c>
      <c r="L274">
        <v>343</v>
      </c>
      <c r="M274" t="s">
        <v>797</v>
      </c>
    </row>
    <row r="275" spans="1:13" x14ac:dyDescent="0.45">
      <c r="A275" t="s">
        <v>13</v>
      </c>
      <c r="B275">
        <v>244963</v>
      </c>
      <c r="C275">
        <v>245838</v>
      </c>
      <c r="E275" t="s">
        <v>14</v>
      </c>
      <c r="F275" t="s">
        <v>798</v>
      </c>
      <c r="H275">
        <v>0</v>
      </c>
      <c r="I275" t="s">
        <v>17</v>
      </c>
      <c r="K275" t="s">
        <v>799</v>
      </c>
      <c r="L275">
        <v>291</v>
      </c>
      <c r="M275" t="s">
        <v>800</v>
      </c>
    </row>
    <row r="276" spans="1:13" x14ac:dyDescent="0.45">
      <c r="A276" t="s">
        <v>13</v>
      </c>
      <c r="B276">
        <v>245856</v>
      </c>
      <c r="C276">
        <v>247346</v>
      </c>
      <c r="E276" t="s">
        <v>14</v>
      </c>
      <c r="F276" t="s">
        <v>801</v>
      </c>
      <c r="G276" t="s">
        <v>802</v>
      </c>
      <c r="H276">
        <v>0</v>
      </c>
      <c r="I276" t="s">
        <v>17</v>
      </c>
      <c r="K276" t="s">
        <v>803</v>
      </c>
      <c r="L276">
        <v>496</v>
      </c>
      <c r="M276" t="s">
        <v>804</v>
      </c>
    </row>
    <row r="277" spans="1:13" x14ac:dyDescent="0.45">
      <c r="A277" t="s">
        <v>13</v>
      </c>
      <c r="B277">
        <v>247539</v>
      </c>
      <c r="C277">
        <v>247823</v>
      </c>
      <c r="E277" t="s">
        <v>14</v>
      </c>
      <c r="F277" t="s">
        <v>805</v>
      </c>
      <c r="H277">
        <v>0</v>
      </c>
      <c r="I277" t="s">
        <v>17</v>
      </c>
      <c r="K277" t="s">
        <v>806</v>
      </c>
      <c r="L277">
        <v>94</v>
      </c>
      <c r="M277" t="s">
        <v>807</v>
      </c>
    </row>
    <row r="278" spans="1:13" x14ac:dyDescent="0.45">
      <c r="A278" t="s">
        <v>13</v>
      </c>
      <c r="B278">
        <v>247856</v>
      </c>
      <c r="C278">
        <v>249484</v>
      </c>
      <c r="E278" t="s">
        <v>14</v>
      </c>
      <c r="F278" t="s">
        <v>808</v>
      </c>
      <c r="G278" t="s">
        <v>809</v>
      </c>
      <c r="H278">
        <v>0</v>
      </c>
      <c r="I278" t="s">
        <v>17</v>
      </c>
      <c r="K278" t="s">
        <v>810</v>
      </c>
      <c r="L278">
        <v>542</v>
      </c>
      <c r="M278" t="s">
        <v>811</v>
      </c>
    </row>
    <row r="279" spans="1:13" x14ac:dyDescent="0.45">
      <c r="A279" t="s">
        <v>13</v>
      </c>
      <c r="B279">
        <v>249746</v>
      </c>
      <c r="C279">
        <v>250486</v>
      </c>
      <c r="E279" t="s">
        <v>14</v>
      </c>
      <c r="F279" t="s">
        <v>812</v>
      </c>
      <c r="G279" t="s">
        <v>813</v>
      </c>
      <c r="H279">
        <v>0</v>
      </c>
      <c r="I279" t="s">
        <v>17</v>
      </c>
      <c r="K279" t="s">
        <v>814</v>
      </c>
      <c r="L279">
        <v>246</v>
      </c>
      <c r="M279" t="s">
        <v>815</v>
      </c>
    </row>
    <row r="280" spans="1:13" x14ac:dyDescent="0.45">
      <c r="A280" t="s">
        <v>13</v>
      </c>
      <c r="B280">
        <v>250621</v>
      </c>
      <c r="C280">
        <v>251753</v>
      </c>
      <c r="E280" t="s">
        <v>14</v>
      </c>
      <c r="F280" t="s">
        <v>271</v>
      </c>
      <c r="G280" t="s">
        <v>816</v>
      </c>
      <c r="H280">
        <v>0</v>
      </c>
      <c r="I280" t="s">
        <v>272</v>
      </c>
      <c r="M280" t="s">
        <v>817</v>
      </c>
    </row>
    <row r="281" spans="1:13" x14ac:dyDescent="0.45">
      <c r="A281" t="s">
        <v>13</v>
      </c>
      <c r="B281">
        <v>252135</v>
      </c>
      <c r="C281">
        <v>253670</v>
      </c>
      <c r="E281" t="s">
        <v>14</v>
      </c>
      <c r="F281" t="s">
        <v>818</v>
      </c>
      <c r="G281" t="s">
        <v>819</v>
      </c>
      <c r="H281">
        <v>0</v>
      </c>
      <c r="I281" t="s">
        <v>17</v>
      </c>
      <c r="K281" t="s">
        <v>820</v>
      </c>
      <c r="L281">
        <v>511</v>
      </c>
      <c r="M281" t="s">
        <v>821</v>
      </c>
    </row>
    <row r="282" spans="1:13" x14ac:dyDescent="0.45">
      <c r="A282" t="s">
        <v>13</v>
      </c>
      <c r="B282">
        <v>254248</v>
      </c>
      <c r="C282">
        <v>255639</v>
      </c>
      <c r="E282" t="s">
        <v>14</v>
      </c>
      <c r="F282" t="s">
        <v>822</v>
      </c>
      <c r="H282">
        <v>0</v>
      </c>
      <c r="I282" t="s">
        <v>17</v>
      </c>
      <c r="K282" t="s">
        <v>823</v>
      </c>
      <c r="L282">
        <v>463</v>
      </c>
      <c r="M282" t="s">
        <v>824</v>
      </c>
    </row>
    <row r="283" spans="1:13" x14ac:dyDescent="0.45">
      <c r="A283" t="s">
        <v>13</v>
      </c>
      <c r="B283">
        <v>255787</v>
      </c>
      <c r="C283">
        <v>256662</v>
      </c>
      <c r="E283" t="s">
        <v>96</v>
      </c>
      <c r="F283" t="s">
        <v>792</v>
      </c>
      <c r="H283">
        <v>0</v>
      </c>
      <c r="I283" t="s">
        <v>17</v>
      </c>
      <c r="K283" t="s">
        <v>825</v>
      </c>
      <c r="L283">
        <v>291</v>
      </c>
      <c r="M283" t="s">
        <v>826</v>
      </c>
    </row>
    <row r="284" spans="1:13" x14ac:dyDescent="0.45">
      <c r="A284" t="s">
        <v>13</v>
      </c>
      <c r="B284">
        <v>256782</v>
      </c>
      <c r="C284">
        <v>257345</v>
      </c>
      <c r="E284" t="s">
        <v>14</v>
      </c>
      <c r="F284" t="s">
        <v>827</v>
      </c>
      <c r="H284">
        <v>0</v>
      </c>
      <c r="I284" t="s">
        <v>17</v>
      </c>
      <c r="K284" t="s">
        <v>828</v>
      </c>
      <c r="L284">
        <v>187</v>
      </c>
      <c r="M284" t="s">
        <v>829</v>
      </c>
    </row>
    <row r="285" spans="1:13" x14ac:dyDescent="0.45">
      <c r="A285" t="s">
        <v>13</v>
      </c>
      <c r="B285">
        <v>257342</v>
      </c>
      <c r="C285">
        <v>257908</v>
      </c>
      <c r="E285" t="s">
        <v>14</v>
      </c>
      <c r="F285" t="s">
        <v>827</v>
      </c>
      <c r="H285">
        <v>0</v>
      </c>
      <c r="I285" t="s">
        <v>17</v>
      </c>
      <c r="K285" t="s">
        <v>830</v>
      </c>
      <c r="L285">
        <v>188</v>
      </c>
      <c r="M285" t="s">
        <v>831</v>
      </c>
    </row>
    <row r="286" spans="1:13" x14ac:dyDescent="0.45">
      <c r="A286" t="s">
        <v>13</v>
      </c>
      <c r="B286">
        <v>258037</v>
      </c>
      <c r="C286">
        <v>258273</v>
      </c>
      <c r="E286" t="s">
        <v>96</v>
      </c>
      <c r="F286" t="s">
        <v>43</v>
      </c>
      <c r="H286">
        <v>0</v>
      </c>
      <c r="I286" t="s">
        <v>17</v>
      </c>
      <c r="K286" t="s">
        <v>832</v>
      </c>
      <c r="L286">
        <v>78</v>
      </c>
      <c r="M286" t="s">
        <v>833</v>
      </c>
    </row>
    <row r="287" spans="1:13" x14ac:dyDescent="0.45">
      <c r="A287" t="s">
        <v>13</v>
      </c>
      <c r="B287">
        <v>258583</v>
      </c>
      <c r="C287">
        <v>262011</v>
      </c>
      <c r="E287" t="s">
        <v>96</v>
      </c>
      <c r="F287" t="s">
        <v>834</v>
      </c>
      <c r="G287" t="s">
        <v>835</v>
      </c>
      <c r="H287">
        <v>0</v>
      </c>
      <c r="I287" t="s">
        <v>17</v>
      </c>
      <c r="K287" t="s">
        <v>836</v>
      </c>
      <c r="L287">
        <v>1142</v>
      </c>
      <c r="M287" t="s">
        <v>837</v>
      </c>
    </row>
    <row r="288" spans="1:13" x14ac:dyDescent="0.45">
      <c r="A288" t="s">
        <v>13</v>
      </c>
      <c r="B288">
        <v>262330</v>
      </c>
      <c r="C288">
        <v>264564</v>
      </c>
      <c r="E288" t="s">
        <v>14</v>
      </c>
      <c r="F288" t="s">
        <v>838</v>
      </c>
      <c r="H288">
        <v>0</v>
      </c>
      <c r="I288" t="s">
        <v>17</v>
      </c>
      <c r="K288" t="s">
        <v>839</v>
      </c>
      <c r="L288">
        <v>744</v>
      </c>
      <c r="M288" t="s">
        <v>840</v>
      </c>
    </row>
    <row r="289" spans="1:13" x14ac:dyDescent="0.45">
      <c r="A289" t="s">
        <v>13</v>
      </c>
      <c r="B289">
        <v>264820</v>
      </c>
      <c r="C289">
        <v>266850</v>
      </c>
      <c r="E289" t="s">
        <v>14</v>
      </c>
      <c r="F289" t="s">
        <v>613</v>
      </c>
      <c r="H289">
        <v>0</v>
      </c>
      <c r="I289" t="s">
        <v>17</v>
      </c>
      <c r="K289" t="s">
        <v>841</v>
      </c>
      <c r="L289">
        <v>676</v>
      </c>
      <c r="M289" t="s">
        <v>842</v>
      </c>
    </row>
    <row r="290" spans="1:13" x14ac:dyDescent="0.45">
      <c r="A290" t="s">
        <v>13</v>
      </c>
      <c r="B290">
        <v>266847</v>
      </c>
      <c r="C290">
        <v>267299</v>
      </c>
      <c r="E290" t="s">
        <v>14</v>
      </c>
      <c r="F290" t="s">
        <v>227</v>
      </c>
      <c r="H290">
        <v>0</v>
      </c>
      <c r="I290" t="s">
        <v>17</v>
      </c>
      <c r="K290" t="s">
        <v>843</v>
      </c>
      <c r="L290">
        <v>150</v>
      </c>
      <c r="M290" t="s">
        <v>844</v>
      </c>
    </row>
    <row r="291" spans="1:13" x14ac:dyDescent="0.45">
      <c r="A291" t="s">
        <v>13</v>
      </c>
      <c r="B291">
        <v>267301</v>
      </c>
      <c r="C291">
        <v>268356</v>
      </c>
      <c r="E291" t="s">
        <v>14</v>
      </c>
      <c r="F291" t="s">
        <v>845</v>
      </c>
      <c r="H291">
        <v>0</v>
      </c>
      <c r="I291" t="s">
        <v>17</v>
      </c>
      <c r="K291" t="s">
        <v>846</v>
      </c>
      <c r="L291">
        <v>351</v>
      </c>
      <c r="M291" t="s">
        <v>847</v>
      </c>
    </row>
    <row r="292" spans="1:13" x14ac:dyDescent="0.45">
      <c r="A292" t="s">
        <v>13</v>
      </c>
      <c r="B292">
        <v>268423</v>
      </c>
      <c r="C292">
        <v>268731</v>
      </c>
      <c r="E292" t="s">
        <v>14</v>
      </c>
      <c r="F292" t="s">
        <v>848</v>
      </c>
      <c r="H292">
        <v>0</v>
      </c>
      <c r="I292" t="s">
        <v>17</v>
      </c>
      <c r="K292" t="s">
        <v>849</v>
      </c>
      <c r="L292">
        <v>102</v>
      </c>
      <c r="M292" t="s">
        <v>850</v>
      </c>
    </row>
    <row r="293" spans="1:13" x14ac:dyDescent="0.45">
      <c r="A293" t="s">
        <v>13</v>
      </c>
      <c r="B293">
        <v>268835</v>
      </c>
      <c r="C293">
        <v>270100</v>
      </c>
      <c r="E293" t="s">
        <v>14</v>
      </c>
      <c r="F293" t="s">
        <v>851</v>
      </c>
      <c r="H293">
        <v>0</v>
      </c>
      <c r="I293" t="s">
        <v>17</v>
      </c>
      <c r="K293" t="s">
        <v>852</v>
      </c>
      <c r="L293">
        <v>421</v>
      </c>
      <c r="M293" t="s">
        <v>853</v>
      </c>
    </row>
    <row r="294" spans="1:13" x14ac:dyDescent="0.45">
      <c r="A294" t="s">
        <v>13</v>
      </c>
      <c r="B294">
        <v>270188</v>
      </c>
      <c r="C294">
        <v>270904</v>
      </c>
      <c r="E294" t="s">
        <v>14</v>
      </c>
      <c r="F294" t="s">
        <v>854</v>
      </c>
      <c r="H294">
        <v>0</v>
      </c>
      <c r="I294" t="s">
        <v>17</v>
      </c>
      <c r="K294" t="s">
        <v>855</v>
      </c>
      <c r="L294">
        <v>238</v>
      </c>
      <c r="M294" t="s">
        <v>856</v>
      </c>
    </row>
    <row r="295" spans="1:13" x14ac:dyDescent="0.45">
      <c r="A295" t="s">
        <v>13</v>
      </c>
      <c r="B295">
        <v>271099</v>
      </c>
      <c r="C295">
        <v>271392</v>
      </c>
      <c r="E295" t="s">
        <v>96</v>
      </c>
      <c r="F295" t="s">
        <v>857</v>
      </c>
      <c r="H295">
        <v>0</v>
      </c>
      <c r="I295" t="s">
        <v>17</v>
      </c>
      <c r="K295" t="s">
        <v>858</v>
      </c>
      <c r="L295">
        <v>97</v>
      </c>
      <c r="M295" t="s">
        <v>859</v>
      </c>
    </row>
    <row r="296" spans="1:13" x14ac:dyDescent="0.45">
      <c r="A296" t="s">
        <v>13</v>
      </c>
      <c r="B296">
        <v>271398</v>
      </c>
      <c r="C296">
        <v>271613</v>
      </c>
      <c r="E296" t="s">
        <v>96</v>
      </c>
      <c r="F296" t="s">
        <v>43</v>
      </c>
      <c r="H296">
        <v>0</v>
      </c>
      <c r="I296" t="s">
        <v>17</v>
      </c>
      <c r="K296" t="s">
        <v>860</v>
      </c>
      <c r="L296">
        <v>71</v>
      </c>
      <c r="M296" t="s">
        <v>861</v>
      </c>
    </row>
    <row r="297" spans="1:13" x14ac:dyDescent="0.45">
      <c r="A297" t="s">
        <v>13</v>
      </c>
      <c r="B297">
        <v>272158</v>
      </c>
      <c r="C297">
        <v>272670</v>
      </c>
      <c r="E297" t="s">
        <v>96</v>
      </c>
      <c r="F297" t="s">
        <v>862</v>
      </c>
      <c r="H297">
        <v>0</v>
      </c>
      <c r="I297" t="s">
        <v>17</v>
      </c>
      <c r="K297" t="s">
        <v>863</v>
      </c>
      <c r="L297">
        <v>170</v>
      </c>
      <c r="M297" t="s">
        <v>864</v>
      </c>
    </row>
    <row r="298" spans="1:13" x14ac:dyDescent="0.45">
      <c r="A298" t="s">
        <v>13</v>
      </c>
      <c r="B298">
        <v>273120</v>
      </c>
      <c r="C298">
        <v>273596</v>
      </c>
      <c r="E298" t="s">
        <v>14</v>
      </c>
      <c r="F298" t="s">
        <v>865</v>
      </c>
      <c r="G298" t="s">
        <v>866</v>
      </c>
      <c r="H298">
        <v>0</v>
      </c>
      <c r="I298" t="s">
        <v>17</v>
      </c>
      <c r="K298" t="s">
        <v>867</v>
      </c>
      <c r="L298">
        <v>158</v>
      </c>
      <c r="M298" t="s">
        <v>868</v>
      </c>
    </row>
    <row r="299" spans="1:13" x14ac:dyDescent="0.45">
      <c r="A299" t="s">
        <v>13</v>
      </c>
      <c r="B299">
        <v>273602</v>
      </c>
      <c r="C299">
        <v>274300</v>
      </c>
      <c r="E299" t="s">
        <v>14</v>
      </c>
      <c r="F299" t="s">
        <v>869</v>
      </c>
      <c r="G299" t="s">
        <v>870</v>
      </c>
      <c r="H299">
        <v>0</v>
      </c>
      <c r="I299" t="s">
        <v>17</v>
      </c>
      <c r="K299" t="s">
        <v>871</v>
      </c>
      <c r="L299">
        <v>232</v>
      </c>
      <c r="M299" t="s">
        <v>872</v>
      </c>
    </row>
    <row r="300" spans="1:13" x14ac:dyDescent="0.45">
      <c r="A300" t="s">
        <v>13</v>
      </c>
      <c r="B300">
        <v>274312</v>
      </c>
      <c r="C300">
        <v>275679</v>
      </c>
      <c r="E300" t="s">
        <v>14</v>
      </c>
      <c r="F300" t="s">
        <v>873</v>
      </c>
      <c r="G300" t="s">
        <v>874</v>
      </c>
      <c r="H300">
        <v>0</v>
      </c>
      <c r="I300" t="s">
        <v>17</v>
      </c>
      <c r="K300" t="s">
        <v>875</v>
      </c>
      <c r="L300">
        <v>455</v>
      </c>
      <c r="M300" t="s">
        <v>876</v>
      </c>
    </row>
    <row r="301" spans="1:13" x14ac:dyDescent="0.45">
      <c r="A301" t="s">
        <v>13</v>
      </c>
      <c r="B301">
        <v>275673</v>
      </c>
      <c r="C301">
        <v>276749</v>
      </c>
      <c r="E301" t="s">
        <v>14</v>
      </c>
      <c r="F301" t="s">
        <v>877</v>
      </c>
      <c r="G301" t="s">
        <v>878</v>
      </c>
      <c r="H301">
        <v>0</v>
      </c>
      <c r="I301" t="s">
        <v>17</v>
      </c>
      <c r="K301" t="s">
        <v>879</v>
      </c>
      <c r="L301">
        <v>358</v>
      </c>
      <c r="M301" t="s">
        <v>880</v>
      </c>
    </row>
    <row r="302" spans="1:13" x14ac:dyDescent="0.45">
      <c r="A302" t="s">
        <v>13</v>
      </c>
      <c r="B302">
        <v>276743</v>
      </c>
      <c r="C302">
        <v>277336</v>
      </c>
      <c r="E302" t="s">
        <v>14</v>
      </c>
      <c r="F302" t="s">
        <v>881</v>
      </c>
      <c r="G302" t="s">
        <v>882</v>
      </c>
      <c r="H302">
        <v>0</v>
      </c>
      <c r="I302" t="s">
        <v>17</v>
      </c>
      <c r="K302" t="s">
        <v>883</v>
      </c>
      <c r="L302">
        <v>197</v>
      </c>
      <c r="M302" t="s">
        <v>884</v>
      </c>
    </row>
    <row r="303" spans="1:13" x14ac:dyDescent="0.45">
      <c r="A303" t="s">
        <v>13</v>
      </c>
      <c r="B303">
        <v>277329</v>
      </c>
      <c r="C303">
        <v>278861</v>
      </c>
      <c r="E303" t="s">
        <v>14</v>
      </c>
      <c r="F303" t="s">
        <v>885</v>
      </c>
      <c r="G303" t="s">
        <v>886</v>
      </c>
      <c r="H303">
        <v>0</v>
      </c>
      <c r="I303" t="s">
        <v>17</v>
      </c>
      <c r="K303" t="s">
        <v>887</v>
      </c>
      <c r="L303">
        <v>510</v>
      </c>
      <c r="M303" t="s">
        <v>888</v>
      </c>
    </row>
    <row r="304" spans="1:13" x14ac:dyDescent="0.45">
      <c r="A304" t="s">
        <v>13</v>
      </c>
      <c r="B304">
        <v>278872</v>
      </c>
      <c r="C304">
        <v>280122</v>
      </c>
      <c r="E304" t="s">
        <v>14</v>
      </c>
      <c r="F304" t="s">
        <v>889</v>
      </c>
      <c r="G304" t="s">
        <v>890</v>
      </c>
      <c r="H304">
        <v>0</v>
      </c>
      <c r="I304" t="s">
        <v>17</v>
      </c>
      <c r="K304" t="s">
        <v>891</v>
      </c>
      <c r="L304">
        <v>416</v>
      </c>
      <c r="M304" t="s">
        <v>892</v>
      </c>
    </row>
    <row r="305" spans="1:13" x14ac:dyDescent="0.45">
      <c r="A305" t="s">
        <v>13</v>
      </c>
      <c r="B305">
        <v>280147</v>
      </c>
      <c r="C305">
        <v>283953</v>
      </c>
      <c r="E305" t="s">
        <v>14</v>
      </c>
      <c r="F305" t="s">
        <v>893</v>
      </c>
      <c r="H305">
        <v>0</v>
      </c>
      <c r="I305" t="s">
        <v>17</v>
      </c>
      <c r="K305" t="s">
        <v>894</v>
      </c>
      <c r="L305">
        <v>1268</v>
      </c>
      <c r="M305" t="s">
        <v>895</v>
      </c>
    </row>
    <row r="306" spans="1:13" x14ac:dyDescent="0.45">
      <c r="A306" t="s">
        <v>13</v>
      </c>
      <c r="B306">
        <v>284159</v>
      </c>
      <c r="C306">
        <v>285031</v>
      </c>
      <c r="E306" t="s">
        <v>14</v>
      </c>
      <c r="F306" t="s">
        <v>896</v>
      </c>
      <c r="G306" t="s">
        <v>897</v>
      </c>
      <c r="H306">
        <v>0</v>
      </c>
      <c r="I306" t="s">
        <v>17</v>
      </c>
      <c r="K306" t="s">
        <v>898</v>
      </c>
      <c r="L306">
        <v>290</v>
      </c>
      <c r="M306" t="s">
        <v>899</v>
      </c>
    </row>
    <row r="307" spans="1:13" x14ac:dyDescent="0.45">
      <c r="A307" t="s">
        <v>13</v>
      </c>
      <c r="B307">
        <v>285140</v>
      </c>
      <c r="C307">
        <v>286021</v>
      </c>
      <c r="E307" t="s">
        <v>14</v>
      </c>
      <c r="F307" t="s">
        <v>900</v>
      </c>
      <c r="G307" t="s">
        <v>901</v>
      </c>
      <c r="H307">
        <v>0</v>
      </c>
      <c r="I307" t="s">
        <v>17</v>
      </c>
      <c r="K307" t="s">
        <v>902</v>
      </c>
      <c r="L307">
        <v>293</v>
      </c>
      <c r="M307" t="s">
        <v>903</v>
      </c>
    </row>
    <row r="308" spans="1:13" x14ac:dyDescent="0.45">
      <c r="A308" t="s">
        <v>13</v>
      </c>
      <c r="B308">
        <v>286058</v>
      </c>
      <c r="C308">
        <v>286615</v>
      </c>
      <c r="E308" t="s">
        <v>14</v>
      </c>
      <c r="F308" t="s">
        <v>904</v>
      </c>
      <c r="G308" t="s">
        <v>905</v>
      </c>
      <c r="H308">
        <v>0</v>
      </c>
      <c r="I308" t="s">
        <v>17</v>
      </c>
      <c r="K308" t="s">
        <v>906</v>
      </c>
      <c r="L308">
        <v>185</v>
      </c>
      <c r="M308" t="s">
        <v>907</v>
      </c>
    </row>
    <row r="309" spans="1:13" x14ac:dyDescent="0.45">
      <c r="A309" t="s">
        <v>13</v>
      </c>
      <c r="B309">
        <v>286653</v>
      </c>
      <c r="C309">
        <v>287636</v>
      </c>
      <c r="E309" t="s">
        <v>14</v>
      </c>
      <c r="F309" t="s">
        <v>908</v>
      </c>
      <c r="G309" t="s">
        <v>909</v>
      </c>
      <c r="H309">
        <v>0</v>
      </c>
      <c r="I309" t="s">
        <v>17</v>
      </c>
      <c r="K309" t="s">
        <v>910</v>
      </c>
      <c r="L309">
        <v>327</v>
      </c>
      <c r="M309" t="s">
        <v>911</v>
      </c>
    </row>
    <row r="310" spans="1:13" x14ac:dyDescent="0.45">
      <c r="A310" t="s">
        <v>13</v>
      </c>
      <c r="B310">
        <v>287675</v>
      </c>
      <c r="C310">
        <v>288343</v>
      </c>
      <c r="E310" t="s">
        <v>14</v>
      </c>
      <c r="F310" t="s">
        <v>912</v>
      </c>
      <c r="H310">
        <v>0</v>
      </c>
      <c r="I310" t="s">
        <v>17</v>
      </c>
      <c r="K310" t="s">
        <v>913</v>
      </c>
      <c r="L310">
        <v>222</v>
      </c>
      <c r="M310" t="s">
        <v>914</v>
      </c>
    </row>
    <row r="311" spans="1:13" x14ac:dyDescent="0.45">
      <c r="A311" t="s">
        <v>13</v>
      </c>
      <c r="B311">
        <v>288352</v>
      </c>
      <c r="C311">
        <v>288780</v>
      </c>
      <c r="E311" t="s">
        <v>14</v>
      </c>
      <c r="F311" t="s">
        <v>915</v>
      </c>
      <c r="H311">
        <v>0</v>
      </c>
      <c r="I311" t="s">
        <v>17</v>
      </c>
      <c r="K311" t="s">
        <v>916</v>
      </c>
      <c r="L311">
        <v>142</v>
      </c>
      <c r="M311" t="s">
        <v>917</v>
      </c>
    </row>
    <row r="312" spans="1:13" x14ac:dyDescent="0.45">
      <c r="A312" t="s">
        <v>13</v>
      </c>
      <c r="B312">
        <v>288804</v>
      </c>
      <c r="C312">
        <v>289118</v>
      </c>
      <c r="E312" t="s">
        <v>14</v>
      </c>
      <c r="F312" t="s">
        <v>918</v>
      </c>
      <c r="H312">
        <v>0</v>
      </c>
      <c r="I312" t="s">
        <v>17</v>
      </c>
      <c r="K312" t="s">
        <v>919</v>
      </c>
      <c r="L312">
        <v>104</v>
      </c>
      <c r="M312" t="s">
        <v>920</v>
      </c>
    </row>
    <row r="313" spans="1:13" x14ac:dyDescent="0.45">
      <c r="A313" t="s">
        <v>13</v>
      </c>
      <c r="B313">
        <v>289270</v>
      </c>
      <c r="C313">
        <v>289545</v>
      </c>
      <c r="E313" t="s">
        <v>14</v>
      </c>
      <c r="F313" t="s">
        <v>921</v>
      </c>
      <c r="G313" t="s">
        <v>922</v>
      </c>
      <c r="H313">
        <v>0</v>
      </c>
      <c r="I313" t="s">
        <v>17</v>
      </c>
      <c r="K313" t="s">
        <v>923</v>
      </c>
      <c r="L313">
        <v>91</v>
      </c>
      <c r="M313" t="s">
        <v>924</v>
      </c>
    </row>
    <row r="314" spans="1:13" x14ac:dyDescent="0.45">
      <c r="A314" t="s">
        <v>13</v>
      </c>
      <c r="B314">
        <v>289550</v>
      </c>
      <c r="C314">
        <v>289966</v>
      </c>
      <c r="E314" t="s">
        <v>14</v>
      </c>
      <c r="F314" t="s">
        <v>925</v>
      </c>
      <c r="H314">
        <v>0</v>
      </c>
      <c r="I314" t="s">
        <v>17</v>
      </c>
      <c r="K314" t="s">
        <v>926</v>
      </c>
      <c r="L314">
        <v>138</v>
      </c>
      <c r="M314" t="s">
        <v>927</v>
      </c>
    </row>
    <row r="315" spans="1:13" x14ac:dyDescent="0.45">
      <c r="A315" t="s">
        <v>13</v>
      </c>
      <c r="B315">
        <v>289984</v>
      </c>
      <c r="C315">
        <v>291294</v>
      </c>
      <c r="E315" t="s">
        <v>14</v>
      </c>
      <c r="F315" t="s">
        <v>928</v>
      </c>
      <c r="G315" t="s">
        <v>929</v>
      </c>
      <c r="H315">
        <v>0</v>
      </c>
      <c r="I315" t="s">
        <v>17</v>
      </c>
      <c r="K315" t="s">
        <v>930</v>
      </c>
      <c r="L315">
        <v>436</v>
      </c>
      <c r="M315" t="s">
        <v>931</v>
      </c>
    </row>
    <row r="316" spans="1:13" x14ac:dyDescent="0.45">
      <c r="A316" t="s">
        <v>13</v>
      </c>
      <c r="B316">
        <v>291313</v>
      </c>
      <c r="C316">
        <v>292245</v>
      </c>
      <c r="E316" t="s">
        <v>14</v>
      </c>
      <c r="F316" t="s">
        <v>932</v>
      </c>
      <c r="G316" t="s">
        <v>933</v>
      </c>
      <c r="H316">
        <v>0</v>
      </c>
      <c r="I316" t="s">
        <v>17</v>
      </c>
      <c r="K316" t="s">
        <v>934</v>
      </c>
      <c r="L316">
        <v>310</v>
      </c>
      <c r="M316" t="s">
        <v>935</v>
      </c>
    </row>
    <row r="317" spans="1:13" x14ac:dyDescent="0.45">
      <c r="A317" t="s">
        <v>13</v>
      </c>
      <c r="B317">
        <v>292261</v>
      </c>
      <c r="C317">
        <v>292653</v>
      </c>
      <c r="E317" t="s">
        <v>14</v>
      </c>
      <c r="F317" t="s">
        <v>936</v>
      </c>
      <c r="G317" t="s">
        <v>937</v>
      </c>
      <c r="H317">
        <v>0</v>
      </c>
      <c r="I317" t="s">
        <v>17</v>
      </c>
      <c r="K317" t="s">
        <v>938</v>
      </c>
      <c r="L317">
        <v>130</v>
      </c>
      <c r="M317" t="s">
        <v>939</v>
      </c>
    </row>
    <row r="318" spans="1:13" x14ac:dyDescent="0.45">
      <c r="A318" t="s">
        <v>13</v>
      </c>
      <c r="B318">
        <v>292647</v>
      </c>
      <c r="C318">
        <v>292859</v>
      </c>
      <c r="E318" t="s">
        <v>14</v>
      </c>
      <c r="F318" t="s">
        <v>940</v>
      </c>
      <c r="G318" t="s">
        <v>941</v>
      </c>
      <c r="H318">
        <v>0</v>
      </c>
      <c r="I318" t="s">
        <v>17</v>
      </c>
      <c r="K318" t="s">
        <v>942</v>
      </c>
      <c r="L318">
        <v>70</v>
      </c>
      <c r="M318" t="s">
        <v>943</v>
      </c>
    </row>
    <row r="319" spans="1:13" x14ac:dyDescent="0.45">
      <c r="A319" t="s">
        <v>13</v>
      </c>
      <c r="B319">
        <v>292881</v>
      </c>
      <c r="C319">
        <v>293276</v>
      </c>
      <c r="E319" t="s">
        <v>14</v>
      </c>
      <c r="F319" t="s">
        <v>944</v>
      </c>
      <c r="G319" t="s">
        <v>945</v>
      </c>
      <c r="H319">
        <v>0</v>
      </c>
      <c r="I319" t="s">
        <v>17</v>
      </c>
      <c r="K319" t="s">
        <v>946</v>
      </c>
      <c r="L319">
        <v>131</v>
      </c>
      <c r="M319" t="s">
        <v>947</v>
      </c>
    </row>
    <row r="320" spans="1:13" x14ac:dyDescent="0.45">
      <c r="A320" t="s">
        <v>13</v>
      </c>
      <c r="B320">
        <v>293276</v>
      </c>
      <c r="C320">
        <v>293632</v>
      </c>
      <c r="E320" t="s">
        <v>14</v>
      </c>
      <c r="F320" t="s">
        <v>944</v>
      </c>
      <c r="G320" t="s">
        <v>945</v>
      </c>
      <c r="H320">
        <v>0</v>
      </c>
      <c r="I320" t="s">
        <v>17</v>
      </c>
      <c r="K320" t="s">
        <v>948</v>
      </c>
      <c r="L320">
        <v>118</v>
      </c>
      <c r="M320" t="s">
        <v>949</v>
      </c>
    </row>
    <row r="321" spans="1:13" x14ac:dyDescent="0.45">
      <c r="A321" t="s">
        <v>13</v>
      </c>
      <c r="B321">
        <v>293653</v>
      </c>
      <c r="C321">
        <v>295176</v>
      </c>
      <c r="E321" t="s">
        <v>14</v>
      </c>
      <c r="F321" t="s">
        <v>950</v>
      </c>
      <c r="G321" t="s">
        <v>951</v>
      </c>
      <c r="H321">
        <v>0</v>
      </c>
      <c r="I321" t="s">
        <v>17</v>
      </c>
      <c r="K321" t="s">
        <v>952</v>
      </c>
      <c r="L321">
        <v>507</v>
      </c>
      <c r="M321" t="s">
        <v>953</v>
      </c>
    </row>
    <row r="322" spans="1:13" x14ac:dyDescent="0.45">
      <c r="A322" t="s">
        <v>13</v>
      </c>
      <c r="B322">
        <v>295179</v>
      </c>
      <c r="C322">
        <v>295514</v>
      </c>
      <c r="E322" t="s">
        <v>14</v>
      </c>
      <c r="F322" t="s">
        <v>954</v>
      </c>
      <c r="H322">
        <v>0</v>
      </c>
      <c r="I322" t="s">
        <v>17</v>
      </c>
      <c r="K322" t="s">
        <v>955</v>
      </c>
      <c r="L322">
        <v>111</v>
      </c>
      <c r="M322" t="s">
        <v>956</v>
      </c>
    </row>
    <row r="323" spans="1:13" x14ac:dyDescent="0.45">
      <c r="A323" t="s">
        <v>13</v>
      </c>
      <c r="B323">
        <v>295616</v>
      </c>
      <c r="C323">
        <v>296488</v>
      </c>
      <c r="E323" t="s">
        <v>14</v>
      </c>
      <c r="F323" t="s">
        <v>957</v>
      </c>
      <c r="H323">
        <v>0</v>
      </c>
      <c r="I323" t="s">
        <v>17</v>
      </c>
      <c r="K323" t="s">
        <v>958</v>
      </c>
      <c r="L323">
        <v>290</v>
      </c>
      <c r="M323" t="s">
        <v>959</v>
      </c>
    </row>
    <row r="324" spans="1:13" x14ac:dyDescent="0.45">
      <c r="A324" t="s">
        <v>13</v>
      </c>
      <c r="B324">
        <v>296599</v>
      </c>
      <c r="C324">
        <v>298722</v>
      </c>
      <c r="E324" t="s">
        <v>14</v>
      </c>
      <c r="F324" t="s">
        <v>960</v>
      </c>
      <c r="H324">
        <v>0</v>
      </c>
      <c r="I324" t="s">
        <v>17</v>
      </c>
      <c r="K324" t="s">
        <v>961</v>
      </c>
      <c r="L324">
        <v>707</v>
      </c>
      <c r="M324" t="s">
        <v>962</v>
      </c>
    </row>
    <row r="325" spans="1:13" x14ac:dyDescent="0.45">
      <c r="A325" t="s">
        <v>13</v>
      </c>
      <c r="B325">
        <v>298746</v>
      </c>
      <c r="C325">
        <v>300623</v>
      </c>
      <c r="E325" t="s">
        <v>14</v>
      </c>
      <c r="F325" t="s">
        <v>963</v>
      </c>
      <c r="H325">
        <v>0</v>
      </c>
      <c r="I325" t="s">
        <v>17</v>
      </c>
      <c r="K325" t="s">
        <v>964</v>
      </c>
      <c r="L325">
        <v>625</v>
      </c>
      <c r="M325" t="s">
        <v>965</v>
      </c>
    </row>
    <row r="326" spans="1:13" x14ac:dyDescent="0.45">
      <c r="A326" t="s">
        <v>13</v>
      </c>
      <c r="B326">
        <v>300616</v>
      </c>
      <c r="C326">
        <v>302730</v>
      </c>
      <c r="E326" t="s">
        <v>14</v>
      </c>
      <c r="F326" t="s">
        <v>960</v>
      </c>
      <c r="H326">
        <v>0</v>
      </c>
      <c r="I326" t="s">
        <v>17</v>
      </c>
      <c r="K326" t="s">
        <v>966</v>
      </c>
      <c r="L326">
        <v>704</v>
      </c>
      <c r="M326" t="s">
        <v>967</v>
      </c>
    </row>
    <row r="327" spans="1:13" x14ac:dyDescent="0.45">
      <c r="A327" t="s">
        <v>13</v>
      </c>
      <c r="B327">
        <v>302739</v>
      </c>
      <c r="C327">
        <v>303734</v>
      </c>
      <c r="E327" t="s">
        <v>14</v>
      </c>
      <c r="F327" t="s">
        <v>968</v>
      </c>
      <c r="H327">
        <v>0</v>
      </c>
      <c r="I327" t="s">
        <v>17</v>
      </c>
      <c r="K327" t="s">
        <v>969</v>
      </c>
      <c r="L327">
        <v>331</v>
      </c>
      <c r="M327" t="s">
        <v>970</v>
      </c>
    </row>
    <row r="328" spans="1:13" x14ac:dyDescent="0.45">
      <c r="A328" t="s">
        <v>13</v>
      </c>
      <c r="B328">
        <v>303826</v>
      </c>
      <c r="C328">
        <v>305058</v>
      </c>
      <c r="E328" t="s">
        <v>14</v>
      </c>
      <c r="F328" t="s">
        <v>971</v>
      </c>
      <c r="H328">
        <v>0</v>
      </c>
      <c r="I328" t="s">
        <v>17</v>
      </c>
      <c r="K328" t="s">
        <v>972</v>
      </c>
      <c r="L328">
        <v>410</v>
      </c>
      <c r="M328" t="s">
        <v>973</v>
      </c>
    </row>
    <row r="329" spans="1:13" x14ac:dyDescent="0.45">
      <c r="A329" t="s">
        <v>13</v>
      </c>
      <c r="B329">
        <v>305078</v>
      </c>
      <c r="C329">
        <v>306022</v>
      </c>
      <c r="E329" t="s">
        <v>14</v>
      </c>
      <c r="F329" t="s">
        <v>974</v>
      </c>
      <c r="H329">
        <v>0</v>
      </c>
      <c r="I329" t="s">
        <v>17</v>
      </c>
      <c r="K329" t="s">
        <v>975</v>
      </c>
      <c r="L329">
        <v>314</v>
      </c>
      <c r="M329" t="s">
        <v>976</v>
      </c>
    </row>
    <row r="330" spans="1:13" x14ac:dyDescent="0.45">
      <c r="A330" t="s">
        <v>13</v>
      </c>
      <c r="B330">
        <v>306095</v>
      </c>
      <c r="C330">
        <v>306523</v>
      </c>
      <c r="E330" t="s">
        <v>14</v>
      </c>
      <c r="F330" t="s">
        <v>977</v>
      </c>
      <c r="H330">
        <v>0</v>
      </c>
      <c r="I330" t="s">
        <v>17</v>
      </c>
      <c r="K330" t="s">
        <v>978</v>
      </c>
      <c r="L330">
        <v>142</v>
      </c>
      <c r="M330" t="s">
        <v>979</v>
      </c>
    </row>
    <row r="331" spans="1:13" x14ac:dyDescent="0.45">
      <c r="A331" t="s">
        <v>13</v>
      </c>
      <c r="B331">
        <v>306601</v>
      </c>
      <c r="C331">
        <v>307701</v>
      </c>
      <c r="E331" t="s">
        <v>14</v>
      </c>
      <c r="F331" t="s">
        <v>980</v>
      </c>
      <c r="H331">
        <v>0</v>
      </c>
      <c r="I331" t="s">
        <v>17</v>
      </c>
      <c r="K331" t="s">
        <v>981</v>
      </c>
      <c r="L331">
        <v>366</v>
      </c>
      <c r="M331" t="s">
        <v>982</v>
      </c>
    </row>
    <row r="332" spans="1:13" x14ac:dyDescent="0.45">
      <c r="A332" t="s">
        <v>13</v>
      </c>
      <c r="B332">
        <v>308507</v>
      </c>
      <c r="C332">
        <v>308824</v>
      </c>
      <c r="E332" t="s">
        <v>14</v>
      </c>
      <c r="F332" t="s">
        <v>983</v>
      </c>
      <c r="G332" t="s">
        <v>984</v>
      </c>
      <c r="H332">
        <v>0</v>
      </c>
      <c r="I332" t="s">
        <v>17</v>
      </c>
      <c r="K332" t="s">
        <v>985</v>
      </c>
      <c r="L332">
        <v>105</v>
      </c>
      <c r="M332" t="s">
        <v>986</v>
      </c>
    </row>
    <row r="333" spans="1:13" x14ac:dyDescent="0.45">
      <c r="A333" t="s">
        <v>13</v>
      </c>
      <c r="B333">
        <v>308832</v>
      </c>
      <c r="C333">
        <v>309236</v>
      </c>
      <c r="E333" t="s">
        <v>14</v>
      </c>
      <c r="F333" t="s">
        <v>987</v>
      </c>
      <c r="G333" t="s">
        <v>988</v>
      </c>
      <c r="H333">
        <v>0</v>
      </c>
      <c r="I333" t="s">
        <v>17</v>
      </c>
      <c r="K333" t="s">
        <v>989</v>
      </c>
      <c r="L333">
        <v>134</v>
      </c>
      <c r="M333" t="s">
        <v>990</v>
      </c>
    </row>
    <row r="334" spans="1:13" x14ac:dyDescent="0.45">
      <c r="A334" t="s">
        <v>13</v>
      </c>
      <c r="B334">
        <v>309246</v>
      </c>
      <c r="C334">
        <v>309563</v>
      </c>
      <c r="E334" t="s">
        <v>14</v>
      </c>
      <c r="F334" t="s">
        <v>991</v>
      </c>
      <c r="G334" t="s">
        <v>992</v>
      </c>
      <c r="H334">
        <v>0</v>
      </c>
      <c r="I334" t="s">
        <v>17</v>
      </c>
      <c r="K334" t="s">
        <v>993</v>
      </c>
      <c r="L334">
        <v>105</v>
      </c>
      <c r="M334" t="s">
        <v>994</v>
      </c>
    </row>
    <row r="335" spans="1:13" x14ac:dyDescent="0.45">
      <c r="A335" t="s">
        <v>13</v>
      </c>
      <c r="B335">
        <v>309588</v>
      </c>
      <c r="C335">
        <v>311138</v>
      </c>
      <c r="E335" t="s">
        <v>14</v>
      </c>
      <c r="F335" t="s">
        <v>995</v>
      </c>
      <c r="G335" t="s">
        <v>996</v>
      </c>
      <c r="H335">
        <v>0</v>
      </c>
      <c r="I335" t="s">
        <v>17</v>
      </c>
      <c r="K335" t="s">
        <v>997</v>
      </c>
      <c r="L335">
        <v>516</v>
      </c>
      <c r="M335" t="s">
        <v>998</v>
      </c>
    </row>
    <row r="336" spans="1:13" x14ac:dyDescent="0.45">
      <c r="A336" t="s">
        <v>13</v>
      </c>
      <c r="B336">
        <v>311151</v>
      </c>
      <c r="C336">
        <v>312221</v>
      </c>
      <c r="E336" t="s">
        <v>14</v>
      </c>
      <c r="F336" t="s">
        <v>999</v>
      </c>
      <c r="G336" t="s">
        <v>1000</v>
      </c>
      <c r="H336">
        <v>0</v>
      </c>
      <c r="I336" t="s">
        <v>17</v>
      </c>
      <c r="K336" t="s">
        <v>1001</v>
      </c>
      <c r="L336">
        <v>356</v>
      </c>
      <c r="M336" t="s">
        <v>1002</v>
      </c>
    </row>
    <row r="337" spans="1:13" x14ac:dyDescent="0.45">
      <c r="A337" t="s">
        <v>13</v>
      </c>
      <c r="B337">
        <v>312205</v>
      </c>
      <c r="C337">
        <v>312945</v>
      </c>
      <c r="E337" t="s">
        <v>14</v>
      </c>
      <c r="F337" t="s">
        <v>1003</v>
      </c>
      <c r="H337">
        <v>0</v>
      </c>
      <c r="I337" t="s">
        <v>17</v>
      </c>
      <c r="K337" t="s">
        <v>1004</v>
      </c>
      <c r="L337">
        <v>246</v>
      </c>
      <c r="M337" t="s">
        <v>1005</v>
      </c>
    </row>
    <row r="338" spans="1:13" x14ac:dyDescent="0.45">
      <c r="A338" t="s">
        <v>13</v>
      </c>
      <c r="B338">
        <v>312949</v>
      </c>
      <c r="C338">
        <v>314268</v>
      </c>
      <c r="E338" t="s">
        <v>14</v>
      </c>
      <c r="F338" t="s">
        <v>1006</v>
      </c>
      <c r="G338" t="s">
        <v>1007</v>
      </c>
      <c r="H338">
        <v>0</v>
      </c>
      <c r="I338" t="s">
        <v>17</v>
      </c>
      <c r="K338" t="s">
        <v>1008</v>
      </c>
      <c r="L338">
        <v>439</v>
      </c>
      <c r="M338" t="s">
        <v>1009</v>
      </c>
    </row>
    <row r="339" spans="1:13" x14ac:dyDescent="0.45">
      <c r="A339" t="s">
        <v>13</v>
      </c>
      <c r="B339">
        <v>314300</v>
      </c>
      <c r="C339">
        <v>314746</v>
      </c>
      <c r="E339" t="s">
        <v>14</v>
      </c>
      <c r="F339" t="s">
        <v>1010</v>
      </c>
      <c r="G339" t="s">
        <v>1011</v>
      </c>
      <c r="H339">
        <v>0</v>
      </c>
      <c r="I339" t="s">
        <v>17</v>
      </c>
      <c r="K339" t="s">
        <v>1012</v>
      </c>
      <c r="L339">
        <v>148</v>
      </c>
      <c r="M339" t="s">
        <v>1013</v>
      </c>
    </row>
    <row r="340" spans="1:13" x14ac:dyDescent="0.45">
      <c r="A340" t="s">
        <v>13</v>
      </c>
      <c r="B340">
        <v>314774</v>
      </c>
      <c r="C340">
        <v>315979</v>
      </c>
      <c r="E340" t="s">
        <v>14</v>
      </c>
      <c r="F340" t="s">
        <v>1014</v>
      </c>
      <c r="H340">
        <v>0</v>
      </c>
      <c r="I340" t="s">
        <v>17</v>
      </c>
      <c r="K340" t="s">
        <v>1015</v>
      </c>
      <c r="L340">
        <v>401</v>
      </c>
      <c r="M340" t="s">
        <v>1016</v>
      </c>
    </row>
    <row r="341" spans="1:13" x14ac:dyDescent="0.45">
      <c r="A341" t="s">
        <v>13</v>
      </c>
      <c r="B341">
        <v>315997</v>
      </c>
      <c r="C341">
        <v>316605</v>
      </c>
      <c r="E341" t="s">
        <v>14</v>
      </c>
      <c r="F341" t="s">
        <v>1017</v>
      </c>
      <c r="H341">
        <v>0</v>
      </c>
      <c r="I341" t="s">
        <v>17</v>
      </c>
      <c r="K341" t="s">
        <v>1018</v>
      </c>
      <c r="L341">
        <v>202</v>
      </c>
      <c r="M341" t="s">
        <v>1019</v>
      </c>
    </row>
    <row r="342" spans="1:13" x14ac:dyDescent="0.45">
      <c r="A342" t="s">
        <v>13</v>
      </c>
      <c r="B342">
        <v>316632</v>
      </c>
      <c r="C342">
        <v>317615</v>
      </c>
      <c r="E342" t="s">
        <v>14</v>
      </c>
      <c r="F342" t="s">
        <v>1020</v>
      </c>
      <c r="H342">
        <v>0</v>
      </c>
      <c r="I342" t="s">
        <v>17</v>
      </c>
      <c r="K342" t="s">
        <v>1021</v>
      </c>
      <c r="L342">
        <v>327</v>
      </c>
      <c r="M342" t="s">
        <v>1022</v>
      </c>
    </row>
    <row r="343" spans="1:13" x14ac:dyDescent="0.45">
      <c r="A343" t="s">
        <v>13</v>
      </c>
      <c r="B343">
        <v>317628</v>
      </c>
      <c r="C343">
        <v>317831</v>
      </c>
      <c r="E343" t="s">
        <v>14</v>
      </c>
      <c r="F343" t="s">
        <v>1023</v>
      </c>
      <c r="H343">
        <v>0</v>
      </c>
      <c r="I343" t="s">
        <v>17</v>
      </c>
      <c r="K343" t="s">
        <v>1024</v>
      </c>
      <c r="L343">
        <v>67</v>
      </c>
      <c r="M343" t="s">
        <v>1025</v>
      </c>
    </row>
    <row r="344" spans="1:13" x14ac:dyDescent="0.45">
      <c r="A344" t="s">
        <v>13</v>
      </c>
      <c r="B344">
        <v>317831</v>
      </c>
      <c r="C344">
        <v>318649</v>
      </c>
      <c r="E344" t="s">
        <v>14</v>
      </c>
      <c r="F344" t="s">
        <v>1026</v>
      </c>
      <c r="H344">
        <v>0</v>
      </c>
      <c r="I344" t="s">
        <v>17</v>
      </c>
      <c r="K344" t="s">
        <v>1027</v>
      </c>
      <c r="L344">
        <v>272</v>
      </c>
      <c r="M344" t="s">
        <v>1028</v>
      </c>
    </row>
    <row r="345" spans="1:13" x14ac:dyDescent="0.45">
      <c r="A345" t="s">
        <v>13</v>
      </c>
      <c r="B345">
        <v>318639</v>
      </c>
      <c r="C345">
        <v>319334</v>
      </c>
      <c r="E345" t="s">
        <v>14</v>
      </c>
      <c r="F345" t="s">
        <v>1029</v>
      </c>
      <c r="H345">
        <v>0</v>
      </c>
      <c r="I345" t="s">
        <v>17</v>
      </c>
      <c r="K345" t="s">
        <v>1030</v>
      </c>
      <c r="L345">
        <v>231</v>
      </c>
      <c r="M345" t="s">
        <v>1031</v>
      </c>
    </row>
    <row r="346" spans="1:13" x14ac:dyDescent="0.45">
      <c r="A346" t="s">
        <v>13</v>
      </c>
      <c r="B346">
        <v>319346</v>
      </c>
      <c r="C346">
        <v>319789</v>
      </c>
      <c r="E346" t="s">
        <v>14</v>
      </c>
      <c r="F346" t="s">
        <v>1032</v>
      </c>
      <c r="H346">
        <v>0</v>
      </c>
      <c r="I346" t="s">
        <v>17</v>
      </c>
      <c r="K346" t="s">
        <v>1033</v>
      </c>
      <c r="L346">
        <v>147</v>
      </c>
      <c r="M346" t="s">
        <v>1034</v>
      </c>
    </row>
    <row r="347" spans="1:13" x14ac:dyDescent="0.45">
      <c r="A347" t="s">
        <v>13</v>
      </c>
      <c r="B347">
        <v>319804</v>
      </c>
      <c r="C347">
        <v>320178</v>
      </c>
      <c r="E347" t="s">
        <v>14</v>
      </c>
      <c r="F347" t="s">
        <v>1035</v>
      </c>
      <c r="H347">
        <v>0</v>
      </c>
      <c r="I347" t="s">
        <v>17</v>
      </c>
      <c r="K347" t="s">
        <v>1036</v>
      </c>
      <c r="L347">
        <v>124</v>
      </c>
      <c r="M347" t="s">
        <v>1037</v>
      </c>
    </row>
    <row r="348" spans="1:13" x14ac:dyDescent="0.45">
      <c r="A348" t="s">
        <v>13</v>
      </c>
      <c r="B348">
        <v>320179</v>
      </c>
      <c r="C348">
        <v>320844</v>
      </c>
      <c r="E348" t="s">
        <v>14</v>
      </c>
      <c r="F348" t="s">
        <v>1038</v>
      </c>
      <c r="G348" t="s">
        <v>1039</v>
      </c>
      <c r="H348">
        <v>0</v>
      </c>
      <c r="I348" t="s">
        <v>17</v>
      </c>
      <c r="K348" t="s">
        <v>1040</v>
      </c>
      <c r="L348">
        <v>221</v>
      </c>
      <c r="M348" t="s">
        <v>1041</v>
      </c>
    </row>
    <row r="349" spans="1:13" x14ac:dyDescent="0.45">
      <c r="A349" t="s">
        <v>13</v>
      </c>
      <c r="B349">
        <v>320857</v>
      </c>
      <c r="C349">
        <v>321126</v>
      </c>
      <c r="E349" t="s">
        <v>14</v>
      </c>
      <c r="F349" t="s">
        <v>1042</v>
      </c>
      <c r="G349" t="s">
        <v>1043</v>
      </c>
      <c r="H349">
        <v>0</v>
      </c>
      <c r="I349" t="s">
        <v>17</v>
      </c>
      <c r="K349" t="s">
        <v>1044</v>
      </c>
      <c r="L349">
        <v>89</v>
      </c>
      <c r="M349" t="s">
        <v>1045</v>
      </c>
    </row>
    <row r="350" spans="1:13" x14ac:dyDescent="0.45">
      <c r="A350" t="s">
        <v>13</v>
      </c>
      <c r="B350">
        <v>321138</v>
      </c>
      <c r="C350">
        <v>322952</v>
      </c>
      <c r="E350" t="s">
        <v>14</v>
      </c>
      <c r="F350" t="s">
        <v>1046</v>
      </c>
      <c r="H350">
        <v>0</v>
      </c>
      <c r="I350" t="s">
        <v>17</v>
      </c>
      <c r="K350" t="s">
        <v>1047</v>
      </c>
      <c r="L350">
        <v>604</v>
      </c>
      <c r="M350" t="s">
        <v>1048</v>
      </c>
    </row>
    <row r="351" spans="1:13" x14ac:dyDescent="0.45">
      <c r="A351" t="s">
        <v>13</v>
      </c>
      <c r="B351">
        <v>322961</v>
      </c>
      <c r="C351">
        <v>325036</v>
      </c>
      <c r="E351" t="s">
        <v>14</v>
      </c>
      <c r="F351" t="s">
        <v>1049</v>
      </c>
      <c r="G351" t="s">
        <v>1050</v>
      </c>
      <c r="H351">
        <v>0</v>
      </c>
      <c r="I351" t="s">
        <v>17</v>
      </c>
      <c r="K351" t="s">
        <v>1051</v>
      </c>
      <c r="L351">
        <v>691</v>
      </c>
      <c r="M351" t="s">
        <v>1052</v>
      </c>
    </row>
    <row r="352" spans="1:13" x14ac:dyDescent="0.45">
      <c r="A352" t="s">
        <v>13</v>
      </c>
      <c r="B352">
        <v>325014</v>
      </c>
      <c r="C352">
        <v>326027</v>
      </c>
      <c r="E352" t="s">
        <v>14</v>
      </c>
      <c r="F352" t="s">
        <v>1053</v>
      </c>
      <c r="G352" t="s">
        <v>1054</v>
      </c>
      <c r="H352">
        <v>0</v>
      </c>
      <c r="I352" t="s">
        <v>17</v>
      </c>
      <c r="K352" t="s">
        <v>1055</v>
      </c>
      <c r="L352">
        <v>337</v>
      </c>
      <c r="M352" t="s">
        <v>1056</v>
      </c>
    </row>
    <row r="353" spans="1:13" x14ac:dyDescent="0.45">
      <c r="A353" t="s">
        <v>13</v>
      </c>
      <c r="B353">
        <v>326024</v>
      </c>
      <c r="C353">
        <v>326902</v>
      </c>
      <c r="E353" t="s">
        <v>14</v>
      </c>
      <c r="F353" t="s">
        <v>1057</v>
      </c>
      <c r="H353">
        <v>0</v>
      </c>
      <c r="I353" t="s">
        <v>17</v>
      </c>
      <c r="K353" t="s">
        <v>1058</v>
      </c>
      <c r="L353">
        <v>292</v>
      </c>
      <c r="M353" t="s">
        <v>1059</v>
      </c>
    </row>
    <row r="354" spans="1:13" x14ac:dyDescent="0.45">
      <c r="A354" t="s">
        <v>13</v>
      </c>
      <c r="B354">
        <v>326916</v>
      </c>
      <c r="C354">
        <v>327617</v>
      </c>
      <c r="E354" t="s">
        <v>14</v>
      </c>
      <c r="F354" t="s">
        <v>1060</v>
      </c>
      <c r="H354">
        <v>0</v>
      </c>
      <c r="I354" t="s">
        <v>17</v>
      </c>
      <c r="K354" t="s">
        <v>1061</v>
      </c>
      <c r="L354">
        <v>233</v>
      </c>
      <c r="M354" t="s">
        <v>1062</v>
      </c>
    </row>
    <row r="355" spans="1:13" x14ac:dyDescent="0.45">
      <c r="A355" t="s">
        <v>13</v>
      </c>
      <c r="B355">
        <v>327633</v>
      </c>
      <c r="C355">
        <v>328055</v>
      </c>
      <c r="E355" t="s">
        <v>14</v>
      </c>
      <c r="F355" t="s">
        <v>43</v>
      </c>
      <c r="H355">
        <v>0</v>
      </c>
      <c r="I355" t="s">
        <v>17</v>
      </c>
      <c r="K355" t="s">
        <v>1063</v>
      </c>
      <c r="L355">
        <v>140</v>
      </c>
      <c r="M355" t="s">
        <v>1064</v>
      </c>
    </row>
    <row r="356" spans="1:13" x14ac:dyDescent="0.45">
      <c r="A356" t="s">
        <v>13</v>
      </c>
      <c r="B356">
        <v>328040</v>
      </c>
      <c r="C356">
        <v>328225</v>
      </c>
      <c r="E356" t="s">
        <v>14</v>
      </c>
      <c r="F356" t="s">
        <v>1065</v>
      </c>
      <c r="H356">
        <v>0</v>
      </c>
      <c r="I356" t="s">
        <v>17</v>
      </c>
      <c r="K356" t="s">
        <v>1066</v>
      </c>
      <c r="L356">
        <v>61</v>
      </c>
      <c r="M356" t="s">
        <v>1067</v>
      </c>
    </row>
    <row r="357" spans="1:13" x14ac:dyDescent="0.45">
      <c r="A357" t="s">
        <v>13</v>
      </c>
      <c r="B357">
        <v>328266</v>
      </c>
      <c r="C357">
        <v>329039</v>
      </c>
      <c r="E357" t="s">
        <v>14</v>
      </c>
      <c r="F357" t="s">
        <v>1068</v>
      </c>
      <c r="H357">
        <v>0</v>
      </c>
      <c r="I357" t="s">
        <v>17</v>
      </c>
      <c r="K357" t="s">
        <v>1069</v>
      </c>
      <c r="L357">
        <v>257</v>
      </c>
      <c r="M357" t="s">
        <v>1070</v>
      </c>
    </row>
    <row r="358" spans="1:13" x14ac:dyDescent="0.45">
      <c r="A358" t="s">
        <v>13</v>
      </c>
      <c r="B358">
        <v>329060</v>
      </c>
      <c r="C358">
        <v>329821</v>
      </c>
      <c r="E358" t="s">
        <v>14</v>
      </c>
      <c r="F358" t="s">
        <v>1068</v>
      </c>
      <c r="H358">
        <v>0</v>
      </c>
      <c r="I358" t="s">
        <v>17</v>
      </c>
      <c r="K358" t="s">
        <v>1071</v>
      </c>
      <c r="L358">
        <v>253</v>
      </c>
      <c r="M358" t="s">
        <v>1072</v>
      </c>
    </row>
    <row r="359" spans="1:13" x14ac:dyDescent="0.45">
      <c r="A359" t="s">
        <v>13</v>
      </c>
      <c r="B359">
        <v>329844</v>
      </c>
      <c r="C359">
        <v>330725</v>
      </c>
      <c r="E359" t="s">
        <v>14</v>
      </c>
      <c r="F359" t="s">
        <v>918</v>
      </c>
      <c r="H359">
        <v>0</v>
      </c>
      <c r="I359" t="s">
        <v>17</v>
      </c>
      <c r="K359" t="s">
        <v>1073</v>
      </c>
      <c r="L359">
        <v>293</v>
      </c>
      <c r="M359" t="s">
        <v>1074</v>
      </c>
    </row>
    <row r="360" spans="1:13" x14ac:dyDescent="0.45">
      <c r="A360" t="s">
        <v>13</v>
      </c>
      <c r="B360">
        <v>330728</v>
      </c>
      <c r="C360">
        <v>331102</v>
      </c>
      <c r="E360" t="s">
        <v>14</v>
      </c>
      <c r="F360" t="s">
        <v>918</v>
      </c>
      <c r="H360">
        <v>0</v>
      </c>
      <c r="I360" t="s">
        <v>17</v>
      </c>
      <c r="K360" t="s">
        <v>1075</v>
      </c>
      <c r="L360">
        <v>124</v>
      </c>
      <c r="M360" t="s">
        <v>1076</v>
      </c>
    </row>
    <row r="361" spans="1:13" x14ac:dyDescent="0.45">
      <c r="A361" t="s">
        <v>13</v>
      </c>
      <c r="B361">
        <v>331134</v>
      </c>
      <c r="C361">
        <v>332537</v>
      </c>
      <c r="E361" t="s">
        <v>14</v>
      </c>
      <c r="F361" t="s">
        <v>1077</v>
      </c>
      <c r="H361">
        <v>0</v>
      </c>
      <c r="I361" t="s">
        <v>17</v>
      </c>
      <c r="K361" t="s">
        <v>1078</v>
      </c>
      <c r="L361">
        <v>467</v>
      </c>
      <c r="M361" t="s">
        <v>1079</v>
      </c>
    </row>
    <row r="362" spans="1:13" x14ac:dyDescent="0.45">
      <c r="A362" t="s">
        <v>13</v>
      </c>
      <c r="B362">
        <v>332653</v>
      </c>
      <c r="C362">
        <v>334590</v>
      </c>
      <c r="E362" t="s">
        <v>14</v>
      </c>
      <c r="F362" t="s">
        <v>1080</v>
      </c>
      <c r="G362" t="s">
        <v>1081</v>
      </c>
      <c r="H362">
        <v>0</v>
      </c>
      <c r="I362" t="s">
        <v>17</v>
      </c>
      <c r="K362" t="s">
        <v>1082</v>
      </c>
      <c r="L362">
        <v>645</v>
      </c>
      <c r="M362" t="s">
        <v>1083</v>
      </c>
    </row>
    <row r="363" spans="1:13" x14ac:dyDescent="0.45">
      <c r="A363" t="s">
        <v>13</v>
      </c>
      <c r="B363">
        <v>334978</v>
      </c>
      <c r="C363">
        <v>336108</v>
      </c>
      <c r="E363" t="s">
        <v>14</v>
      </c>
      <c r="F363" t="s">
        <v>1084</v>
      </c>
      <c r="H363">
        <v>0</v>
      </c>
      <c r="I363" t="s">
        <v>17</v>
      </c>
      <c r="K363" t="s">
        <v>1085</v>
      </c>
      <c r="L363">
        <v>376</v>
      </c>
      <c r="M363" t="s">
        <v>1086</v>
      </c>
    </row>
    <row r="364" spans="1:13" x14ac:dyDescent="0.45">
      <c r="A364" t="s">
        <v>13</v>
      </c>
      <c r="B364">
        <v>336335</v>
      </c>
      <c r="C364">
        <v>337357</v>
      </c>
      <c r="E364" t="s">
        <v>14</v>
      </c>
      <c r="F364" t="s">
        <v>1087</v>
      </c>
      <c r="G364" t="s">
        <v>1088</v>
      </c>
      <c r="H364">
        <v>0</v>
      </c>
      <c r="I364" t="s">
        <v>17</v>
      </c>
      <c r="K364" t="s">
        <v>1089</v>
      </c>
      <c r="L364">
        <v>340</v>
      </c>
      <c r="M364" t="s">
        <v>1090</v>
      </c>
    </row>
    <row r="365" spans="1:13" x14ac:dyDescent="0.45">
      <c r="A365" t="s">
        <v>13</v>
      </c>
      <c r="B365">
        <v>337539</v>
      </c>
      <c r="C365">
        <v>338450</v>
      </c>
      <c r="E365" t="s">
        <v>14</v>
      </c>
      <c r="F365" t="s">
        <v>196</v>
      </c>
      <c r="H365">
        <v>0</v>
      </c>
      <c r="I365" t="s">
        <v>17</v>
      </c>
      <c r="K365" t="s">
        <v>1091</v>
      </c>
      <c r="L365">
        <v>303</v>
      </c>
      <c r="M365" t="s">
        <v>1092</v>
      </c>
    </row>
    <row r="366" spans="1:13" x14ac:dyDescent="0.45">
      <c r="A366" t="s">
        <v>13</v>
      </c>
      <c r="B366">
        <v>338465</v>
      </c>
      <c r="C366">
        <v>338881</v>
      </c>
      <c r="E366" t="s">
        <v>14</v>
      </c>
      <c r="F366" t="s">
        <v>1093</v>
      </c>
      <c r="H366">
        <v>0</v>
      </c>
      <c r="I366" t="s">
        <v>17</v>
      </c>
      <c r="K366" t="s">
        <v>1094</v>
      </c>
      <c r="L366">
        <v>138</v>
      </c>
      <c r="M366" t="s">
        <v>1095</v>
      </c>
    </row>
    <row r="367" spans="1:13" x14ac:dyDescent="0.45">
      <c r="A367" t="s">
        <v>13</v>
      </c>
      <c r="B367">
        <v>338975</v>
      </c>
      <c r="C367">
        <v>339367</v>
      </c>
      <c r="E367" t="s">
        <v>96</v>
      </c>
      <c r="F367" t="s">
        <v>1096</v>
      </c>
      <c r="H367">
        <v>0</v>
      </c>
      <c r="I367" t="s">
        <v>17</v>
      </c>
      <c r="K367" t="s">
        <v>1097</v>
      </c>
      <c r="L367">
        <v>130</v>
      </c>
      <c r="M367" t="s">
        <v>1098</v>
      </c>
    </row>
    <row r="368" spans="1:13" x14ac:dyDescent="0.45">
      <c r="A368" t="s">
        <v>13</v>
      </c>
      <c r="B368">
        <v>339508</v>
      </c>
      <c r="C368">
        <v>339903</v>
      </c>
      <c r="E368" t="s">
        <v>14</v>
      </c>
      <c r="F368" t="s">
        <v>1099</v>
      </c>
      <c r="H368">
        <v>0</v>
      </c>
      <c r="I368" t="s">
        <v>17</v>
      </c>
      <c r="K368" t="s">
        <v>1100</v>
      </c>
      <c r="L368">
        <v>131</v>
      </c>
      <c r="M368" t="s">
        <v>1101</v>
      </c>
    </row>
    <row r="369" spans="1:13" x14ac:dyDescent="0.45">
      <c r="A369" t="s">
        <v>13</v>
      </c>
      <c r="B369">
        <v>340306</v>
      </c>
      <c r="C369">
        <v>340512</v>
      </c>
      <c r="E369" t="s">
        <v>14</v>
      </c>
      <c r="F369" t="s">
        <v>43</v>
      </c>
      <c r="H369">
        <v>0</v>
      </c>
      <c r="I369" t="s">
        <v>17</v>
      </c>
      <c r="K369" t="s">
        <v>1102</v>
      </c>
      <c r="L369">
        <v>68</v>
      </c>
      <c r="M369" t="s">
        <v>1103</v>
      </c>
    </row>
    <row r="370" spans="1:13" x14ac:dyDescent="0.45">
      <c r="A370" t="s">
        <v>13</v>
      </c>
      <c r="B370">
        <v>340823</v>
      </c>
      <c r="C370">
        <v>341566</v>
      </c>
      <c r="E370" t="s">
        <v>96</v>
      </c>
      <c r="F370" t="s">
        <v>1104</v>
      </c>
      <c r="H370">
        <v>0</v>
      </c>
      <c r="I370" t="s">
        <v>17</v>
      </c>
      <c r="K370" t="s">
        <v>1105</v>
      </c>
      <c r="L370">
        <v>247</v>
      </c>
      <c r="M370" t="s">
        <v>1106</v>
      </c>
    </row>
    <row r="371" spans="1:13" x14ac:dyDescent="0.45">
      <c r="A371" t="s">
        <v>13</v>
      </c>
      <c r="B371">
        <v>341732</v>
      </c>
      <c r="C371">
        <v>344299</v>
      </c>
      <c r="E371" t="s">
        <v>14</v>
      </c>
      <c r="F371" t="s">
        <v>1107</v>
      </c>
      <c r="H371">
        <v>0</v>
      </c>
      <c r="I371" t="s">
        <v>17</v>
      </c>
      <c r="K371" t="s">
        <v>1108</v>
      </c>
      <c r="L371">
        <v>855</v>
      </c>
      <c r="M371" t="s">
        <v>1109</v>
      </c>
    </row>
    <row r="372" spans="1:13" x14ac:dyDescent="0.45">
      <c r="A372" t="s">
        <v>13</v>
      </c>
      <c r="B372">
        <v>344529</v>
      </c>
      <c r="C372">
        <v>344933</v>
      </c>
      <c r="E372" t="s">
        <v>14</v>
      </c>
      <c r="F372" t="s">
        <v>227</v>
      </c>
      <c r="H372">
        <v>0</v>
      </c>
      <c r="I372" t="s">
        <v>17</v>
      </c>
      <c r="K372" t="s">
        <v>1110</v>
      </c>
      <c r="L372">
        <v>134</v>
      </c>
      <c r="M372" t="s">
        <v>1111</v>
      </c>
    </row>
    <row r="373" spans="1:13" x14ac:dyDescent="0.45">
      <c r="A373" t="s">
        <v>13</v>
      </c>
      <c r="B373">
        <v>344957</v>
      </c>
      <c r="C373">
        <v>345454</v>
      </c>
      <c r="E373" t="s">
        <v>14</v>
      </c>
      <c r="F373" t="s">
        <v>230</v>
      </c>
      <c r="H373">
        <v>0</v>
      </c>
      <c r="I373" t="s">
        <v>17</v>
      </c>
      <c r="K373" t="s">
        <v>1112</v>
      </c>
      <c r="L373">
        <v>165</v>
      </c>
      <c r="M373" t="s">
        <v>1113</v>
      </c>
    </row>
    <row r="374" spans="1:13" x14ac:dyDescent="0.45">
      <c r="A374" t="s">
        <v>13</v>
      </c>
      <c r="B374">
        <v>345457</v>
      </c>
      <c r="C374">
        <v>345858</v>
      </c>
      <c r="E374" t="s">
        <v>14</v>
      </c>
      <c r="F374" t="s">
        <v>227</v>
      </c>
      <c r="H374">
        <v>0</v>
      </c>
      <c r="I374" t="s">
        <v>17</v>
      </c>
      <c r="K374" t="s">
        <v>1114</v>
      </c>
      <c r="L374">
        <v>133</v>
      </c>
      <c r="M374" t="s">
        <v>1115</v>
      </c>
    </row>
    <row r="375" spans="1:13" x14ac:dyDescent="0.45">
      <c r="A375" t="s">
        <v>13</v>
      </c>
      <c r="B375">
        <v>345876</v>
      </c>
      <c r="C375">
        <v>346364</v>
      </c>
      <c r="E375" t="s">
        <v>14</v>
      </c>
      <c r="F375" t="s">
        <v>1116</v>
      </c>
      <c r="H375">
        <v>0</v>
      </c>
      <c r="I375" t="s">
        <v>17</v>
      </c>
      <c r="K375" t="s">
        <v>1117</v>
      </c>
      <c r="L375">
        <v>162</v>
      </c>
      <c r="M375" t="s">
        <v>1118</v>
      </c>
    </row>
    <row r="376" spans="1:13" x14ac:dyDescent="0.45">
      <c r="A376" t="s">
        <v>13</v>
      </c>
      <c r="B376">
        <v>346391</v>
      </c>
      <c r="C376">
        <v>347146</v>
      </c>
      <c r="E376" t="s">
        <v>14</v>
      </c>
      <c r="F376" t="s">
        <v>1119</v>
      </c>
      <c r="H376">
        <v>0</v>
      </c>
      <c r="I376" t="s">
        <v>17</v>
      </c>
      <c r="K376" t="s">
        <v>1120</v>
      </c>
      <c r="L376">
        <v>251</v>
      </c>
      <c r="M376" t="s">
        <v>1121</v>
      </c>
    </row>
    <row r="377" spans="1:13" x14ac:dyDescent="0.45">
      <c r="A377" t="s">
        <v>13</v>
      </c>
      <c r="B377">
        <v>347146</v>
      </c>
      <c r="C377">
        <v>348009</v>
      </c>
      <c r="E377" t="s">
        <v>14</v>
      </c>
      <c r="F377" t="s">
        <v>1122</v>
      </c>
      <c r="H377">
        <v>0</v>
      </c>
      <c r="I377" t="s">
        <v>17</v>
      </c>
      <c r="K377" t="s">
        <v>1123</v>
      </c>
      <c r="L377">
        <v>287</v>
      </c>
      <c r="M377" t="s">
        <v>1124</v>
      </c>
    </row>
    <row r="378" spans="1:13" x14ac:dyDescent="0.45">
      <c r="A378" t="s">
        <v>13</v>
      </c>
      <c r="B378">
        <v>348056</v>
      </c>
      <c r="C378">
        <v>348535</v>
      </c>
      <c r="E378" t="s">
        <v>14</v>
      </c>
      <c r="F378" t="s">
        <v>1125</v>
      </c>
      <c r="H378">
        <v>0</v>
      </c>
      <c r="I378" t="s">
        <v>17</v>
      </c>
      <c r="K378" t="s">
        <v>1126</v>
      </c>
      <c r="L378">
        <v>159</v>
      </c>
      <c r="M378" t="s">
        <v>1127</v>
      </c>
    </row>
    <row r="379" spans="1:13" x14ac:dyDescent="0.45">
      <c r="A379" t="s">
        <v>13</v>
      </c>
      <c r="B379">
        <v>348600</v>
      </c>
      <c r="C379">
        <v>349907</v>
      </c>
      <c r="E379" t="s">
        <v>14</v>
      </c>
      <c r="F379" t="s">
        <v>1128</v>
      </c>
      <c r="H379">
        <v>0</v>
      </c>
      <c r="I379" t="s">
        <v>17</v>
      </c>
      <c r="K379" t="s">
        <v>1129</v>
      </c>
      <c r="L379">
        <v>435</v>
      </c>
      <c r="M379" t="s">
        <v>1130</v>
      </c>
    </row>
    <row r="380" spans="1:13" x14ac:dyDescent="0.45">
      <c r="A380" t="s">
        <v>13</v>
      </c>
      <c r="B380">
        <v>350236</v>
      </c>
      <c r="C380">
        <v>350358</v>
      </c>
      <c r="E380" t="s">
        <v>14</v>
      </c>
      <c r="F380" t="s">
        <v>1131</v>
      </c>
      <c r="H380">
        <v>0</v>
      </c>
      <c r="I380" t="s">
        <v>17</v>
      </c>
      <c r="K380" t="s">
        <v>1132</v>
      </c>
      <c r="L380">
        <v>40</v>
      </c>
      <c r="M380" t="s">
        <v>1133</v>
      </c>
    </row>
    <row r="381" spans="1:13" x14ac:dyDescent="0.45">
      <c r="A381" t="s">
        <v>13</v>
      </c>
      <c r="B381">
        <v>350870</v>
      </c>
      <c r="C381">
        <v>351964</v>
      </c>
      <c r="E381" t="s">
        <v>14</v>
      </c>
      <c r="F381" t="s">
        <v>1134</v>
      </c>
      <c r="H381">
        <v>0</v>
      </c>
      <c r="I381" t="s">
        <v>17</v>
      </c>
      <c r="K381" t="s">
        <v>1135</v>
      </c>
      <c r="L381">
        <v>364</v>
      </c>
      <c r="M381" t="s">
        <v>1136</v>
      </c>
    </row>
    <row r="382" spans="1:13" x14ac:dyDescent="0.45">
      <c r="A382" t="s">
        <v>13</v>
      </c>
      <c r="B382">
        <v>351969</v>
      </c>
      <c r="C382">
        <v>352169</v>
      </c>
      <c r="E382" t="s">
        <v>14</v>
      </c>
      <c r="F382" t="s">
        <v>1137</v>
      </c>
      <c r="H382">
        <v>0</v>
      </c>
      <c r="I382" t="s">
        <v>17</v>
      </c>
      <c r="K382" t="s">
        <v>1138</v>
      </c>
      <c r="L382">
        <v>66</v>
      </c>
      <c r="M382" t="s">
        <v>1139</v>
      </c>
    </row>
    <row r="383" spans="1:13" x14ac:dyDescent="0.45">
      <c r="A383" t="s">
        <v>13</v>
      </c>
      <c r="B383">
        <v>352166</v>
      </c>
      <c r="C383">
        <v>353086</v>
      </c>
      <c r="E383" t="s">
        <v>14</v>
      </c>
      <c r="F383" t="s">
        <v>1140</v>
      </c>
      <c r="H383">
        <v>0</v>
      </c>
      <c r="I383" t="s">
        <v>17</v>
      </c>
      <c r="K383" t="s">
        <v>1141</v>
      </c>
      <c r="L383">
        <v>306</v>
      </c>
      <c r="M383" t="s">
        <v>1142</v>
      </c>
    </row>
    <row r="384" spans="1:13" x14ac:dyDescent="0.45">
      <c r="A384" t="s">
        <v>13</v>
      </c>
      <c r="B384">
        <v>353083</v>
      </c>
      <c r="C384">
        <v>353841</v>
      </c>
      <c r="E384" t="s">
        <v>14</v>
      </c>
      <c r="F384" t="s">
        <v>1143</v>
      </c>
      <c r="H384">
        <v>0</v>
      </c>
      <c r="I384" t="s">
        <v>17</v>
      </c>
      <c r="K384" t="s">
        <v>1144</v>
      </c>
      <c r="L384">
        <v>252</v>
      </c>
      <c r="M384" t="s">
        <v>1145</v>
      </c>
    </row>
    <row r="385" spans="1:13" x14ac:dyDescent="0.45">
      <c r="A385" t="s">
        <v>13</v>
      </c>
      <c r="B385">
        <v>354224</v>
      </c>
      <c r="C385">
        <v>355297</v>
      </c>
      <c r="E385" t="s">
        <v>14</v>
      </c>
      <c r="F385" t="s">
        <v>741</v>
      </c>
      <c r="H385">
        <v>0</v>
      </c>
      <c r="I385" t="s">
        <v>17</v>
      </c>
      <c r="K385" t="s">
        <v>1146</v>
      </c>
      <c r="L385">
        <v>357</v>
      </c>
      <c r="M385" t="s">
        <v>1147</v>
      </c>
    </row>
    <row r="386" spans="1:13" x14ac:dyDescent="0.45">
      <c r="A386" t="s">
        <v>13</v>
      </c>
      <c r="B386">
        <v>355367</v>
      </c>
      <c r="C386">
        <v>355630</v>
      </c>
      <c r="E386" t="s">
        <v>14</v>
      </c>
      <c r="F386" t="s">
        <v>43</v>
      </c>
      <c r="H386">
        <v>0</v>
      </c>
      <c r="I386" t="s">
        <v>17</v>
      </c>
      <c r="K386" t="s">
        <v>1148</v>
      </c>
      <c r="L386">
        <v>87</v>
      </c>
      <c r="M386" t="s">
        <v>1149</v>
      </c>
    </row>
    <row r="387" spans="1:13" x14ac:dyDescent="0.45">
      <c r="A387" t="s">
        <v>13</v>
      </c>
      <c r="B387">
        <v>355836</v>
      </c>
      <c r="C387">
        <v>356813</v>
      </c>
      <c r="E387" t="s">
        <v>14</v>
      </c>
      <c r="F387" t="s">
        <v>1150</v>
      </c>
      <c r="G387" t="s">
        <v>1151</v>
      </c>
      <c r="H387">
        <v>0</v>
      </c>
      <c r="I387" t="s">
        <v>17</v>
      </c>
      <c r="K387" t="s">
        <v>1152</v>
      </c>
      <c r="L387">
        <v>325</v>
      </c>
      <c r="M387" t="s">
        <v>1153</v>
      </c>
    </row>
    <row r="388" spans="1:13" x14ac:dyDescent="0.45">
      <c r="A388" t="s">
        <v>13</v>
      </c>
      <c r="B388">
        <v>357032</v>
      </c>
      <c r="C388">
        <v>358054</v>
      </c>
      <c r="E388" t="s">
        <v>14</v>
      </c>
      <c r="F388" t="s">
        <v>1154</v>
      </c>
      <c r="H388">
        <v>0</v>
      </c>
      <c r="I388" t="s">
        <v>17</v>
      </c>
      <c r="K388" t="s">
        <v>1155</v>
      </c>
      <c r="L388">
        <v>340</v>
      </c>
      <c r="M388" t="s">
        <v>1156</v>
      </c>
    </row>
    <row r="389" spans="1:13" x14ac:dyDescent="0.45">
      <c r="A389" t="s">
        <v>13</v>
      </c>
      <c r="B389">
        <v>358096</v>
      </c>
      <c r="C389">
        <v>358986</v>
      </c>
      <c r="E389" t="s">
        <v>14</v>
      </c>
      <c r="F389" t="s">
        <v>1157</v>
      </c>
      <c r="G389" t="s">
        <v>1158</v>
      </c>
      <c r="H389">
        <v>0</v>
      </c>
      <c r="I389" t="s">
        <v>17</v>
      </c>
      <c r="K389" t="s">
        <v>1159</v>
      </c>
      <c r="L389">
        <v>296</v>
      </c>
      <c r="M389" t="s">
        <v>1160</v>
      </c>
    </row>
    <row r="390" spans="1:13" x14ac:dyDescent="0.45">
      <c r="A390" t="s">
        <v>13</v>
      </c>
      <c r="B390">
        <v>359034</v>
      </c>
      <c r="C390">
        <v>359996</v>
      </c>
      <c r="E390" t="s">
        <v>14</v>
      </c>
      <c r="F390" t="s">
        <v>1161</v>
      </c>
      <c r="H390">
        <v>0</v>
      </c>
      <c r="I390" t="s">
        <v>17</v>
      </c>
      <c r="K390" t="s">
        <v>1162</v>
      </c>
      <c r="L390">
        <v>320</v>
      </c>
      <c r="M390" t="s">
        <v>1163</v>
      </c>
    </row>
    <row r="391" spans="1:13" x14ac:dyDescent="0.45">
      <c r="A391" t="s">
        <v>13</v>
      </c>
      <c r="B391">
        <v>360050</v>
      </c>
      <c r="C391">
        <v>361561</v>
      </c>
      <c r="E391" t="s">
        <v>14</v>
      </c>
      <c r="F391" t="s">
        <v>1164</v>
      </c>
      <c r="H391">
        <v>0</v>
      </c>
      <c r="I391" t="s">
        <v>17</v>
      </c>
      <c r="K391" t="s">
        <v>1165</v>
      </c>
      <c r="L391">
        <v>503</v>
      </c>
      <c r="M391" t="s">
        <v>1166</v>
      </c>
    </row>
    <row r="392" spans="1:13" x14ac:dyDescent="0.45">
      <c r="A392" t="s">
        <v>13</v>
      </c>
      <c r="B392">
        <v>361545</v>
      </c>
      <c r="C392">
        <v>362543</v>
      </c>
      <c r="E392" t="s">
        <v>14</v>
      </c>
      <c r="F392" t="s">
        <v>1143</v>
      </c>
      <c r="H392">
        <v>0</v>
      </c>
      <c r="I392" t="s">
        <v>17</v>
      </c>
      <c r="K392" t="s">
        <v>1167</v>
      </c>
      <c r="L392">
        <v>332</v>
      </c>
      <c r="M392" t="s">
        <v>1168</v>
      </c>
    </row>
    <row r="393" spans="1:13" x14ac:dyDescent="0.45">
      <c r="A393" t="s">
        <v>13</v>
      </c>
      <c r="B393">
        <v>362727</v>
      </c>
      <c r="C393">
        <v>363989</v>
      </c>
      <c r="E393" t="s">
        <v>14</v>
      </c>
      <c r="F393" t="s">
        <v>1128</v>
      </c>
      <c r="H393">
        <v>0</v>
      </c>
      <c r="I393" t="s">
        <v>17</v>
      </c>
      <c r="K393" t="s">
        <v>1169</v>
      </c>
      <c r="L393">
        <v>420</v>
      </c>
      <c r="M393" t="s">
        <v>1170</v>
      </c>
    </row>
    <row r="394" spans="1:13" x14ac:dyDescent="0.45">
      <c r="A394" t="s">
        <v>13</v>
      </c>
      <c r="B394">
        <v>364009</v>
      </c>
      <c r="C394">
        <v>364752</v>
      </c>
      <c r="E394" t="s">
        <v>14</v>
      </c>
      <c r="F394" t="s">
        <v>1171</v>
      </c>
      <c r="H394">
        <v>0</v>
      </c>
      <c r="I394" t="s">
        <v>17</v>
      </c>
      <c r="K394" t="s">
        <v>1172</v>
      </c>
      <c r="L394">
        <v>247</v>
      </c>
      <c r="M394" t="s">
        <v>1173</v>
      </c>
    </row>
    <row r="395" spans="1:13" x14ac:dyDescent="0.45">
      <c r="A395" t="s">
        <v>13</v>
      </c>
      <c r="B395">
        <v>364925</v>
      </c>
      <c r="C395">
        <v>366310</v>
      </c>
      <c r="E395" t="s">
        <v>14</v>
      </c>
      <c r="F395" t="s">
        <v>1128</v>
      </c>
      <c r="H395">
        <v>0</v>
      </c>
      <c r="I395" t="s">
        <v>17</v>
      </c>
      <c r="K395" t="s">
        <v>1174</v>
      </c>
      <c r="L395">
        <v>461</v>
      </c>
      <c r="M395" t="s">
        <v>1175</v>
      </c>
    </row>
    <row r="396" spans="1:13" x14ac:dyDescent="0.45">
      <c r="A396" t="s">
        <v>13</v>
      </c>
      <c r="B396">
        <v>366647</v>
      </c>
      <c r="C396">
        <v>367291</v>
      </c>
      <c r="E396" t="s">
        <v>96</v>
      </c>
      <c r="F396" t="s">
        <v>862</v>
      </c>
      <c r="H396">
        <v>0</v>
      </c>
      <c r="I396" t="s">
        <v>17</v>
      </c>
      <c r="K396" t="s">
        <v>1176</v>
      </c>
      <c r="L396">
        <v>214</v>
      </c>
      <c r="M396" t="s">
        <v>1177</v>
      </c>
    </row>
    <row r="397" spans="1:13" x14ac:dyDescent="0.45">
      <c r="A397" t="s">
        <v>13</v>
      </c>
      <c r="B397">
        <v>367555</v>
      </c>
      <c r="C397">
        <v>368169</v>
      </c>
      <c r="E397" t="s">
        <v>14</v>
      </c>
      <c r="F397" t="s">
        <v>1178</v>
      </c>
      <c r="H397">
        <v>0</v>
      </c>
      <c r="I397" t="s">
        <v>17</v>
      </c>
      <c r="K397" t="s">
        <v>1179</v>
      </c>
      <c r="L397">
        <v>204</v>
      </c>
      <c r="M397" t="s">
        <v>1180</v>
      </c>
    </row>
    <row r="398" spans="1:13" x14ac:dyDescent="0.45">
      <c r="A398" t="s">
        <v>13</v>
      </c>
      <c r="B398">
        <v>368390</v>
      </c>
      <c r="C398">
        <v>368530</v>
      </c>
      <c r="E398" t="s">
        <v>14</v>
      </c>
      <c r="F398" t="s">
        <v>43</v>
      </c>
      <c r="H398">
        <v>0</v>
      </c>
      <c r="I398" t="s">
        <v>17</v>
      </c>
      <c r="K398" t="s">
        <v>1181</v>
      </c>
      <c r="L398">
        <v>46</v>
      </c>
      <c r="M398" t="s">
        <v>1182</v>
      </c>
    </row>
    <row r="399" spans="1:13" x14ac:dyDescent="0.45">
      <c r="A399" t="s">
        <v>13</v>
      </c>
      <c r="B399">
        <v>368760</v>
      </c>
      <c r="C399">
        <v>369002</v>
      </c>
      <c r="E399" t="s">
        <v>96</v>
      </c>
      <c r="F399" t="s">
        <v>1183</v>
      </c>
      <c r="H399">
        <v>0</v>
      </c>
      <c r="I399" t="s">
        <v>17</v>
      </c>
      <c r="K399" t="s">
        <v>1184</v>
      </c>
      <c r="L399">
        <v>80</v>
      </c>
      <c r="M399" t="s">
        <v>1185</v>
      </c>
    </row>
    <row r="400" spans="1:13" x14ac:dyDescent="0.45">
      <c r="A400" t="s">
        <v>13</v>
      </c>
      <c r="B400">
        <v>368989</v>
      </c>
      <c r="C400">
        <v>369207</v>
      </c>
      <c r="E400" t="s">
        <v>96</v>
      </c>
      <c r="F400" t="s">
        <v>43</v>
      </c>
      <c r="H400">
        <v>0</v>
      </c>
      <c r="I400" t="s">
        <v>17</v>
      </c>
      <c r="K400" t="s">
        <v>1186</v>
      </c>
      <c r="L400">
        <v>72</v>
      </c>
      <c r="M400" t="s">
        <v>1187</v>
      </c>
    </row>
    <row r="401" spans="1:13" x14ac:dyDescent="0.45">
      <c r="A401" t="s">
        <v>13</v>
      </c>
      <c r="B401">
        <v>369977</v>
      </c>
      <c r="C401">
        <v>370816</v>
      </c>
      <c r="E401" t="s">
        <v>14</v>
      </c>
      <c r="F401" t="s">
        <v>1188</v>
      </c>
      <c r="H401">
        <v>0</v>
      </c>
      <c r="I401" t="s">
        <v>17</v>
      </c>
      <c r="K401" t="s">
        <v>1189</v>
      </c>
      <c r="L401">
        <v>279</v>
      </c>
      <c r="M401" t="s">
        <v>1190</v>
      </c>
    </row>
    <row r="402" spans="1:13" x14ac:dyDescent="0.45">
      <c r="A402" t="s">
        <v>13</v>
      </c>
      <c r="B402">
        <v>370806</v>
      </c>
      <c r="C402">
        <v>371249</v>
      </c>
      <c r="E402" t="s">
        <v>14</v>
      </c>
      <c r="F402" t="s">
        <v>43</v>
      </c>
      <c r="H402">
        <v>0</v>
      </c>
      <c r="I402" t="s">
        <v>17</v>
      </c>
      <c r="K402" t="s">
        <v>1191</v>
      </c>
      <c r="L402">
        <v>147</v>
      </c>
      <c r="M402" t="s">
        <v>1192</v>
      </c>
    </row>
    <row r="403" spans="1:13" x14ac:dyDescent="0.45">
      <c r="A403" t="s">
        <v>13</v>
      </c>
      <c r="B403">
        <v>371260</v>
      </c>
      <c r="C403">
        <v>371751</v>
      </c>
      <c r="E403" t="s">
        <v>14</v>
      </c>
      <c r="F403" t="s">
        <v>43</v>
      </c>
      <c r="H403">
        <v>0</v>
      </c>
      <c r="I403" t="s">
        <v>17</v>
      </c>
      <c r="K403" t="s">
        <v>1193</v>
      </c>
      <c r="L403">
        <v>163</v>
      </c>
      <c r="M403" t="s">
        <v>1194</v>
      </c>
    </row>
    <row r="404" spans="1:13" x14ac:dyDescent="0.45">
      <c r="A404" t="s">
        <v>13</v>
      </c>
      <c r="B404">
        <v>371953</v>
      </c>
      <c r="C404">
        <v>372681</v>
      </c>
      <c r="E404" t="s">
        <v>96</v>
      </c>
      <c r="F404" t="s">
        <v>854</v>
      </c>
      <c r="H404">
        <v>0</v>
      </c>
      <c r="I404" t="s">
        <v>17</v>
      </c>
      <c r="K404" t="s">
        <v>1195</v>
      </c>
      <c r="L404">
        <v>242</v>
      </c>
      <c r="M404" t="s">
        <v>1196</v>
      </c>
    </row>
    <row r="405" spans="1:13" x14ac:dyDescent="0.45">
      <c r="A405" t="s">
        <v>13</v>
      </c>
      <c r="B405">
        <v>372806</v>
      </c>
      <c r="C405">
        <v>373894</v>
      </c>
      <c r="E405" t="s">
        <v>14</v>
      </c>
      <c r="F405" t="s">
        <v>43</v>
      </c>
      <c r="H405">
        <v>0</v>
      </c>
      <c r="I405" t="s">
        <v>17</v>
      </c>
      <c r="K405" t="s">
        <v>1197</v>
      </c>
      <c r="L405">
        <v>362</v>
      </c>
      <c r="M405" t="s">
        <v>1198</v>
      </c>
    </row>
    <row r="406" spans="1:13" x14ac:dyDescent="0.45">
      <c r="A406" t="s">
        <v>13</v>
      </c>
      <c r="B406">
        <v>374332</v>
      </c>
      <c r="C406">
        <v>375180</v>
      </c>
      <c r="E406" t="s">
        <v>96</v>
      </c>
      <c r="F406" t="s">
        <v>43</v>
      </c>
      <c r="H406">
        <v>0</v>
      </c>
      <c r="I406" t="s">
        <v>17</v>
      </c>
      <c r="K406" t="s">
        <v>1199</v>
      </c>
      <c r="L406">
        <v>282</v>
      </c>
      <c r="M406" t="s">
        <v>1200</v>
      </c>
    </row>
    <row r="407" spans="1:13" x14ac:dyDescent="0.45">
      <c r="A407" t="s">
        <v>13</v>
      </c>
      <c r="B407">
        <v>375379</v>
      </c>
      <c r="C407">
        <v>375744</v>
      </c>
      <c r="E407" t="s">
        <v>14</v>
      </c>
      <c r="F407" t="s">
        <v>1201</v>
      </c>
      <c r="H407">
        <v>0</v>
      </c>
      <c r="I407" t="s">
        <v>17</v>
      </c>
      <c r="K407" t="s">
        <v>1202</v>
      </c>
      <c r="L407">
        <v>121</v>
      </c>
      <c r="M407" t="s">
        <v>1203</v>
      </c>
    </row>
    <row r="408" spans="1:13" x14ac:dyDescent="0.45">
      <c r="A408" t="s">
        <v>13</v>
      </c>
      <c r="B408">
        <v>375767</v>
      </c>
      <c r="C408">
        <v>378154</v>
      </c>
      <c r="E408" t="s">
        <v>14</v>
      </c>
      <c r="F408" t="s">
        <v>1204</v>
      </c>
      <c r="H408">
        <v>0</v>
      </c>
      <c r="I408" t="s">
        <v>17</v>
      </c>
      <c r="K408" t="s">
        <v>1205</v>
      </c>
      <c r="L408">
        <v>795</v>
      </c>
      <c r="M408" t="s">
        <v>1206</v>
      </c>
    </row>
    <row r="409" spans="1:13" x14ac:dyDescent="0.45">
      <c r="A409" t="s">
        <v>13</v>
      </c>
      <c r="B409">
        <v>378740</v>
      </c>
      <c r="C409">
        <v>380242</v>
      </c>
      <c r="E409" t="s">
        <v>14</v>
      </c>
      <c r="F409" t="s">
        <v>55</v>
      </c>
      <c r="H409">
        <v>0</v>
      </c>
      <c r="I409" t="s">
        <v>56</v>
      </c>
      <c r="M409" t="s">
        <v>1207</v>
      </c>
    </row>
    <row r="410" spans="1:13" x14ac:dyDescent="0.45">
      <c r="A410" t="s">
        <v>13</v>
      </c>
      <c r="B410">
        <v>380464</v>
      </c>
      <c r="C410">
        <v>383361</v>
      </c>
      <c r="E410" t="s">
        <v>14</v>
      </c>
      <c r="F410" t="s">
        <v>58</v>
      </c>
      <c r="H410">
        <v>0</v>
      </c>
      <c r="I410" t="s">
        <v>56</v>
      </c>
      <c r="M410" t="s">
        <v>1208</v>
      </c>
    </row>
    <row r="411" spans="1:13" x14ac:dyDescent="0.45">
      <c r="A411" t="s">
        <v>13</v>
      </c>
      <c r="B411">
        <v>383489</v>
      </c>
      <c r="C411">
        <v>383605</v>
      </c>
      <c r="E411" t="s">
        <v>14</v>
      </c>
      <c r="F411" t="s">
        <v>60</v>
      </c>
      <c r="G411" t="s">
        <v>61</v>
      </c>
      <c r="H411">
        <v>0</v>
      </c>
      <c r="I411" t="s">
        <v>56</v>
      </c>
      <c r="M411" t="s">
        <v>1209</v>
      </c>
    </row>
    <row r="412" spans="1:13" x14ac:dyDescent="0.45">
      <c r="A412" t="s">
        <v>13</v>
      </c>
      <c r="B412">
        <v>383783</v>
      </c>
      <c r="C412">
        <v>384391</v>
      </c>
      <c r="E412" t="s">
        <v>14</v>
      </c>
      <c r="F412" t="s">
        <v>1210</v>
      </c>
      <c r="H412">
        <v>0</v>
      </c>
      <c r="I412" t="s">
        <v>17</v>
      </c>
      <c r="K412" t="s">
        <v>1211</v>
      </c>
      <c r="L412">
        <v>202</v>
      </c>
      <c r="M412" t="s">
        <v>1212</v>
      </c>
    </row>
    <row r="413" spans="1:13" x14ac:dyDescent="0.45">
      <c r="A413" t="s">
        <v>13</v>
      </c>
      <c r="B413">
        <v>384932</v>
      </c>
      <c r="C413">
        <v>385705</v>
      </c>
      <c r="E413" t="s">
        <v>96</v>
      </c>
      <c r="F413" t="s">
        <v>1143</v>
      </c>
      <c r="H413">
        <v>0</v>
      </c>
      <c r="I413" t="s">
        <v>17</v>
      </c>
      <c r="K413" t="s">
        <v>1213</v>
      </c>
      <c r="L413">
        <v>257</v>
      </c>
      <c r="M413" t="s">
        <v>1214</v>
      </c>
    </row>
    <row r="414" spans="1:13" x14ac:dyDescent="0.45">
      <c r="A414" t="s">
        <v>13</v>
      </c>
      <c r="B414">
        <v>385716</v>
      </c>
      <c r="C414">
        <v>386453</v>
      </c>
      <c r="E414" t="s">
        <v>96</v>
      </c>
      <c r="F414" t="s">
        <v>1143</v>
      </c>
      <c r="H414">
        <v>0</v>
      </c>
      <c r="I414" t="s">
        <v>17</v>
      </c>
      <c r="K414" t="s">
        <v>1215</v>
      </c>
      <c r="L414">
        <v>245</v>
      </c>
      <c r="M414" t="s">
        <v>1216</v>
      </c>
    </row>
    <row r="415" spans="1:13" x14ac:dyDescent="0.45">
      <c r="A415" t="s">
        <v>13</v>
      </c>
      <c r="B415">
        <v>386446</v>
      </c>
      <c r="C415">
        <v>387369</v>
      </c>
      <c r="E415" t="s">
        <v>96</v>
      </c>
      <c r="F415" t="s">
        <v>1140</v>
      </c>
      <c r="H415">
        <v>0</v>
      </c>
      <c r="I415" t="s">
        <v>17</v>
      </c>
      <c r="K415" t="s">
        <v>1217</v>
      </c>
      <c r="L415">
        <v>307</v>
      </c>
      <c r="M415" t="s">
        <v>1218</v>
      </c>
    </row>
    <row r="416" spans="1:13" x14ac:dyDescent="0.45">
      <c r="A416" t="s">
        <v>13</v>
      </c>
      <c r="B416">
        <v>387526</v>
      </c>
      <c r="C416">
        <v>388449</v>
      </c>
      <c r="E416" t="s">
        <v>96</v>
      </c>
      <c r="F416" t="s">
        <v>1219</v>
      </c>
      <c r="H416">
        <v>0</v>
      </c>
      <c r="I416" t="s">
        <v>17</v>
      </c>
      <c r="K416" t="s">
        <v>1220</v>
      </c>
      <c r="L416">
        <v>307</v>
      </c>
      <c r="M416" t="s">
        <v>1221</v>
      </c>
    </row>
    <row r="417" spans="1:13" x14ac:dyDescent="0.45">
      <c r="A417" t="s">
        <v>13</v>
      </c>
      <c r="B417">
        <v>388451</v>
      </c>
      <c r="C417">
        <v>389152</v>
      </c>
      <c r="E417" t="s">
        <v>96</v>
      </c>
      <c r="F417" t="s">
        <v>1222</v>
      </c>
      <c r="H417">
        <v>0</v>
      </c>
      <c r="I417" t="s">
        <v>17</v>
      </c>
      <c r="K417" t="s">
        <v>1223</v>
      </c>
      <c r="L417">
        <v>233</v>
      </c>
      <c r="M417" t="s">
        <v>1224</v>
      </c>
    </row>
    <row r="418" spans="1:13" x14ac:dyDescent="0.45">
      <c r="A418" t="s">
        <v>13</v>
      </c>
      <c r="B418">
        <v>389145</v>
      </c>
      <c r="C418">
        <v>389333</v>
      </c>
      <c r="E418" t="s">
        <v>96</v>
      </c>
      <c r="F418" t="s">
        <v>1134</v>
      </c>
      <c r="H418">
        <v>0</v>
      </c>
      <c r="I418" t="s">
        <v>17</v>
      </c>
      <c r="K418" t="s">
        <v>1225</v>
      </c>
      <c r="L418">
        <v>62</v>
      </c>
      <c r="M418" t="s">
        <v>1226</v>
      </c>
    </row>
    <row r="419" spans="1:13" x14ac:dyDescent="0.45">
      <c r="A419" t="s">
        <v>13</v>
      </c>
      <c r="B419">
        <v>389562</v>
      </c>
      <c r="C419">
        <v>390491</v>
      </c>
      <c r="E419" t="s">
        <v>14</v>
      </c>
      <c r="F419" t="s">
        <v>1227</v>
      </c>
      <c r="H419">
        <v>0</v>
      </c>
      <c r="I419" t="s">
        <v>17</v>
      </c>
      <c r="K419" t="s">
        <v>1228</v>
      </c>
      <c r="L419">
        <v>309</v>
      </c>
      <c r="M419" t="s">
        <v>1229</v>
      </c>
    </row>
    <row r="420" spans="1:13" x14ac:dyDescent="0.45">
      <c r="A420" t="s">
        <v>13</v>
      </c>
      <c r="B420">
        <v>390505</v>
      </c>
      <c r="C420">
        <v>392277</v>
      </c>
      <c r="E420" t="s">
        <v>14</v>
      </c>
      <c r="F420" t="s">
        <v>43</v>
      </c>
      <c r="H420">
        <v>0</v>
      </c>
      <c r="I420" t="s">
        <v>17</v>
      </c>
      <c r="K420" t="s">
        <v>1230</v>
      </c>
      <c r="L420">
        <v>590</v>
      </c>
      <c r="M420" t="s">
        <v>1231</v>
      </c>
    </row>
    <row r="421" spans="1:13" x14ac:dyDescent="0.45">
      <c r="A421" t="s">
        <v>13</v>
      </c>
      <c r="B421">
        <v>392790</v>
      </c>
      <c r="C421">
        <v>393542</v>
      </c>
      <c r="E421" t="s">
        <v>14</v>
      </c>
      <c r="F421" t="s">
        <v>1232</v>
      </c>
      <c r="H421">
        <v>0</v>
      </c>
      <c r="I421" t="s">
        <v>17</v>
      </c>
      <c r="K421" t="s">
        <v>1233</v>
      </c>
      <c r="L421">
        <v>250</v>
      </c>
      <c r="M421" t="s">
        <v>1234</v>
      </c>
    </row>
    <row r="422" spans="1:13" x14ac:dyDescent="0.45">
      <c r="A422" t="s">
        <v>13</v>
      </c>
      <c r="B422">
        <v>393532</v>
      </c>
      <c r="C422">
        <v>393816</v>
      </c>
      <c r="E422" t="s">
        <v>14</v>
      </c>
      <c r="F422" t="s">
        <v>1235</v>
      </c>
      <c r="H422">
        <v>0</v>
      </c>
      <c r="I422" t="s">
        <v>17</v>
      </c>
      <c r="K422" t="s">
        <v>1236</v>
      </c>
      <c r="L422">
        <v>94</v>
      </c>
      <c r="M422" t="s">
        <v>1237</v>
      </c>
    </row>
    <row r="423" spans="1:13" x14ac:dyDescent="0.45">
      <c r="A423" t="s">
        <v>13</v>
      </c>
      <c r="B423">
        <v>393819</v>
      </c>
      <c r="C423">
        <v>394517</v>
      </c>
      <c r="E423" t="s">
        <v>14</v>
      </c>
      <c r="F423" t="s">
        <v>1238</v>
      </c>
      <c r="G423" t="s">
        <v>1239</v>
      </c>
      <c r="H423">
        <v>0</v>
      </c>
      <c r="I423" t="s">
        <v>17</v>
      </c>
      <c r="K423" t="s">
        <v>1240</v>
      </c>
      <c r="L423">
        <v>232</v>
      </c>
      <c r="M423" t="s">
        <v>1241</v>
      </c>
    </row>
    <row r="424" spans="1:13" x14ac:dyDescent="0.45">
      <c r="A424" t="s">
        <v>13</v>
      </c>
      <c r="B424">
        <v>394510</v>
      </c>
      <c r="C424">
        <v>395328</v>
      </c>
      <c r="E424" t="s">
        <v>14</v>
      </c>
      <c r="F424" t="s">
        <v>1242</v>
      </c>
      <c r="H424">
        <v>0</v>
      </c>
      <c r="I424" t="s">
        <v>17</v>
      </c>
      <c r="K424" t="s">
        <v>1243</v>
      </c>
      <c r="L424">
        <v>272</v>
      </c>
      <c r="M424" t="s">
        <v>1244</v>
      </c>
    </row>
    <row r="425" spans="1:13" x14ac:dyDescent="0.45">
      <c r="A425" t="s">
        <v>13</v>
      </c>
      <c r="B425">
        <v>395583</v>
      </c>
      <c r="C425">
        <v>397847</v>
      </c>
      <c r="E425" t="s">
        <v>14</v>
      </c>
      <c r="F425" t="s">
        <v>1245</v>
      </c>
      <c r="H425">
        <v>0</v>
      </c>
      <c r="I425" t="s">
        <v>17</v>
      </c>
      <c r="K425" t="s">
        <v>1246</v>
      </c>
      <c r="L425">
        <v>754</v>
      </c>
      <c r="M425" t="s">
        <v>1247</v>
      </c>
    </row>
    <row r="426" spans="1:13" x14ac:dyDescent="0.45">
      <c r="A426" t="s">
        <v>13</v>
      </c>
      <c r="B426">
        <v>397864</v>
      </c>
      <c r="C426">
        <v>399162</v>
      </c>
      <c r="E426" t="s">
        <v>14</v>
      </c>
      <c r="F426" t="s">
        <v>1248</v>
      </c>
      <c r="H426">
        <v>0</v>
      </c>
      <c r="I426" t="s">
        <v>17</v>
      </c>
      <c r="K426" t="s">
        <v>1249</v>
      </c>
      <c r="L426">
        <v>432</v>
      </c>
      <c r="M426" t="s">
        <v>1250</v>
      </c>
    </row>
    <row r="427" spans="1:13" x14ac:dyDescent="0.45">
      <c r="A427" t="s">
        <v>13</v>
      </c>
      <c r="B427">
        <v>399193</v>
      </c>
      <c r="C427">
        <v>399945</v>
      </c>
      <c r="E427" t="s">
        <v>14</v>
      </c>
      <c r="F427" t="s">
        <v>1251</v>
      </c>
      <c r="H427">
        <v>0</v>
      </c>
      <c r="I427" t="s">
        <v>17</v>
      </c>
      <c r="K427" t="s">
        <v>1252</v>
      </c>
      <c r="L427">
        <v>250</v>
      </c>
      <c r="M427" t="s">
        <v>1253</v>
      </c>
    </row>
    <row r="428" spans="1:13" x14ac:dyDescent="0.45">
      <c r="A428" t="s">
        <v>13</v>
      </c>
      <c r="B428">
        <v>400010</v>
      </c>
      <c r="C428">
        <v>400534</v>
      </c>
      <c r="E428" t="s">
        <v>14</v>
      </c>
      <c r="F428" t="s">
        <v>1254</v>
      </c>
      <c r="H428">
        <v>0</v>
      </c>
      <c r="I428" t="s">
        <v>17</v>
      </c>
      <c r="K428" t="s">
        <v>1255</v>
      </c>
      <c r="L428">
        <v>174</v>
      </c>
      <c r="M428" t="s">
        <v>1256</v>
      </c>
    </row>
    <row r="429" spans="1:13" x14ac:dyDescent="0.45">
      <c r="A429" t="s">
        <v>13</v>
      </c>
      <c r="B429">
        <v>401212</v>
      </c>
      <c r="C429">
        <v>402312</v>
      </c>
      <c r="E429" t="s">
        <v>14</v>
      </c>
      <c r="F429" t="s">
        <v>271</v>
      </c>
      <c r="H429">
        <v>0</v>
      </c>
      <c r="I429" t="s">
        <v>272</v>
      </c>
      <c r="M429" t="s">
        <v>1257</v>
      </c>
    </row>
    <row r="430" spans="1:13" x14ac:dyDescent="0.45">
      <c r="A430" t="s">
        <v>13</v>
      </c>
      <c r="B430">
        <v>402547</v>
      </c>
      <c r="C430">
        <v>404145</v>
      </c>
      <c r="E430" t="s">
        <v>96</v>
      </c>
      <c r="F430" t="s">
        <v>1258</v>
      </c>
      <c r="H430">
        <v>0</v>
      </c>
      <c r="I430" t="s">
        <v>17</v>
      </c>
      <c r="K430" t="s">
        <v>1259</v>
      </c>
      <c r="L430">
        <v>532</v>
      </c>
      <c r="M430" t="s">
        <v>1260</v>
      </c>
    </row>
    <row r="431" spans="1:13" x14ac:dyDescent="0.45">
      <c r="A431" t="s">
        <v>13</v>
      </c>
      <c r="B431">
        <v>405023</v>
      </c>
      <c r="C431">
        <v>407665</v>
      </c>
      <c r="E431" t="s">
        <v>14</v>
      </c>
      <c r="F431" t="s">
        <v>1261</v>
      </c>
      <c r="G431" t="s">
        <v>1262</v>
      </c>
      <c r="H431">
        <v>0</v>
      </c>
      <c r="I431" t="s">
        <v>17</v>
      </c>
      <c r="K431" t="s">
        <v>1263</v>
      </c>
      <c r="L431">
        <v>880</v>
      </c>
      <c r="M431" t="s">
        <v>1264</v>
      </c>
    </row>
    <row r="432" spans="1:13" x14ac:dyDescent="0.45">
      <c r="A432" t="s">
        <v>13</v>
      </c>
      <c r="B432">
        <v>408025</v>
      </c>
      <c r="C432">
        <v>408366</v>
      </c>
      <c r="E432" t="s">
        <v>96</v>
      </c>
      <c r="F432" t="s">
        <v>43</v>
      </c>
      <c r="H432">
        <v>0</v>
      </c>
      <c r="I432" t="s">
        <v>17</v>
      </c>
      <c r="K432" t="s">
        <v>1265</v>
      </c>
      <c r="L432">
        <v>113</v>
      </c>
      <c r="M432" t="s">
        <v>1266</v>
      </c>
    </row>
    <row r="433" spans="1:13" x14ac:dyDescent="0.45">
      <c r="A433" t="s">
        <v>13</v>
      </c>
      <c r="B433">
        <v>408393</v>
      </c>
      <c r="C433">
        <v>409064</v>
      </c>
      <c r="E433" t="s">
        <v>96</v>
      </c>
      <c r="F433" t="s">
        <v>1140</v>
      </c>
      <c r="H433">
        <v>0</v>
      </c>
      <c r="I433" t="s">
        <v>17</v>
      </c>
      <c r="K433" t="s">
        <v>1267</v>
      </c>
      <c r="L433">
        <v>223</v>
      </c>
      <c r="M433" t="s">
        <v>1268</v>
      </c>
    </row>
    <row r="434" spans="1:13" x14ac:dyDescent="0.45">
      <c r="A434" t="s">
        <v>13</v>
      </c>
      <c r="B434">
        <v>409076</v>
      </c>
      <c r="C434">
        <v>411661</v>
      </c>
      <c r="E434" t="s">
        <v>96</v>
      </c>
      <c r="F434" t="s">
        <v>1143</v>
      </c>
      <c r="H434">
        <v>0</v>
      </c>
      <c r="I434" t="s">
        <v>17</v>
      </c>
      <c r="K434" t="s">
        <v>1269</v>
      </c>
      <c r="L434">
        <v>861</v>
      </c>
      <c r="M434" t="s">
        <v>1270</v>
      </c>
    </row>
    <row r="435" spans="1:13" x14ac:dyDescent="0.45">
      <c r="A435" t="s">
        <v>13</v>
      </c>
      <c r="B435">
        <v>411869</v>
      </c>
      <c r="C435">
        <v>412804</v>
      </c>
      <c r="E435" t="s">
        <v>14</v>
      </c>
      <c r="F435" t="s">
        <v>1219</v>
      </c>
      <c r="H435">
        <v>0</v>
      </c>
      <c r="I435" t="s">
        <v>17</v>
      </c>
      <c r="K435" t="s">
        <v>1271</v>
      </c>
      <c r="L435">
        <v>311</v>
      </c>
      <c r="M435" t="s">
        <v>1272</v>
      </c>
    </row>
    <row r="436" spans="1:13" x14ac:dyDescent="0.45">
      <c r="A436" t="s">
        <v>13</v>
      </c>
      <c r="B436">
        <v>412823</v>
      </c>
      <c r="C436">
        <v>413560</v>
      </c>
      <c r="E436" t="s">
        <v>14</v>
      </c>
      <c r="F436" t="s">
        <v>697</v>
      </c>
      <c r="H436">
        <v>0</v>
      </c>
      <c r="I436" t="s">
        <v>17</v>
      </c>
      <c r="K436" t="s">
        <v>1273</v>
      </c>
      <c r="L436">
        <v>245</v>
      </c>
      <c r="M436" t="s">
        <v>1274</v>
      </c>
    </row>
    <row r="437" spans="1:13" x14ac:dyDescent="0.45">
      <c r="A437" t="s">
        <v>13</v>
      </c>
      <c r="B437">
        <v>413720</v>
      </c>
      <c r="C437">
        <v>418777</v>
      </c>
      <c r="E437" t="s">
        <v>96</v>
      </c>
      <c r="F437" t="s">
        <v>1275</v>
      </c>
      <c r="H437">
        <v>0</v>
      </c>
      <c r="I437" t="s">
        <v>17</v>
      </c>
      <c r="K437" t="s">
        <v>1276</v>
      </c>
      <c r="L437">
        <v>1685</v>
      </c>
      <c r="M437" t="s">
        <v>1277</v>
      </c>
    </row>
    <row r="438" spans="1:13" x14ac:dyDescent="0.45">
      <c r="A438" t="s">
        <v>13</v>
      </c>
      <c r="B438">
        <v>418802</v>
      </c>
      <c r="C438">
        <v>419221</v>
      </c>
      <c r="E438" t="s">
        <v>96</v>
      </c>
      <c r="F438" t="s">
        <v>43</v>
      </c>
      <c r="H438">
        <v>0</v>
      </c>
      <c r="I438" t="s">
        <v>17</v>
      </c>
      <c r="K438" t="s">
        <v>1278</v>
      </c>
      <c r="L438">
        <v>139</v>
      </c>
      <c r="M438" t="s">
        <v>1279</v>
      </c>
    </row>
    <row r="439" spans="1:13" x14ac:dyDescent="0.45">
      <c r="A439" t="s">
        <v>13</v>
      </c>
      <c r="B439">
        <v>419454</v>
      </c>
      <c r="C439">
        <v>419705</v>
      </c>
      <c r="E439" t="s">
        <v>96</v>
      </c>
      <c r="F439" t="s">
        <v>43</v>
      </c>
      <c r="H439">
        <v>0</v>
      </c>
      <c r="I439" t="s">
        <v>17</v>
      </c>
      <c r="K439" t="s">
        <v>1280</v>
      </c>
      <c r="L439">
        <v>83</v>
      </c>
      <c r="M439" t="s">
        <v>1281</v>
      </c>
    </row>
    <row r="440" spans="1:13" x14ac:dyDescent="0.45">
      <c r="A440" t="s">
        <v>13</v>
      </c>
      <c r="B440">
        <v>419794</v>
      </c>
      <c r="C440">
        <v>420525</v>
      </c>
      <c r="E440" t="s">
        <v>14</v>
      </c>
      <c r="F440" t="s">
        <v>1282</v>
      </c>
      <c r="H440">
        <v>0</v>
      </c>
      <c r="I440" t="s">
        <v>17</v>
      </c>
      <c r="K440" t="s">
        <v>1283</v>
      </c>
      <c r="L440">
        <v>243</v>
      </c>
      <c r="M440" t="s">
        <v>1284</v>
      </c>
    </row>
    <row r="441" spans="1:13" x14ac:dyDescent="0.45">
      <c r="A441" t="s">
        <v>13</v>
      </c>
      <c r="B441">
        <v>420584</v>
      </c>
      <c r="C441">
        <v>421495</v>
      </c>
      <c r="E441" t="s">
        <v>14</v>
      </c>
      <c r="F441" t="s">
        <v>1285</v>
      </c>
      <c r="H441">
        <v>0</v>
      </c>
      <c r="I441" t="s">
        <v>17</v>
      </c>
      <c r="K441" t="s">
        <v>1286</v>
      </c>
      <c r="L441">
        <v>303</v>
      </c>
      <c r="M441" t="s">
        <v>1287</v>
      </c>
    </row>
    <row r="442" spans="1:13" x14ac:dyDescent="0.45">
      <c r="A442" t="s">
        <v>13</v>
      </c>
      <c r="B442">
        <v>421546</v>
      </c>
      <c r="C442">
        <v>422358</v>
      </c>
      <c r="E442" t="s">
        <v>14</v>
      </c>
      <c r="F442" t="s">
        <v>1288</v>
      </c>
      <c r="H442">
        <v>0</v>
      </c>
      <c r="I442" t="s">
        <v>17</v>
      </c>
      <c r="K442" t="s">
        <v>1289</v>
      </c>
      <c r="L442">
        <v>270</v>
      </c>
      <c r="M442" t="s">
        <v>1290</v>
      </c>
    </row>
    <row r="443" spans="1:13" x14ac:dyDescent="0.45">
      <c r="A443" t="s">
        <v>13</v>
      </c>
      <c r="B443">
        <v>422468</v>
      </c>
      <c r="C443">
        <v>423160</v>
      </c>
      <c r="E443" t="s">
        <v>14</v>
      </c>
      <c r="F443" t="s">
        <v>822</v>
      </c>
      <c r="H443">
        <v>0</v>
      </c>
      <c r="I443" t="s">
        <v>17</v>
      </c>
      <c r="K443" t="s">
        <v>1291</v>
      </c>
      <c r="L443">
        <v>230</v>
      </c>
      <c r="M443" t="s">
        <v>1292</v>
      </c>
    </row>
    <row r="444" spans="1:13" x14ac:dyDescent="0.45">
      <c r="A444" t="s">
        <v>13</v>
      </c>
      <c r="B444">
        <v>423247</v>
      </c>
      <c r="C444">
        <v>424188</v>
      </c>
      <c r="E444" t="s">
        <v>14</v>
      </c>
      <c r="F444" t="s">
        <v>43</v>
      </c>
      <c r="H444">
        <v>0</v>
      </c>
      <c r="I444" t="s">
        <v>17</v>
      </c>
      <c r="K444" t="s">
        <v>1293</v>
      </c>
      <c r="L444">
        <v>313</v>
      </c>
      <c r="M444" t="s">
        <v>1294</v>
      </c>
    </row>
    <row r="445" spans="1:13" x14ac:dyDescent="0.45">
      <c r="A445" t="s">
        <v>13</v>
      </c>
      <c r="B445">
        <v>424225</v>
      </c>
      <c r="C445">
        <v>425382</v>
      </c>
      <c r="E445" t="s">
        <v>14</v>
      </c>
      <c r="F445" t="s">
        <v>1295</v>
      </c>
      <c r="H445">
        <v>0</v>
      </c>
      <c r="I445" t="s">
        <v>17</v>
      </c>
      <c r="K445" t="s">
        <v>1296</v>
      </c>
      <c r="L445">
        <v>385</v>
      </c>
      <c r="M445" t="s">
        <v>1297</v>
      </c>
    </row>
    <row r="446" spans="1:13" x14ac:dyDescent="0.45">
      <c r="A446" t="s">
        <v>13</v>
      </c>
      <c r="B446">
        <v>425534</v>
      </c>
      <c r="C446">
        <v>426094</v>
      </c>
      <c r="E446" t="s">
        <v>14</v>
      </c>
      <c r="F446" t="s">
        <v>1298</v>
      </c>
      <c r="H446">
        <v>0</v>
      </c>
      <c r="I446" t="s">
        <v>17</v>
      </c>
      <c r="K446" t="s">
        <v>1299</v>
      </c>
      <c r="L446">
        <v>186</v>
      </c>
      <c r="M446" t="s">
        <v>1300</v>
      </c>
    </row>
    <row r="447" spans="1:13" x14ac:dyDescent="0.45">
      <c r="A447" t="s">
        <v>13</v>
      </c>
      <c r="B447">
        <v>426122</v>
      </c>
      <c r="C447">
        <v>426613</v>
      </c>
      <c r="E447" t="s">
        <v>14</v>
      </c>
      <c r="F447" t="s">
        <v>43</v>
      </c>
      <c r="H447">
        <v>0</v>
      </c>
      <c r="I447" t="s">
        <v>17</v>
      </c>
      <c r="K447" t="s">
        <v>1301</v>
      </c>
      <c r="L447">
        <v>163</v>
      </c>
      <c r="M447" t="s">
        <v>1302</v>
      </c>
    </row>
    <row r="448" spans="1:13" x14ac:dyDescent="0.45">
      <c r="A448" t="s">
        <v>13</v>
      </c>
      <c r="B448">
        <v>426842</v>
      </c>
      <c r="C448">
        <v>427393</v>
      </c>
      <c r="E448" t="s">
        <v>14</v>
      </c>
      <c r="F448" t="s">
        <v>1134</v>
      </c>
      <c r="H448">
        <v>0</v>
      </c>
      <c r="I448" t="s">
        <v>17</v>
      </c>
      <c r="K448" t="s">
        <v>1303</v>
      </c>
      <c r="L448">
        <v>183</v>
      </c>
      <c r="M448" t="s">
        <v>1304</v>
      </c>
    </row>
    <row r="449" spans="1:13" x14ac:dyDescent="0.45">
      <c r="A449" t="s">
        <v>13</v>
      </c>
      <c r="B449">
        <v>427479</v>
      </c>
      <c r="C449">
        <v>428411</v>
      </c>
      <c r="E449" t="s">
        <v>14</v>
      </c>
      <c r="F449" t="s">
        <v>1305</v>
      </c>
      <c r="H449">
        <v>0</v>
      </c>
      <c r="I449" t="s">
        <v>17</v>
      </c>
      <c r="K449" t="s">
        <v>1306</v>
      </c>
      <c r="L449">
        <v>310</v>
      </c>
      <c r="M449" t="s">
        <v>1307</v>
      </c>
    </row>
    <row r="450" spans="1:13" x14ac:dyDescent="0.45">
      <c r="A450" t="s">
        <v>13</v>
      </c>
      <c r="B450">
        <v>428466</v>
      </c>
      <c r="C450">
        <v>429329</v>
      </c>
      <c r="E450" t="s">
        <v>14</v>
      </c>
      <c r="F450" t="s">
        <v>1308</v>
      </c>
      <c r="H450">
        <v>0</v>
      </c>
      <c r="I450" t="s">
        <v>17</v>
      </c>
      <c r="K450" t="s">
        <v>1309</v>
      </c>
      <c r="L450">
        <v>287</v>
      </c>
      <c r="M450" t="s">
        <v>1310</v>
      </c>
    </row>
    <row r="451" spans="1:13" x14ac:dyDescent="0.45">
      <c r="A451" t="s">
        <v>13</v>
      </c>
      <c r="B451">
        <v>429576</v>
      </c>
      <c r="C451">
        <v>431438</v>
      </c>
      <c r="E451" t="s">
        <v>14</v>
      </c>
      <c r="F451" t="s">
        <v>1311</v>
      </c>
      <c r="H451">
        <v>0</v>
      </c>
      <c r="I451" t="s">
        <v>17</v>
      </c>
      <c r="K451" t="s">
        <v>1312</v>
      </c>
      <c r="L451">
        <v>620</v>
      </c>
      <c r="M451" t="s">
        <v>1313</v>
      </c>
    </row>
    <row r="452" spans="1:13" x14ac:dyDescent="0.45">
      <c r="A452" t="s">
        <v>13</v>
      </c>
      <c r="B452">
        <v>431441</v>
      </c>
      <c r="C452">
        <v>432907</v>
      </c>
      <c r="E452" t="s">
        <v>14</v>
      </c>
      <c r="F452" t="s">
        <v>1314</v>
      </c>
      <c r="H452">
        <v>0</v>
      </c>
      <c r="I452" t="s">
        <v>17</v>
      </c>
      <c r="K452" t="s">
        <v>1315</v>
      </c>
      <c r="L452">
        <v>488</v>
      </c>
      <c r="M452" t="s">
        <v>1316</v>
      </c>
    </row>
    <row r="453" spans="1:13" x14ac:dyDescent="0.45">
      <c r="A453" t="s">
        <v>13</v>
      </c>
      <c r="B453">
        <v>432931</v>
      </c>
      <c r="C453">
        <v>433767</v>
      </c>
      <c r="E453" t="s">
        <v>14</v>
      </c>
      <c r="F453" t="s">
        <v>1317</v>
      </c>
      <c r="H453">
        <v>0</v>
      </c>
      <c r="I453" t="s">
        <v>17</v>
      </c>
      <c r="K453" t="s">
        <v>1318</v>
      </c>
      <c r="L453">
        <v>278</v>
      </c>
      <c r="M453" t="s">
        <v>1319</v>
      </c>
    </row>
    <row r="454" spans="1:13" x14ac:dyDescent="0.45">
      <c r="A454" t="s">
        <v>13</v>
      </c>
      <c r="B454">
        <v>434333</v>
      </c>
      <c r="C454">
        <v>435916</v>
      </c>
      <c r="E454" t="s">
        <v>14</v>
      </c>
      <c r="F454" t="s">
        <v>1320</v>
      </c>
      <c r="G454" t="s">
        <v>1321</v>
      </c>
      <c r="H454">
        <v>0</v>
      </c>
      <c r="I454" t="s">
        <v>17</v>
      </c>
      <c r="K454" t="s">
        <v>1322</v>
      </c>
      <c r="L454">
        <v>527</v>
      </c>
      <c r="M454" t="s">
        <v>1323</v>
      </c>
    </row>
    <row r="455" spans="1:13" x14ac:dyDescent="0.45">
      <c r="A455" t="s">
        <v>13</v>
      </c>
      <c r="B455">
        <v>435981</v>
      </c>
      <c r="C455">
        <v>436577</v>
      </c>
      <c r="E455" t="s">
        <v>96</v>
      </c>
      <c r="F455" t="s">
        <v>1324</v>
      </c>
      <c r="H455">
        <v>0</v>
      </c>
      <c r="I455" t="s">
        <v>17</v>
      </c>
      <c r="K455" t="s">
        <v>1325</v>
      </c>
      <c r="L455">
        <v>198</v>
      </c>
      <c r="M455" t="s">
        <v>1326</v>
      </c>
    </row>
    <row r="456" spans="1:13" x14ac:dyDescent="0.45">
      <c r="A456" t="s">
        <v>13</v>
      </c>
      <c r="B456">
        <v>436604</v>
      </c>
      <c r="C456">
        <v>437131</v>
      </c>
      <c r="E456" t="s">
        <v>96</v>
      </c>
      <c r="F456" t="s">
        <v>1327</v>
      </c>
      <c r="H456">
        <v>0</v>
      </c>
      <c r="I456" t="s">
        <v>17</v>
      </c>
      <c r="K456" t="s">
        <v>1328</v>
      </c>
      <c r="L456">
        <v>175</v>
      </c>
      <c r="M456" t="s">
        <v>1329</v>
      </c>
    </row>
    <row r="457" spans="1:13" x14ac:dyDescent="0.45">
      <c r="A457" t="s">
        <v>13</v>
      </c>
      <c r="B457">
        <v>437493</v>
      </c>
      <c r="C457">
        <v>438491</v>
      </c>
      <c r="E457" t="s">
        <v>96</v>
      </c>
      <c r="F457" t="s">
        <v>1330</v>
      </c>
      <c r="H457">
        <v>0</v>
      </c>
      <c r="I457" t="s">
        <v>17</v>
      </c>
      <c r="K457" t="s">
        <v>1331</v>
      </c>
      <c r="L457">
        <v>332</v>
      </c>
      <c r="M457" t="s">
        <v>1332</v>
      </c>
    </row>
    <row r="458" spans="1:13" x14ac:dyDescent="0.45">
      <c r="A458" t="s">
        <v>13</v>
      </c>
      <c r="B458">
        <v>439168</v>
      </c>
      <c r="C458">
        <v>440367</v>
      </c>
      <c r="E458" t="s">
        <v>14</v>
      </c>
      <c r="F458" t="s">
        <v>1333</v>
      </c>
      <c r="G458" t="s">
        <v>1334</v>
      </c>
      <c r="H458">
        <v>0</v>
      </c>
      <c r="I458" t="s">
        <v>17</v>
      </c>
      <c r="K458" t="s">
        <v>1335</v>
      </c>
      <c r="L458">
        <v>399</v>
      </c>
      <c r="M458" t="s">
        <v>1336</v>
      </c>
    </row>
    <row r="459" spans="1:13" x14ac:dyDescent="0.45">
      <c r="A459" t="s">
        <v>13</v>
      </c>
      <c r="B459">
        <v>440406</v>
      </c>
      <c r="C459">
        <v>441206</v>
      </c>
      <c r="E459" t="s">
        <v>14</v>
      </c>
      <c r="F459" t="s">
        <v>1337</v>
      </c>
      <c r="G459" t="s">
        <v>1338</v>
      </c>
      <c r="H459">
        <v>0</v>
      </c>
      <c r="I459" t="s">
        <v>17</v>
      </c>
      <c r="K459" t="s">
        <v>1339</v>
      </c>
      <c r="L459">
        <v>266</v>
      </c>
      <c r="M459" t="s">
        <v>1340</v>
      </c>
    </row>
    <row r="460" spans="1:13" x14ac:dyDescent="0.45">
      <c r="A460" t="s">
        <v>13</v>
      </c>
      <c r="B460">
        <v>441221</v>
      </c>
      <c r="C460">
        <v>442447</v>
      </c>
      <c r="E460" t="s">
        <v>14</v>
      </c>
      <c r="F460" t="s">
        <v>1341</v>
      </c>
      <c r="G460" t="s">
        <v>1342</v>
      </c>
      <c r="H460">
        <v>0</v>
      </c>
      <c r="I460" t="s">
        <v>17</v>
      </c>
      <c r="K460" t="s">
        <v>1343</v>
      </c>
      <c r="L460">
        <v>408</v>
      </c>
      <c r="M460" t="s">
        <v>1344</v>
      </c>
    </row>
    <row r="461" spans="1:13" x14ac:dyDescent="0.45">
      <c r="A461" t="s">
        <v>13</v>
      </c>
      <c r="B461">
        <v>442447</v>
      </c>
      <c r="C461">
        <v>443574</v>
      </c>
      <c r="E461" t="s">
        <v>14</v>
      </c>
      <c r="F461" t="s">
        <v>1345</v>
      </c>
      <c r="G461" t="s">
        <v>1346</v>
      </c>
      <c r="H461">
        <v>0</v>
      </c>
      <c r="I461" t="s">
        <v>17</v>
      </c>
      <c r="K461" t="s">
        <v>1347</v>
      </c>
      <c r="L461">
        <v>375</v>
      </c>
      <c r="M461" t="s">
        <v>1348</v>
      </c>
    </row>
    <row r="462" spans="1:13" x14ac:dyDescent="0.45">
      <c r="A462" t="s">
        <v>13</v>
      </c>
      <c r="B462">
        <v>443622</v>
      </c>
      <c r="C462">
        <v>444755</v>
      </c>
      <c r="E462" t="s">
        <v>14</v>
      </c>
      <c r="F462" t="s">
        <v>1349</v>
      </c>
      <c r="G462" t="s">
        <v>1350</v>
      </c>
      <c r="H462">
        <v>0</v>
      </c>
      <c r="I462" t="s">
        <v>17</v>
      </c>
      <c r="K462" t="s">
        <v>1351</v>
      </c>
      <c r="L462">
        <v>377</v>
      </c>
      <c r="M462" t="s">
        <v>1352</v>
      </c>
    </row>
    <row r="463" spans="1:13" x14ac:dyDescent="0.45">
      <c r="A463" t="s">
        <v>13</v>
      </c>
      <c r="B463">
        <v>444788</v>
      </c>
      <c r="C463">
        <v>445573</v>
      </c>
      <c r="E463" t="s">
        <v>14</v>
      </c>
      <c r="F463" t="s">
        <v>1353</v>
      </c>
      <c r="G463" t="s">
        <v>1354</v>
      </c>
      <c r="H463">
        <v>0</v>
      </c>
      <c r="I463" t="s">
        <v>17</v>
      </c>
      <c r="K463" t="s">
        <v>1355</v>
      </c>
      <c r="L463">
        <v>261</v>
      </c>
      <c r="M463" t="s">
        <v>1356</v>
      </c>
    </row>
    <row r="464" spans="1:13" x14ac:dyDescent="0.45">
      <c r="A464" t="s">
        <v>13</v>
      </c>
      <c r="B464">
        <v>445592</v>
      </c>
      <c r="C464">
        <v>446629</v>
      </c>
      <c r="E464" t="s">
        <v>14</v>
      </c>
      <c r="F464" t="s">
        <v>1357</v>
      </c>
      <c r="H464">
        <v>0</v>
      </c>
      <c r="I464" t="s">
        <v>17</v>
      </c>
      <c r="K464" t="s">
        <v>1358</v>
      </c>
      <c r="L464">
        <v>345</v>
      </c>
      <c r="M464" t="s">
        <v>1359</v>
      </c>
    </row>
    <row r="465" spans="1:13" x14ac:dyDescent="0.45">
      <c r="A465" t="s">
        <v>13</v>
      </c>
      <c r="B465">
        <v>447112</v>
      </c>
      <c r="C465">
        <v>448743</v>
      </c>
      <c r="E465" t="s">
        <v>14</v>
      </c>
      <c r="F465" t="s">
        <v>723</v>
      </c>
      <c r="H465">
        <v>0</v>
      </c>
      <c r="I465" t="s">
        <v>17</v>
      </c>
      <c r="K465" t="s">
        <v>1360</v>
      </c>
      <c r="L465">
        <v>543</v>
      </c>
      <c r="M465" t="s">
        <v>1361</v>
      </c>
    </row>
    <row r="466" spans="1:13" x14ac:dyDescent="0.45">
      <c r="A466" t="s">
        <v>13</v>
      </c>
      <c r="B466">
        <v>448878</v>
      </c>
      <c r="C466">
        <v>449804</v>
      </c>
      <c r="E466" t="s">
        <v>96</v>
      </c>
      <c r="F466" t="s">
        <v>1362</v>
      </c>
      <c r="G466" t="s">
        <v>1363</v>
      </c>
      <c r="H466">
        <v>0</v>
      </c>
      <c r="I466" t="s">
        <v>17</v>
      </c>
      <c r="K466" t="s">
        <v>1364</v>
      </c>
      <c r="L466">
        <v>308</v>
      </c>
      <c r="M466" t="s">
        <v>1365</v>
      </c>
    </row>
    <row r="467" spans="1:13" x14ac:dyDescent="0.45">
      <c r="A467" t="s">
        <v>13</v>
      </c>
      <c r="B467">
        <v>450134</v>
      </c>
      <c r="C467">
        <v>450463</v>
      </c>
      <c r="E467" t="s">
        <v>14</v>
      </c>
      <c r="F467" t="s">
        <v>1366</v>
      </c>
      <c r="H467">
        <v>0</v>
      </c>
      <c r="I467" t="s">
        <v>17</v>
      </c>
      <c r="K467" t="s">
        <v>1367</v>
      </c>
      <c r="L467">
        <v>109</v>
      </c>
      <c r="M467" t="s">
        <v>1368</v>
      </c>
    </row>
    <row r="468" spans="1:13" x14ac:dyDescent="0.45">
      <c r="A468" t="s">
        <v>13</v>
      </c>
      <c r="B468">
        <v>450463</v>
      </c>
      <c r="C468">
        <v>450666</v>
      </c>
      <c r="E468" t="s">
        <v>14</v>
      </c>
      <c r="F468" t="s">
        <v>271</v>
      </c>
      <c r="H468">
        <v>0</v>
      </c>
      <c r="I468" t="s">
        <v>272</v>
      </c>
      <c r="M468" t="s">
        <v>1369</v>
      </c>
    </row>
    <row r="469" spans="1:13" x14ac:dyDescent="0.45">
      <c r="A469" t="s">
        <v>13</v>
      </c>
      <c r="B469">
        <v>451314</v>
      </c>
      <c r="C469">
        <v>452432</v>
      </c>
      <c r="E469" t="s">
        <v>14</v>
      </c>
      <c r="F469" t="s">
        <v>1370</v>
      </c>
      <c r="G469" t="s">
        <v>1371</v>
      </c>
      <c r="H469">
        <v>0</v>
      </c>
      <c r="I469" t="s">
        <v>17</v>
      </c>
      <c r="K469" t="s">
        <v>1372</v>
      </c>
      <c r="L469">
        <v>372</v>
      </c>
      <c r="M469" t="s">
        <v>1373</v>
      </c>
    </row>
    <row r="470" spans="1:13" x14ac:dyDescent="0.45">
      <c r="A470" t="s">
        <v>13</v>
      </c>
      <c r="B470">
        <v>452551</v>
      </c>
      <c r="C470">
        <v>453069</v>
      </c>
      <c r="E470" t="s">
        <v>14</v>
      </c>
      <c r="F470" t="s">
        <v>271</v>
      </c>
      <c r="H470">
        <v>0</v>
      </c>
      <c r="I470" t="s">
        <v>272</v>
      </c>
      <c r="M470" t="s">
        <v>1374</v>
      </c>
    </row>
    <row r="471" spans="1:13" x14ac:dyDescent="0.45">
      <c r="A471" t="s">
        <v>13</v>
      </c>
      <c r="B471">
        <v>453096</v>
      </c>
      <c r="C471">
        <v>454457</v>
      </c>
      <c r="E471" t="s">
        <v>14</v>
      </c>
      <c r="F471" t="s">
        <v>1375</v>
      </c>
      <c r="G471" t="s">
        <v>1376</v>
      </c>
      <c r="H471">
        <v>0</v>
      </c>
      <c r="I471" t="s">
        <v>17</v>
      </c>
      <c r="K471" t="s">
        <v>1377</v>
      </c>
      <c r="L471">
        <v>453</v>
      </c>
      <c r="M471" t="s">
        <v>1378</v>
      </c>
    </row>
    <row r="472" spans="1:13" x14ac:dyDescent="0.45">
      <c r="A472" t="s">
        <v>13</v>
      </c>
      <c r="B472">
        <v>454781</v>
      </c>
      <c r="C472">
        <v>454936</v>
      </c>
      <c r="E472" t="s">
        <v>14</v>
      </c>
      <c r="F472" t="s">
        <v>43</v>
      </c>
      <c r="H472">
        <v>0</v>
      </c>
      <c r="I472" t="s">
        <v>17</v>
      </c>
      <c r="K472" t="s">
        <v>1379</v>
      </c>
      <c r="L472">
        <v>51</v>
      </c>
      <c r="M472" t="s">
        <v>1380</v>
      </c>
    </row>
    <row r="473" spans="1:13" x14ac:dyDescent="0.45">
      <c r="A473" t="s">
        <v>13</v>
      </c>
      <c r="B473">
        <v>454980</v>
      </c>
      <c r="C473">
        <v>456014</v>
      </c>
      <c r="E473" t="s">
        <v>14</v>
      </c>
      <c r="F473" t="s">
        <v>1381</v>
      </c>
      <c r="H473">
        <v>0</v>
      </c>
      <c r="I473" t="s">
        <v>17</v>
      </c>
      <c r="K473" t="s">
        <v>1382</v>
      </c>
      <c r="L473">
        <v>344</v>
      </c>
      <c r="M473" t="s">
        <v>1383</v>
      </c>
    </row>
    <row r="474" spans="1:13" x14ac:dyDescent="0.45">
      <c r="A474" t="s">
        <v>13</v>
      </c>
      <c r="B474">
        <v>456101</v>
      </c>
      <c r="C474">
        <v>456304</v>
      </c>
      <c r="E474" t="s">
        <v>14</v>
      </c>
      <c r="F474" t="s">
        <v>1384</v>
      </c>
      <c r="H474">
        <v>0</v>
      </c>
      <c r="I474" t="s">
        <v>17</v>
      </c>
      <c r="K474" t="s">
        <v>1385</v>
      </c>
      <c r="L474">
        <v>67</v>
      </c>
      <c r="M474" t="s">
        <v>1386</v>
      </c>
    </row>
    <row r="475" spans="1:13" x14ac:dyDescent="0.45">
      <c r="A475" t="s">
        <v>13</v>
      </c>
      <c r="B475">
        <v>456475</v>
      </c>
      <c r="C475">
        <v>457635</v>
      </c>
      <c r="E475" t="s">
        <v>14</v>
      </c>
      <c r="F475" t="s">
        <v>1387</v>
      </c>
      <c r="H475">
        <v>0</v>
      </c>
      <c r="I475" t="s">
        <v>17</v>
      </c>
      <c r="K475" t="s">
        <v>1388</v>
      </c>
      <c r="L475">
        <v>386</v>
      </c>
      <c r="M475" t="s">
        <v>1389</v>
      </c>
    </row>
    <row r="476" spans="1:13" x14ac:dyDescent="0.45">
      <c r="A476" t="s">
        <v>13</v>
      </c>
      <c r="B476">
        <v>458166</v>
      </c>
      <c r="C476">
        <v>459065</v>
      </c>
      <c r="E476" t="s">
        <v>96</v>
      </c>
      <c r="F476" t="s">
        <v>1390</v>
      </c>
      <c r="H476">
        <v>0</v>
      </c>
      <c r="I476" t="s">
        <v>17</v>
      </c>
      <c r="K476" t="s">
        <v>1391</v>
      </c>
      <c r="L476">
        <v>299</v>
      </c>
      <c r="M476" t="s">
        <v>1392</v>
      </c>
    </row>
    <row r="477" spans="1:13" x14ac:dyDescent="0.45">
      <c r="A477" t="s">
        <v>13</v>
      </c>
      <c r="B477">
        <v>459059</v>
      </c>
      <c r="C477">
        <v>459730</v>
      </c>
      <c r="E477" t="s">
        <v>96</v>
      </c>
      <c r="F477" t="s">
        <v>1134</v>
      </c>
      <c r="H477">
        <v>0</v>
      </c>
      <c r="I477" t="s">
        <v>17</v>
      </c>
      <c r="K477" t="s">
        <v>1393</v>
      </c>
      <c r="L477">
        <v>223</v>
      </c>
      <c r="M477" t="s">
        <v>1394</v>
      </c>
    </row>
    <row r="478" spans="1:13" x14ac:dyDescent="0.45">
      <c r="A478" t="s">
        <v>13</v>
      </c>
      <c r="B478">
        <v>460831</v>
      </c>
      <c r="C478">
        <v>462204</v>
      </c>
      <c r="E478" t="s">
        <v>14</v>
      </c>
      <c r="F478" t="s">
        <v>723</v>
      </c>
      <c r="H478">
        <v>0</v>
      </c>
      <c r="I478" t="s">
        <v>17</v>
      </c>
      <c r="K478" t="s">
        <v>1395</v>
      </c>
      <c r="L478">
        <v>457</v>
      </c>
      <c r="M478" t="s">
        <v>1396</v>
      </c>
    </row>
    <row r="479" spans="1:13" x14ac:dyDescent="0.45">
      <c r="A479" t="s">
        <v>13</v>
      </c>
      <c r="B479">
        <v>462460</v>
      </c>
      <c r="C479">
        <v>463527</v>
      </c>
      <c r="E479" t="s">
        <v>14</v>
      </c>
      <c r="F479" t="s">
        <v>1397</v>
      </c>
      <c r="G479" t="s">
        <v>1398</v>
      </c>
      <c r="H479">
        <v>0</v>
      </c>
      <c r="I479" t="s">
        <v>17</v>
      </c>
      <c r="K479" t="s">
        <v>1399</v>
      </c>
      <c r="L479">
        <v>355</v>
      </c>
      <c r="M479" t="s">
        <v>1400</v>
      </c>
    </row>
    <row r="480" spans="1:13" x14ac:dyDescent="0.45">
      <c r="A480" t="s">
        <v>13</v>
      </c>
      <c r="B480">
        <v>463624</v>
      </c>
      <c r="C480">
        <v>463932</v>
      </c>
      <c r="E480" t="s">
        <v>14</v>
      </c>
      <c r="F480" t="s">
        <v>1401</v>
      </c>
      <c r="G480" t="s">
        <v>1402</v>
      </c>
      <c r="H480">
        <v>0</v>
      </c>
      <c r="I480" t="s">
        <v>17</v>
      </c>
      <c r="K480" t="s">
        <v>1403</v>
      </c>
      <c r="L480">
        <v>102</v>
      </c>
      <c r="M480" t="s">
        <v>1404</v>
      </c>
    </row>
    <row r="481" spans="1:13" x14ac:dyDescent="0.45">
      <c r="A481" t="s">
        <v>13</v>
      </c>
      <c r="B481">
        <v>463925</v>
      </c>
      <c r="C481">
        <v>465355</v>
      </c>
      <c r="E481" t="s">
        <v>14</v>
      </c>
      <c r="F481" t="s">
        <v>1405</v>
      </c>
      <c r="G481" t="s">
        <v>1406</v>
      </c>
      <c r="H481">
        <v>0</v>
      </c>
      <c r="I481" t="s">
        <v>17</v>
      </c>
      <c r="K481" t="s">
        <v>1407</v>
      </c>
      <c r="L481">
        <v>476</v>
      </c>
      <c r="M481" t="s">
        <v>1408</v>
      </c>
    </row>
    <row r="482" spans="1:13" x14ac:dyDescent="0.45">
      <c r="A482" t="s">
        <v>13</v>
      </c>
      <c r="B482">
        <v>465433</v>
      </c>
      <c r="C482">
        <v>465807</v>
      </c>
      <c r="E482" t="s">
        <v>14</v>
      </c>
      <c r="F482" t="s">
        <v>1409</v>
      </c>
      <c r="H482">
        <v>0</v>
      </c>
      <c r="I482" t="s">
        <v>17</v>
      </c>
      <c r="K482" t="s">
        <v>1410</v>
      </c>
      <c r="L482">
        <v>124</v>
      </c>
      <c r="M482" t="s">
        <v>1411</v>
      </c>
    </row>
    <row r="483" spans="1:13" x14ac:dyDescent="0.45">
      <c r="A483" t="s">
        <v>13</v>
      </c>
      <c r="B483">
        <v>465801</v>
      </c>
      <c r="C483">
        <v>468005</v>
      </c>
      <c r="E483" t="s">
        <v>14</v>
      </c>
      <c r="F483" t="s">
        <v>1412</v>
      </c>
      <c r="G483" t="s">
        <v>1413</v>
      </c>
      <c r="H483">
        <v>0</v>
      </c>
      <c r="I483" t="s">
        <v>17</v>
      </c>
      <c r="K483" t="s">
        <v>1414</v>
      </c>
      <c r="L483">
        <v>734</v>
      </c>
      <c r="M483" t="s">
        <v>1415</v>
      </c>
    </row>
    <row r="484" spans="1:13" x14ac:dyDescent="0.45">
      <c r="A484" t="s">
        <v>13</v>
      </c>
      <c r="B484">
        <v>468005</v>
      </c>
      <c r="C484">
        <v>469414</v>
      </c>
      <c r="E484" t="s">
        <v>14</v>
      </c>
      <c r="F484" t="s">
        <v>1416</v>
      </c>
      <c r="H484">
        <v>0</v>
      </c>
      <c r="I484" t="s">
        <v>17</v>
      </c>
      <c r="K484" t="s">
        <v>1417</v>
      </c>
      <c r="L484">
        <v>469</v>
      </c>
      <c r="M484" t="s">
        <v>1418</v>
      </c>
    </row>
    <row r="485" spans="1:13" x14ac:dyDescent="0.45">
      <c r="A485" t="s">
        <v>13</v>
      </c>
      <c r="B485">
        <v>469399</v>
      </c>
      <c r="C485">
        <v>470463</v>
      </c>
      <c r="E485" t="s">
        <v>14</v>
      </c>
      <c r="F485" t="s">
        <v>1419</v>
      </c>
      <c r="G485" t="s">
        <v>1420</v>
      </c>
      <c r="H485">
        <v>0</v>
      </c>
      <c r="I485" t="s">
        <v>17</v>
      </c>
      <c r="K485" t="s">
        <v>1421</v>
      </c>
      <c r="L485">
        <v>354</v>
      </c>
      <c r="M485" t="s">
        <v>1422</v>
      </c>
    </row>
    <row r="486" spans="1:13" x14ac:dyDescent="0.45">
      <c r="A486" t="s">
        <v>13</v>
      </c>
      <c r="B486">
        <v>470493</v>
      </c>
      <c r="C486">
        <v>471914</v>
      </c>
      <c r="E486" t="s">
        <v>14</v>
      </c>
      <c r="F486" t="s">
        <v>1423</v>
      </c>
      <c r="G486" t="s">
        <v>1424</v>
      </c>
      <c r="H486">
        <v>0</v>
      </c>
      <c r="I486" t="s">
        <v>17</v>
      </c>
      <c r="K486" t="s">
        <v>1425</v>
      </c>
      <c r="L486">
        <v>473</v>
      </c>
      <c r="M486" t="s">
        <v>1426</v>
      </c>
    </row>
    <row r="487" spans="1:13" x14ac:dyDescent="0.45">
      <c r="A487" t="s">
        <v>13</v>
      </c>
      <c r="B487">
        <v>472343</v>
      </c>
      <c r="C487">
        <v>472807</v>
      </c>
      <c r="E487" t="s">
        <v>14</v>
      </c>
      <c r="F487" t="s">
        <v>1427</v>
      </c>
      <c r="H487">
        <v>0</v>
      </c>
      <c r="I487" t="s">
        <v>17</v>
      </c>
      <c r="K487" t="s">
        <v>1428</v>
      </c>
      <c r="L487">
        <v>154</v>
      </c>
      <c r="M487" t="s">
        <v>1429</v>
      </c>
    </row>
    <row r="488" spans="1:13" x14ac:dyDescent="0.45">
      <c r="A488" t="s">
        <v>13</v>
      </c>
      <c r="B488">
        <v>473105</v>
      </c>
      <c r="C488">
        <v>473467</v>
      </c>
      <c r="E488" t="s">
        <v>14</v>
      </c>
      <c r="F488" t="s">
        <v>694</v>
      </c>
      <c r="H488">
        <v>0</v>
      </c>
      <c r="I488" t="s">
        <v>17</v>
      </c>
      <c r="K488" t="s">
        <v>1430</v>
      </c>
      <c r="L488">
        <v>120</v>
      </c>
      <c r="M488" t="s">
        <v>1431</v>
      </c>
    </row>
    <row r="489" spans="1:13" x14ac:dyDescent="0.45">
      <c r="A489" t="s">
        <v>13</v>
      </c>
      <c r="B489">
        <v>474062</v>
      </c>
      <c r="C489">
        <v>474922</v>
      </c>
      <c r="E489" t="s">
        <v>14</v>
      </c>
      <c r="F489" t="s">
        <v>1432</v>
      </c>
      <c r="H489">
        <v>0</v>
      </c>
      <c r="I489" t="s">
        <v>17</v>
      </c>
      <c r="K489" t="s">
        <v>1433</v>
      </c>
      <c r="L489">
        <v>286</v>
      </c>
      <c r="M489" t="s">
        <v>1434</v>
      </c>
    </row>
    <row r="490" spans="1:13" x14ac:dyDescent="0.45">
      <c r="A490" t="s">
        <v>13</v>
      </c>
      <c r="B490">
        <v>475180</v>
      </c>
      <c r="C490">
        <v>477294</v>
      </c>
      <c r="E490" t="s">
        <v>14</v>
      </c>
      <c r="F490" t="s">
        <v>1435</v>
      </c>
      <c r="H490">
        <v>0</v>
      </c>
      <c r="I490" t="s">
        <v>17</v>
      </c>
      <c r="K490" t="s">
        <v>1436</v>
      </c>
      <c r="L490">
        <v>704</v>
      </c>
      <c r="M490" t="s">
        <v>1437</v>
      </c>
    </row>
    <row r="491" spans="1:13" x14ac:dyDescent="0.45">
      <c r="A491" t="s">
        <v>13</v>
      </c>
      <c r="B491">
        <v>477556</v>
      </c>
      <c r="C491">
        <v>479799</v>
      </c>
      <c r="E491" t="s">
        <v>96</v>
      </c>
      <c r="F491" t="s">
        <v>700</v>
      </c>
      <c r="H491">
        <v>0</v>
      </c>
      <c r="I491" t="s">
        <v>17</v>
      </c>
      <c r="K491" t="s">
        <v>1438</v>
      </c>
      <c r="L491">
        <v>747</v>
      </c>
      <c r="M491" t="s">
        <v>1439</v>
      </c>
    </row>
    <row r="492" spans="1:13" x14ac:dyDescent="0.45">
      <c r="A492" t="s">
        <v>13</v>
      </c>
      <c r="B492">
        <v>480131</v>
      </c>
      <c r="C492">
        <v>480847</v>
      </c>
      <c r="E492" t="s">
        <v>14</v>
      </c>
      <c r="F492" t="s">
        <v>43</v>
      </c>
      <c r="H492">
        <v>0</v>
      </c>
      <c r="I492" t="s">
        <v>17</v>
      </c>
      <c r="K492" t="s">
        <v>1440</v>
      </c>
      <c r="L492">
        <v>238</v>
      </c>
      <c r="M492" t="s">
        <v>1441</v>
      </c>
    </row>
    <row r="493" spans="1:13" x14ac:dyDescent="0.45">
      <c r="A493" t="s">
        <v>13</v>
      </c>
      <c r="B493">
        <v>480875</v>
      </c>
      <c r="C493">
        <v>481813</v>
      </c>
      <c r="E493" t="s">
        <v>14</v>
      </c>
      <c r="F493" t="s">
        <v>1442</v>
      </c>
      <c r="G493" t="s">
        <v>1443</v>
      </c>
      <c r="H493">
        <v>0</v>
      </c>
      <c r="I493" t="s">
        <v>17</v>
      </c>
      <c r="K493" t="s">
        <v>1444</v>
      </c>
      <c r="L493">
        <v>312</v>
      </c>
      <c r="M493" t="s">
        <v>1445</v>
      </c>
    </row>
    <row r="494" spans="1:13" x14ac:dyDescent="0.45">
      <c r="A494" t="s">
        <v>13</v>
      </c>
      <c r="B494">
        <v>482157</v>
      </c>
      <c r="C494">
        <v>482840</v>
      </c>
      <c r="E494" t="s">
        <v>14</v>
      </c>
      <c r="F494" t="s">
        <v>1140</v>
      </c>
      <c r="H494">
        <v>0</v>
      </c>
      <c r="I494" t="s">
        <v>17</v>
      </c>
      <c r="K494" t="s">
        <v>1446</v>
      </c>
      <c r="L494">
        <v>227</v>
      </c>
      <c r="M494" t="s">
        <v>1447</v>
      </c>
    </row>
    <row r="495" spans="1:13" x14ac:dyDescent="0.45">
      <c r="A495" t="s">
        <v>13</v>
      </c>
      <c r="B495">
        <v>482837</v>
      </c>
      <c r="C495">
        <v>485497</v>
      </c>
      <c r="E495" t="s">
        <v>14</v>
      </c>
      <c r="F495" t="s">
        <v>1143</v>
      </c>
      <c r="H495">
        <v>0</v>
      </c>
      <c r="I495" t="s">
        <v>17</v>
      </c>
      <c r="K495" t="s">
        <v>1448</v>
      </c>
      <c r="L495">
        <v>886</v>
      </c>
      <c r="M495" t="s">
        <v>1449</v>
      </c>
    </row>
    <row r="496" spans="1:13" x14ac:dyDescent="0.45">
      <c r="A496" t="s">
        <v>13</v>
      </c>
      <c r="B496">
        <v>485678</v>
      </c>
      <c r="C496">
        <v>486859</v>
      </c>
      <c r="E496" t="s">
        <v>96</v>
      </c>
      <c r="F496" t="s">
        <v>1219</v>
      </c>
      <c r="H496">
        <v>0</v>
      </c>
      <c r="I496" t="s">
        <v>17</v>
      </c>
      <c r="K496" t="s">
        <v>1450</v>
      </c>
      <c r="L496">
        <v>393</v>
      </c>
      <c r="M496" t="s">
        <v>1451</v>
      </c>
    </row>
    <row r="497" spans="1:13" x14ac:dyDescent="0.45">
      <c r="A497" t="s">
        <v>13</v>
      </c>
      <c r="B497">
        <v>486859</v>
      </c>
      <c r="C497">
        <v>487521</v>
      </c>
      <c r="E497" t="s">
        <v>96</v>
      </c>
      <c r="F497" t="s">
        <v>1222</v>
      </c>
      <c r="H497">
        <v>0</v>
      </c>
      <c r="I497" t="s">
        <v>17</v>
      </c>
      <c r="K497" t="s">
        <v>1452</v>
      </c>
      <c r="L497">
        <v>220</v>
      </c>
      <c r="M497" t="s">
        <v>1453</v>
      </c>
    </row>
    <row r="498" spans="1:13" x14ac:dyDescent="0.45">
      <c r="A498" t="s">
        <v>13</v>
      </c>
      <c r="B498">
        <v>487666</v>
      </c>
      <c r="C498">
        <v>488199</v>
      </c>
      <c r="E498" t="s">
        <v>96</v>
      </c>
      <c r="F498" t="s">
        <v>1178</v>
      </c>
      <c r="H498">
        <v>0</v>
      </c>
      <c r="I498" t="s">
        <v>17</v>
      </c>
      <c r="K498" t="s">
        <v>1454</v>
      </c>
      <c r="L498">
        <v>177</v>
      </c>
      <c r="M498" t="s">
        <v>1455</v>
      </c>
    </row>
    <row r="499" spans="1:13" x14ac:dyDescent="0.45">
      <c r="A499" t="s">
        <v>13</v>
      </c>
      <c r="B499">
        <v>488326</v>
      </c>
      <c r="C499">
        <v>489445</v>
      </c>
      <c r="E499" t="s">
        <v>96</v>
      </c>
      <c r="F499" t="s">
        <v>271</v>
      </c>
      <c r="G499" t="s">
        <v>1371</v>
      </c>
      <c r="H499">
        <v>0</v>
      </c>
      <c r="I499" t="s">
        <v>272</v>
      </c>
      <c r="M499" t="s">
        <v>1456</v>
      </c>
    </row>
    <row r="500" spans="1:13" x14ac:dyDescent="0.45">
      <c r="A500" t="s">
        <v>13</v>
      </c>
      <c r="B500">
        <v>489447</v>
      </c>
      <c r="C500">
        <v>489545</v>
      </c>
      <c r="E500" t="s">
        <v>96</v>
      </c>
      <c r="F500" t="s">
        <v>271</v>
      </c>
      <c r="H500">
        <v>0</v>
      </c>
      <c r="I500" t="s">
        <v>272</v>
      </c>
      <c r="M500" t="s">
        <v>1457</v>
      </c>
    </row>
    <row r="501" spans="1:13" x14ac:dyDescent="0.45">
      <c r="A501" t="s">
        <v>13</v>
      </c>
      <c r="B501">
        <v>490182</v>
      </c>
      <c r="C501">
        <v>490280</v>
      </c>
      <c r="E501" t="s">
        <v>96</v>
      </c>
      <c r="F501" t="s">
        <v>43</v>
      </c>
      <c r="H501">
        <v>0</v>
      </c>
      <c r="I501" t="s">
        <v>17</v>
      </c>
      <c r="K501" t="s">
        <v>1458</v>
      </c>
      <c r="L501">
        <v>32</v>
      </c>
      <c r="M501" t="s">
        <v>1459</v>
      </c>
    </row>
    <row r="502" spans="1:13" x14ac:dyDescent="0.45">
      <c r="A502" t="s">
        <v>13</v>
      </c>
      <c r="B502">
        <v>490459</v>
      </c>
      <c r="C502">
        <v>491064</v>
      </c>
      <c r="E502" t="s">
        <v>14</v>
      </c>
      <c r="F502" t="s">
        <v>1285</v>
      </c>
      <c r="H502">
        <v>0</v>
      </c>
      <c r="I502" t="s">
        <v>17</v>
      </c>
      <c r="K502" t="s">
        <v>1460</v>
      </c>
      <c r="L502">
        <v>201</v>
      </c>
      <c r="M502" t="s">
        <v>1461</v>
      </c>
    </row>
    <row r="503" spans="1:13" x14ac:dyDescent="0.45">
      <c r="A503" t="s">
        <v>13</v>
      </c>
      <c r="B503">
        <v>491568</v>
      </c>
      <c r="C503">
        <v>492317</v>
      </c>
      <c r="E503" t="s">
        <v>14</v>
      </c>
      <c r="F503" t="s">
        <v>1462</v>
      </c>
      <c r="H503">
        <v>0</v>
      </c>
      <c r="I503" t="s">
        <v>17</v>
      </c>
      <c r="K503" t="s">
        <v>1463</v>
      </c>
      <c r="L503">
        <v>249</v>
      </c>
      <c r="M503" t="s">
        <v>1464</v>
      </c>
    </row>
    <row r="504" spans="1:13" x14ac:dyDescent="0.45">
      <c r="A504" t="s">
        <v>13</v>
      </c>
      <c r="B504">
        <v>492314</v>
      </c>
      <c r="C504">
        <v>493078</v>
      </c>
      <c r="E504" t="s">
        <v>14</v>
      </c>
      <c r="F504" t="s">
        <v>1462</v>
      </c>
      <c r="H504">
        <v>0</v>
      </c>
      <c r="I504" t="s">
        <v>17</v>
      </c>
      <c r="K504" t="s">
        <v>1465</v>
      </c>
      <c r="L504">
        <v>254</v>
      </c>
      <c r="M504" t="s">
        <v>1466</v>
      </c>
    </row>
    <row r="505" spans="1:13" x14ac:dyDescent="0.45">
      <c r="A505" t="s">
        <v>13</v>
      </c>
      <c r="B505">
        <v>493177</v>
      </c>
      <c r="C505">
        <v>493998</v>
      </c>
      <c r="E505" t="s">
        <v>14</v>
      </c>
      <c r="F505" t="s">
        <v>1467</v>
      </c>
      <c r="H505">
        <v>0</v>
      </c>
      <c r="I505" t="s">
        <v>17</v>
      </c>
      <c r="K505" t="s">
        <v>1468</v>
      </c>
      <c r="L505">
        <v>273</v>
      </c>
      <c r="M505" t="s">
        <v>1469</v>
      </c>
    </row>
    <row r="506" spans="1:13" x14ac:dyDescent="0.45">
      <c r="A506" t="s">
        <v>13</v>
      </c>
      <c r="B506">
        <v>494012</v>
      </c>
      <c r="C506">
        <v>495676</v>
      </c>
      <c r="E506" t="s">
        <v>14</v>
      </c>
      <c r="F506" t="s">
        <v>1470</v>
      </c>
      <c r="H506">
        <v>0</v>
      </c>
      <c r="I506" t="s">
        <v>17</v>
      </c>
      <c r="K506" t="s">
        <v>1471</v>
      </c>
      <c r="L506">
        <v>554</v>
      </c>
      <c r="M506" t="s">
        <v>1472</v>
      </c>
    </row>
    <row r="507" spans="1:13" x14ac:dyDescent="0.45">
      <c r="A507" t="s">
        <v>13</v>
      </c>
      <c r="B507">
        <v>495681</v>
      </c>
      <c r="C507">
        <v>497555</v>
      </c>
      <c r="E507" t="s">
        <v>14</v>
      </c>
      <c r="F507" t="s">
        <v>1473</v>
      </c>
      <c r="H507">
        <v>0</v>
      </c>
      <c r="I507" t="s">
        <v>17</v>
      </c>
      <c r="K507" t="s">
        <v>1474</v>
      </c>
      <c r="L507">
        <v>624</v>
      </c>
      <c r="M507" t="s">
        <v>1475</v>
      </c>
    </row>
    <row r="508" spans="1:13" x14ac:dyDescent="0.45">
      <c r="A508" t="s">
        <v>13</v>
      </c>
      <c r="B508">
        <v>497910</v>
      </c>
      <c r="C508">
        <v>499709</v>
      </c>
      <c r="E508" t="s">
        <v>96</v>
      </c>
      <c r="F508" t="s">
        <v>1476</v>
      </c>
      <c r="H508">
        <v>0</v>
      </c>
      <c r="I508" t="s">
        <v>17</v>
      </c>
      <c r="K508" t="s">
        <v>1477</v>
      </c>
      <c r="L508">
        <v>599</v>
      </c>
      <c r="M508" t="s">
        <v>1478</v>
      </c>
    </row>
    <row r="509" spans="1:13" x14ac:dyDescent="0.45">
      <c r="A509" t="s">
        <v>13</v>
      </c>
      <c r="B509">
        <v>499712</v>
      </c>
      <c r="C509">
        <v>500098</v>
      </c>
      <c r="E509" t="s">
        <v>96</v>
      </c>
      <c r="F509" t="s">
        <v>1479</v>
      </c>
      <c r="H509">
        <v>0</v>
      </c>
      <c r="I509" t="s">
        <v>17</v>
      </c>
      <c r="K509" t="s">
        <v>1480</v>
      </c>
      <c r="L509">
        <v>128</v>
      </c>
      <c r="M509" t="s">
        <v>1481</v>
      </c>
    </row>
    <row r="510" spans="1:13" x14ac:dyDescent="0.45">
      <c r="A510" t="s">
        <v>13</v>
      </c>
      <c r="B510">
        <v>500331</v>
      </c>
      <c r="C510">
        <v>501008</v>
      </c>
      <c r="E510" t="s">
        <v>14</v>
      </c>
      <c r="F510" t="s">
        <v>1482</v>
      </c>
      <c r="H510">
        <v>0</v>
      </c>
      <c r="I510" t="s">
        <v>17</v>
      </c>
      <c r="K510" t="s">
        <v>1483</v>
      </c>
      <c r="L510">
        <v>225</v>
      </c>
      <c r="M510" t="s">
        <v>1484</v>
      </c>
    </row>
    <row r="511" spans="1:13" x14ac:dyDescent="0.45">
      <c r="A511" t="s">
        <v>13</v>
      </c>
      <c r="B511">
        <v>500984</v>
      </c>
      <c r="C511">
        <v>501445</v>
      </c>
      <c r="E511" t="s">
        <v>14</v>
      </c>
      <c r="F511" t="s">
        <v>1485</v>
      </c>
      <c r="H511">
        <v>0</v>
      </c>
      <c r="I511" t="s">
        <v>17</v>
      </c>
      <c r="K511" t="s">
        <v>1486</v>
      </c>
      <c r="L511">
        <v>153</v>
      </c>
      <c r="M511" t="s">
        <v>1487</v>
      </c>
    </row>
    <row r="512" spans="1:13" x14ac:dyDescent="0.45">
      <c r="A512" t="s">
        <v>13</v>
      </c>
      <c r="B512">
        <v>501513</v>
      </c>
      <c r="C512">
        <v>502292</v>
      </c>
      <c r="E512" t="s">
        <v>14</v>
      </c>
      <c r="F512" t="s">
        <v>1488</v>
      </c>
      <c r="H512">
        <v>0</v>
      </c>
      <c r="I512" t="s">
        <v>17</v>
      </c>
      <c r="K512" t="s">
        <v>1489</v>
      </c>
      <c r="L512">
        <v>259</v>
      </c>
      <c r="M512" t="s">
        <v>1490</v>
      </c>
    </row>
    <row r="513" spans="1:13" x14ac:dyDescent="0.45">
      <c r="A513" t="s">
        <v>13</v>
      </c>
      <c r="B513">
        <v>502542</v>
      </c>
      <c r="C513">
        <v>503168</v>
      </c>
      <c r="E513" t="s">
        <v>96</v>
      </c>
      <c r="F513" t="s">
        <v>1491</v>
      </c>
      <c r="H513">
        <v>0</v>
      </c>
      <c r="I513" t="s">
        <v>17</v>
      </c>
      <c r="K513" t="s">
        <v>1492</v>
      </c>
      <c r="L513">
        <v>208</v>
      </c>
      <c r="M513" t="s">
        <v>1493</v>
      </c>
    </row>
    <row r="514" spans="1:13" x14ac:dyDescent="0.45">
      <c r="A514" t="s">
        <v>13</v>
      </c>
      <c r="B514">
        <v>503311</v>
      </c>
      <c r="C514">
        <v>503568</v>
      </c>
      <c r="E514" t="s">
        <v>96</v>
      </c>
      <c r="F514" t="s">
        <v>43</v>
      </c>
      <c r="H514">
        <v>0</v>
      </c>
      <c r="I514" t="s">
        <v>17</v>
      </c>
      <c r="K514" t="s">
        <v>1494</v>
      </c>
      <c r="L514">
        <v>85</v>
      </c>
      <c r="M514" t="s">
        <v>1495</v>
      </c>
    </row>
    <row r="515" spans="1:13" x14ac:dyDescent="0.45">
      <c r="A515" t="s">
        <v>13</v>
      </c>
      <c r="B515">
        <v>503894</v>
      </c>
      <c r="C515">
        <v>504406</v>
      </c>
      <c r="E515" t="s">
        <v>14</v>
      </c>
      <c r="F515" t="s">
        <v>43</v>
      </c>
      <c r="H515">
        <v>0</v>
      </c>
      <c r="I515" t="s">
        <v>17</v>
      </c>
      <c r="K515" t="s">
        <v>1496</v>
      </c>
      <c r="L515">
        <v>170</v>
      </c>
      <c r="M515" t="s">
        <v>1497</v>
      </c>
    </row>
    <row r="516" spans="1:13" x14ac:dyDescent="0.45">
      <c r="A516" t="s">
        <v>13</v>
      </c>
      <c r="B516">
        <v>504661</v>
      </c>
      <c r="C516">
        <v>505365</v>
      </c>
      <c r="E516" t="s">
        <v>14</v>
      </c>
      <c r="F516" t="s">
        <v>1498</v>
      </c>
      <c r="H516">
        <v>0</v>
      </c>
      <c r="I516" t="s">
        <v>17</v>
      </c>
      <c r="K516" t="s">
        <v>1499</v>
      </c>
      <c r="L516">
        <v>234</v>
      </c>
      <c r="M516" t="s">
        <v>1500</v>
      </c>
    </row>
    <row r="517" spans="1:13" x14ac:dyDescent="0.45">
      <c r="A517" t="s">
        <v>13</v>
      </c>
      <c r="B517">
        <v>505362</v>
      </c>
      <c r="C517">
        <v>506132</v>
      </c>
      <c r="E517" t="s">
        <v>14</v>
      </c>
      <c r="F517" t="s">
        <v>1501</v>
      </c>
      <c r="H517">
        <v>0</v>
      </c>
      <c r="I517" t="s">
        <v>17</v>
      </c>
      <c r="K517" t="s">
        <v>1502</v>
      </c>
      <c r="L517">
        <v>256</v>
      </c>
      <c r="M517" t="s">
        <v>1503</v>
      </c>
    </row>
    <row r="518" spans="1:13" x14ac:dyDescent="0.45">
      <c r="A518" t="s">
        <v>13</v>
      </c>
      <c r="B518">
        <v>506129</v>
      </c>
      <c r="C518">
        <v>506905</v>
      </c>
      <c r="E518" t="s">
        <v>14</v>
      </c>
      <c r="F518" t="s">
        <v>1504</v>
      </c>
      <c r="H518">
        <v>0</v>
      </c>
      <c r="I518" t="s">
        <v>17</v>
      </c>
      <c r="K518" t="s">
        <v>1505</v>
      </c>
      <c r="L518">
        <v>258</v>
      </c>
      <c r="M518" t="s">
        <v>1506</v>
      </c>
    </row>
    <row r="519" spans="1:13" x14ac:dyDescent="0.45">
      <c r="A519" t="s">
        <v>13</v>
      </c>
      <c r="B519">
        <v>506960</v>
      </c>
      <c r="C519">
        <v>507652</v>
      </c>
      <c r="E519" t="s">
        <v>14</v>
      </c>
      <c r="F519" t="s">
        <v>1222</v>
      </c>
      <c r="H519">
        <v>0</v>
      </c>
      <c r="I519" t="s">
        <v>17</v>
      </c>
      <c r="K519" t="s">
        <v>1507</v>
      </c>
      <c r="L519">
        <v>230</v>
      </c>
      <c r="M519" t="s">
        <v>1508</v>
      </c>
    </row>
    <row r="520" spans="1:13" x14ac:dyDescent="0.45">
      <c r="A520" t="s">
        <v>13</v>
      </c>
      <c r="B520">
        <v>507872</v>
      </c>
      <c r="C520">
        <v>509095</v>
      </c>
      <c r="E520" t="s">
        <v>14</v>
      </c>
      <c r="F520" t="s">
        <v>1509</v>
      </c>
      <c r="H520">
        <v>0</v>
      </c>
      <c r="I520" t="s">
        <v>17</v>
      </c>
      <c r="K520" t="s">
        <v>1510</v>
      </c>
      <c r="L520">
        <v>407</v>
      </c>
      <c r="M520" t="s">
        <v>1511</v>
      </c>
    </row>
    <row r="521" spans="1:13" x14ac:dyDescent="0.45">
      <c r="A521" t="s">
        <v>13</v>
      </c>
      <c r="B521">
        <v>509335</v>
      </c>
      <c r="C521">
        <v>511803</v>
      </c>
      <c r="E521" t="s">
        <v>96</v>
      </c>
      <c r="F521" t="s">
        <v>1143</v>
      </c>
      <c r="H521">
        <v>0</v>
      </c>
      <c r="I521" t="s">
        <v>17</v>
      </c>
      <c r="K521" t="s">
        <v>1512</v>
      </c>
      <c r="L521">
        <v>822</v>
      </c>
      <c r="M521" t="s">
        <v>1513</v>
      </c>
    </row>
    <row r="522" spans="1:13" x14ac:dyDescent="0.45">
      <c r="A522" t="s">
        <v>13</v>
      </c>
      <c r="B522">
        <v>511806</v>
      </c>
      <c r="C522">
        <v>512474</v>
      </c>
      <c r="E522" t="s">
        <v>96</v>
      </c>
      <c r="F522" t="s">
        <v>1140</v>
      </c>
      <c r="H522">
        <v>0</v>
      </c>
      <c r="I522" t="s">
        <v>17</v>
      </c>
      <c r="K522" t="s">
        <v>1514</v>
      </c>
      <c r="L522">
        <v>222</v>
      </c>
      <c r="M522" t="s">
        <v>1515</v>
      </c>
    </row>
    <row r="523" spans="1:13" x14ac:dyDescent="0.45">
      <c r="A523" t="s">
        <v>13</v>
      </c>
      <c r="B523">
        <v>512760</v>
      </c>
      <c r="C523">
        <v>513233</v>
      </c>
      <c r="E523" t="s">
        <v>96</v>
      </c>
      <c r="F523" t="s">
        <v>1516</v>
      </c>
      <c r="H523">
        <v>0</v>
      </c>
      <c r="I523" t="s">
        <v>17</v>
      </c>
      <c r="K523" t="s">
        <v>1517</v>
      </c>
      <c r="L523">
        <v>157</v>
      </c>
      <c r="M523" t="s">
        <v>1518</v>
      </c>
    </row>
    <row r="524" spans="1:13" x14ac:dyDescent="0.45">
      <c r="A524" t="s">
        <v>13</v>
      </c>
      <c r="B524">
        <v>513504</v>
      </c>
      <c r="C524">
        <v>514664</v>
      </c>
      <c r="E524" t="s">
        <v>96</v>
      </c>
      <c r="F524" t="s">
        <v>1219</v>
      </c>
      <c r="H524">
        <v>0</v>
      </c>
      <c r="I524" t="s">
        <v>17</v>
      </c>
      <c r="K524" t="s">
        <v>1519</v>
      </c>
      <c r="L524">
        <v>386</v>
      </c>
      <c r="M524" t="s">
        <v>1520</v>
      </c>
    </row>
    <row r="525" spans="1:13" x14ac:dyDescent="0.45">
      <c r="A525" t="s">
        <v>13</v>
      </c>
      <c r="B525">
        <v>514652</v>
      </c>
      <c r="C525">
        <v>515326</v>
      </c>
      <c r="E525" t="s">
        <v>96</v>
      </c>
      <c r="F525" t="s">
        <v>1222</v>
      </c>
      <c r="H525">
        <v>0</v>
      </c>
      <c r="I525" t="s">
        <v>17</v>
      </c>
      <c r="K525" t="s">
        <v>1521</v>
      </c>
      <c r="L525">
        <v>224</v>
      </c>
      <c r="M525" t="s">
        <v>1522</v>
      </c>
    </row>
    <row r="526" spans="1:13" x14ac:dyDescent="0.45">
      <c r="A526" t="s">
        <v>13</v>
      </c>
      <c r="B526">
        <v>516147</v>
      </c>
      <c r="C526">
        <v>516974</v>
      </c>
      <c r="E526" t="s">
        <v>96</v>
      </c>
      <c r="F526" t="s">
        <v>1523</v>
      </c>
      <c r="H526">
        <v>0</v>
      </c>
      <c r="I526" t="s">
        <v>17</v>
      </c>
      <c r="K526" t="s">
        <v>1524</v>
      </c>
      <c r="L526">
        <v>275</v>
      </c>
      <c r="M526" t="s">
        <v>1525</v>
      </c>
    </row>
    <row r="527" spans="1:13" x14ac:dyDescent="0.45">
      <c r="A527" t="s">
        <v>13</v>
      </c>
      <c r="B527">
        <v>517356</v>
      </c>
      <c r="C527">
        <v>517676</v>
      </c>
      <c r="E527" t="s">
        <v>14</v>
      </c>
      <c r="F527" t="s">
        <v>1526</v>
      </c>
      <c r="G527" t="s">
        <v>1527</v>
      </c>
      <c r="H527">
        <v>0</v>
      </c>
      <c r="I527" t="s">
        <v>17</v>
      </c>
      <c r="K527" t="s">
        <v>1528</v>
      </c>
      <c r="L527">
        <v>106</v>
      </c>
      <c r="M527" t="s">
        <v>1529</v>
      </c>
    </row>
    <row r="528" spans="1:13" x14ac:dyDescent="0.45">
      <c r="A528" t="s">
        <v>13</v>
      </c>
      <c r="B528">
        <v>517809</v>
      </c>
      <c r="C528">
        <v>518489</v>
      </c>
      <c r="E528" t="s">
        <v>96</v>
      </c>
      <c r="F528" t="s">
        <v>869</v>
      </c>
      <c r="H528">
        <v>0</v>
      </c>
      <c r="I528" t="s">
        <v>17</v>
      </c>
      <c r="K528" t="s">
        <v>1530</v>
      </c>
      <c r="L528">
        <v>226</v>
      </c>
      <c r="M528" t="s">
        <v>1531</v>
      </c>
    </row>
    <row r="529" spans="1:13" x14ac:dyDescent="0.45">
      <c r="A529" t="s">
        <v>13</v>
      </c>
      <c r="B529">
        <v>518885</v>
      </c>
      <c r="C529">
        <v>519937</v>
      </c>
      <c r="E529" t="s">
        <v>14</v>
      </c>
      <c r="F529" t="s">
        <v>1532</v>
      </c>
      <c r="H529">
        <v>0</v>
      </c>
      <c r="I529" t="s">
        <v>17</v>
      </c>
      <c r="K529" t="s">
        <v>1533</v>
      </c>
      <c r="L529">
        <v>350</v>
      </c>
      <c r="M529" t="s">
        <v>1534</v>
      </c>
    </row>
    <row r="530" spans="1:13" x14ac:dyDescent="0.45">
      <c r="A530" t="s">
        <v>13</v>
      </c>
      <c r="B530">
        <v>519984</v>
      </c>
      <c r="C530">
        <v>520400</v>
      </c>
      <c r="E530" t="s">
        <v>14</v>
      </c>
      <c r="F530" t="s">
        <v>227</v>
      </c>
      <c r="H530">
        <v>0</v>
      </c>
      <c r="I530" t="s">
        <v>17</v>
      </c>
      <c r="K530" t="s">
        <v>1535</v>
      </c>
      <c r="L530">
        <v>138</v>
      </c>
      <c r="M530" t="s">
        <v>1536</v>
      </c>
    </row>
    <row r="531" spans="1:13" x14ac:dyDescent="0.45">
      <c r="A531" t="s">
        <v>13</v>
      </c>
      <c r="B531">
        <v>520429</v>
      </c>
      <c r="C531">
        <v>520902</v>
      </c>
      <c r="E531" t="s">
        <v>14</v>
      </c>
      <c r="F531" t="s">
        <v>1116</v>
      </c>
      <c r="H531">
        <v>0</v>
      </c>
      <c r="I531" t="s">
        <v>17</v>
      </c>
      <c r="K531" t="s">
        <v>1537</v>
      </c>
      <c r="L531">
        <v>157</v>
      </c>
      <c r="M531" t="s">
        <v>1538</v>
      </c>
    </row>
    <row r="532" spans="1:13" x14ac:dyDescent="0.45">
      <c r="A532" t="s">
        <v>13</v>
      </c>
      <c r="B532">
        <v>520949</v>
      </c>
      <c r="C532">
        <v>521707</v>
      </c>
      <c r="E532" t="s">
        <v>14</v>
      </c>
      <c r="F532" t="s">
        <v>1119</v>
      </c>
      <c r="H532">
        <v>0</v>
      </c>
      <c r="I532" t="s">
        <v>17</v>
      </c>
      <c r="K532" t="s">
        <v>1539</v>
      </c>
      <c r="L532">
        <v>252</v>
      </c>
      <c r="M532" t="s">
        <v>1540</v>
      </c>
    </row>
    <row r="533" spans="1:13" x14ac:dyDescent="0.45">
      <c r="A533" t="s">
        <v>13</v>
      </c>
      <c r="B533">
        <v>521731</v>
      </c>
      <c r="C533">
        <v>522570</v>
      </c>
      <c r="E533" t="s">
        <v>14</v>
      </c>
      <c r="F533" t="s">
        <v>1122</v>
      </c>
      <c r="H533">
        <v>0</v>
      </c>
      <c r="I533" t="s">
        <v>17</v>
      </c>
      <c r="K533" t="s">
        <v>1541</v>
      </c>
      <c r="L533">
        <v>279</v>
      </c>
      <c r="M533" t="s">
        <v>1542</v>
      </c>
    </row>
    <row r="534" spans="1:13" x14ac:dyDescent="0.45">
      <c r="A534" t="s">
        <v>13</v>
      </c>
      <c r="B534">
        <v>523021</v>
      </c>
      <c r="C534">
        <v>523668</v>
      </c>
      <c r="E534" t="s">
        <v>14</v>
      </c>
      <c r="F534" t="s">
        <v>1222</v>
      </c>
      <c r="H534">
        <v>0</v>
      </c>
      <c r="I534" t="s">
        <v>17</v>
      </c>
      <c r="K534" t="s">
        <v>1543</v>
      </c>
      <c r="L534">
        <v>215</v>
      </c>
      <c r="M534" t="s">
        <v>1544</v>
      </c>
    </row>
    <row r="535" spans="1:13" x14ac:dyDescent="0.45">
      <c r="A535" t="s">
        <v>13</v>
      </c>
      <c r="B535">
        <v>523661</v>
      </c>
      <c r="C535">
        <v>525055</v>
      </c>
      <c r="E535" t="s">
        <v>14</v>
      </c>
      <c r="F535" t="s">
        <v>1219</v>
      </c>
      <c r="H535">
        <v>0</v>
      </c>
      <c r="I535" t="s">
        <v>17</v>
      </c>
      <c r="K535" t="s">
        <v>1545</v>
      </c>
      <c r="L535">
        <v>464</v>
      </c>
      <c r="M535" t="s">
        <v>1546</v>
      </c>
    </row>
    <row r="536" spans="1:13" x14ac:dyDescent="0.45">
      <c r="A536" t="s">
        <v>13</v>
      </c>
      <c r="B536">
        <v>525480</v>
      </c>
      <c r="C536">
        <v>527043</v>
      </c>
      <c r="E536" t="s">
        <v>14</v>
      </c>
      <c r="F536" t="s">
        <v>271</v>
      </c>
      <c r="H536">
        <v>0</v>
      </c>
      <c r="I536" t="s">
        <v>272</v>
      </c>
      <c r="M536" t="s">
        <v>1547</v>
      </c>
    </row>
    <row r="537" spans="1:13" x14ac:dyDescent="0.45">
      <c r="A537" t="s">
        <v>13</v>
      </c>
      <c r="B537">
        <v>527082</v>
      </c>
      <c r="C537">
        <v>528968</v>
      </c>
      <c r="E537" t="s">
        <v>14</v>
      </c>
      <c r="F537" t="s">
        <v>43</v>
      </c>
      <c r="H537">
        <v>0</v>
      </c>
      <c r="I537" t="s">
        <v>17</v>
      </c>
      <c r="K537" t="s">
        <v>1548</v>
      </c>
      <c r="L537">
        <v>628</v>
      </c>
      <c r="M537" t="s">
        <v>1549</v>
      </c>
    </row>
    <row r="538" spans="1:13" x14ac:dyDescent="0.45">
      <c r="A538" t="s">
        <v>13</v>
      </c>
      <c r="B538">
        <v>529409</v>
      </c>
      <c r="C538">
        <v>530653</v>
      </c>
      <c r="E538" t="s">
        <v>96</v>
      </c>
      <c r="F538" t="s">
        <v>1550</v>
      </c>
      <c r="H538">
        <v>0</v>
      </c>
      <c r="I538" t="s">
        <v>17</v>
      </c>
      <c r="K538" t="s">
        <v>1551</v>
      </c>
      <c r="L538">
        <v>414</v>
      </c>
      <c r="M538" t="s">
        <v>1552</v>
      </c>
    </row>
    <row r="539" spans="1:13" x14ac:dyDescent="0.45">
      <c r="A539" t="s">
        <v>13</v>
      </c>
      <c r="B539">
        <v>530696</v>
      </c>
      <c r="C539">
        <v>533530</v>
      </c>
      <c r="E539" t="s">
        <v>96</v>
      </c>
      <c r="F539" t="s">
        <v>224</v>
      </c>
      <c r="H539">
        <v>0</v>
      </c>
      <c r="I539" t="s">
        <v>17</v>
      </c>
      <c r="K539" t="s">
        <v>1553</v>
      </c>
      <c r="L539">
        <v>944</v>
      </c>
      <c r="M539" t="s">
        <v>1554</v>
      </c>
    </row>
    <row r="540" spans="1:13" x14ac:dyDescent="0.45">
      <c r="A540" t="s">
        <v>13</v>
      </c>
      <c r="B540">
        <v>534253</v>
      </c>
      <c r="C540">
        <v>535014</v>
      </c>
      <c r="E540" t="s">
        <v>14</v>
      </c>
      <c r="F540" t="s">
        <v>1555</v>
      </c>
      <c r="H540">
        <v>0</v>
      </c>
      <c r="I540" t="s">
        <v>17</v>
      </c>
      <c r="K540" t="s">
        <v>1556</v>
      </c>
      <c r="L540">
        <v>253</v>
      </c>
      <c r="M540" t="s">
        <v>1557</v>
      </c>
    </row>
    <row r="541" spans="1:13" x14ac:dyDescent="0.45">
      <c r="A541" t="s">
        <v>13</v>
      </c>
      <c r="B541">
        <v>535015</v>
      </c>
      <c r="C541">
        <v>535509</v>
      </c>
      <c r="E541" t="s">
        <v>14</v>
      </c>
      <c r="F541" t="s">
        <v>1555</v>
      </c>
      <c r="H541">
        <v>0</v>
      </c>
      <c r="I541" t="s">
        <v>17</v>
      </c>
      <c r="K541" t="s">
        <v>1558</v>
      </c>
      <c r="L541">
        <v>164</v>
      </c>
      <c r="M541" t="s">
        <v>1559</v>
      </c>
    </row>
    <row r="542" spans="1:13" x14ac:dyDescent="0.45">
      <c r="A542" t="s">
        <v>13</v>
      </c>
      <c r="B542">
        <v>535735</v>
      </c>
      <c r="C542">
        <v>536913</v>
      </c>
      <c r="E542" t="s">
        <v>14</v>
      </c>
      <c r="F542" t="s">
        <v>43</v>
      </c>
      <c r="H542">
        <v>0</v>
      </c>
      <c r="I542" t="s">
        <v>17</v>
      </c>
      <c r="K542" t="s">
        <v>1560</v>
      </c>
      <c r="L542">
        <v>392</v>
      </c>
      <c r="M542" t="s">
        <v>1561</v>
      </c>
    </row>
    <row r="543" spans="1:13" x14ac:dyDescent="0.45">
      <c r="A543" t="s">
        <v>13</v>
      </c>
      <c r="B543">
        <v>537167</v>
      </c>
      <c r="C543">
        <v>538774</v>
      </c>
      <c r="E543" t="s">
        <v>14</v>
      </c>
      <c r="F543" t="s">
        <v>1562</v>
      </c>
      <c r="H543">
        <v>0</v>
      </c>
      <c r="I543" t="s">
        <v>17</v>
      </c>
      <c r="K543" t="s">
        <v>1563</v>
      </c>
      <c r="L543">
        <v>535</v>
      </c>
      <c r="M543" t="s">
        <v>1564</v>
      </c>
    </row>
    <row r="544" spans="1:13" x14ac:dyDescent="0.45">
      <c r="A544" t="s">
        <v>13</v>
      </c>
      <c r="B544">
        <v>538765</v>
      </c>
      <c r="C544">
        <v>539469</v>
      </c>
      <c r="E544" t="s">
        <v>14</v>
      </c>
      <c r="F544" t="s">
        <v>1565</v>
      </c>
      <c r="H544">
        <v>0</v>
      </c>
      <c r="I544" t="s">
        <v>17</v>
      </c>
      <c r="K544" t="s">
        <v>1566</v>
      </c>
      <c r="L544">
        <v>234</v>
      </c>
      <c r="M544" t="s">
        <v>1567</v>
      </c>
    </row>
    <row r="545" spans="1:13" x14ac:dyDescent="0.45">
      <c r="A545" t="s">
        <v>13</v>
      </c>
      <c r="B545">
        <v>539761</v>
      </c>
      <c r="C545">
        <v>539913</v>
      </c>
      <c r="E545" t="s">
        <v>96</v>
      </c>
      <c r="F545" t="s">
        <v>43</v>
      </c>
      <c r="H545">
        <v>0</v>
      </c>
      <c r="I545" t="s">
        <v>17</v>
      </c>
      <c r="K545" t="s">
        <v>1568</v>
      </c>
      <c r="L545">
        <v>50</v>
      </c>
      <c r="M545" t="s">
        <v>1569</v>
      </c>
    </row>
    <row r="546" spans="1:13" x14ac:dyDescent="0.45">
      <c r="A546" t="s">
        <v>13</v>
      </c>
      <c r="B546">
        <v>540637</v>
      </c>
      <c r="C546">
        <v>543735</v>
      </c>
      <c r="E546" t="s">
        <v>14</v>
      </c>
      <c r="F546" t="s">
        <v>1570</v>
      </c>
      <c r="H546">
        <v>0</v>
      </c>
      <c r="I546" t="s">
        <v>17</v>
      </c>
      <c r="K546" t="s">
        <v>1571</v>
      </c>
      <c r="L546">
        <v>1032</v>
      </c>
      <c r="M546" t="s">
        <v>1572</v>
      </c>
    </row>
    <row r="547" spans="1:13" x14ac:dyDescent="0.45">
      <c r="A547" t="s">
        <v>13</v>
      </c>
      <c r="B547">
        <v>543858</v>
      </c>
      <c r="C547">
        <v>545144</v>
      </c>
      <c r="E547" t="s">
        <v>14</v>
      </c>
      <c r="F547" t="s">
        <v>1573</v>
      </c>
      <c r="H547">
        <v>0</v>
      </c>
      <c r="I547" t="s">
        <v>17</v>
      </c>
      <c r="K547" t="s">
        <v>1574</v>
      </c>
      <c r="L547">
        <v>428</v>
      </c>
      <c r="M547" t="s">
        <v>1575</v>
      </c>
    </row>
    <row r="548" spans="1:13" x14ac:dyDescent="0.45">
      <c r="A548" t="s">
        <v>13</v>
      </c>
      <c r="B548">
        <v>545730</v>
      </c>
      <c r="C548">
        <v>546836</v>
      </c>
      <c r="E548" t="s">
        <v>96</v>
      </c>
      <c r="F548" t="s">
        <v>1576</v>
      </c>
      <c r="H548">
        <v>0</v>
      </c>
      <c r="I548" t="s">
        <v>17</v>
      </c>
      <c r="K548" t="s">
        <v>1577</v>
      </c>
      <c r="L548">
        <v>368</v>
      </c>
      <c r="M548" t="s">
        <v>1578</v>
      </c>
    </row>
    <row r="549" spans="1:13" x14ac:dyDescent="0.45">
      <c r="A549" t="s">
        <v>13</v>
      </c>
      <c r="B549">
        <v>546871</v>
      </c>
      <c r="C549">
        <v>548412</v>
      </c>
      <c r="E549" t="s">
        <v>96</v>
      </c>
      <c r="F549" t="s">
        <v>1579</v>
      </c>
      <c r="H549">
        <v>0</v>
      </c>
      <c r="I549" t="s">
        <v>17</v>
      </c>
      <c r="K549" t="s">
        <v>1580</v>
      </c>
      <c r="L549">
        <v>513</v>
      </c>
      <c r="M549" t="s">
        <v>1581</v>
      </c>
    </row>
    <row r="550" spans="1:13" x14ac:dyDescent="0.45">
      <c r="A550" t="s">
        <v>13</v>
      </c>
      <c r="B550">
        <v>548774</v>
      </c>
      <c r="C550">
        <v>549520</v>
      </c>
      <c r="E550" t="s">
        <v>96</v>
      </c>
      <c r="F550" t="s">
        <v>1285</v>
      </c>
      <c r="H550">
        <v>0</v>
      </c>
      <c r="I550" t="s">
        <v>17</v>
      </c>
      <c r="K550" t="s">
        <v>1582</v>
      </c>
      <c r="L550">
        <v>248</v>
      </c>
      <c r="M550" t="s">
        <v>1583</v>
      </c>
    </row>
    <row r="551" spans="1:13" x14ac:dyDescent="0.45">
      <c r="A551" t="s">
        <v>13</v>
      </c>
      <c r="B551">
        <v>549732</v>
      </c>
      <c r="C551">
        <v>551042</v>
      </c>
      <c r="E551" t="s">
        <v>96</v>
      </c>
      <c r="F551" t="s">
        <v>1128</v>
      </c>
      <c r="H551">
        <v>0</v>
      </c>
      <c r="I551" t="s">
        <v>17</v>
      </c>
      <c r="K551" t="s">
        <v>1584</v>
      </c>
      <c r="L551">
        <v>436</v>
      </c>
      <c r="M551" t="s">
        <v>1585</v>
      </c>
    </row>
    <row r="552" spans="1:13" x14ac:dyDescent="0.45">
      <c r="A552" t="s">
        <v>13</v>
      </c>
      <c r="B552">
        <v>551055</v>
      </c>
      <c r="C552">
        <v>551525</v>
      </c>
      <c r="E552" t="s">
        <v>96</v>
      </c>
      <c r="F552" t="s">
        <v>43</v>
      </c>
      <c r="H552">
        <v>0</v>
      </c>
      <c r="I552" t="s">
        <v>17</v>
      </c>
      <c r="K552" t="s">
        <v>1586</v>
      </c>
      <c r="L552">
        <v>156</v>
      </c>
      <c r="M552" t="s">
        <v>1587</v>
      </c>
    </row>
    <row r="553" spans="1:13" x14ac:dyDescent="0.45">
      <c r="A553" t="s">
        <v>13</v>
      </c>
      <c r="B553">
        <v>551529</v>
      </c>
      <c r="C553">
        <v>552380</v>
      </c>
      <c r="E553" t="s">
        <v>96</v>
      </c>
      <c r="F553" t="s">
        <v>1588</v>
      </c>
      <c r="H553">
        <v>0</v>
      </c>
      <c r="I553" t="s">
        <v>17</v>
      </c>
      <c r="K553" t="s">
        <v>1589</v>
      </c>
      <c r="L553">
        <v>283</v>
      </c>
      <c r="M553" t="s">
        <v>1590</v>
      </c>
    </row>
    <row r="554" spans="1:13" x14ac:dyDescent="0.45">
      <c r="A554" t="s">
        <v>13</v>
      </c>
      <c r="B554">
        <v>553305</v>
      </c>
      <c r="C554">
        <v>554216</v>
      </c>
      <c r="E554" t="s">
        <v>14</v>
      </c>
      <c r="F554" t="s">
        <v>1432</v>
      </c>
      <c r="H554">
        <v>0</v>
      </c>
      <c r="I554" t="s">
        <v>17</v>
      </c>
      <c r="K554" t="s">
        <v>1591</v>
      </c>
      <c r="L554">
        <v>303</v>
      </c>
      <c r="M554" t="s">
        <v>1592</v>
      </c>
    </row>
    <row r="555" spans="1:13" x14ac:dyDescent="0.45">
      <c r="A555" t="s">
        <v>13</v>
      </c>
      <c r="B555">
        <v>554391</v>
      </c>
      <c r="C555">
        <v>554888</v>
      </c>
      <c r="E555" t="s">
        <v>14</v>
      </c>
      <c r="F555" t="s">
        <v>1427</v>
      </c>
      <c r="H555">
        <v>0</v>
      </c>
      <c r="I555" t="s">
        <v>17</v>
      </c>
      <c r="K555" t="s">
        <v>1593</v>
      </c>
      <c r="L555">
        <v>165</v>
      </c>
      <c r="M555" t="s">
        <v>1594</v>
      </c>
    </row>
    <row r="556" spans="1:13" x14ac:dyDescent="0.45">
      <c r="A556" t="s">
        <v>13</v>
      </c>
      <c r="B556">
        <v>555632</v>
      </c>
      <c r="C556">
        <v>555994</v>
      </c>
      <c r="E556" t="s">
        <v>14</v>
      </c>
      <c r="F556" t="s">
        <v>1565</v>
      </c>
      <c r="H556">
        <v>0</v>
      </c>
      <c r="I556" t="s">
        <v>17</v>
      </c>
      <c r="K556" t="s">
        <v>1595</v>
      </c>
      <c r="L556">
        <v>120</v>
      </c>
      <c r="M556" t="s">
        <v>1596</v>
      </c>
    </row>
    <row r="557" spans="1:13" x14ac:dyDescent="0.45">
      <c r="A557" t="s">
        <v>13</v>
      </c>
      <c r="B557">
        <v>556093</v>
      </c>
      <c r="C557">
        <v>556677</v>
      </c>
      <c r="E557" t="s">
        <v>14</v>
      </c>
      <c r="F557" t="s">
        <v>1597</v>
      </c>
      <c r="H557">
        <v>0</v>
      </c>
      <c r="I557" t="s">
        <v>17</v>
      </c>
      <c r="K557" t="s">
        <v>1598</v>
      </c>
      <c r="L557">
        <v>194</v>
      </c>
      <c r="M557" t="s">
        <v>1599</v>
      </c>
    </row>
    <row r="558" spans="1:13" x14ac:dyDescent="0.45">
      <c r="A558" t="s">
        <v>13</v>
      </c>
      <c r="B558">
        <v>556674</v>
      </c>
      <c r="C558">
        <v>557159</v>
      </c>
      <c r="E558" t="s">
        <v>14</v>
      </c>
      <c r="F558" t="s">
        <v>1600</v>
      </c>
      <c r="H558">
        <v>0</v>
      </c>
      <c r="I558" t="s">
        <v>17</v>
      </c>
      <c r="K558" t="s">
        <v>1601</v>
      </c>
      <c r="L558">
        <v>161</v>
      </c>
      <c r="M558" t="s">
        <v>1602</v>
      </c>
    </row>
    <row r="559" spans="1:13" x14ac:dyDescent="0.45">
      <c r="A559" t="s">
        <v>13</v>
      </c>
      <c r="B559">
        <v>557202</v>
      </c>
      <c r="C559">
        <v>557720</v>
      </c>
      <c r="E559" t="s">
        <v>14</v>
      </c>
      <c r="F559" t="s">
        <v>1603</v>
      </c>
      <c r="H559">
        <v>0</v>
      </c>
      <c r="I559" t="s">
        <v>17</v>
      </c>
      <c r="K559" t="s">
        <v>1604</v>
      </c>
      <c r="L559">
        <v>172</v>
      </c>
      <c r="M559" t="s">
        <v>1605</v>
      </c>
    </row>
    <row r="560" spans="1:13" x14ac:dyDescent="0.45">
      <c r="A560" t="s">
        <v>13</v>
      </c>
      <c r="B560">
        <v>557856</v>
      </c>
      <c r="C560">
        <v>558815</v>
      </c>
      <c r="E560" t="s">
        <v>14</v>
      </c>
      <c r="F560" t="s">
        <v>1606</v>
      </c>
      <c r="H560">
        <v>0</v>
      </c>
      <c r="I560" t="s">
        <v>17</v>
      </c>
      <c r="K560" t="s">
        <v>1607</v>
      </c>
      <c r="L560">
        <v>319</v>
      </c>
      <c r="M560" t="s">
        <v>1608</v>
      </c>
    </row>
    <row r="561" spans="1:13" x14ac:dyDescent="0.45">
      <c r="A561" t="s">
        <v>13</v>
      </c>
      <c r="B561">
        <v>558841</v>
      </c>
      <c r="C561">
        <v>560544</v>
      </c>
      <c r="E561" t="s">
        <v>14</v>
      </c>
      <c r="F561" t="s">
        <v>1609</v>
      </c>
      <c r="H561">
        <v>0</v>
      </c>
      <c r="I561" t="s">
        <v>17</v>
      </c>
      <c r="K561" t="s">
        <v>1610</v>
      </c>
      <c r="L561">
        <v>567</v>
      </c>
      <c r="M561" t="s">
        <v>1611</v>
      </c>
    </row>
    <row r="562" spans="1:13" x14ac:dyDescent="0.45">
      <c r="A562" t="s">
        <v>13</v>
      </c>
      <c r="B562">
        <v>560801</v>
      </c>
      <c r="C562">
        <v>562903</v>
      </c>
      <c r="E562" t="s">
        <v>14</v>
      </c>
      <c r="F562" t="s">
        <v>1612</v>
      </c>
      <c r="H562">
        <v>0</v>
      </c>
      <c r="I562" t="s">
        <v>17</v>
      </c>
      <c r="K562" t="s">
        <v>1613</v>
      </c>
      <c r="L562">
        <v>700</v>
      </c>
      <c r="M562" t="s">
        <v>1614</v>
      </c>
    </row>
    <row r="563" spans="1:13" x14ac:dyDescent="0.45">
      <c r="A563" t="s">
        <v>13</v>
      </c>
      <c r="B563">
        <v>562916</v>
      </c>
      <c r="C563">
        <v>563356</v>
      </c>
      <c r="E563" t="s">
        <v>14</v>
      </c>
      <c r="F563" t="s">
        <v>1603</v>
      </c>
      <c r="H563">
        <v>0</v>
      </c>
      <c r="I563" t="s">
        <v>17</v>
      </c>
      <c r="K563" t="s">
        <v>1615</v>
      </c>
      <c r="L563">
        <v>146</v>
      </c>
      <c r="M563" t="s">
        <v>1616</v>
      </c>
    </row>
    <row r="564" spans="1:13" x14ac:dyDescent="0.45">
      <c r="A564" t="s">
        <v>13</v>
      </c>
      <c r="B564">
        <v>563392</v>
      </c>
      <c r="C564">
        <v>564195</v>
      </c>
      <c r="E564" t="s">
        <v>14</v>
      </c>
      <c r="F564" t="s">
        <v>1617</v>
      </c>
      <c r="H564">
        <v>0</v>
      </c>
      <c r="I564" t="s">
        <v>17</v>
      </c>
      <c r="K564" t="s">
        <v>1618</v>
      </c>
      <c r="L564">
        <v>267</v>
      </c>
      <c r="M564" t="s">
        <v>1619</v>
      </c>
    </row>
    <row r="565" spans="1:13" x14ac:dyDescent="0.45">
      <c r="A565" t="s">
        <v>13</v>
      </c>
      <c r="B565">
        <v>564235</v>
      </c>
      <c r="C565">
        <v>564831</v>
      </c>
      <c r="E565" t="s">
        <v>14</v>
      </c>
      <c r="F565" t="s">
        <v>1620</v>
      </c>
      <c r="H565">
        <v>0</v>
      </c>
      <c r="I565" t="s">
        <v>17</v>
      </c>
      <c r="K565" t="s">
        <v>1621</v>
      </c>
      <c r="L565">
        <v>198</v>
      </c>
      <c r="M565" t="s">
        <v>1622</v>
      </c>
    </row>
    <row r="566" spans="1:13" x14ac:dyDescent="0.45">
      <c r="A566" t="s">
        <v>13</v>
      </c>
      <c r="B566">
        <v>564937</v>
      </c>
      <c r="C566">
        <v>565800</v>
      </c>
      <c r="E566" t="s">
        <v>14</v>
      </c>
      <c r="F566" t="s">
        <v>1623</v>
      </c>
      <c r="H566">
        <v>0</v>
      </c>
      <c r="I566" t="s">
        <v>17</v>
      </c>
      <c r="K566" t="s">
        <v>1624</v>
      </c>
      <c r="L566">
        <v>287</v>
      </c>
      <c r="M566" t="s">
        <v>1625</v>
      </c>
    </row>
    <row r="567" spans="1:13" x14ac:dyDescent="0.45">
      <c r="A567" t="s">
        <v>13</v>
      </c>
      <c r="B567">
        <v>565867</v>
      </c>
      <c r="C567">
        <v>566856</v>
      </c>
      <c r="E567" t="s">
        <v>14</v>
      </c>
      <c r="F567" t="s">
        <v>1626</v>
      </c>
      <c r="H567">
        <v>0</v>
      </c>
      <c r="I567" t="s">
        <v>17</v>
      </c>
      <c r="K567" t="s">
        <v>1627</v>
      </c>
      <c r="L567">
        <v>329</v>
      </c>
      <c r="M567" t="s">
        <v>1628</v>
      </c>
    </row>
    <row r="568" spans="1:13" x14ac:dyDescent="0.45">
      <c r="A568" t="s">
        <v>13</v>
      </c>
      <c r="B568">
        <v>566948</v>
      </c>
      <c r="C568">
        <v>567559</v>
      </c>
      <c r="E568" t="s">
        <v>14</v>
      </c>
      <c r="F568" t="s">
        <v>1629</v>
      </c>
      <c r="H568">
        <v>0</v>
      </c>
      <c r="I568" t="s">
        <v>17</v>
      </c>
      <c r="K568" t="s">
        <v>1630</v>
      </c>
      <c r="L568">
        <v>203</v>
      </c>
      <c r="M568" t="s">
        <v>1631</v>
      </c>
    </row>
    <row r="569" spans="1:13" x14ac:dyDescent="0.45">
      <c r="A569" t="s">
        <v>13</v>
      </c>
      <c r="B569">
        <v>568020</v>
      </c>
      <c r="C569">
        <v>568799</v>
      </c>
      <c r="E569" t="s">
        <v>14</v>
      </c>
      <c r="F569" t="s">
        <v>1632</v>
      </c>
      <c r="H569">
        <v>0</v>
      </c>
      <c r="I569" t="s">
        <v>17</v>
      </c>
      <c r="K569" t="s">
        <v>1633</v>
      </c>
      <c r="L569">
        <v>259</v>
      </c>
      <c r="M569" t="s">
        <v>1634</v>
      </c>
    </row>
    <row r="570" spans="1:13" x14ac:dyDescent="0.45">
      <c r="A570" t="s">
        <v>13</v>
      </c>
      <c r="B570">
        <v>569004</v>
      </c>
      <c r="C570">
        <v>569363</v>
      </c>
      <c r="E570" t="s">
        <v>14</v>
      </c>
      <c r="F570" t="s">
        <v>1479</v>
      </c>
      <c r="H570">
        <v>0</v>
      </c>
      <c r="I570" t="s">
        <v>17</v>
      </c>
      <c r="K570" t="s">
        <v>1635</v>
      </c>
      <c r="L570">
        <v>119</v>
      </c>
      <c r="M570" t="s">
        <v>1636</v>
      </c>
    </row>
    <row r="571" spans="1:13" x14ac:dyDescent="0.45">
      <c r="A571" t="s">
        <v>13</v>
      </c>
      <c r="B571">
        <v>569374</v>
      </c>
      <c r="C571">
        <v>570756</v>
      </c>
      <c r="E571" t="s">
        <v>14</v>
      </c>
      <c r="F571" t="s">
        <v>767</v>
      </c>
      <c r="H571">
        <v>0</v>
      </c>
      <c r="I571" t="s">
        <v>17</v>
      </c>
      <c r="K571" t="s">
        <v>1637</v>
      </c>
      <c r="L571">
        <v>460</v>
      </c>
      <c r="M571" t="s">
        <v>1638</v>
      </c>
    </row>
    <row r="572" spans="1:13" x14ac:dyDescent="0.45">
      <c r="A572" t="s">
        <v>13</v>
      </c>
      <c r="B572">
        <v>570972</v>
      </c>
      <c r="C572">
        <v>571382</v>
      </c>
      <c r="E572" t="s">
        <v>14</v>
      </c>
      <c r="F572" t="s">
        <v>43</v>
      </c>
      <c r="H572">
        <v>0</v>
      </c>
      <c r="I572" t="s">
        <v>17</v>
      </c>
      <c r="K572" t="s">
        <v>1639</v>
      </c>
      <c r="L572">
        <v>136</v>
      </c>
      <c r="M572" t="s">
        <v>1640</v>
      </c>
    </row>
    <row r="573" spans="1:13" x14ac:dyDescent="0.45">
      <c r="A573" t="s">
        <v>13</v>
      </c>
      <c r="B573">
        <v>572575</v>
      </c>
      <c r="C573">
        <v>573231</v>
      </c>
      <c r="E573" t="s">
        <v>14</v>
      </c>
      <c r="F573" t="s">
        <v>43</v>
      </c>
      <c r="H573">
        <v>0</v>
      </c>
      <c r="I573" t="s">
        <v>17</v>
      </c>
      <c r="K573" t="s">
        <v>1641</v>
      </c>
      <c r="L573">
        <v>218</v>
      </c>
      <c r="M573" t="s">
        <v>1642</v>
      </c>
    </row>
    <row r="574" spans="1:13" x14ac:dyDescent="0.45">
      <c r="A574" t="s">
        <v>13</v>
      </c>
      <c r="B574">
        <v>573701</v>
      </c>
      <c r="C574">
        <v>574972</v>
      </c>
      <c r="E574" t="s">
        <v>96</v>
      </c>
      <c r="F574" t="s">
        <v>1643</v>
      </c>
      <c r="G574" t="s">
        <v>1644</v>
      </c>
      <c r="H574">
        <v>0</v>
      </c>
      <c r="I574" t="s">
        <v>17</v>
      </c>
      <c r="K574" t="s">
        <v>1645</v>
      </c>
      <c r="L574">
        <v>423</v>
      </c>
      <c r="M574" t="s">
        <v>1646</v>
      </c>
    </row>
    <row r="575" spans="1:13" x14ac:dyDescent="0.45">
      <c r="A575" t="s">
        <v>13</v>
      </c>
      <c r="B575">
        <v>575217</v>
      </c>
      <c r="C575">
        <v>575933</v>
      </c>
      <c r="E575" t="s">
        <v>14</v>
      </c>
      <c r="F575" t="s">
        <v>1647</v>
      </c>
      <c r="H575">
        <v>0</v>
      </c>
      <c r="I575" t="s">
        <v>17</v>
      </c>
      <c r="K575" t="s">
        <v>1648</v>
      </c>
      <c r="L575">
        <v>238</v>
      </c>
      <c r="M575" t="s">
        <v>1649</v>
      </c>
    </row>
    <row r="576" spans="1:13" x14ac:dyDescent="0.45">
      <c r="A576" t="s">
        <v>13</v>
      </c>
      <c r="B576">
        <v>576012</v>
      </c>
      <c r="C576">
        <v>577322</v>
      </c>
      <c r="E576" t="s">
        <v>14</v>
      </c>
      <c r="F576" t="s">
        <v>1650</v>
      </c>
      <c r="H576">
        <v>0</v>
      </c>
      <c r="I576" t="s">
        <v>17</v>
      </c>
      <c r="K576" t="s">
        <v>1651</v>
      </c>
      <c r="L576">
        <v>436</v>
      </c>
      <c r="M576" t="s">
        <v>1652</v>
      </c>
    </row>
    <row r="577" spans="1:13" x14ac:dyDescent="0.45">
      <c r="A577" t="s">
        <v>13</v>
      </c>
      <c r="B577">
        <v>577422</v>
      </c>
      <c r="C577">
        <v>577958</v>
      </c>
      <c r="E577" t="s">
        <v>14</v>
      </c>
      <c r="F577" t="s">
        <v>1653</v>
      </c>
      <c r="G577" t="s">
        <v>1654</v>
      </c>
      <c r="H577">
        <v>0</v>
      </c>
      <c r="I577" t="s">
        <v>17</v>
      </c>
      <c r="K577" t="s">
        <v>1655</v>
      </c>
      <c r="L577">
        <v>178</v>
      </c>
      <c r="M577" t="s">
        <v>1656</v>
      </c>
    </row>
    <row r="578" spans="1:13" x14ac:dyDescent="0.45">
      <c r="A578" t="s">
        <v>13</v>
      </c>
      <c r="B578">
        <v>578124</v>
      </c>
      <c r="C578">
        <v>578660</v>
      </c>
      <c r="E578" t="s">
        <v>14</v>
      </c>
      <c r="F578" t="s">
        <v>1653</v>
      </c>
      <c r="G578" t="s">
        <v>1654</v>
      </c>
      <c r="H578">
        <v>0</v>
      </c>
      <c r="I578" t="s">
        <v>17</v>
      </c>
      <c r="K578" t="s">
        <v>1657</v>
      </c>
      <c r="L578">
        <v>178</v>
      </c>
      <c r="M578" t="s">
        <v>1658</v>
      </c>
    </row>
    <row r="579" spans="1:13" x14ac:dyDescent="0.45">
      <c r="A579" t="s">
        <v>13</v>
      </c>
      <c r="B579">
        <v>578670</v>
      </c>
      <c r="C579">
        <v>579425</v>
      </c>
      <c r="E579" t="s">
        <v>14</v>
      </c>
      <c r="F579" t="s">
        <v>1659</v>
      </c>
      <c r="H579">
        <v>0</v>
      </c>
      <c r="I579" t="s">
        <v>17</v>
      </c>
      <c r="K579" t="s">
        <v>1660</v>
      </c>
      <c r="L579">
        <v>251</v>
      </c>
      <c r="M579" t="s">
        <v>1661</v>
      </c>
    </row>
    <row r="580" spans="1:13" x14ac:dyDescent="0.45">
      <c r="A580" t="s">
        <v>13</v>
      </c>
      <c r="B580">
        <v>579499</v>
      </c>
      <c r="C580">
        <v>581166</v>
      </c>
      <c r="E580" t="s">
        <v>14</v>
      </c>
      <c r="F580" t="s">
        <v>1662</v>
      </c>
      <c r="H580">
        <v>0</v>
      </c>
      <c r="I580" t="s">
        <v>17</v>
      </c>
      <c r="K580" t="s">
        <v>1663</v>
      </c>
      <c r="L580">
        <v>555</v>
      </c>
      <c r="M580" t="s">
        <v>1664</v>
      </c>
    </row>
    <row r="581" spans="1:13" x14ac:dyDescent="0.45">
      <c r="A581" t="s">
        <v>13</v>
      </c>
      <c r="B581">
        <v>581744</v>
      </c>
      <c r="C581">
        <v>582673</v>
      </c>
      <c r="E581" t="s">
        <v>14</v>
      </c>
      <c r="F581" t="s">
        <v>1665</v>
      </c>
      <c r="G581" t="s">
        <v>1666</v>
      </c>
      <c r="H581">
        <v>0</v>
      </c>
      <c r="I581" t="s">
        <v>17</v>
      </c>
      <c r="K581" t="s">
        <v>1667</v>
      </c>
      <c r="L581">
        <v>309</v>
      </c>
      <c r="M581" t="s">
        <v>1668</v>
      </c>
    </row>
    <row r="582" spans="1:13" x14ac:dyDescent="0.45">
      <c r="A582" t="s">
        <v>13</v>
      </c>
      <c r="B582">
        <v>582771</v>
      </c>
      <c r="C582">
        <v>583334</v>
      </c>
      <c r="E582" t="s">
        <v>14</v>
      </c>
      <c r="F582" t="s">
        <v>1201</v>
      </c>
      <c r="H582">
        <v>0</v>
      </c>
      <c r="I582" t="s">
        <v>17</v>
      </c>
      <c r="K582" t="s">
        <v>1669</v>
      </c>
      <c r="L582">
        <v>187</v>
      </c>
      <c r="M582" t="s">
        <v>1670</v>
      </c>
    </row>
    <row r="583" spans="1:13" x14ac:dyDescent="0.45">
      <c r="A583" t="s">
        <v>13</v>
      </c>
      <c r="B583">
        <v>583822</v>
      </c>
      <c r="C583">
        <v>584658</v>
      </c>
      <c r="E583" t="s">
        <v>14</v>
      </c>
      <c r="F583" t="s">
        <v>1671</v>
      </c>
      <c r="H583">
        <v>0</v>
      </c>
      <c r="I583" t="s">
        <v>17</v>
      </c>
      <c r="K583" t="s">
        <v>1672</v>
      </c>
      <c r="L583">
        <v>278</v>
      </c>
      <c r="M583" t="s">
        <v>1673</v>
      </c>
    </row>
    <row r="584" spans="1:13" x14ac:dyDescent="0.45">
      <c r="A584" t="s">
        <v>13</v>
      </c>
      <c r="B584">
        <v>584910</v>
      </c>
      <c r="C584">
        <v>585905</v>
      </c>
      <c r="E584" t="s">
        <v>14</v>
      </c>
      <c r="F584" t="s">
        <v>1674</v>
      </c>
      <c r="H584">
        <v>0</v>
      </c>
      <c r="I584" t="s">
        <v>17</v>
      </c>
      <c r="K584" t="s">
        <v>1675</v>
      </c>
      <c r="L584">
        <v>331</v>
      </c>
      <c r="M584" t="s">
        <v>1676</v>
      </c>
    </row>
    <row r="585" spans="1:13" x14ac:dyDescent="0.45">
      <c r="A585" t="s">
        <v>13</v>
      </c>
      <c r="B585">
        <v>586162</v>
      </c>
      <c r="C585">
        <v>586566</v>
      </c>
      <c r="E585" t="s">
        <v>96</v>
      </c>
      <c r="F585" t="s">
        <v>1677</v>
      </c>
      <c r="H585">
        <v>0</v>
      </c>
      <c r="I585" t="s">
        <v>17</v>
      </c>
      <c r="K585" t="s">
        <v>1678</v>
      </c>
      <c r="L585">
        <v>134</v>
      </c>
      <c r="M585" t="s">
        <v>1679</v>
      </c>
    </row>
    <row r="586" spans="1:13" x14ac:dyDescent="0.45">
      <c r="A586" t="s">
        <v>13</v>
      </c>
      <c r="B586">
        <v>587566</v>
      </c>
      <c r="C586">
        <v>588480</v>
      </c>
      <c r="E586" t="s">
        <v>14</v>
      </c>
      <c r="F586" t="s">
        <v>1680</v>
      </c>
      <c r="G586" t="s">
        <v>1681</v>
      </c>
      <c r="H586">
        <v>0</v>
      </c>
      <c r="I586" t="s">
        <v>17</v>
      </c>
      <c r="K586" t="s">
        <v>1682</v>
      </c>
      <c r="L586">
        <v>304</v>
      </c>
      <c r="M586" t="s">
        <v>1683</v>
      </c>
    </row>
    <row r="587" spans="1:13" x14ac:dyDescent="0.45">
      <c r="A587" t="s">
        <v>13</v>
      </c>
      <c r="B587">
        <v>588586</v>
      </c>
      <c r="C587">
        <v>590823</v>
      </c>
      <c r="E587" t="s">
        <v>14</v>
      </c>
      <c r="F587" t="s">
        <v>49</v>
      </c>
      <c r="H587">
        <v>0</v>
      </c>
      <c r="I587" t="s">
        <v>17</v>
      </c>
      <c r="K587" t="s">
        <v>1684</v>
      </c>
      <c r="L587">
        <v>745</v>
      </c>
      <c r="M587" t="s">
        <v>1685</v>
      </c>
    </row>
    <row r="588" spans="1:13" x14ac:dyDescent="0.45">
      <c r="A588" t="s">
        <v>13</v>
      </c>
      <c r="B588">
        <v>591020</v>
      </c>
      <c r="C588">
        <v>592072</v>
      </c>
      <c r="E588" t="s">
        <v>14</v>
      </c>
      <c r="F588" t="s">
        <v>1686</v>
      </c>
      <c r="G588" t="s">
        <v>1687</v>
      </c>
      <c r="H588">
        <v>0</v>
      </c>
      <c r="I588" t="s">
        <v>17</v>
      </c>
      <c r="K588" t="s">
        <v>1688</v>
      </c>
      <c r="L588">
        <v>350</v>
      </c>
      <c r="M588" t="s">
        <v>1689</v>
      </c>
    </row>
    <row r="589" spans="1:13" x14ac:dyDescent="0.45">
      <c r="A589" t="s">
        <v>13</v>
      </c>
      <c r="B589">
        <v>592266</v>
      </c>
      <c r="C589">
        <v>592736</v>
      </c>
      <c r="E589" t="s">
        <v>14</v>
      </c>
      <c r="F589" t="s">
        <v>1690</v>
      </c>
      <c r="G589" t="s">
        <v>1691</v>
      </c>
      <c r="H589">
        <v>0</v>
      </c>
      <c r="I589" t="s">
        <v>17</v>
      </c>
      <c r="K589" t="s">
        <v>1692</v>
      </c>
      <c r="L589">
        <v>156</v>
      </c>
      <c r="M589" t="s">
        <v>1693</v>
      </c>
    </row>
    <row r="590" spans="1:13" x14ac:dyDescent="0.45">
      <c r="A590" t="s">
        <v>13</v>
      </c>
      <c r="B590">
        <v>592772</v>
      </c>
      <c r="C590">
        <v>593620</v>
      </c>
      <c r="E590" t="s">
        <v>14</v>
      </c>
      <c r="F590" t="s">
        <v>1694</v>
      </c>
      <c r="H590">
        <v>0</v>
      </c>
      <c r="I590" t="s">
        <v>17</v>
      </c>
      <c r="K590" t="s">
        <v>1695</v>
      </c>
      <c r="L590">
        <v>282</v>
      </c>
      <c r="M590" t="s">
        <v>1696</v>
      </c>
    </row>
    <row r="591" spans="1:13" x14ac:dyDescent="0.45">
      <c r="A591" t="s">
        <v>13</v>
      </c>
      <c r="B591">
        <v>593976</v>
      </c>
      <c r="C591">
        <v>594980</v>
      </c>
      <c r="E591" t="s">
        <v>14</v>
      </c>
      <c r="F591" t="s">
        <v>1697</v>
      </c>
      <c r="H591">
        <v>0</v>
      </c>
      <c r="I591" t="s">
        <v>17</v>
      </c>
      <c r="K591" t="s">
        <v>1698</v>
      </c>
      <c r="L591">
        <v>334</v>
      </c>
      <c r="M591" t="s">
        <v>1699</v>
      </c>
    </row>
    <row r="592" spans="1:13" x14ac:dyDescent="0.45">
      <c r="A592" t="s">
        <v>13</v>
      </c>
      <c r="B592">
        <v>595105</v>
      </c>
      <c r="C592">
        <v>596217</v>
      </c>
      <c r="E592" t="s">
        <v>14</v>
      </c>
      <c r="F592" t="s">
        <v>1697</v>
      </c>
      <c r="H592">
        <v>0</v>
      </c>
      <c r="I592" t="s">
        <v>17</v>
      </c>
      <c r="K592" t="s">
        <v>1700</v>
      </c>
      <c r="L592">
        <v>370</v>
      </c>
      <c r="M592" t="s">
        <v>1701</v>
      </c>
    </row>
    <row r="593" spans="1:13" x14ac:dyDescent="0.45">
      <c r="A593" t="s">
        <v>13</v>
      </c>
      <c r="B593">
        <v>596640</v>
      </c>
      <c r="C593">
        <v>597401</v>
      </c>
      <c r="E593" t="s">
        <v>14</v>
      </c>
      <c r="F593" t="s">
        <v>1702</v>
      </c>
      <c r="H593">
        <v>0</v>
      </c>
      <c r="I593" t="s">
        <v>17</v>
      </c>
      <c r="K593" t="s">
        <v>1703</v>
      </c>
      <c r="L593">
        <v>253</v>
      </c>
      <c r="M593" t="s">
        <v>1704</v>
      </c>
    </row>
    <row r="594" spans="1:13" x14ac:dyDescent="0.45">
      <c r="A594" t="s">
        <v>13</v>
      </c>
      <c r="B594">
        <v>597404</v>
      </c>
      <c r="C594">
        <v>598222</v>
      </c>
      <c r="E594" t="s">
        <v>14</v>
      </c>
      <c r="F594" t="s">
        <v>1705</v>
      </c>
      <c r="H594">
        <v>0</v>
      </c>
      <c r="I594" t="s">
        <v>17</v>
      </c>
      <c r="K594" t="s">
        <v>1706</v>
      </c>
      <c r="L594">
        <v>272</v>
      </c>
      <c r="M594" t="s">
        <v>1707</v>
      </c>
    </row>
    <row r="595" spans="1:13" x14ac:dyDescent="0.45">
      <c r="A595" t="s">
        <v>13</v>
      </c>
      <c r="B595">
        <v>598402</v>
      </c>
      <c r="C595">
        <v>599004</v>
      </c>
      <c r="E595" t="s">
        <v>14</v>
      </c>
      <c r="F595" t="s">
        <v>1708</v>
      </c>
      <c r="H595">
        <v>0</v>
      </c>
      <c r="I595" t="s">
        <v>17</v>
      </c>
      <c r="K595" t="s">
        <v>1709</v>
      </c>
      <c r="L595">
        <v>200</v>
      </c>
      <c r="M595" t="s">
        <v>1710</v>
      </c>
    </row>
    <row r="596" spans="1:13" x14ac:dyDescent="0.45">
      <c r="A596" t="s">
        <v>13</v>
      </c>
      <c r="B596">
        <v>599867</v>
      </c>
      <c r="C596">
        <v>601786</v>
      </c>
      <c r="E596" t="s">
        <v>14</v>
      </c>
      <c r="F596" t="s">
        <v>1711</v>
      </c>
      <c r="G596" t="s">
        <v>1712</v>
      </c>
      <c r="H596">
        <v>0</v>
      </c>
      <c r="I596" t="s">
        <v>17</v>
      </c>
      <c r="K596" t="s">
        <v>1713</v>
      </c>
      <c r="L596">
        <v>639</v>
      </c>
      <c r="M596" t="s">
        <v>1714</v>
      </c>
    </row>
    <row r="597" spans="1:13" x14ac:dyDescent="0.45">
      <c r="A597" t="s">
        <v>13</v>
      </c>
      <c r="B597">
        <v>602554</v>
      </c>
      <c r="C597">
        <v>602982</v>
      </c>
      <c r="E597" t="s">
        <v>14</v>
      </c>
      <c r="F597" t="s">
        <v>271</v>
      </c>
      <c r="H597">
        <v>0</v>
      </c>
      <c r="I597" t="s">
        <v>272</v>
      </c>
      <c r="M597" t="s">
        <v>1715</v>
      </c>
    </row>
    <row r="598" spans="1:13" x14ac:dyDescent="0.45">
      <c r="A598" t="s">
        <v>13</v>
      </c>
      <c r="B598">
        <v>603607</v>
      </c>
      <c r="C598">
        <v>603720</v>
      </c>
      <c r="E598" t="s">
        <v>14</v>
      </c>
      <c r="F598" t="s">
        <v>271</v>
      </c>
      <c r="H598">
        <v>0</v>
      </c>
      <c r="I598" t="s">
        <v>272</v>
      </c>
      <c r="M598" t="s">
        <v>1716</v>
      </c>
    </row>
    <row r="599" spans="1:13" x14ac:dyDescent="0.45">
      <c r="A599" t="s">
        <v>13</v>
      </c>
      <c r="B599">
        <v>603722</v>
      </c>
      <c r="C599">
        <v>604840</v>
      </c>
      <c r="E599" t="s">
        <v>14</v>
      </c>
      <c r="F599" t="s">
        <v>1370</v>
      </c>
      <c r="G599" t="s">
        <v>1371</v>
      </c>
      <c r="H599">
        <v>0</v>
      </c>
      <c r="I599" t="s">
        <v>17</v>
      </c>
      <c r="K599" t="s">
        <v>1717</v>
      </c>
      <c r="L599">
        <v>372</v>
      </c>
      <c r="M599" t="s">
        <v>1718</v>
      </c>
    </row>
    <row r="600" spans="1:13" x14ac:dyDescent="0.45">
      <c r="A600" t="s">
        <v>13</v>
      </c>
      <c r="B600">
        <v>604961</v>
      </c>
      <c r="C600">
        <v>605545</v>
      </c>
      <c r="E600" t="s">
        <v>14</v>
      </c>
      <c r="F600" t="s">
        <v>1719</v>
      </c>
      <c r="H600">
        <v>0</v>
      </c>
      <c r="I600" t="s">
        <v>17</v>
      </c>
      <c r="K600" t="s">
        <v>1720</v>
      </c>
      <c r="L600">
        <v>194</v>
      </c>
      <c r="M600" t="s">
        <v>1721</v>
      </c>
    </row>
    <row r="601" spans="1:13" x14ac:dyDescent="0.45">
      <c r="A601" t="s">
        <v>13</v>
      </c>
      <c r="B601">
        <v>605838</v>
      </c>
      <c r="C601">
        <v>606875</v>
      </c>
      <c r="E601" t="s">
        <v>96</v>
      </c>
      <c r="F601" t="s">
        <v>1722</v>
      </c>
      <c r="H601">
        <v>0</v>
      </c>
      <c r="I601" t="s">
        <v>17</v>
      </c>
      <c r="K601" t="s">
        <v>1723</v>
      </c>
      <c r="L601">
        <v>345</v>
      </c>
      <c r="M601" t="s">
        <v>1724</v>
      </c>
    </row>
    <row r="602" spans="1:13" x14ac:dyDescent="0.45">
      <c r="A602" t="s">
        <v>13</v>
      </c>
      <c r="B602">
        <v>606868</v>
      </c>
      <c r="C602">
        <v>607554</v>
      </c>
      <c r="E602" t="s">
        <v>96</v>
      </c>
      <c r="F602" t="s">
        <v>1725</v>
      </c>
      <c r="H602">
        <v>0</v>
      </c>
      <c r="I602" t="s">
        <v>17</v>
      </c>
      <c r="K602" t="s">
        <v>1726</v>
      </c>
      <c r="L602">
        <v>228</v>
      </c>
      <c r="M602" t="s">
        <v>1727</v>
      </c>
    </row>
    <row r="603" spans="1:13" x14ac:dyDescent="0.45">
      <c r="A603" t="s">
        <v>13</v>
      </c>
      <c r="B603">
        <v>607566</v>
      </c>
      <c r="C603">
        <v>607886</v>
      </c>
      <c r="E603" t="s">
        <v>96</v>
      </c>
      <c r="F603" t="s">
        <v>1728</v>
      </c>
      <c r="H603">
        <v>0</v>
      </c>
      <c r="I603" t="s">
        <v>17</v>
      </c>
      <c r="K603" t="s">
        <v>1729</v>
      </c>
      <c r="L603">
        <v>106</v>
      </c>
      <c r="M603" t="s">
        <v>1730</v>
      </c>
    </row>
    <row r="604" spans="1:13" x14ac:dyDescent="0.45">
      <c r="A604" t="s">
        <v>13</v>
      </c>
      <c r="B604">
        <v>608247</v>
      </c>
      <c r="C604">
        <v>609587</v>
      </c>
      <c r="E604" t="s">
        <v>14</v>
      </c>
      <c r="F604" t="s">
        <v>1219</v>
      </c>
      <c r="H604">
        <v>0</v>
      </c>
      <c r="I604" t="s">
        <v>17</v>
      </c>
      <c r="K604" t="s">
        <v>1731</v>
      </c>
      <c r="L604">
        <v>446</v>
      </c>
      <c r="M604" t="s">
        <v>1732</v>
      </c>
    </row>
    <row r="605" spans="1:13" x14ac:dyDescent="0.45">
      <c r="A605" t="s">
        <v>13</v>
      </c>
      <c r="B605">
        <v>610265</v>
      </c>
      <c r="C605">
        <v>610834</v>
      </c>
      <c r="E605" t="s">
        <v>96</v>
      </c>
      <c r="F605" t="s">
        <v>1733</v>
      </c>
      <c r="H605">
        <v>0</v>
      </c>
      <c r="I605" t="s">
        <v>17</v>
      </c>
      <c r="K605" t="s">
        <v>1734</v>
      </c>
      <c r="L605">
        <v>189</v>
      </c>
      <c r="M605" t="s">
        <v>1735</v>
      </c>
    </row>
    <row r="606" spans="1:13" x14ac:dyDescent="0.45">
      <c r="A606" t="s">
        <v>13</v>
      </c>
      <c r="B606">
        <v>610995</v>
      </c>
      <c r="C606">
        <v>612245</v>
      </c>
      <c r="E606" t="s">
        <v>96</v>
      </c>
      <c r="F606" t="s">
        <v>205</v>
      </c>
      <c r="H606">
        <v>0</v>
      </c>
      <c r="I606" t="s">
        <v>17</v>
      </c>
      <c r="K606" t="s">
        <v>1736</v>
      </c>
      <c r="L606">
        <v>416</v>
      </c>
      <c r="M606" t="s">
        <v>1737</v>
      </c>
    </row>
    <row r="607" spans="1:13" x14ac:dyDescent="0.45">
      <c r="A607" t="s">
        <v>13</v>
      </c>
      <c r="B607">
        <v>612537</v>
      </c>
      <c r="C607">
        <v>613115</v>
      </c>
      <c r="E607" t="s">
        <v>96</v>
      </c>
      <c r="F607" t="s">
        <v>1178</v>
      </c>
      <c r="H607">
        <v>0</v>
      </c>
      <c r="I607" t="s">
        <v>17</v>
      </c>
      <c r="K607" t="s">
        <v>1738</v>
      </c>
      <c r="L607">
        <v>192</v>
      </c>
      <c r="M607" t="s">
        <v>1739</v>
      </c>
    </row>
    <row r="608" spans="1:13" x14ac:dyDescent="0.45">
      <c r="A608" t="s">
        <v>13</v>
      </c>
      <c r="B608">
        <v>613454</v>
      </c>
      <c r="C608">
        <v>614914</v>
      </c>
      <c r="E608" t="s">
        <v>14</v>
      </c>
      <c r="F608" t="s">
        <v>1740</v>
      </c>
      <c r="H608">
        <v>0</v>
      </c>
      <c r="I608" t="s">
        <v>17</v>
      </c>
      <c r="K608" t="s">
        <v>1741</v>
      </c>
      <c r="L608">
        <v>486</v>
      </c>
      <c r="M608" t="s">
        <v>1742</v>
      </c>
    </row>
    <row r="609" spans="1:13" x14ac:dyDescent="0.45">
      <c r="A609" t="s">
        <v>13</v>
      </c>
      <c r="B609">
        <v>615288</v>
      </c>
      <c r="C609">
        <v>615893</v>
      </c>
      <c r="E609" t="s">
        <v>14</v>
      </c>
      <c r="F609" t="s">
        <v>1178</v>
      </c>
      <c r="H609">
        <v>0</v>
      </c>
      <c r="I609" t="s">
        <v>17</v>
      </c>
      <c r="K609" t="s">
        <v>1743</v>
      </c>
      <c r="L609">
        <v>201</v>
      </c>
      <c r="M609" t="s">
        <v>1744</v>
      </c>
    </row>
    <row r="610" spans="1:13" x14ac:dyDescent="0.45">
      <c r="A610" t="s">
        <v>13</v>
      </c>
      <c r="B610">
        <v>615896</v>
      </c>
      <c r="C610">
        <v>618463</v>
      </c>
      <c r="E610" t="s">
        <v>14</v>
      </c>
      <c r="F610" t="s">
        <v>1745</v>
      </c>
      <c r="H610">
        <v>0</v>
      </c>
      <c r="I610" t="s">
        <v>17</v>
      </c>
      <c r="K610" t="s">
        <v>1746</v>
      </c>
      <c r="L610">
        <v>855</v>
      </c>
      <c r="M610" t="s">
        <v>1747</v>
      </c>
    </row>
    <row r="611" spans="1:13" x14ac:dyDescent="0.45">
      <c r="A611" t="s">
        <v>13</v>
      </c>
      <c r="B611">
        <v>618722</v>
      </c>
      <c r="C611">
        <v>619213</v>
      </c>
      <c r="E611" t="s">
        <v>96</v>
      </c>
      <c r="F611" t="s">
        <v>1748</v>
      </c>
      <c r="H611">
        <v>0</v>
      </c>
      <c r="I611" t="s">
        <v>17</v>
      </c>
      <c r="K611" t="s">
        <v>1749</v>
      </c>
      <c r="L611">
        <v>163</v>
      </c>
      <c r="M611" t="s">
        <v>1750</v>
      </c>
    </row>
    <row r="612" spans="1:13" x14ac:dyDescent="0.45">
      <c r="A612" t="s">
        <v>13</v>
      </c>
      <c r="B612">
        <v>619167</v>
      </c>
      <c r="C612">
        <v>619454</v>
      </c>
      <c r="E612" t="s">
        <v>96</v>
      </c>
      <c r="F612" t="s">
        <v>43</v>
      </c>
      <c r="H612">
        <v>0</v>
      </c>
      <c r="I612" t="s">
        <v>17</v>
      </c>
      <c r="K612" t="s">
        <v>1751</v>
      </c>
      <c r="L612">
        <v>95</v>
      </c>
      <c r="M612" t="s">
        <v>1752</v>
      </c>
    </row>
    <row r="613" spans="1:13" x14ac:dyDescent="0.45">
      <c r="A613" t="s">
        <v>13</v>
      </c>
      <c r="B613">
        <v>619729</v>
      </c>
      <c r="C613">
        <v>620004</v>
      </c>
      <c r="E613" t="s">
        <v>14</v>
      </c>
      <c r="F613" t="s">
        <v>43</v>
      </c>
      <c r="H613">
        <v>0</v>
      </c>
      <c r="I613" t="s">
        <v>17</v>
      </c>
      <c r="K613" t="s">
        <v>1753</v>
      </c>
      <c r="L613">
        <v>91</v>
      </c>
      <c r="M613" t="s">
        <v>1754</v>
      </c>
    </row>
    <row r="614" spans="1:13" x14ac:dyDescent="0.45">
      <c r="A614" t="s">
        <v>13</v>
      </c>
      <c r="B614">
        <v>620024</v>
      </c>
      <c r="C614">
        <v>620311</v>
      </c>
      <c r="E614" t="s">
        <v>14</v>
      </c>
      <c r="F614" t="s">
        <v>43</v>
      </c>
      <c r="H614">
        <v>0</v>
      </c>
      <c r="I614" t="s">
        <v>17</v>
      </c>
      <c r="K614" t="s">
        <v>1755</v>
      </c>
      <c r="L614">
        <v>95</v>
      </c>
      <c r="M614" t="s">
        <v>1756</v>
      </c>
    </row>
    <row r="615" spans="1:13" x14ac:dyDescent="0.45">
      <c r="A615" t="s">
        <v>13</v>
      </c>
      <c r="B615">
        <v>620784</v>
      </c>
      <c r="C615">
        <v>621218</v>
      </c>
      <c r="E615" t="s">
        <v>14</v>
      </c>
      <c r="F615" t="s">
        <v>1757</v>
      </c>
      <c r="H615">
        <v>0</v>
      </c>
      <c r="I615" t="s">
        <v>17</v>
      </c>
      <c r="K615" t="s">
        <v>1758</v>
      </c>
      <c r="L615">
        <v>144</v>
      </c>
      <c r="M615" t="s">
        <v>1759</v>
      </c>
    </row>
    <row r="616" spans="1:13" x14ac:dyDescent="0.45">
      <c r="A616" t="s">
        <v>13</v>
      </c>
      <c r="B616">
        <v>621866</v>
      </c>
      <c r="C616">
        <v>622974</v>
      </c>
      <c r="E616" t="s">
        <v>14</v>
      </c>
      <c r="F616" t="s">
        <v>271</v>
      </c>
      <c r="G616" t="s">
        <v>1371</v>
      </c>
      <c r="H616">
        <v>0</v>
      </c>
      <c r="I616" t="s">
        <v>272</v>
      </c>
      <c r="M616" t="s">
        <v>1760</v>
      </c>
    </row>
    <row r="617" spans="1:13" x14ac:dyDescent="0.45">
      <c r="A617" t="s">
        <v>13</v>
      </c>
      <c r="B617">
        <v>623039</v>
      </c>
      <c r="C617">
        <v>625162</v>
      </c>
      <c r="E617" t="s">
        <v>14</v>
      </c>
      <c r="F617" t="s">
        <v>43</v>
      </c>
      <c r="H617">
        <v>0</v>
      </c>
      <c r="I617" t="s">
        <v>17</v>
      </c>
      <c r="K617" t="s">
        <v>1761</v>
      </c>
      <c r="L617">
        <v>707</v>
      </c>
      <c r="M617" t="s">
        <v>1762</v>
      </c>
    </row>
    <row r="618" spans="1:13" x14ac:dyDescent="0.45">
      <c r="A618" t="s">
        <v>13</v>
      </c>
      <c r="B618">
        <v>625177</v>
      </c>
      <c r="C618">
        <v>630387</v>
      </c>
      <c r="E618" t="s">
        <v>14</v>
      </c>
      <c r="F618" t="s">
        <v>1757</v>
      </c>
      <c r="H618">
        <v>0</v>
      </c>
      <c r="I618" t="s">
        <v>17</v>
      </c>
      <c r="K618" t="s">
        <v>1763</v>
      </c>
      <c r="L618">
        <v>1736</v>
      </c>
      <c r="M618" t="s">
        <v>1764</v>
      </c>
    </row>
    <row r="619" spans="1:13" x14ac:dyDescent="0.45">
      <c r="A619" t="s">
        <v>13</v>
      </c>
      <c r="B619">
        <v>630612</v>
      </c>
      <c r="C619">
        <v>632711</v>
      </c>
      <c r="E619" t="s">
        <v>96</v>
      </c>
      <c r="F619" t="s">
        <v>1204</v>
      </c>
      <c r="H619">
        <v>0</v>
      </c>
      <c r="I619" t="s">
        <v>17</v>
      </c>
      <c r="K619" t="s">
        <v>1765</v>
      </c>
      <c r="L619">
        <v>699</v>
      </c>
      <c r="M619" t="s">
        <v>1766</v>
      </c>
    </row>
    <row r="620" spans="1:13" x14ac:dyDescent="0.45">
      <c r="A620" t="s">
        <v>13</v>
      </c>
      <c r="B620">
        <v>632754</v>
      </c>
      <c r="C620">
        <v>633149</v>
      </c>
      <c r="E620" t="s">
        <v>96</v>
      </c>
      <c r="F620" t="s">
        <v>1767</v>
      </c>
      <c r="H620">
        <v>0</v>
      </c>
      <c r="I620" t="s">
        <v>17</v>
      </c>
      <c r="K620" t="s">
        <v>1768</v>
      </c>
      <c r="L620">
        <v>131</v>
      </c>
      <c r="M620" t="s">
        <v>1769</v>
      </c>
    </row>
    <row r="621" spans="1:13" x14ac:dyDescent="0.45">
      <c r="A621" t="s">
        <v>13</v>
      </c>
      <c r="B621">
        <v>634210</v>
      </c>
      <c r="C621">
        <v>634398</v>
      </c>
      <c r="E621" t="s">
        <v>14</v>
      </c>
      <c r="F621" t="s">
        <v>43</v>
      </c>
      <c r="H621">
        <v>0</v>
      </c>
      <c r="I621" t="s">
        <v>17</v>
      </c>
      <c r="K621" t="s">
        <v>1770</v>
      </c>
      <c r="L621">
        <v>62</v>
      </c>
      <c r="M621" t="s">
        <v>1771</v>
      </c>
    </row>
    <row r="622" spans="1:13" x14ac:dyDescent="0.45">
      <c r="A622" t="s">
        <v>13</v>
      </c>
      <c r="B622">
        <v>634583</v>
      </c>
      <c r="C622">
        <v>635023</v>
      </c>
      <c r="E622" t="s">
        <v>96</v>
      </c>
      <c r="F622" t="s">
        <v>1093</v>
      </c>
      <c r="H622">
        <v>0</v>
      </c>
      <c r="I622" t="s">
        <v>17</v>
      </c>
      <c r="K622" t="s">
        <v>1772</v>
      </c>
      <c r="L622">
        <v>146</v>
      </c>
      <c r="M622" t="s">
        <v>1773</v>
      </c>
    </row>
    <row r="623" spans="1:13" x14ac:dyDescent="0.45">
      <c r="A623" t="s">
        <v>13</v>
      </c>
      <c r="B623">
        <v>635359</v>
      </c>
      <c r="C623">
        <v>636672</v>
      </c>
      <c r="E623" t="s">
        <v>14</v>
      </c>
      <c r="F623" t="s">
        <v>1774</v>
      </c>
      <c r="H623">
        <v>0</v>
      </c>
      <c r="I623" t="s">
        <v>17</v>
      </c>
      <c r="K623" t="s">
        <v>1775</v>
      </c>
      <c r="L623">
        <v>437</v>
      </c>
      <c r="M623" t="s">
        <v>1776</v>
      </c>
    </row>
    <row r="624" spans="1:13" x14ac:dyDescent="0.45">
      <c r="A624" t="s">
        <v>13</v>
      </c>
      <c r="B624">
        <v>636690</v>
      </c>
      <c r="C624">
        <v>637226</v>
      </c>
      <c r="E624" t="s">
        <v>14</v>
      </c>
      <c r="F624" t="s">
        <v>1777</v>
      </c>
      <c r="H624">
        <v>0</v>
      </c>
      <c r="I624" t="s">
        <v>17</v>
      </c>
      <c r="K624" t="s">
        <v>1778</v>
      </c>
      <c r="L624">
        <v>178</v>
      </c>
      <c r="M624" t="s">
        <v>1779</v>
      </c>
    </row>
    <row r="625" spans="1:13" x14ac:dyDescent="0.45">
      <c r="A625" t="s">
        <v>13</v>
      </c>
      <c r="B625">
        <v>637745</v>
      </c>
      <c r="C625">
        <v>637966</v>
      </c>
      <c r="E625" t="s">
        <v>14</v>
      </c>
      <c r="F625" t="s">
        <v>1780</v>
      </c>
      <c r="H625">
        <v>0</v>
      </c>
      <c r="I625" t="s">
        <v>17</v>
      </c>
      <c r="K625" t="s">
        <v>1781</v>
      </c>
      <c r="L625">
        <v>73</v>
      </c>
      <c r="M625" t="s">
        <v>1782</v>
      </c>
    </row>
    <row r="626" spans="1:13" x14ac:dyDescent="0.45">
      <c r="A626" t="s">
        <v>13</v>
      </c>
      <c r="B626">
        <v>637966</v>
      </c>
      <c r="C626">
        <v>638229</v>
      </c>
      <c r="E626" t="s">
        <v>14</v>
      </c>
      <c r="F626" t="s">
        <v>1783</v>
      </c>
      <c r="H626">
        <v>0</v>
      </c>
      <c r="I626" t="s">
        <v>17</v>
      </c>
      <c r="K626" t="s">
        <v>1784</v>
      </c>
      <c r="L626">
        <v>87</v>
      </c>
      <c r="M626" t="s">
        <v>1785</v>
      </c>
    </row>
    <row r="627" spans="1:13" x14ac:dyDescent="0.45">
      <c r="A627" t="s">
        <v>13</v>
      </c>
      <c r="B627">
        <v>638291</v>
      </c>
      <c r="C627">
        <v>638863</v>
      </c>
      <c r="E627" t="s">
        <v>14</v>
      </c>
      <c r="F627" t="s">
        <v>1786</v>
      </c>
      <c r="H627">
        <v>0</v>
      </c>
      <c r="I627" t="s">
        <v>17</v>
      </c>
      <c r="K627" t="s">
        <v>1787</v>
      </c>
      <c r="L627">
        <v>190</v>
      </c>
      <c r="M627" t="s">
        <v>1788</v>
      </c>
    </row>
    <row r="628" spans="1:13" x14ac:dyDescent="0.45">
      <c r="A628" t="s">
        <v>13</v>
      </c>
      <c r="B628">
        <v>639681</v>
      </c>
      <c r="C628">
        <v>640214</v>
      </c>
      <c r="E628" t="s">
        <v>14</v>
      </c>
      <c r="F628" t="s">
        <v>1789</v>
      </c>
      <c r="H628">
        <v>0</v>
      </c>
      <c r="I628" t="s">
        <v>17</v>
      </c>
      <c r="K628" t="s">
        <v>1790</v>
      </c>
      <c r="L628">
        <v>177</v>
      </c>
      <c r="M628" t="s">
        <v>1791</v>
      </c>
    </row>
    <row r="629" spans="1:13" x14ac:dyDescent="0.45">
      <c r="A629" t="s">
        <v>13</v>
      </c>
      <c r="B629">
        <v>640439</v>
      </c>
      <c r="C629">
        <v>640618</v>
      </c>
      <c r="E629" t="s">
        <v>14</v>
      </c>
      <c r="F629" t="s">
        <v>1295</v>
      </c>
      <c r="H629">
        <v>0</v>
      </c>
      <c r="I629" t="s">
        <v>17</v>
      </c>
      <c r="K629" t="s">
        <v>1792</v>
      </c>
      <c r="L629">
        <v>59</v>
      </c>
      <c r="M629" t="s">
        <v>1793</v>
      </c>
    </row>
    <row r="630" spans="1:13" x14ac:dyDescent="0.45">
      <c r="A630" t="s">
        <v>13</v>
      </c>
      <c r="B630">
        <v>641225</v>
      </c>
      <c r="C630">
        <v>641884</v>
      </c>
      <c r="E630" t="s">
        <v>96</v>
      </c>
      <c r="F630" t="s">
        <v>1794</v>
      </c>
      <c r="H630">
        <v>0</v>
      </c>
      <c r="I630" t="s">
        <v>17</v>
      </c>
      <c r="K630" t="s">
        <v>1795</v>
      </c>
      <c r="L630">
        <v>219</v>
      </c>
      <c r="M630" t="s">
        <v>1796</v>
      </c>
    </row>
    <row r="631" spans="1:13" x14ac:dyDescent="0.45">
      <c r="A631" t="s">
        <v>13</v>
      </c>
      <c r="B631">
        <v>642321</v>
      </c>
      <c r="C631">
        <v>642734</v>
      </c>
      <c r="E631" t="s">
        <v>14</v>
      </c>
      <c r="F631" t="s">
        <v>1797</v>
      </c>
      <c r="H631">
        <v>0</v>
      </c>
      <c r="I631" t="s">
        <v>17</v>
      </c>
      <c r="K631" t="s">
        <v>1798</v>
      </c>
      <c r="L631">
        <v>137</v>
      </c>
      <c r="M631" t="s">
        <v>1799</v>
      </c>
    </row>
    <row r="632" spans="1:13" x14ac:dyDescent="0.45">
      <c r="A632" t="s">
        <v>13</v>
      </c>
      <c r="B632">
        <v>642809</v>
      </c>
      <c r="C632">
        <v>643318</v>
      </c>
      <c r="E632" t="s">
        <v>14</v>
      </c>
      <c r="F632" t="s">
        <v>1800</v>
      </c>
      <c r="H632">
        <v>0</v>
      </c>
      <c r="I632" t="s">
        <v>17</v>
      </c>
      <c r="K632" t="s">
        <v>1801</v>
      </c>
      <c r="L632">
        <v>169</v>
      </c>
      <c r="M632" t="s">
        <v>1802</v>
      </c>
    </row>
    <row r="633" spans="1:13" x14ac:dyDescent="0.45">
      <c r="A633" t="s">
        <v>13</v>
      </c>
      <c r="B633">
        <v>643559</v>
      </c>
      <c r="C633">
        <v>644170</v>
      </c>
      <c r="E633" t="s">
        <v>14</v>
      </c>
      <c r="F633" t="s">
        <v>1803</v>
      </c>
      <c r="H633">
        <v>0</v>
      </c>
      <c r="I633" t="s">
        <v>17</v>
      </c>
      <c r="K633" t="s">
        <v>1804</v>
      </c>
      <c r="L633">
        <v>203</v>
      </c>
      <c r="M633" t="s">
        <v>1805</v>
      </c>
    </row>
    <row r="634" spans="1:13" x14ac:dyDescent="0.45">
      <c r="A634" t="s">
        <v>13</v>
      </c>
      <c r="B634">
        <v>644825</v>
      </c>
      <c r="C634">
        <v>645934</v>
      </c>
      <c r="E634" t="s">
        <v>14</v>
      </c>
      <c r="F634" t="s">
        <v>1370</v>
      </c>
      <c r="G634" t="s">
        <v>1371</v>
      </c>
      <c r="H634">
        <v>0</v>
      </c>
      <c r="I634" t="s">
        <v>17</v>
      </c>
      <c r="K634" t="s">
        <v>1806</v>
      </c>
      <c r="L634">
        <v>369</v>
      </c>
      <c r="M634" t="s">
        <v>1807</v>
      </c>
    </row>
    <row r="635" spans="1:13" x14ac:dyDescent="0.45">
      <c r="A635" t="s">
        <v>13</v>
      </c>
      <c r="B635">
        <v>646061</v>
      </c>
      <c r="C635">
        <v>646963</v>
      </c>
      <c r="E635" t="s">
        <v>14</v>
      </c>
      <c r="F635" t="s">
        <v>1803</v>
      </c>
      <c r="H635">
        <v>0</v>
      </c>
      <c r="I635" t="s">
        <v>17</v>
      </c>
      <c r="K635" t="s">
        <v>1808</v>
      </c>
      <c r="L635">
        <v>300</v>
      </c>
      <c r="M635" t="s">
        <v>1809</v>
      </c>
    </row>
    <row r="636" spans="1:13" x14ac:dyDescent="0.45">
      <c r="A636" t="s">
        <v>13</v>
      </c>
      <c r="B636">
        <v>647572</v>
      </c>
      <c r="C636">
        <v>648585</v>
      </c>
      <c r="E636" t="s">
        <v>14</v>
      </c>
      <c r="F636" t="s">
        <v>767</v>
      </c>
      <c r="H636">
        <v>0</v>
      </c>
      <c r="I636" t="s">
        <v>17</v>
      </c>
      <c r="K636" t="s">
        <v>1810</v>
      </c>
      <c r="L636">
        <v>337</v>
      </c>
      <c r="M636" t="s">
        <v>1811</v>
      </c>
    </row>
    <row r="637" spans="1:13" x14ac:dyDescent="0.45">
      <c r="A637" t="s">
        <v>13</v>
      </c>
      <c r="B637">
        <v>648941</v>
      </c>
      <c r="C637">
        <v>649510</v>
      </c>
      <c r="E637" t="s">
        <v>14</v>
      </c>
      <c r="F637" t="s">
        <v>1800</v>
      </c>
      <c r="H637">
        <v>0</v>
      </c>
      <c r="I637" t="s">
        <v>17</v>
      </c>
      <c r="K637" t="s">
        <v>1812</v>
      </c>
      <c r="L637">
        <v>189</v>
      </c>
      <c r="M637" t="s">
        <v>1813</v>
      </c>
    </row>
    <row r="638" spans="1:13" x14ac:dyDescent="0.45">
      <c r="A638" t="s">
        <v>13</v>
      </c>
      <c r="B638">
        <v>649847</v>
      </c>
      <c r="C638">
        <v>651019</v>
      </c>
      <c r="E638" t="s">
        <v>96</v>
      </c>
      <c r="F638" t="s">
        <v>1219</v>
      </c>
      <c r="H638">
        <v>0</v>
      </c>
      <c r="I638" t="s">
        <v>17</v>
      </c>
      <c r="K638" t="s">
        <v>1814</v>
      </c>
      <c r="L638">
        <v>390</v>
      </c>
      <c r="M638" t="s">
        <v>1815</v>
      </c>
    </row>
    <row r="639" spans="1:13" x14ac:dyDescent="0.45">
      <c r="A639" t="s">
        <v>13</v>
      </c>
      <c r="B639">
        <v>651624</v>
      </c>
      <c r="C639">
        <v>652334</v>
      </c>
      <c r="E639" t="s">
        <v>96</v>
      </c>
      <c r="F639" t="s">
        <v>697</v>
      </c>
      <c r="H639">
        <v>0</v>
      </c>
      <c r="I639" t="s">
        <v>17</v>
      </c>
      <c r="K639" t="s">
        <v>1816</v>
      </c>
      <c r="L639">
        <v>236</v>
      </c>
      <c r="M639" t="s">
        <v>1817</v>
      </c>
    </row>
    <row r="640" spans="1:13" x14ac:dyDescent="0.45">
      <c r="A640" t="s">
        <v>13</v>
      </c>
      <c r="B640">
        <v>652948</v>
      </c>
      <c r="C640">
        <v>655059</v>
      </c>
      <c r="E640" t="s">
        <v>96</v>
      </c>
      <c r="F640" t="s">
        <v>1818</v>
      </c>
      <c r="H640">
        <v>0</v>
      </c>
      <c r="I640" t="s">
        <v>17</v>
      </c>
      <c r="K640" t="s">
        <v>1819</v>
      </c>
      <c r="L640">
        <v>703</v>
      </c>
      <c r="M640" t="s">
        <v>1820</v>
      </c>
    </row>
    <row r="641" spans="1:13" x14ac:dyDescent="0.45">
      <c r="A641" t="s">
        <v>13</v>
      </c>
      <c r="B641">
        <v>655049</v>
      </c>
      <c r="C641">
        <v>655801</v>
      </c>
      <c r="E641" t="s">
        <v>96</v>
      </c>
      <c r="F641" t="s">
        <v>1140</v>
      </c>
      <c r="H641">
        <v>0</v>
      </c>
      <c r="I641" t="s">
        <v>17</v>
      </c>
      <c r="K641" t="s">
        <v>1821</v>
      </c>
      <c r="L641">
        <v>250</v>
      </c>
      <c r="M641" t="s">
        <v>1822</v>
      </c>
    </row>
    <row r="642" spans="1:13" x14ac:dyDescent="0.45">
      <c r="A642" t="s">
        <v>13</v>
      </c>
      <c r="B642">
        <v>657097</v>
      </c>
      <c r="C642">
        <v>657273</v>
      </c>
      <c r="E642" t="s">
        <v>96</v>
      </c>
      <c r="F642" t="s">
        <v>43</v>
      </c>
      <c r="H642">
        <v>0</v>
      </c>
      <c r="I642" t="s">
        <v>17</v>
      </c>
      <c r="K642" t="s">
        <v>1823</v>
      </c>
      <c r="L642">
        <v>58</v>
      </c>
      <c r="M642" t="s">
        <v>1824</v>
      </c>
    </row>
    <row r="643" spans="1:13" x14ac:dyDescent="0.45">
      <c r="A643" t="s">
        <v>13</v>
      </c>
      <c r="B643">
        <v>657377</v>
      </c>
      <c r="C643">
        <v>657958</v>
      </c>
      <c r="E643" t="s">
        <v>96</v>
      </c>
      <c r="F643" t="s">
        <v>1178</v>
      </c>
      <c r="H643">
        <v>0</v>
      </c>
      <c r="I643" t="s">
        <v>17</v>
      </c>
      <c r="K643" t="s">
        <v>1825</v>
      </c>
      <c r="L643">
        <v>193</v>
      </c>
      <c r="M643" t="s">
        <v>1826</v>
      </c>
    </row>
    <row r="644" spans="1:13" x14ac:dyDescent="0.45">
      <c r="A644" t="s">
        <v>13</v>
      </c>
      <c r="B644">
        <v>658084</v>
      </c>
      <c r="C644">
        <v>658908</v>
      </c>
      <c r="E644" t="s">
        <v>96</v>
      </c>
      <c r="F644" t="s">
        <v>1827</v>
      </c>
      <c r="H644">
        <v>0</v>
      </c>
      <c r="I644" t="s">
        <v>17</v>
      </c>
      <c r="K644" t="s">
        <v>1828</v>
      </c>
      <c r="L644">
        <v>274</v>
      </c>
      <c r="M644" t="s">
        <v>1829</v>
      </c>
    </row>
    <row r="645" spans="1:13" x14ac:dyDescent="0.45">
      <c r="A645" t="s">
        <v>13</v>
      </c>
      <c r="B645">
        <v>659086</v>
      </c>
      <c r="C645">
        <v>659979</v>
      </c>
      <c r="E645" t="s">
        <v>96</v>
      </c>
      <c r="F645" t="s">
        <v>1830</v>
      </c>
      <c r="H645">
        <v>0</v>
      </c>
      <c r="I645" t="s">
        <v>17</v>
      </c>
      <c r="K645" t="s">
        <v>1831</v>
      </c>
      <c r="L645">
        <v>297</v>
      </c>
      <c r="M645" t="s">
        <v>1832</v>
      </c>
    </row>
    <row r="646" spans="1:13" x14ac:dyDescent="0.45">
      <c r="A646" t="s">
        <v>13</v>
      </c>
      <c r="B646">
        <v>660236</v>
      </c>
      <c r="C646">
        <v>660673</v>
      </c>
      <c r="E646" t="s">
        <v>96</v>
      </c>
      <c r="F646" t="s">
        <v>1833</v>
      </c>
      <c r="H646">
        <v>0</v>
      </c>
      <c r="I646" t="s">
        <v>17</v>
      </c>
      <c r="K646" t="s">
        <v>1834</v>
      </c>
      <c r="L646">
        <v>145</v>
      </c>
      <c r="M646" t="s">
        <v>1835</v>
      </c>
    </row>
    <row r="647" spans="1:13" x14ac:dyDescent="0.45">
      <c r="A647" t="s">
        <v>13</v>
      </c>
      <c r="B647">
        <v>660930</v>
      </c>
      <c r="C647">
        <v>661079</v>
      </c>
      <c r="E647" t="s">
        <v>96</v>
      </c>
      <c r="F647" t="s">
        <v>1836</v>
      </c>
      <c r="H647">
        <v>0</v>
      </c>
      <c r="I647" t="s">
        <v>17</v>
      </c>
      <c r="K647" t="s">
        <v>1837</v>
      </c>
      <c r="L647">
        <v>49</v>
      </c>
      <c r="M647" t="s">
        <v>1838</v>
      </c>
    </row>
    <row r="648" spans="1:13" x14ac:dyDescent="0.45">
      <c r="A648" t="s">
        <v>13</v>
      </c>
      <c r="B648">
        <v>661092</v>
      </c>
      <c r="C648">
        <v>661322</v>
      </c>
      <c r="E648" t="s">
        <v>96</v>
      </c>
      <c r="F648" t="s">
        <v>1839</v>
      </c>
      <c r="H648">
        <v>0</v>
      </c>
      <c r="I648" t="s">
        <v>17</v>
      </c>
      <c r="K648" t="s">
        <v>1840</v>
      </c>
      <c r="L648">
        <v>76</v>
      </c>
      <c r="M648" t="s">
        <v>1841</v>
      </c>
    </row>
    <row r="649" spans="1:13" x14ac:dyDescent="0.45">
      <c r="A649" t="s">
        <v>13</v>
      </c>
      <c r="B649">
        <v>662014</v>
      </c>
      <c r="C649">
        <v>662235</v>
      </c>
      <c r="E649" t="s">
        <v>96</v>
      </c>
      <c r="F649" t="s">
        <v>1842</v>
      </c>
      <c r="H649">
        <v>0</v>
      </c>
      <c r="I649" t="s">
        <v>17</v>
      </c>
      <c r="K649" t="s">
        <v>1843</v>
      </c>
      <c r="L649">
        <v>73</v>
      </c>
      <c r="M649" t="s">
        <v>1844</v>
      </c>
    </row>
    <row r="650" spans="1:13" x14ac:dyDescent="0.45">
      <c r="A650" t="s">
        <v>13</v>
      </c>
      <c r="B650">
        <v>662815</v>
      </c>
      <c r="C650">
        <v>663072</v>
      </c>
      <c r="E650" t="s">
        <v>14</v>
      </c>
      <c r="F650" t="s">
        <v>1845</v>
      </c>
      <c r="H650">
        <v>0</v>
      </c>
      <c r="I650" t="s">
        <v>17</v>
      </c>
      <c r="K650" t="s">
        <v>1846</v>
      </c>
      <c r="L650">
        <v>85</v>
      </c>
      <c r="M650" t="s">
        <v>1847</v>
      </c>
    </row>
    <row r="651" spans="1:13" x14ac:dyDescent="0.45">
      <c r="A651" t="s">
        <v>13</v>
      </c>
      <c r="B651">
        <v>663521</v>
      </c>
      <c r="C651">
        <v>664759</v>
      </c>
      <c r="E651" t="s">
        <v>14</v>
      </c>
      <c r="F651" t="s">
        <v>1848</v>
      </c>
      <c r="H651">
        <v>0</v>
      </c>
      <c r="I651" t="s">
        <v>17</v>
      </c>
      <c r="K651" t="s">
        <v>1849</v>
      </c>
      <c r="L651">
        <v>412</v>
      </c>
      <c r="M651" t="s">
        <v>1850</v>
      </c>
    </row>
    <row r="652" spans="1:13" x14ac:dyDescent="0.45">
      <c r="A652" t="s">
        <v>13</v>
      </c>
      <c r="B652">
        <v>665465</v>
      </c>
      <c r="C652">
        <v>666766</v>
      </c>
      <c r="E652" t="s">
        <v>14</v>
      </c>
      <c r="F652" t="s">
        <v>1851</v>
      </c>
      <c r="H652">
        <v>0</v>
      </c>
      <c r="I652" t="s">
        <v>17</v>
      </c>
      <c r="K652" t="s">
        <v>1852</v>
      </c>
      <c r="L652">
        <v>433</v>
      </c>
      <c r="M652" t="s">
        <v>1853</v>
      </c>
    </row>
    <row r="653" spans="1:13" x14ac:dyDescent="0.45">
      <c r="A653" t="s">
        <v>13</v>
      </c>
      <c r="B653">
        <v>666842</v>
      </c>
      <c r="C653">
        <v>667117</v>
      </c>
      <c r="E653" t="s">
        <v>14</v>
      </c>
      <c r="F653" t="s">
        <v>1845</v>
      </c>
      <c r="H653">
        <v>0</v>
      </c>
      <c r="I653" t="s">
        <v>17</v>
      </c>
      <c r="K653" t="s">
        <v>1854</v>
      </c>
      <c r="L653">
        <v>91</v>
      </c>
      <c r="M653" t="s">
        <v>1855</v>
      </c>
    </row>
    <row r="654" spans="1:13" x14ac:dyDescent="0.45">
      <c r="A654" t="s">
        <v>13</v>
      </c>
      <c r="B654">
        <v>668442</v>
      </c>
      <c r="C654">
        <v>668672</v>
      </c>
      <c r="E654" t="s">
        <v>14</v>
      </c>
      <c r="F654" t="s">
        <v>49</v>
      </c>
      <c r="H654">
        <v>0</v>
      </c>
      <c r="I654" t="s">
        <v>17</v>
      </c>
      <c r="K654" t="s">
        <v>1856</v>
      </c>
      <c r="L654">
        <v>76</v>
      </c>
      <c r="M654" t="s">
        <v>1857</v>
      </c>
    </row>
    <row r="655" spans="1:13" x14ac:dyDescent="0.45">
      <c r="A655" t="s">
        <v>13</v>
      </c>
      <c r="B655">
        <v>668665</v>
      </c>
      <c r="C655">
        <v>669246</v>
      </c>
      <c r="E655" t="s">
        <v>14</v>
      </c>
      <c r="F655" t="s">
        <v>548</v>
      </c>
      <c r="H655">
        <v>0</v>
      </c>
      <c r="I655" t="s">
        <v>17</v>
      </c>
      <c r="K655" t="s">
        <v>1858</v>
      </c>
      <c r="L655">
        <v>193</v>
      </c>
      <c r="M655" t="s">
        <v>1859</v>
      </c>
    </row>
    <row r="656" spans="1:13" x14ac:dyDescent="0.45">
      <c r="A656" t="s">
        <v>13</v>
      </c>
      <c r="B656">
        <v>670169</v>
      </c>
      <c r="C656">
        <v>671854</v>
      </c>
      <c r="E656" t="s">
        <v>14</v>
      </c>
      <c r="F656" t="s">
        <v>1140</v>
      </c>
      <c r="H656">
        <v>0</v>
      </c>
      <c r="I656" t="s">
        <v>17</v>
      </c>
      <c r="K656" t="s">
        <v>1860</v>
      </c>
      <c r="L656">
        <v>561</v>
      </c>
      <c r="M656" t="s">
        <v>1861</v>
      </c>
    </row>
    <row r="657" spans="1:13" x14ac:dyDescent="0.45">
      <c r="A657" t="s">
        <v>13</v>
      </c>
      <c r="B657">
        <v>672334</v>
      </c>
      <c r="C657">
        <v>673011</v>
      </c>
      <c r="E657" t="s">
        <v>96</v>
      </c>
      <c r="F657" t="s">
        <v>726</v>
      </c>
      <c r="H657">
        <v>0</v>
      </c>
      <c r="I657" t="s">
        <v>17</v>
      </c>
      <c r="K657" t="s">
        <v>1862</v>
      </c>
      <c r="L657">
        <v>225</v>
      </c>
      <c r="M657" t="s">
        <v>1863</v>
      </c>
    </row>
    <row r="658" spans="1:13" x14ac:dyDescent="0.45">
      <c r="A658" t="s">
        <v>13</v>
      </c>
      <c r="B658">
        <v>673200</v>
      </c>
      <c r="C658">
        <v>674564</v>
      </c>
      <c r="E658" t="s">
        <v>96</v>
      </c>
      <c r="F658" t="s">
        <v>729</v>
      </c>
      <c r="H658">
        <v>0</v>
      </c>
      <c r="I658" t="s">
        <v>17</v>
      </c>
      <c r="K658" t="s">
        <v>1864</v>
      </c>
      <c r="L658">
        <v>454</v>
      </c>
      <c r="M658" t="s">
        <v>1865</v>
      </c>
    </row>
    <row r="659" spans="1:13" x14ac:dyDescent="0.45">
      <c r="A659" t="s">
        <v>13</v>
      </c>
      <c r="B659">
        <v>674692</v>
      </c>
      <c r="C659">
        <v>675213</v>
      </c>
      <c r="E659" t="s">
        <v>14</v>
      </c>
      <c r="F659" t="s">
        <v>1728</v>
      </c>
      <c r="H659">
        <v>0</v>
      </c>
      <c r="I659" t="s">
        <v>17</v>
      </c>
      <c r="K659" t="s">
        <v>1866</v>
      </c>
      <c r="L659">
        <v>173</v>
      </c>
      <c r="M659" t="s">
        <v>1867</v>
      </c>
    </row>
    <row r="660" spans="1:13" x14ac:dyDescent="0.45">
      <c r="A660" t="s">
        <v>13</v>
      </c>
      <c r="B660">
        <v>675345</v>
      </c>
      <c r="C660">
        <v>675584</v>
      </c>
      <c r="E660" t="s">
        <v>14</v>
      </c>
      <c r="F660" t="s">
        <v>43</v>
      </c>
      <c r="H660">
        <v>0</v>
      </c>
      <c r="I660" t="s">
        <v>17</v>
      </c>
      <c r="K660" t="s">
        <v>1868</v>
      </c>
      <c r="L660">
        <v>79</v>
      </c>
      <c r="M660" t="s">
        <v>1869</v>
      </c>
    </row>
    <row r="661" spans="1:13" x14ac:dyDescent="0.45">
      <c r="A661" t="s">
        <v>13</v>
      </c>
      <c r="B661">
        <v>675802</v>
      </c>
      <c r="C661">
        <v>676881</v>
      </c>
      <c r="E661" t="s">
        <v>14</v>
      </c>
      <c r="F661" t="s">
        <v>1870</v>
      </c>
      <c r="H661">
        <v>0</v>
      </c>
      <c r="I661" t="s">
        <v>17</v>
      </c>
      <c r="K661" t="s">
        <v>1871</v>
      </c>
      <c r="L661">
        <v>359</v>
      </c>
      <c r="M661" t="s">
        <v>1872</v>
      </c>
    </row>
    <row r="662" spans="1:13" x14ac:dyDescent="0.45">
      <c r="A662" t="s">
        <v>13</v>
      </c>
      <c r="B662">
        <v>677205</v>
      </c>
      <c r="C662">
        <v>677573</v>
      </c>
      <c r="E662" t="s">
        <v>14</v>
      </c>
      <c r="F662" t="s">
        <v>1873</v>
      </c>
      <c r="H662">
        <v>0</v>
      </c>
      <c r="I662" t="s">
        <v>17</v>
      </c>
      <c r="K662" t="s">
        <v>1874</v>
      </c>
      <c r="L662">
        <v>122</v>
      </c>
      <c r="M662" t="s">
        <v>1875</v>
      </c>
    </row>
    <row r="663" spans="1:13" x14ac:dyDescent="0.45">
      <c r="A663" t="s">
        <v>13</v>
      </c>
      <c r="B663">
        <v>677690</v>
      </c>
      <c r="C663">
        <v>678493</v>
      </c>
      <c r="E663" t="s">
        <v>14</v>
      </c>
      <c r="F663" t="s">
        <v>1876</v>
      </c>
      <c r="H663">
        <v>0</v>
      </c>
      <c r="I663" t="s">
        <v>17</v>
      </c>
      <c r="K663" t="s">
        <v>1877</v>
      </c>
      <c r="L663">
        <v>267</v>
      </c>
      <c r="M663" t="s">
        <v>1878</v>
      </c>
    </row>
    <row r="664" spans="1:13" x14ac:dyDescent="0.45">
      <c r="A664" t="s">
        <v>13</v>
      </c>
      <c r="B664">
        <v>678878</v>
      </c>
      <c r="C664">
        <v>679768</v>
      </c>
      <c r="E664" t="s">
        <v>14</v>
      </c>
      <c r="F664" t="s">
        <v>1879</v>
      </c>
      <c r="H664">
        <v>0</v>
      </c>
      <c r="I664" t="s">
        <v>17</v>
      </c>
      <c r="K664" t="s">
        <v>1880</v>
      </c>
      <c r="L664">
        <v>296</v>
      </c>
      <c r="M664" t="s">
        <v>1881</v>
      </c>
    </row>
    <row r="665" spans="1:13" x14ac:dyDescent="0.45">
      <c r="A665" t="s">
        <v>13</v>
      </c>
      <c r="B665">
        <v>680231</v>
      </c>
      <c r="C665">
        <v>680674</v>
      </c>
      <c r="E665" t="s">
        <v>14</v>
      </c>
      <c r="F665" t="s">
        <v>1183</v>
      </c>
      <c r="H665">
        <v>0</v>
      </c>
      <c r="I665" t="s">
        <v>17</v>
      </c>
      <c r="K665" t="s">
        <v>1882</v>
      </c>
      <c r="L665">
        <v>147</v>
      </c>
      <c r="M665" t="s">
        <v>1883</v>
      </c>
    </row>
    <row r="666" spans="1:13" x14ac:dyDescent="0.45">
      <c r="A666" t="s">
        <v>13</v>
      </c>
      <c r="B666">
        <v>680846</v>
      </c>
      <c r="C666">
        <v>681016</v>
      </c>
      <c r="E666" t="s">
        <v>14</v>
      </c>
      <c r="F666" t="s">
        <v>43</v>
      </c>
      <c r="H666">
        <v>0</v>
      </c>
      <c r="I666" t="s">
        <v>17</v>
      </c>
      <c r="K666" t="s">
        <v>1884</v>
      </c>
      <c r="L666">
        <v>56</v>
      </c>
      <c r="M666" t="s">
        <v>1885</v>
      </c>
    </row>
    <row r="667" spans="1:13" x14ac:dyDescent="0.45">
      <c r="A667" t="s">
        <v>13</v>
      </c>
      <c r="B667">
        <v>681567</v>
      </c>
      <c r="C667">
        <v>682475</v>
      </c>
      <c r="E667" t="s">
        <v>14</v>
      </c>
      <c r="F667" t="s">
        <v>1886</v>
      </c>
      <c r="H667">
        <v>0</v>
      </c>
      <c r="I667" t="s">
        <v>17</v>
      </c>
      <c r="K667" t="s">
        <v>1887</v>
      </c>
      <c r="L667">
        <v>302</v>
      </c>
      <c r="M667" t="s">
        <v>1888</v>
      </c>
    </row>
    <row r="668" spans="1:13" x14ac:dyDescent="0.45">
      <c r="A668" t="s">
        <v>13</v>
      </c>
      <c r="B668">
        <v>682655</v>
      </c>
      <c r="C668">
        <v>683143</v>
      </c>
      <c r="E668" t="s">
        <v>14</v>
      </c>
      <c r="F668" t="s">
        <v>1889</v>
      </c>
      <c r="H668">
        <v>0</v>
      </c>
      <c r="I668" t="s">
        <v>17</v>
      </c>
      <c r="K668" t="s">
        <v>1890</v>
      </c>
      <c r="L668">
        <v>162</v>
      </c>
      <c r="M668" t="s">
        <v>1891</v>
      </c>
    </row>
    <row r="669" spans="1:13" x14ac:dyDescent="0.45">
      <c r="A669" t="s">
        <v>13</v>
      </c>
      <c r="B669">
        <v>683229</v>
      </c>
      <c r="C669">
        <v>683636</v>
      </c>
      <c r="E669" t="s">
        <v>14</v>
      </c>
      <c r="F669" t="s">
        <v>43</v>
      </c>
      <c r="H669">
        <v>0</v>
      </c>
      <c r="I669" t="s">
        <v>17</v>
      </c>
      <c r="K669" t="s">
        <v>1892</v>
      </c>
      <c r="L669">
        <v>135</v>
      </c>
      <c r="M669" t="s">
        <v>1893</v>
      </c>
    </row>
    <row r="670" spans="1:13" x14ac:dyDescent="0.45">
      <c r="A670" t="s">
        <v>13</v>
      </c>
      <c r="B670">
        <v>683637</v>
      </c>
      <c r="C670">
        <v>683855</v>
      </c>
      <c r="E670" t="s">
        <v>14</v>
      </c>
      <c r="F670" t="s">
        <v>1432</v>
      </c>
      <c r="H670">
        <v>0</v>
      </c>
      <c r="I670" t="s">
        <v>17</v>
      </c>
      <c r="K670" t="s">
        <v>1894</v>
      </c>
      <c r="L670">
        <v>72</v>
      </c>
      <c r="M670" t="s">
        <v>1895</v>
      </c>
    </row>
    <row r="671" spans="1:13" x14ac:dyDescent="0.45">
      <c r="A671" t="s">
        <v>13</v>
      </c>
      <c r="B671">
        <v>684577</v>
      </c>
      <c r="C671">
        <v>684882</v>
      </c>
      <c r="E671" t="s">
        <v>14</v>
      </c>
      <c r="F671" t="s">
        <v>43</v>
      </c>
      <c r="H671">
        <v>0</v>
      </c>
      <c r="I671" t="s">
        <v>17</v>
      </c>
      <c r="K671" t="s">
        <v>1896</v>
      </c>
      <c r="L671">
        <v>101</v>
      </c>
      <c r="M671" t="s">
        <v>1897</v>
      </c>
    </row>
    <row r="672" spans="1:13" x14ac:dyDescent="0.45">
      <c r="A672" t="s">
        <v>13</v>
      </c>
      <c r="B672">
        <v>685290</v>
      </c>
      <c r="C672">
        <v>685979</v>
      </c>
      <c r="E672" t="s">
        <v>14</v>
      </c>
      <c r="F672" t="s">
        <v>1222</v>
      </c>
      <c r="H672">
        <v>0</v>
      </c>
      <c r="I672" t="s">
        <v>17</v>
      </c>
      <c r="K672" t="s">
        <v>1898</v>
      </c>
      <c r="L672">
        <v>229</v>
      </c>
      <c r="M672" t="s">
        <v>1899</v>
      </c>
    </row>
    <row r="673" spans="1:13" x14ac:dyDescent="0.45">
      <c r="A673" t="s">
        <v>13</v>
      </c>
      <c r="B673">
        <v>685979</v>
      </c>
      <c r="C673">
        <v>686896</v>
      </c>
      <c r="E673" t="s">
        <v>14</v>
      </c>
      <c r="F673" t="s">
        <v>1219</v>
      </c>
      <c r="H673">
        <v>0</v>
      </c>
      <c r="I673" t="s">
        <v>17</v>
      </c>
      <c r="K673" t="s">
        <v>1900</v>
      </c>
      <c r="L673">
        <v>305</v>
      </c>
      <c r="M673" t="s">
        <v>1901</v>
      </c>
    </row>
    <row r="674" spans="1:13" x14ac:dyDescent="0.45">
      <c r="A674" t="s">
        <v>13</v>
      </c>
      <c r="B674">
        <v>686969</v>
      </c>
      <c r="C674">
        <v>687895</v>
      </c>
      <c r="E674" t="s">
        <v>14</v>
      </c>
      <c r="F674" t="s">
        <v>1140</v>
      </c>
      <c r="H674">
        <v>0</v>
      </c>
      <c r="I674" t="s">
        <v>17</v>
      </c>
      <c r="K674" t="s">
        <v>1902</v>
      </c>
      <c r="L674">
        <v>308</v>
      </c>
      <c r="M674" t="s">
        <v>1903</v>
      </c>
    </row>
    <row r="675" spans="1:13" x14ac:dyDescent="0.45">
      <c r="A675" t="s">
        <v>13</v>
      </c>
      <c r="B675">
        <v>687892</v>
      </c>
      <c r="C675">
        <v>688572</v>
      </c>
      <c r="E675" t="s">
        <v>14</v>
      </c>
      <c r="F675" t="s">
        <v>1143</v>
      </c>
      <c r="H675">
        <v>0</v>
      </c>
      <c r="I675" t="s">
        <v>17</v>
      </c>
      <c r="K675" t="s">
        <v>1904</v>
      </c>
      <c r="L675">
        <v>226</v>
      </c>
      <c r="M675" t="s">
        <v>1905</v>
      </c>
    </row>
    <row r="676" spans="1:13" x14ac:dyDescent="0.45">
      <c r="A676" t="s">
        <v>13</v>
      </c>
      <c r="B676">
        <v>689017</v>
      </c>
      <c r="C676">
        <v>689718</v>
      </c>
      <c r="E676" t="s">
        <v>14</v>
      </c>
      <c r="F676" t="s">
        <v>1906</v>
      </c>
      <c r="H676">
        <v>0</v>
      </c>
      <c r="I676" t="s">
        <v>17</v>
      </c>
      <c r="K676" t="s">
        <v>1907</v>
      </c>
      <c r="L676">
        <v>233</v>
      </c>
      <c r="M676" t="s">
        <v>1908</v>
      </c>
    </row>
    <row r="677" spans="1:13" x14ac:dyDescent="0.45">
      <c r="A677" t="s">
        <v>13</v>
      </c>
      <c r="B677">
        <v>690613</v>
      </c>
      <c r="C677">
        <v>691272</v>
      </c>
      <c r="E677" t="s">
        <v>14</v>
      </c>
      <c r="F677" t="s">
        <v>1909</v>
      </c>
      <c r="H677">
        <v>0</v>
      </c>
      <c r="I677" t="s">
        <v>17</v>
      </c>
      <c r="K677" t="s">
        <v>1910</v>
      </c>
      <c r="L677">
        <v>219</v>
      </c>
      <c r="M677" t="s">
        <v>1911</v>
      </c>
    </row>
    <row r="678" spans="1:13" x14ac:dyDescent="0.45">
      <c r="A678" t="s">
        <v>13</v>
      </c>
      <c r="B678">
        <v>691571</v>
      </c>
      <c r="C678">
        <v>693616</v>
      </c>
      <c r="E678" t="s">
        <v>14</v>
      </c>
      <c r="F678" t="s">
        <v>1912</v>
      </c>
      <c r="H678">
        <v>0</v>
      </c>
      <c r="I678" t="s">
        <v>17</v>
      </c>
      <c r="K678" t="s">
        <v>1913</v>
      </c>
      <c r="L678">
        <v>681</v>
      </c>
      <c r="M678" t="s">
        <v>1914</v>
      </c>
    </row>
    <row r="679" spans="1:13" x14ac:dyDescent="0.45">
      <c r="A679" t="s">
        <v>13</v>
      </c>
      <c r="B679">
        <v>693633</v>
      </c>
      <c r="C679">
        <v>695588</v>
      </c>
      <c r="E679" t="s">
        <v>14</v>
      </c>
      <c r="F679" t="s">
        <v>1912</v>
      </c>
      <c r="H679">
        <v>0</v>
      </c>
      <c r="I679" t="s">
        <v>17</v>
      </c>
      <c r="K679" t="s">
        <v>1915</v>
      </c>
      <c r="L679">
        <v>651</v>
      </c>
      <c r="M679" t="s">
        <v>1916</v>
      </c>
    </row>
    <row r="680" spans="1:13" x14ac:dyDescent="0.45">
      <c r="A680" t="s">
        <v>13</v>
      </c>
      <c r="B680">
        <v>695604</v>
      </c>
      <c r="C680">
        <v>696794</v>
      </c>
      <c r="E680" t="s">
        <v>14</v>
      </c>
      <c r="F680" t="s">
        <v>43</v>
      </c>
      <c r="H680">
        <v>0</v>
      </c>
      <c r="I680" t="s">
        <v>17</v>
      </c>
      <c r="K680" t="s">
        <v>1917</v>
      </c>
      <c r="L680">
        <v>396</v>
      </c>
      <c r="M680" t="s">
        <v>1918</v>
      </c>
    </row>
    <row r="681" spans="1:13" x14ac:dyDescent="0.45">
      <c r="A681" t="s">
        <v>13</v>
      </c>
      <c r="B681">
        <v>697697</v>
      </c>
      <c r="C681">
        <v>697825</v>
      </c>
      <c r="E681" t="s">
        <v>96</v>
      </c>
      <c r="F681" t="s">
        <v>43</v>
      </c>
      <c r="H681">
        <v>0</v>
      </c>
      <c r="I681" t="s">
        <v>17</v>
      </c>
      <c r="K681" t="s">
        <v>1919</v>
      </c>
      <c r="L681">
        <v>42</v>
      </c>
      <c r="M681" t="s">
        <v>1920</v>
      </c>
    </row>
    <row r="682" spans="1:13" x14ac:dyDescent="0.45">
      <c r="A682" t="s">
        <v>13</v>
      </c>
      <c r="B682">
        <v>697928</v>
      </c>
      <c r="C682">
        <v>698302</v>
      </c>
      <c r="E682" t="s">
        <v>14</v>
      </c>
      <c r="F682" t="s">
        <v>1909</v>
      </c>
      <c r="H682">
        <v>0</v>
      </c>
      <c r="I682" t="s">
        <v>17</v>
      </c>
      <c r="K682" t="s">
        <v>1921</v>
      </c>
      <c r="L682">
        <v>124</v>
      </c>
      <c r="M682" t="s">
        <v>1922</v>
      </c>
    </row>
    <row r="683" spans="1:13" x14ac:dyDescent="0.45">
      <c r="A683" t="s">
        <v>13</v>
      </c>
      <c r="B683">
        <v>698304</v>
      </c>
      <c r="C683">
        <v>699161</v>
      </c>
      <c r="E683" t="s">
        <v>14</v>
      </c>
      <c r="F683" t="s">
        <v>1140</v>
      </c>
      <c r="H683">
        <v>0</v>
      </c>
      <c r="I683" t="s">
        <v>17</v>
      </c>
      <c r="K683" t="s">
        <v>1923</v>
      </c>
      <c r="L683">
        <v>285</v>
      </c>
      <c r="M683" t="s">
        <v>1924</v>
      </c>
    </row>
    <row r="684" spans="1:13" x14ac:dyDescent="0.45">
      <c r="A684" t="s">
        <v>13</v>
      </c>
      <c r="B684">
        <v>699164</v>
      </c>
      <c r="C684">
        <v>699802</v>
      </c>
      <c r="E684" t="s">
        <v>14</v>
      </c>
      <c r="F684" t="s">
        <v>1925</v>
      </c>
      <c r="H684">
        <v>0</v>
      </c>
      <c r="I684" t="s">
        <v>17</v>
      </c>
      <c r="K684" t="s">
        <v>1926</v>
      </c>
      <c r="L684">
        <v>212</v>
      </c>
      <c r="M684" t="s">
        <v>1927</v>
      </c>
    </row>
    <row r="685" spans="1:13" x14ac:dyDescent="0.45">
      <c r="A685" t="s">
        <v>13</v>
      </c>
      <c r="B685">
        <v>700776</v>
      </c>
      <c r="C685">
        <v>701510</v>
      </c>
      <c r="E685" t="s">
        <v>14</v>
      </c>
      <c r="F685" t="s">
        <v>1285</v>
      </c>
      <c r="H685">
        <v>0</v>
      </c>
      <c r="I685" t="s">
        <v>17</v>
      </c>
      <c r="K685" t="s">
        <v>1928</v>
      </c>
      <c r="L685">
        <v>244</v>
      </c>
      <c r="M685" t="s">
        <v>1929</v>
      </c>
    </row>
    <row r="686" spans="1:13" x14ac:dyDescent="0.45">
      <c r="A686" t="s">
        <v>13</v>
      </c>
      <c r="B686">
        <v>702736</v>
      </c>
      <c r="C686">
        <v>703908</v>
      </c>
      <c r="E686" t="s">
        <v>14</v>
      </c>
      <c r="F686" t="s">
        <v>1803</v>
      </c>
      <c r="H686">
        <v>0</v>
      </c>
      <c r="I686" t="s">
        <v>17</v>
      </c>
      <c r="K686" t="s">
        <v>1930</v>
      </c>
      <c r="L686">
        <v>390</v>
      </c>
      <c r="M686" t="s">
        <v>1931</v>
      </c>
    </row>
    <row r="687" spans="1:13" x14ac:dyDescent="0.45">
      <c r="A687" t="s">
        <v>13</v>
      </c>
      <c r="B687">
        <v>703971</v>
      </c>
      <c r="C687">
        <v>705164</v>
      </c>
      <c r="E687" t="s">
        <v>14</v>
      </c>
      <c r="F687" t="s">
        <v>1932</v>
      </c>
      <c r="H687">
        <v>0</v>
      </c>
      <c r="I687" t="s">
        <v>17</v>
      </c>
      <c r="K687" t="s">
        <v>1933</v>
      </c>
      <c r="L687">
        <v>397</v>
      </c>
      <c r="M687" t="s">
        <v>1934</v>
      </c>
    </row>
    <row r="688" spans="1:13" x14ac:dyDescent="0.45">
      <c r="A688" t="s">
        <v>13</v>
      </c>
      <c r="B688">
        <v>705371</v>
      </c>
      <c r="C688">
        <v>705751</v>
      </c>
      <c r="E688" t="s">
        <v>14</v>
      </c>
      <c r="F688" t="s">
        <v>1479</v>
      </c>
      <c r="H688">
        <v>0</v>
      </c>
      <c r="I688" t="s">
        <v>17</v>
      </c>
      <c r="K688" t="s">
        <v>1935</v>
      </c>
      <c r="L688">
        <v>126</v>
      </c>
      <c r="M688" t="s">
        <v>1936</v>
      </c>
    </row>
    <row r="689" spans="1:13" x14ac:dyDescent="0.45">
      <c r="A689" t="s">
        <v>13</v>
      </c>
      <c r="B689">
        <v>706660</v>
      </c>
      <c r="C689">
        <v>707214</v>
      </c>
      <c r="E689" t="s">
        <v>14</v>
      </c>
      <c r="F689" t="s">
        <v>1937</v>
      </c>
      <c r="G689" t="s">
        <v>1938</v>
      </c>
      <c r="H689">
        <v>0</v>
      </c>
      <c r="I689" t="s">
        <v>17</v>
      </c>
      <c r="K689" t="s">
        <v>1939</v>
      </c>
      <c r="L689">
        <v>184</v>
      </c>
      <c r="M689" t="s">
        <v>1940</v>
      </c>
    </row>
    <row r="690" spans="1:13" x14ac:dyDescent="0.45">
      <c r="A690" t="s">
        <v>13</v>
      </c>
      <c r="B690">
        <v>707545</v>
      </c>
      <c r="C690">
        <v>714645</v>
      </c>
      <c r="E690" t="s">
        <v>14</v>
      </c>
      <c r="F690" t="s">
        <v>1941</v>
      </c>
      <c r="G690" t="s">
        <v>1942</v>
      </c>
      <c r="H690">
        <v>0</v>
      </c>
      <c r="I690" t="s">
        <v>17</v>
      </c>
      <c r="K690" t="s">
        <v>1943</v>
      </c>
      <c r="L690">
        <v>2366</v>
      </c>
      <c r="M690" t="s">
        <v>1944</v>
      </c>
    </row>
    <row r="691" spans="1:13" x14ac:dyDescent="0.45">
      <c r="A691" t="s">
        <v>13</v>
      </c>
      <c r="B691">
        <v>714767</v>
      </c>
      <c r="C691">
        <v>715267</v>
      </c>
      <c r="E691" t="s">
        <v>14</v>
      </c>
      <c r="F691" t="s">
        <v>1945</v>
      </c>
      <c r="G691" t="s">
        <v>1946</v>
      </c>
      <c r="H691">
        <v>0</v>
      </c>
      <c r="I691" t="s">
        <v>17</v>
      </c>
      <c r="K691" t="s">
        <v>1947</v>
      </c>
      <c r="L691">
        <v>166</v>
      </c>
      <c r="M691" t="s">
        <v>1948</v>
      </c>
    </row>
    <row r="692" spans="1:13" x14ac:dyDescent="0.45">
      <c r="A692" t="s">
        <v>13</v>
      </c>
      <c r="B692">
        <v>715346</v>
      </c>
      <c r="C692">
        <v>715507</v>
      </c>
      <c r="E692" t="s">
        <v>14</v>
      </c>
      <c r="F692" t="s">
        <v>43</v>
      </c>
      <c r="H692">
        <v>0</v>
      </c>
      <c r="I692" t="s">
        <v>17</v>
      </c>
      <c r="K692" t="s">
        <v>1949</v>
      </c>
      <c r="L692">
        <v>53</v>
      </c>
      <c r="M692" t="s">
        <v>1950</v>
      </c>
    </row>
    <row r="693" spans="1:13" x14ac:dyDescent="0.45">
      <c r="A693" t="s">
        <v>13</v>
      </c>
      <c r="B693">
        <v>715596</v>
      </c>
      <c r="C693">
        <v>715778</v>
      </c>
      <c r="E693" t="s">
        <v>14</v>
      </c>
      <c r="F693" t="s">
        <v>1951</v>
      </c>
      <c r="H693">
        <v>0</v>
      </c>
      <c r="I693" t="s">
        <v>17</v>
      </c>
      <c r="K693" t="s">
        <v>1952</v>
      </c>
      <c r="L693">
        <v>60</v>
      </c>
      <c r="M693" t="s">
        <v>1953</v>
      </c>
    </row>
    <row r="694" spans="1:13" x14ac:dyDescent="0.45">
      <c r="A694" t="s">
        <v>13</v>
      </c>
      <c r="B694">
        <v>715995</v>
      </c>
      <c r="C694">
        <v>724127</v>
      </c>
      <c r="E694" t="s">
        <v>14</v>
      </c>
      <c r="F694" t="s">
        <v>1954</v>
      </c>
      <c r="G694" t="s">
        <v>1955</v>
      </c>
      <c r="H694">
        <v>0</v>
      </c>
      <c r="I694" t="s">
        <v>17</v>
      </c>
      <c r="K694" t="s">
        <v>1956</v>
      </c>
      <c r="L694">
        <v>2710</v>
      </c>
      <c r="M694" t="s">
        <v>1957</v>
      </c>
    </row>
    <row r="695" spans="1:13" x14ac:dyDescent="0.45">
      <c r="A695" t="s">
        <v>13</v>
      </c>
      <c r="B695">
        <v>724462</v>
      </c>
      <c r="C695">
        <v>725141</v>
      </c>
      <c r="E695" t="s">
        <v>96</v>
      </c>
      <c r="F695" t="s">
        <v>271</v>
      </c>
      <c r="G695" t="s">
        <v>1958</v>
      </c>
      <c r="H695">
        <v>0</v>
      </c>
      <c r="I695" t="s">
        <v>272</v>
      </c>
      <c r="M695" t="s">
        <v>1959</v>
      </c>
    </row>
    <row r="696" spans="1:13" x14ac:dyDescent="0.45">
      <c r="A696" t="s">
        <v>13</v>
      </c>
      <c r="B696">
        <v>725559</v>
      </c>
      <c r="C696">
        <v>725804</v>
      </c>
      <c r="E696" t="s">
        <v>14</v>
      </c>
      <c r="F696" t="s">
        <v>1960</v>
      </c>
      <c r="G696" t="s">
        <v>1961</v>
      </c>
      <c r="H696">
        <v>0</v>
      </c>
      <c r="I696" t="s">
        <v>17</v>
      </c>
      <c r="K696" t="s">
        <v>1962</v>
      </c>
      <c r="L696">
        <v>81</v>
      </c>
      <c r="M696" t="s">
        <v>1963</v>
      </c>
    </row>
    <row r="697" spans="1:13" x14ac:dyDescent="0.45">
      <c r="A697" t="s">
        <v>13</v>
      </c>
      <c r="B697">
        <v>726021</v>
      </c>
      <c r="C697">
        <v>726290</v>
      </c>
      <c r="E697" t="s">
        <v>96</v>
      </c>
      <c r="F697" t="s">
        <v>1797</v>
      </c>
      <c r="H697">
        <v>0</v>
      </c>
      <c r="I697" t="s">
        <v>17</v>
      </c>
      <c r="K697" t="s">
        <v>1964</v>
      </c>
      <c r="L697">
        <v>89</v>
      </c>
      <c r="M697" t="s">
        <v>1965</v>
      </c>
    </row>
    <row r="698" spans="1:13" x14ac:dyDescent="0.45">
      <c r="A698" t="s">
        <v>13</v>
      </c>
      <c r="B698">
        <v>726502</v>
      </c>
      <c r="C698">
        <v>726804</v>
      </c>
      <c r="E698" t="s">
        <v>96</v>
      </c>
      <c r="F698" t="s">
        <v>43</v>
      </c>
      <c r="H698">
        <v>0</v>
      </c>
      <c r="I698" t="s">
        <v>17</v>
      </c>
      <c r="K698" t="s">
        <v>1966</v>
      </c>
      <c r="L698">
        <v>100</v>
      </c>
      <c r="M698" t="s">
        <v>1967</v>
      </c>
    </row>
    <row r="699" spans="1:13" x14ac:dyDescent="0.45">
      <c r="A699" t="s">
        <v>13</v>
      </c>
      <c r="B699">
        <v>727324</v>
      </c>
      <c r="C699">
        <v>728061</v>
      </c>
      <c r="E699" t="s">
        <v>96</v>
      </c>
      <c r="F699" t="s">
        <v>1143</v>
      </c>
      <c r="H699">
        <v>0</v>
      </c>
      <c r="I699" t="s">
        <v>17</v>
      </c>
      <c r="K699" t="s">
        <v>1968</v>
      </c>
      <c r="L699">
        <v>245</v>
      </c>
      <c r="M699" t="s">
        <v>1969</v>
      </c>
    </row>
    <row r="700" spans="1:13" x14ac:dyDescent="0.45">
      <c r="A700" t="s">
        <v>13</v>
      </c>
      <c r="B700">
        <v>728073</v>
      </c>
      <c r="C700">
        <v>728834</v>
      </c>
      <c r="E700" t="s">
        <v>96</v>
      </c>
      <c r="F700" t="s">
        <v>1143</v>
      </c>
      <c r="H700">
        <v>0</v>
      </c>
      <c r="I700" t="s">
        <v>17</v>
      </c>
      <c r="K700" t="s">
        <v>1970</v>
      </c>
      <c r="L700">
        <v>253</v>
      </c>
      <c r="M700" t="s">
        <v>1971</v>
      </c>
    </row>
    <row r="701" spans="1:13" x14ac:dyDescent="0.45">
      <c r="A701" t="s">
        <v>13</v>
      </c>
      <c r="B701">
        <v>728834</v>
      </c>
      <c r="C701">
        <v>729757</v>
      </c>
      <c r="E701" t="s">
        <v>96</v>
      </c>
      <c r="F701" t="s">
        <v>1140</v>
      </c>
      <c r="H701">
        <v>0</v>
      </c>
      <c r="I701" t="s">
        <v>17</v>
      </c>
      <c r="K701" t="s">
        <v>1972</v>
      </c>
      <c r="L701">
        <v>307</v>
      </c>
      <c r="M701" t="s">
        <v>1973</v>
      </c>
    </row>
    <row r="702" spans="1:13" x14ac:dyDescent="0.45">
      <c r="A702" t="s">
        <v>13</v>
      </c>
      <c r="B702">
        <v>729919</v>
      </c>
      <c r="C702">
        <v>730626</v>
      </c>
      <c r="E702" t="s">
        <v>14</v>
      </c>
      <c r="F702" t="s">
        <v>1222</v>
      </c>
      <c r="H702">
        <v>0</v>
      </c>
      <c r="I702" t="s">
        <v>17</v>
      </c>
      <c r="K702" t="s">
        <v>1974</v>
      </c>
      <c r="L702">
        <v>235</v>
      </c>
      <c r="M702" t="s">
        <v>1975</v>
      </c>
    </row>
    <row r="703" spans="1:13" x14ac:dyDescent="0.45">
      <c r="A703" t="s">
        <v>13</v>
      </c>
      <c r="B703">
        <v>730671</v>
      </c>
      <c r="C703">
        <v>732077</v>
      </c>
      <c r="E703" t="s">
        <v>14</v>
      </c>
      <c r="F703" t="s">
        <v>1219</v>
      </c>
      <c r="H703">
        <v>0</v>
      </c>
      <c r="I703" t="s">
        <v>17</v>
      </c>
      <c r="K703" t="s">
        <v>1976</v>
      </c>
      <c r="L703">
        <v>468</v>
      </c>
      <c r="M703" t="s">
        <v>1977</v>
      </c>
    </row>
    <row r="704" spans="1:13" x14ac:dyDescent="0.45">
      <c r="A704" t="s">
        <v>13</v>
      </c>
      <c r="B704">
        <v>733666</v>
      </c>
      <c r="C704">
        <v>734055</v>
      </c>
      <c r="E704" t="s">
        <v>14</v>
      </c>
      <c r="F704" t="s">
        <v>1479</v>
      </c>
      <c r="H704">
        <v>0</v>
      </c>
      <c r="I704" t="s">
        <v>17</v>
      </c>
      <c r="K704" t="s">
        <v>1978</v>
      </c>
      <c r="L704">
        <v>129</v>
      </c>
      <c r="M704" t="s">
        <v>1979</v>
      </c>
    </row>
    <row r="705" spans="1:13" x14ac:dyDescent="0.45">
      <c r="A705" t="s">
        <v>13</v>
      </c>
      <c r="B705">
        <v>734800</v>
      </c>
      <c r="C705">
        <v>735270</v>
      </c>
      <c r="E705" t="s">
        <v>14</v>
      </c>
      <c r="F705" t="s">
        <v>694</v>
      </c>
      <c r="H705">
        <v>0</v>
      </c>
      <c r="I705" t="s">
        <v>17</v>
      </c>
      <c r="K705" t="s">
        <v>1980</v>
      </c>
      <c r="L705">
        <v>156</v>
      </c>
      <c r="M705" t="s">
        <v>1981</v>
      </c>
    </row>
    <row r="706" spans="1:13" x14ac:dyDescent="0.45">
      <c r="A706" t="s">
        <v>13</v>
      </c>
      <c r="B706">
        <v>735767</v>
      </c>
      <c r="C706">
        <v>736432</v>
      </c>
      <c r="E706" t="s">
        <v>14</v>
      </c>
      <c r="F706" t="s">
        <v>1982</v>
      </c>
      <c r="H706">
        <v>0</v>
      </c>
      <c r="I706" t="s">
        <v>17</v>
      </c>
      <c r="K706" t="s">
        <v>1983</v>
      </c>
      <c r="L706">
        <v>221</v>
      </c>
      <c r="M706" t="s">
        <v>1984</v>
      </c>
    </row>
    <row r="707" spans="1:13" x14ac:dyDescent="0.45">
      <c r="A707" t="s">
        <v>13</v>
      </c>
      <c r="B707">
        <v>737338</v>
      </c>
      <c r="C707">
        <v>738045</v>
      </c>
      <c r="E707" t="s">
        <v>14</v>
      </c>
      <c r="F707" t="s">
        <v>757</v>
      </c>
      <c r="H707">
        <v>0</v>
      </c>
      <c r="I707" t="s">
        <v>17</v>
      </c>
      <c r="K707" t="s">
        <v>1985</v>
      </c>
      <c r="L707">
        <v>235</v>
      </c>
      <c r="M707" t="s">
        <v>1986</v>
      </c>
    </row>
    <row r="708" spans="1:13" x14ac:dyDescent="0.45">
      <c r="A708" t="s">
        <v>13</v>
      </c>
      <c r="B708">
        <v>738657</v>
      </c>
      <c r="C708">
        <v>739157</v>
      </c>
      <c r="E708" t="s">
        <v>14</v>
      </c>
      <c r="F708" t="s">
        <v>1183</v>
      </c>
      <c r="H708">
        <v>0</v>
      </c>
      <c r="I708" t="s">
        <v>17</v>
      </c>
      <c r="K708" t="s">
        <v>1987</v>
      </c>
      <c r="L708">
        <v>166</v>
      </c>
      <c r="M708" t="s">
        <v>1988</v>
      </c>
    </row>
    <row r="709" spans="1:13" x14ac:dyDescent="0.45">
      <c r="A709" t="s">
        <v>13</v>
      </c>
      <c r="B709">
        <v>739407</v>
      </c>
      <c r="C709">
        <v>740186</v>
      </c>
      <c r="E709" t="s">
        <v>96</v>
      </c>
      <c r="F709" t="s">
        <v>43</v>
      </c>
      <c r="H709">
        <v>0</v>
      </c>
      <c r="I709" t="s">
        <v>17</v>
      </c>
      <c r="K709" t="s">
        <v>1989</v>
      </c>
      <c r="L709">
        <v>259</v>
      </c>
      <c r="M709" t="s">
        <v>1990</v>
      </c>
    </row>
    <row r="710" spans="1:13" x14ac:dyDescent="0.45">
      <c r="A710" t="s">
        <v>13</v>
      </c>
      <c r="B710">
        <v>740183</v>
      </c>
      <c r="C710">
        <v>740662</v>
      </c>
      <c r="E710" t="s">
        <v>96</v>
      </c>
      <c r="F710" t="s">
        <v>1991</v>
      </c>
      <c r="H710">
        <v>0</v>
      </c>
      <c r="I710" t="s">
        <v>17</v>
      </c>
      <c r="K710" t="s">
        <v>1992</v>
      </c>
      <c r="L710">
        <v>159</v>
      </c>
      <c r="M710" t="s">
        <v>1993</v>
      </c>
    </row>
    <row r="711" spans="1:13" x14ac:dyDescent="0.45">
      <c r="A711" t="s">
        <v>13</v>
      </c>
      <c r="B711">
        <v>741468</v>
      </c>
      <c r="C711">
        <v>742169</v>
      </c>
      <c r="E711" t="s">
        <v>14</v>
      </c>
      <c r="F711" t="s">
        <v>1994</v>
      </c>
      <c r="H711">
        <v>0</v>
      </c>
      <c r="I711" t="s">
        <v>17</v>
      </c>
      <c r="K711" t="s">
        <v>1995</v>
      </c>
      <c r="L711">
        <v>233</v>
      </c>
      <c r="M711" t="s">
        <v>1996</v>
      </c>
    </row>
    <row r="712" spans="1:13" x14ac:dyDescent="0.45">
      <c r="A712" t="s">
        <v>13</v>
      </c>
      <c r="B712">
        <v>742195</v>
      </c>
      <c r="C712">
        <v>742851</v>
      </c>
      <c r="E712" t="s">
        <v>14</v>
      </c>
      <c r="F712" t="s">
        <v>43</v>
      </c>
      <c r="H712">
        <v>0</v>
      </c>
      <c r="I712" t="s">
        <v>17</v>
      </c>
      <c r="K712" t="s">
        <v>1997</v>
      </c>
      <c r="L712">
        <v>218</v>
      </c>
      <c r="M712" t="s">
        <v>1998</v>
      </c>
    </row>
    <row r="713" spans="1:13" x14ac:dyDescent="0.45">
      <c r="A713" t="s">
        <v>13</v>
      </c>
      <c r="B713">
        <v>743058</v>
      </c>
      <c r="C713">
        <v>744698</v>
      </c>
      <c r="E713" t="s">
        <v>14</v>
      </c>
      <c r="F713" t="s">
        <v>1999</v>
      </c>
      <c r="H713">
        <v>0</v>
      </c>
      <c r="I713" t="s">
        <v>17</v>
      </c>
      <c r="K713" t="s">
        <v>2000</v>
      </c>
      <c r="L713">
        <v>546</v>
      </c>
      <c r="M713" t="s">
        <v>2001</v>
      </c>
    </row>
    <row r="714" spans="1:13" x14ac:dyDescent="0.45">
      <c r="A714" t="s">
        <v>13</v>
      </c>
      <c r="B714">
        <v>745057</v>
      </c>
      <c r="C714">
        <v>746379</v>
      </c>
      <c r="E714" t="s">
        <v>14</v>
      </c>
      <c r="F714" t="s">
        <v>43</v>
      </c>
      <c r="H714">
        <v>0</v>
      </c>
      <c r="I714" t="s">
        <v>17</v>
      </c>
      <c r="K714" t="s">
        <v>2002</v>
      </c>
      <c r="L714">
        <v>440</v>
      </c>
      <c r="M714" t="s">
        <v>2003</v>
      </c>
    </row>
    <row r="715" spans="1:13" x14ac:dyDescent="0.45">
      <c r="A715" t="s">
        <v>13</v>
      </c>
      <c r="B715">
        <v>746576</v>
      </c>
      <c r="C715">
        <v>747583</v>
      </c>
      <c r="E715" t="s">
        <v>14</v>
      </c>
      <c r="F715" t="s">
        <v>1873</v>
      </c>
      <c r="H715">
        <v>0</v>
      </c>
      <c r="I715" t="s">
        <v>17</v>
      </c>
      <c r="K715" t="s">
        <v>2004</v>
      </c>
      <c r="L715">
        <v>335</v>
      </c>
      <c r="M715" t="s">
        <v>2005</v>
      </c>
    </row>
    <row r="716" spans="1:13" x14ac:dyDescent="0.45">
      <c r="A716" t="s">
        <v>13</v>
      </c>
      <c r="B716">
        <v>747621</v>
      </c>
      <c r="C716">
        <v>749018</v>
      </c>
      <c r="E716" t="s">
        <v>14</v>
      </c>
      <c r="F716" t="s">
        <v>2006</v>
      </c>
      <c r="H716">
        <v>0</v>
      </c>
      <c r="I716" t="s">
        <v>17</v>
      </c>
      <c r="K716" t="s">
        <v>2007</v>
      </c>
      <c r="L716">
        <v>465</v>
      </c>
      <c r="M716" t="s">
        <v>2008</v>
      </c>
    </row>
    <row r="717" spans="1:13" x14ac:dyDescent="0.45">
      <c r="A717" t="s">
        <v>13</v>
      </c>
      <c r="B717">
        <v>749163</v>
      </c>
      <c r="C717">
        <v>750428</v>
      </c>
      <c r="E717" t="s">
        <v>14</v>
      </c>
      <c r="F717" t="s">
        <v>205</v>
      </c>
      <c r="H717">
        <v>0</v>
      </c>
      <c r="I717" t="s">
        <v>17</v>
      </c>
      <c r="K717" t="s">
        <v>2009</v>
      </c>
      <c r="L717">
        <v>421</v>
      </c>
      <c r="M717" t="s">
        <v>2010</v>
      </c>
    </row>
    <row r="718" spans="1:13" x14ac:dyDescent="0.45">
      <c r="A718" t="s">
        <v>13</v>
      </c>
      <c r="B718">
        <v>750470</v>
      </c>
      <c r="C718">
        <v>750700</v>
      </c>
      <c r="E718" t="s">
        <v>14</v>
      </c>
      <c r="F718" t="s">
        <v>2011</v>
      </c>
      <c r="H718">
        <v>0</v>
      </c>
      <c r="I718" t="s">
        <v>17</v>
      </c>
      <c r="K718" t="s">
        <v>2012</v>
      </c>
      <c r="L718">
        <v>76</v>
      </c>
      <c r="M718" t="s">
        <v>2013</v>
      </c>
    </row>
    <row r="719" spans="1:13" x14ac:dyDescent="0.45">
      <c r="A719" t="s">
        <v>13</v>
      </c>
      <c r="B719">
        <v>750664</v>
      </c>
      <c r="C719">
        <v>751509</v>
      </c>
      <c r="E719" t="s">
        <v>14</v>
      </c>
      <c r="F719" t="s">
        <v>2011</v>
      </c>
      <c r="H719">
        <v>0</v>
      </c>
      <c r="I719" t="s">
        <v>17</v>
      </c>
      <c r="K719" t="s">
        <v>2014</v>
      </c>
      <c r="L719">
        <v>281</v>
      </c>
      <c r="M719" t="s">
        <v>2015</v>
      </c>
    </row>
    <row r="720" spans="1:13" x14ac:dyDescent="0.45">
      <c r="A720" t="s">
        <v>13</v>
      </c>
      <c r="B720">
        <v>751544</v>
      </c>
      <c r="C720">
        <v>752566</v>
      </c>
      <c r="E720" t="s">
        <v>14</v>
      </c>
      <c r="F720" t="s">
        <v>1154</v>
      </c>
      <c r="H720">
        <v>0</v>
      </c>
      <c r="I720" t="s">
        <v>17</v>
      </c>
      <c r="K720" t="s">
        <v>2016</v>
      </c>
      <c r="L720">
        <v>340</v>
      </c>
      <c r="M720" t="s">
        <v>2017</v>
      </c>
    </row>
    <row r="721" spans="1:13" x14ac:dyDescent="0.45">
      <c r="A721" t="s">
        <v>13</v>
      </c>
      <c r="B721">
        <v>753176</v>
      </c>
      <c r="C721">
        <v>754579</v>
      </c>
      <c r="E721" t="s">
        <v>96</v>
      </c>
      <c r="F721" t="s">
        <v>2018</v>
      </c>
      <c r="H721">
        <v>0</v>
      </c>
      <c r="I721" t="s">
        <v>17</v>
      </c>
      <c r="K721" t="s">
        <v>2019</v>
      </c>
      <c r="L721">
        <v>467</v>
      </c>
      <c r="M721" t="s">
        <v>2020</v>
      </c>
    </row>
    <row r="722" spans="1:13" x14ac:dyDescent="0.45">
      <c r="A722" t="s">
        <v>13</v>
      </c>
      <c r="B722">
        <v>755456</v>
      </c>
      <c r="C722">
        <v>755965</v>
      </c>
      <c r="E722" t="s">
        <v>14</v>
      </c>
      <c r="F722" t="s">
        <v>2021</v>
      </c>
      <c r="G722" t="s">
        <v>2022</v>
      </c>
      <c r="H722">
        <v>0</v>
      </c>
      <c r="I722" t="s">
        <v>17</v>
      </c>
      <c r="K722" t="s">
        <v>2023</v>
      </c>
      <c r="L722">
        <v>169</v>
      </c>
      <c r="M722" t="s">
        <v>2024</v>
      </c>
    </row>
    <row r="723" spans="1:13" x14ac:dyDescent="0.45">
      <c r="A723" t="s">
        <v>13</v>
      </c>
      <c r="B723">
        <v>755993</v>
      </c>
      <c r="C723">
        <v>756187</v>
      </c>
      <c r="E723" t="s">
        <v>14</v>
      </c>
      <c r="F723" t="s">
        <v>2025</v>
      </c>
      <c r="G723" t="s">
        <v>2026</v>
      </c>
      <c r="H723">
        <v>0</v>
      </c>
      <c r="I723" t="s">
        <v>17</v>
      </c>
      <c r="K723" t="s">
        <v>2027</v>
      </c>
      <c r="L723">
        <v>64</v>
      </c>
      <c r="M723" t="s">
        <v>2028</v>
      </c>
    </row>
    <row r="724" spans="1:13" x14ac:dyDescent="0.45">
      <c r="A724" t="s">
        <v>13</v>
      </c>
      <c r="B724">
        <v>756243</v>
      </c>
      <c r="C724">
        <v>756599</v>
      </c>
      <c r="E724" t="s">
        <v>14</v>
      </c>
      <c r="F724" t="s">
        <v>2029</v>
      </c>
      <c r="G724" t="s">
        <v>2030</v>
      </c>
      <c r="H724">
        <v>0</v>
      </c>
      <c r="I724" t="s">
        <v>17</v>
      </c>
      <c r="K724" t="s">
        <v>2031</v>
      </c>
      <c r="L724">
        <v>118</v>
      </c>
      <c r="M724" t="s">
        <v>2032</v>
      </c>
    </row>
    <row r="725" spans="1:13" x14ac:dyDescent="0.45">
      <c r="A725" t="s">
        <v>13</v>
      </c>
      <c r="B725">
        <v>756909</v>
      </c>
      <c r="C725">
        <v>757454</v>
      </c>
      <c r="E725" t="s">
        <v>14</v>
      </c>
      <c r="F725" t="s">
        <v>43</v>
      </c>
      <c r="H725">
        <v>0</v>
      </c>
      <c r="I725" t="s">
        <v>17</v>
      </c>
      <c r="K725" t="s">
        <v>2033</v>
      </c>
      <c r="L725">
        <v>181</v>
      </c>
      <c r="M725" t="s">
        <v>2034</v>
      </c>
    </row>
    <row r="726" spans="1:13" x14ac:dyDescent="0.45">
      <c r="A726" t="s">
        <v>13</v>
      </c>
      <c r="B726">
        <v>757441</v>
      </c>
      <c r="C726">
        <v>757614</v>
      </c>
      <c r="E726" t="s">
        <v>14</v>
      </c>
      <c r="F726" t="s">
        <v>43</v>
      </c>
      <c r="H726">
        <v>0</v>
      </c>
      <c r="I726" t="s">
        <v>17</v>
      </c>
      <c r="K726" t="s">
        <v>2035</v>
      </c>
      <c r="L726">
        <v>57</v>
      </c>
      <c r="M726" t="s">
        <v>2036</v>
      </c>
    </row>
    <row r="727" spans="1:13" x14ac:dyDescent="0.45">
      <c r="A727" t="s">
        <v>13</v>
      </c>
      <c r="B727">
        <v>757890</v>
      </c>
      <c r="C727">
        <v>759815</v>
      </c>
      <c r="E727" t="s">
        <v>14</v>
      </c>
      <c r="F727" t="s">
        <v>822</v>
      </c>
      <c r="H727">
        <v>0</v>
      </c>
      <c r="I727" t="s">
        <v>17</v>
      </c>
      <c r="K727" t="s">
        <v>2037</v>
      </c>
      <c r="L727">
        <v>641</v>
      </c>
      <c r="M727" t="s">
        <v>2038</v>
      </c>
    </row>
    <row r="728" spans="1:13" x14ac:dyDescent="0.45">
      <c r="A728" t="s">
        <v>13</v>
      </c>
      <c r="B728">
        <v>760216</v>
      </c>
      <c r="C728">
        <v>762120</v>
      </c>
      <c r="E728" t="s">
        <v>14</v>
      </c>
      <c r="F728" t="s">
        <v>822</v>
      </c>
      <c r="H728">
        <v>0</v>
      </c>
      <c r="I728" t="s">
        <v>17</v>
      </c>
      <c r="K728" t="s">
        <v>2039</v>
      </c>
      <c r="L728">
        <v>634</v>
      </c>
      <c r="M728" t="s">
        <v>2040</v>
      </c>
    </row>
    <row r="729" spans="1:13" x14ac:dyDescent="0.45">
      <c r="A729" t="s">
        <v>13</v>
      </c>
      <c r="B729">
        <v>762508</v>
      </c>
      <c r="C729">
        <v>763287</v>
      </c>
      <c r="E729" t="s">
        <v>14</v>
      </c>
      <c r="F729" t="s">
        <v>331</v>
      </c>
      <c r="H729">
        <v>0</v>
      </c>
      <c r="I729" t="s">
        <v>17</v>
      </c>
      <c r="K729" t="s">
        <v>2041</v>
      </c>
      <c r="L729">
        <v>259</v>
      </c>
      <c r="M729" t="s">
        <v>2042</v>
      </c>
    </row>
    <row r="730" spans="1:13" x14ac:dyDescent="0.45">
      <c r="A730" t="s">
        <v>13</v>
      </c>
      <c r="B730">
        <v>763597</v>
      </c>
      <c r="C730">
        <v>764418</v>
      </c>
      <c r="E730" t="s">
        <v>96</v>
      </c>
      <c r="F730" t="s">
        <v>1285</v>
      </c>
      <c r="H730">
        <v>0</v>
      </c>
      <c r="I730" t="s">
        <v>17</v>
      </c>
      <c r="K730" t="s">
        <v>2043</v>
      </c>
      <c r="L730">
        <v>273</v>
      </c>
      <c r="M730" t="s">
        <v>2044</v>
      </c>
    </row>
    <row r="731" spans="1:13" x14ac:dyDescent="0.45">
      <c r="A731" t="s">
        <v>13</v>
      </c>
      <c r="B731">
        <v>765143</v>
      </c>
      <c r="C731">
        <v>765961</v>
      </c>
      <c r="E731" t="s">
        <v>96</v>
      </c>
      <c r="F731" t="s">
        <v>1827</v>
      </c>
      <c r="H731">
        <v>0</v>
      </c>
      <c r="I731" t="s">
        <v>17</v>
      </c>
      <c r="K731" t="s">
        <v>2045</v>
      </c>
      <c r="L731">
        <v>272</v>
      </c>
      <c r="M731" t="s">
        <v>2046</v>
      </c>
    </row>
    <row r="732" spans="1:13" x14ac:dyDescent="0.45">
      <c r="A732" t="s">
        <v>13</v>
      </c>
      <c r="B732">
        <v>766129</v>
      </c>
      <c r="C732">
        <v>766710</v>
      </c>
      <c r="E732" t="s">
        <v>14</v>
      </c>
      <c r="F732" t="s">
        <v>1178</v>
      </c>
      <c r="H732">
        <v>0</v>
      </c>
      <c r="I732" t="s">
        <v>17</v>
      </c>
      <c r="K732" t="s">
        <v>2047</v>
      </c>
      <c r="L732">
        <v>193</v>
      </c>
      <c r="M732" t="s">
        <v>2048</v>
      </c>
    </row>
    <row r="733" spans="1:13" x14ac:dyDescent="0.45">
      <c r="A733" t="s">
        <v>13</v>
      </c>
      <c r="B733">
        <v>766707</v>
      </c>
      <c r="C733">
        <v>766901</v>
      </c>
      <c r="E733" t="s">
        <v>14</v>
      </c>
      <c r="F733" t="s">
        <v>43</v>
      </c>
      <c r="H733">
        <v>0</v>
      </c>
      <c r="I733" t="s">
        <v>17</v>
      </c>
      <c r="K733" t="s">
        <v>2049</v>
      </c>
      <c r="L733">
        <v>64</v>
      </c>
      <c r="M733" t="s">
        <v>2050</v>
      </c>
    </row>
    <row r="734" spans="1:13" x14ac:dyDescent="0.45">
      <c r="A734" t="s">
        <v>13</v>
      </c>
      <c r="B734">
        <v>767065</v>
      </c>
      <c r="C734">
        <v>768807</v>
      </c>
      <c r="E734" t="s">
        <v>96</v>
      </c>
      <c r="F734" t="s">
        <v>2051</v>
      </c>
      <c r="H734">
        <v>0</v>
      </c>
      <c r="I734" t="s">
        <v>17</v>
      </c>
      <c r="K734" t="s">
        <v>2052</v>
      </c>
      <c r="L734">
        <v>580</v>
      </c>
      <c r="M734" t="s">
        <v>2053</v>
      </c>
    </row>
    <row r="735" spans="1:13" x14ac:dyDescent="0.45">
      <c r="A735" t="s">
        <v>13</v>
      </c>
      <c r="B735">
        <v>769236</v>
      </c>
      <c r="C735">
        <v>770612</v>
      </c>
      <c r="E735" t="s">
        <v>14</v>
      </c>
      <c r="F735" t="s">
        <v>2054</v>
      </c>
      <c r="H735">
        <v>0</v>
      </c>
      <c r="I735" t="s">
        <v>17</v>
      </c>
      <c r="K735" t="s">
        <v>2055</v>
      </c>
      <c r="L735">
        <v>458</v>
      </c>
      <c r="M735" t="s">
        <v>2056</v>
      </c>
    </row>
    <row r="736" spans="1:13" x14ac:dyDescent="0.45">
      <c r="A736" t="s">
        <v>13</v>
      </c>
      <c r="B736">
        <v>770923</v>
      </c>
      <c r="C736">
        <v>771594</v>
      </c>
      <c r="E736" t="s">
        <v>14</v>
      </c>
      <c r="F736" t="s">
        <v>2057</v>
      </c>
      <c r="H736">
        <v>0</v>
      </c>
      <c r="I736" t="s">
        <v>17</v>
      </c>
      <c r="K736" t="s">
        <v>2058</v>
      </c>
      <c r="L736">
        <v>223</v>
      </c>
      <c r="M736" t="s">
        <v>2059</v>
      </c>
    </row>
    <row r="737" spans="1:13" x14ac:dyDescent="0.45">
      <c r="A737" t="s">
        <v>13</v>
      </c>
      <c r="B737">
        <v>771785</v>
      </c>
      <c r="C737">
        <v>772582</v>
      </c>
      <c r="E737" t="s">
        <v>14</v>
      </c>
      <c r="F737" t="s">
        <v>2060</v>
      </c>
      <c r="H737">
        <v>0</v>
      </c>
      <c r="I737" t="s">
        <v>17</v>
      </c>
      <c r="K737" t="s">
        <v>2061</v>
      </c>
      <c r="L737">
        <v>265</v>
      </c>
      <c r="M737" t="s">
        <v>2062</v>
      </c>
    </row>
    <row r="738" spans="1:13" x14ac:dyDescent="0.45">
      <c r="A738" t="s">
        <v>13</v>
      </c>
      <c r="B738">
        <v>773210</v>
      </c>
      <c r="C738">
        <v>774229</v>
      </c>
      <c r="E738" t="s">
        <v>14</v>
      </c>
      <c r="F738" t="s">
        <v>2063</v>
      </c>
      <c r="G738" t="s">
        <v>2064</v>
      </c>
      <c r="H738">
        <v>0</v>
      </c>
      <c r="I738" t="s">
        <v>17</v>
      </c>
      <c r="K738" t="s">
        <v>2065</v>
      </c>
      <c r="L738">
        <v>339</v>
      </c>
      <c r="M738" t="s">
        <v>2066</v>
      </c>
    </row>
    <row r="739" spans="1:13" x14ac:dyDescent="0.45">
      <c r="A739" t="s">
        <v>13</v>
      </c>
      <c r="B739">
        <v>774246</v>
      </c>
      <c r="C739">
        <v>776639</v>
      </c>
      <c r="E739" t="s">
        <v>14</v>
      </c>
      <c r="F739" t="s">
        <v>2067</v>
      </c>
      <c r="G739" t="s">
        <v>2068</v>
      </c>
      <c r="H739">
        <v>0</v>
      </c>
      <c r="I739" t="s">
        <v>17</v>
      </c>
      <c r="K739" t="s">
        <v>2069</v>
      </c>
      <c r="L739">
        <v>797</v>
      </c>
      <c r="M739" t="s">
        <v>2070</v>
      </c>
    </row>
    <row r="740" spans="1:13" x14ac:dyDescent="0.45">
      <c r="A740" t="s">
        <v>13</v>
      </c>
      <c r="B740">
        <v>776664</v>
      </c>
      <c r="C740">
        <v>777254</v>
      </c>
      <c r="E740" t="s">
        <v>14</v>
      </c>
      <c r="F740" t="s">
        <v>2071</v>
      </c>
      <c r="G740" t="s">
        <v>2072</v>
      </c>
      <c r="H740">
        <v>0</v>
      </c>
      <c r="I740" t="s">
        <v>17</v>
      </c>
      <c r="K740" t="s">
        <v>2073</v>
      </c>
      <c r="L740">
        <v>196</v>
      </c>
      <c r="M740" t="s">
        <v>2074</v>
      </c>
    </row>
    <row r="741" spans="1:13" x14ac:dyDescent="0.45">
      <c r="A741" t="s">
        <v>13</v>
      </c>
      <c r="B741">
        <v>777596</v>
      </c>
      <c r="C741">
        <v>778279</v>
      </c>
      <c r="E741" t="s">
        <v>14</v>
      </c>
      <c r="F741" t="s">
        <v>2075</v>
      </c>
      <c r="H741">
        <v>0</v>
      </c>
      <c r="I741" t="s">
        <v>17</v>
      </c>
      <c r="K741" t="s">
        <v>2076</v>
      </c>
      <c r="L741">
        <v>227</v>
      </c>
      <c r="M741" t="s">
        <v>2077</v>
      </c>
    </row>
    <row r="742" spans="1:13" x14ac:dyDescent="0.45">
      <c r="A742" t="s">
        <v>13</v>
      </c>
      <c r="B742">
        <v>778771</v>
      </c>
      <c r="C742">
        <v>781389</v>
      </c>
      <c r="E742" t="s">
        <v>14</v>
      </c>
      <c r="F742" t="s">
        <v>2078</v>
      </c>
      <c r="H742">
        <v>0</v>
      </c>
      <c r="I742" t="s">
        <v>17</v>
      </c>
      <c r="K742" t="s">
        <v>2079</v>
      </c>
      <c r="L742">
        <v>872</v>
      </c>
      <c r="M742" t="s">
        <v>2080</v>
      </c>
    </row>
    <row r="743" spans="1:13" x14ac:dyDescent="0.45">
      <c r="A743" t="s">
        <v>13</v>
      </c>
      <c r="B743">
        <v>781493</v>
      </c>
      <c r="C743">
        <v>782071</v>
      </c>
      <c r="E743" t="s">
        <v>14</v>
      </c>
      <c r="F743" t="s">
        <v>2081</v>
      </c>
      <c r="H743">
        <v>0</v>
      </c>
      <c r="I743" t="s">
        <v>17</v>
      </c>
      <c r="K743" t="s">
        <v>2082</v>
      </c>
      <c r="L743">
        <v>192</v>
      </c>
      <c r="M743" t="s">
        <v>2083</v>
      </c>
    </row>
    <row r="744" spans="1:13" x14ac:dyDescent="0.45">
      <c r="A744" t="s">
        <v>13</v>
      </c>
      <c r="B744">
        <v>782105</v>
      </c>
      <c r="C744">
        <v>782581</v>
      </c>
      <c r="E744" t="s">
        <v>14</v>
      </c>
      <c r="F744" t="s">
        <v>2084</v>
      </c>
      <c r="H744">
        <v>0</v>
      </c>
      <c r="I744" t="s">
        <v>17</v>
      </c>
      <c r="K744" t="s">
        <v>2085</v>
      </c>
      <c r="L744">
        <v>158</v>
      </c>
      <c r="M744" t="s">
        <v>2086</v>
      </c>
    </row>
    <row r="745" spans="1:13" x14ac:dyDescent="0.45">
      <c r="A745" t="s">
        <v>13</v>
      </c>
      <c r="B745">
        <v>783100</v>
      </c>
      <c r="C745">
        <v>783921</v>
      </c>
      <c r="E745" t="s">
        <v>14</v>
      </c>
      <c r="F745" t="s">
        <v>862</v>
      </c>
      <c r="H745">
        <v>0</v>
      </c>
      <c r="I745" t="s">
        <v>17</v>
      </c>
      <c r="K745" t="s">
        <v>2087</v>
      </c>
      <c r="L745">
        <v>273</v>
      </c>
      <c r="M745" t="s">
        <v>2088</v>
      </c>
    </row>
    <row r="746" spans="1:13" x14ac:dyDescent="0.45">
      <c r="A746" t="s">
        <v>13</v>
      </c>
      <c r="B746">
        <v>784144</v>
      </c>
      <c r="C746">
        <v>786657</v>
      </c>
      <c r="E746" t="s">
        <v>14</v>
      </c>
      <c r="F746" t="s">
        <v>2089</v>
      </c>
      <c r="H746">
        <v>0</v>
      </c>
      <c r="I746" t="s">
        <v>17</v>
      </c>
      <c r="K746" t="s">
        <v>2090</v>
      </c>
      <c r="L746">
        <v>837</v>
      </c>
      <c r="M746" t="s">
        <v>2091</v>
      </c>
    </row>
    <row r="747" spans="1:13" x14ac:dyDescent="0.45">
      <c r="A747" t="s">
        <v>13</v>
      </c>
      <c r="B747">
        <v>786861</v>
      </c>
      <c r="C747">
        <v>788312</v>
      </c>
      <c r="E747" t="s">
        <v>96</v>
      </c>
      <c r="F747" t="s">
        <v>2092</v>
      </c>
      <c r="H747">
        <v>0</v>
      </c>
      <c r="I747" t="s">
        <v>17</v>
      </c>
      <c r="K747" t="s">
        <v>2093</v>
      </c>
      <c r="L747">
        <v>483</v>
      </c>
      <c r="M747" t="s">
        <v>2094</v>
      </c>
    </row>
    <row r="748" spans="1:13" x14ac:dyDescent="0.45">
      <c r="A748" t="s">
        <v>13</v>
      </c>
      <c r="B748">
        <v>788629</v>
      </c>
      <c r="C748">
        <v>791007</v>
      </c>
      <c r="E748" t="s">
        <v>14</v>
      </c>
      <c r="F748" t="s">
        <v>2095</v>
      </c>
      <c r="H748">
        <v>0</v>
      </c>
      <c r="I748" t="s">
        <v>17</v>
      </c>
      <c r="K748" t="s">
        <v>2096</v>
      </c>
      <c r="L748">
        <v>792</v>
      </c>
      <c r="M748" t="s">
        <v>2097</v>
      </c>
    </row>
    <row r="749" spans="1:13" x14ac:dyDescent="0.45">
      <c r="A749" t="s">
        <v>13</v>
      </c>
      <c r="B749">
        <v>791075</v>
      </c>
      <c r="C749">
        <v>791488</v>
      </c>
      <c r="E749" t="s">
        <v>14</v>
      </c>
      <c r="F749" t="s">
        <v>2098</v>
      </c>
      <c r="H749">
        <v>0</v>
      </c>
      <c r="I749" t="s">
        <v>17</v>
      </c>
      <c r="K749" t="s">
        <v>2099</v>
      </c>
      <c r="L749">
        <v>137</v>
      </c>
      <c r="M749" t="s">
        <v>2100</v>
      </c>
    </row>
    <row r="750" spans="1:13" x14ac:dyDescent="0.45">
      <c r="A750" t="s">
        <v>13</v>
      </c>
      <c r="B750">
        <v>791899</v>
      </c>
      <c r="C750">
        <v>793599</v>
      </c>
      <c r="E750" t="s">
        <v>14</v>
      </c>
      <c r="F750" t="s">
        <v>2101</v>
      </c>
      <c r="G750" t="s">
        <v>2102</v>
      </c>
      <c r="H750">
        <v>0</v>
      </c>
      <c r="I750" t="s">
        <v>17</v>
      </c>
      <c r="K750" t="s">
        <v>2103</v>
      </c>
      <c r="L750">
        <v>566</v>
      </c>
      <c r="M750" t="s">
        <v>2104</v>
      </c>
    </row>
    <row r="751" spans="1:13" x14ac:dyDescent="0.45">
      <c r="A751" t="s">
        <v>13</v>
      </c>
      <c r="B751">
        <v>793853</v>
      </c>
      <c r="C751">
        <v>794776</v>
      </c>
      <c r="E751" t="s">
        <v>14</v>
      </c>
      <c r="F751" t="s">
        <v>43</v>
      </c>
      <c r="H751">
        <v>0</v>
      </c>
      <c r="I751" t="s">
        <v>17</v>
      </c>
      <c r="K751" t="s">
        <v>2105</v>
      </c>
      <c r="L751">
        <v>307</v>
      </c>
      <c r="M751" t="s">
        <v>2106</v>
      </c>
    </row>
    <row r="752" spans="1:13" x14ac:dyDescent="0.45">
      <c r="A752" t="s">
        <v>13</v>
      </c>
      <c r="B752">
        <v>794781</v>
      </c>
      <c r="C752">
        <v>794987</v>
      </c>
      <c r="E752" t="s">
        <v>96</v>
      </c>
      <c r="F752" t="s">
        <v>43</v>
      </c>
      <c r="H752">
        <v>0</v>
      </c>
      <c r="I752" t="s">
        <v>17</v>
      </c>
      <c r="K752" t="s">
        <v>2107</v>
      </c>
      <c r="L752">
        <v>68</v>
      </c>
      <c r="M752" t="s">
        <v>2108</v>
      </c>
    </row>
    <row r="753" spans="1:13" x14ac:dyDescent="0.45">
      <c r="A753" t="s">
        <v>13</v>
      </c>
      <c r="B753">
        <v>795123</v>
      </c>
      <c r="C753">
        <v>796877</v>
      </c>
      <c r="E753" t="s">
        <v>14</v>
      </c>
      <c r="F753" t="s">
        <v>2109</v>
      </c>
      <c r="H753">
        <v>0</v>
      </c>
      <c r="I753" t="s">
        <v>17</v>
      </c>
      <c r="K753" t="s">
        <v>2110</v>
      </c>
      <c r="L753">
        <v>584</v>
      </c>
      <c r="M753" t="s">
        <v>2111</v>
      </c>
    </row>
    <row r="754" spans="1:13" x14ac:dyDescent="0.45">
      <c r="A754" t="s">
        <v>13</v>
      </c>
      <c r="B754">
        <v>796895</v>
      </c>
      <c r="C754">
        <v>798037</v>
      </c>
      <c r="E754" t="s">
        <v>14</v>
      </c>
      <c r="F754" t="s">
        <v>1077</v>
      </c>
      <c r="H754">
        <v>0</v>
      </c>
      <c r="I754" t="s">
        <v>17</v>
      </c>
      <c r="K754" t="s">
        <v>2112</v>
      </c>
      <c r="L754">
        <v>380</v>
      </c>
      <c r="M754" t="s">
        <v>2113</v>
      </c>
    </row>
    <row r="755" spans="1:13" x14ac:dyDescent="0.45">
      <c r="A755" t="s">
        <v>13</v>
      </c>
      <c r="B755">
        <v>798120</v>
      </c>
      <c r="C755">
        <v>798242</v>
      </c>
      <c r="E755" t="s">
        <v>14</v>
      </c>
      <c r="F755" t="s">
        <v>271</v>
      </c>
      <c r="H755">
        <v>0</v>
      </c>
      <c r="I755" t="s">
        <v>272</v>
      </c>
      <c r="M755" t="s">
        <v>2114</v>
      </c>
    </row>
    <row r="756" spans="1:13" x14ac:dyDescent="0.45">
      <c r="A756" t="s">
        <v>13</v>
      </c>
      <c r="B756">
        <v>798358</v>
      </c>
      <c r="C756">
        <v>799269</v>
      </c>
      <c r="E756" t="s">
        <v>14</v>
      </c>
      <c r="F756" t="s">
        <v>2115</v>
      </c>
      <c r="H756">
        <v>0</v>
      </c>
      <c r="I756" t="s">
        <v>17</v>
      </c>
      <c r="K756" t="s">
        <v>2116</v>
      </c>
      <c r="L756">
        <v>303</v>
      </c>
      <c r="M756" t="s">
        <v>2117</v>
      </c>
    </row>
    <row r="757" spans="1:13" x14ac:dyDescent="0.45">
      <c r="A757" t="s">
        <v>13</v>
      </c>
      <c r="B757">
        <v>799876</v>
      </c>
      <c r="C757">
        <v>801795</v>
      </c>
      <c r="E757" t="s">
        <v>14</v>
      </c>
      <c r="F757" t="s">
        <v>747</v>
      </c>
      <c r="G757" t="s">
        <v>748</v>
      </c>
      <c r="H757">
        <v>0</v>
      </c>
      <c r="I757" t="s">
        <v>17</v>
      </c>
      <c r="K757" t="s">
        <v>2118</v>
      </c>
      <c r="L757">
        <v>639</v>
      </c>
      <c r="M757" t="s">
        <v>2119</v>
      </c>
    </row>
    <row r="758" spans="1:13" x14ac:dyDescent="0.45">
      <c r="A758" t="s">
        <v>13</v>
      </c>
      <c r="B758">
        <v>802105</v>
      </c>
      <c r="C758">
        <v>802884</v>
      </c>
      <c r="E758" t="s">
        <v>14</v>
      </c>
      <c r="F758" t="s">
        <v>1227</v>
      </c>
      <c r="H758">
        <v>0</v>
      </c>
      <c r="I758" t="s">
        <v>17</v>
      </c>
      <c r="K758" t="s">
        <v>2120</v>
      </c>
      <c r="L758">
        <v>259</v>
      </c>
      <c r="M758" t="s">
        <v>2121</v>
      </c>
    </row>
    <row r="759" spans="1:13" x14ac:dyDescent="0.45">
      <c r="A759" t="s">
        <v>13</v>
      </c>
      <c r="B759">
        <v>803133</v>
      </c>
      <c r="C759">
        <v>804809</v>
      </c>
      <c r="E759" t="s">
        <v>14</v>
      </c>
      <c r="F759" t="s">
        <v>2122</v>
      </c>
      <c r="H759">
        <v>0</v>
      </c>
      <c r="I759" t="s">
        <v>17</v>
      </c>
      <c r="K759" t="s">
        <v>2123</v>
      </c>
      <c r="L759">
        <v>558</v>
      </c>
      <c r="M759" t="s">
        <v>2124</v>
      </c>
    </row>
    <row r="760" spans="1:13" x14ac:dyDescent="0.45">
      <c r="A760" t="s">
        <v>13</v>
      </c>
      <c r="B760">
        <v>804914</v>
      </c>
      <c r="C760">
        <v>805546</v>
      </c>
      <c r="E760" t="s">
        <v>14</v>
      </c>
      <c r="F760" t="s">
        <v>2125</v>
      </c>
      <c r="H760">
        <v>0</v>
      </c>
      <c r="I760" t="s">
        <v>17</v>
      </c>
      <c r="K760" t="s">
        <v>2126</v>
      </c>
      <c r="L760">
        <v>210</v>
      </c>
      <c r="M760" t="s">
        <v>2127</v>
      </c>
    </row>
    <row r="761" spans="1:13" x14ac:dyDescent="0.45">
      <c r="A761" t="s">
        <v>13</v>
      </c>
      <c r="B761">
        <v>805638</v>
      </c>
      <c r="C761">
        <v>806510</v>
      </c>
      <c r="E761" t="s">
        <v>14</v>
      </c>
      <c r="F761" t="s">
        <v>2128</v>
      </c>
      <c r="H761">
        <v>0</v>
      </c>
      <c r="I761" t="s">
        <v>17</v>
      </c>
      <c r="K761" t="s">
        <v>2129</v>
      </c>
      <c r="L761">
        <v>290</v>
      </c>
      <c r="M761" t="s">
        <v>2130</v>
      </c>
    </row>
    <row r="762" spans="1:13" x14ac:dyDescent="0.45">
      <c r="A762" t="s">
        <v>13</v>
      </c>
      <c r="B762">
        <v>806547</v>
      </c>
      <c r="C762">
        <v>807221</v>
      </c>
      <c r="E762" t="s">
        <v>14</v>
      </c>
      <c r="F762" t="s">
        <v>2131</v>
      </c>
      <c r="H762">
        <v>0</v>
      </c>
      <c r="I762" t="s">
        <v>17</v>
      </c>
      <c r="K762" t="s">
        <v>2132</v>
      </c>
      <c r="L762">
        <v>224</v>
      </c>
      <c r="M762" t="s">
        <v>2133</v>
      </c>
    </row>
    <row r="763" spans="1:13" x14ac:dyDescent="0.45">
      <c r="A763" t="s">
        <v>13</v>
      </c>
      <c r="B763">
        <v>807257</v>
      </c>
      <c r="C763">
        <v>808138</v>
      </c>
      <c r="E763" t="s">
        <v>14</v>
      </c>
      <c r="F763" t="s">
        <v>2134</v>
      </c>
      <c r="H763">
        <v>0</v>
      </c>
      <c r="I763" t="s">
        <v>17</v>
      </c>
      <c r="K763" t="s">
        <v>2135</v>
      </c>
      <c r="L763">
        <v>293</v>
      </c>
      <c r="M763" t="s">
        <v>2136</v>
      </c>
    </row>
    <row r="764" spans="1:13" x14ac:dyDescent="0.45">
      <c r="A764" t="s">
        <v>13</v>
      </c>
      <c r="B764">
        <v>808182</v>
      </c>
      <c r="C764">
        <v>809567</v>
      </c>
      <c r="E764" t="s">
        <v>14</v>
      </c>
      <c r="F764" t="s">
        <v>220</v>
      </c>
      <c r="G764" t="s">
        <v>221</v>
      </c>
      <c r="H764">
        <v>0</v>
      </c>
      <c r="I764" t="s">
        <v>17</v>
      </c>
      <c r="K764" t="s">
        <v>2137</v>
      </c>
      <c r="L764">
        <v>461</v>
      </c>
      <c r="M764" t="s">
        <v>2138</v>
      </c>
    </row>
    <row r="765" spans="1:13" x14ac:dyDescent="0.45">
      <c r="A765" t="s">
        <v>13</v>
      </c>
      <c r="B765">
        <v>809623</v>
      </c>
      <c r="C765">
        <v>810393</v>
      </c>
      <c r="E765" t="s">
        <v>14</v>
      </c>
      <c r="F765" t="s">
        <v>2139</v>
      </c>
      <c r="H765">
        <v>0</v>
      </c>
      <c r="I765" t="s">
        <v>17</v>
      </c>
      <c r="K765" t="s">
        <v>2140</v>
      </c>
      <c r="L765">
        <v>256</v>
      </c>
      <c r="M765" t="s">
        <v>2141</v>
      </c>
    </row>
    <row r="766" spans="1:13" x14ac:dyDescent="0.45">
      <c r="A766" t="s">
        <v>13</v>
      </c>
      <c r="B766">
        <v>810413</v>
      </c>
      <c r="C766">
        <v>811357</v>
      </c>
      <c r="E766" t="s">
        <v>14</v>
      </c>
      <c r="F766" t="s">
        <v>2142</v>
      </c>
      <c r="G766" t="s">
        <v>2143</v>
      </c>
      <c r="H766">
        <v>0</v>
      </c>
      <c r="I766" t="s">
        <v>17</v>
      </c>
      <c r="K766" t="s">
        <v>2144</v>
      </c>
      <c r="L766">
        <v>314</v>
      </c>
      <c r="M766" t="s">
        <v>2145</v>
      </c>
    </row>
    <row r="767" spans="1:13" x14ac:dyDescent="0.45">
      <c r="A767" t="s">
        <v>13</v>
      </c>
      <c r="B767">
        <v>811388</v>
      </c>
      <c r="C767">
        <v>812755</v>
      </c>
      <c r="E767" t="s">
        <v>14</v>
      </c>
      <c r="F767" t="s">
        <v>2146</v>
      </c>
      <c r="G767" t="s">
        <v>2147</v>
      </c>
      <c r="H767">
        <v>0</v>
      </c>
      <c r="I767" t="s">
        <v>17</v>
      </c>
      <c r="K767" t="s">
        <v>2148</v>
      </c>
      <c r="L767">
        <v>455</v>
      </c>
      <c r="M767" t="s">
        <v>2149</v>
      </c>
    </row>
    <row r="768" spans="1:13" x14ac:dyDescent="0.45">
      <c r="A768" t="s">
        <v>13</v>
      </c>
      <c r="B768">
        <v>812805</v>
      </c>
      <c r="C768">
        <v>813611</v>
      </c>
      <c r="E768" t="s">
        <v>14</v>
      </c>
      <c r="F768" t="s">
        <v>2150</v>
      </c>
      <c r="G768" t="s">
        <v>2151</v>
      </c>
      <c r="H768">
        <v>0</v>
      </c>
      <c r="I768" t="s">
        <v>17</v>
      </c>
      <c r="K768" t="s">
        <v>2152</v>
      </c>
      <c r="L768">
        <v>268</v>
      </c>
      <c r="M768" t="s">
        <v>2153</v>
      </c>
    </row>
    <row r="769" spans="1:13" x14ac:dyDescent="0.45">
      <c r="A769" t="s">
        <v>13</v>
      </c>
      <c r="B769">
        <v>813668</v>
      </c>
      <c r="C769">
        <v>815794</v>
      </c>
      <c r="E769" t="s">
        <v>14</v>
      </c>
      <c r="F769" t="s">
        <v>2154</v>
      </c>
      <c r="G769" t="s">
        <v>2155</v>
      </c>
      <c r="H769">
        <v>0</v>
      </c>
      <c r="I769" t="s">
        <v>17</v>
      </c>
      <c r="K769" t="s">
        <v>2156</v>
      </c>
      <c r="L769">
        <v>708</v>
      </c>
      <c r="M769" t="s">
        <v>2157</v>
      </c>
    </row>
    <row r="770" spans="1:13" x14ac:dyDescent="0.45">
      <c r="A770" t="s">
        <v>13</v>
      </c>
      <c r="B770">
        <v>815881</v>
      </c>
      <c r="C770">
        <v>816258</v>
      </c>
      <c r="E770" t="s">
        <v>14</v>
      </c>
      <c r="F770" t="s">
        <v>2158</v>
      </c>
      <c r="G770" t="s">
        <v>2159</v>
      </c>
      <c r="H770">
        <v>0</v>
      </c>
      <c r="I770" t="s">
        <v>17</v>
      </c>
      <c r="K770" t="s">
        <v>2160</v>
      </c>
      <c r="L770">
        <v>125</v>
      </c>
      <c r="M770" t="s">
        <v>2161</v>
      </c>
    </row>
    <row r="771" spans="1:13" x14ac:dyDescent="0.45">
      <c r="A771" t="s">
        <v>13</v>
      </c>
      <c r="B771">
        <v>816370</v>
      </c>
      <c r="C771">
        <v>818298</v>
      </c>
      <c r="E771" t="s">
        <v>14</v>
      </c>
      <c r="F771" t="s">
        <v>2162</v>
      </c>
      <c r="G771" t="s">
        <v>2163</v>
      </c>
      <c r="H771">
        <v>0</v>
      </c>
      <c r="I771" t="s">
        <v>17</v>
      </c>
      <c r="K771" t="s">
        <v>2164</v>
      </c>
      <c r="L771">
        <v>642</v>
      </c>
      <c r="M771" t="s">
        <v>2165</v>
      </c>
    </row>
    <row r="772" spans="1:13" x14ac:dyDescent="0.45">
      <c r="A772" t="s">
        <v>13</v>
      </c>
      <c r="B772">
        <v>818323</v>
      </c>
      <c r="C772">
        <v>819195</v>
      </c>
      <c r="E772" t="s">
        <v>14</v>
      </c>
      <c r="F772" t="s">
        <v>2166</v>
      </c>
      <c r="H772">
        <v>0</v>
      </c>
      <c r="I772" t="s">
        <v>17</v>
      </c>
      <c r="K772" t="s">
        <v>2167</v>
      </c>
      <c r="L772">
        <v>290</v>
      </c>
      <c r="M772" t="s">
        <v>2168</v>
      </c>
    </row>
    <row r="773" spans="1:13" x14ac:dyDescent="0.45">
      <c r="A773" t="s">
        <v>13</v>
      </c>
      <c r="B773">
        <v>819192</v>
      </c>
      <c r="C773">
        <v>820130</v>
      </c>
      <c r="E773" t="s">
        <v>14</v>
      </c>
      <c r="F773" t="s">
        <v>2166</v>
      </c>
      <c r="H773">
        <v>0</v>
      </c>
      <c r="I773" t="s">
        <v>17</v>
      </c>
      <c r="K773" t="s">
        <v>2169</v>
      </c>
      <c r="L773">
        <v>312</v>
      </c>
      <c r="M773" t="s">
        <v>2170</v>
      </c>
    </row>
    <row r="774" spans="1:13" x14ac:dyDescent="0.45">
      <c r="A774" t="s">
        <v>13</v>
      </c>
      <c r="B774">
        <v>820177</v>
      </c>
      <c r="C774">
        <v>820992</v>
      </c>
      <c r="E774" t="s">
        <v>14</v>
      </c>
      <c r="F774" t="s">
        <v>241</v>
      </c>
      <c r="H774">
        <v>0</v>
      </c>
      <c r="I774" t="s">
        <v>17</v>
      </c>
      <c r="K774" t="s">
        <v>2171</v>
      </c>
      <c r="L774">
        <v>271</v>
      </c>
      <c r="M774" t="s">
        <v>2172</v>
      </c>
    </row>
    <row r="775" spans="1:13" x14ac:dyDescent="0.45">
      <c r="A775" t="s">
        <v>13</v>
      </c>
      <c r="B775">
        <v>821143</v>
      </c>
      <c r="C775">
        <v>821334</v>
      </c>
      <c r="E775" t="s">
        <v>14</v>
      </c>
      <c r="F775" t="s">
        <v>2173</v>
      </c>
      <c r="H775">
        <v>0</v>
      </c>
      <c r="I775" t="s">
        <v>17</v>
      </c>
      <c r="K775" t="s">
        <v>2174</v>
      </c>
      <c r="L775">
        <v>63</v>
      </c>
      <c r="M775" t="s">
        <v>2175</v>
      </c>
    </row>
    <row r="776" spans="1:13" x14ac:dyDescent="0.45">
      <c r="A776" t="s">
        <v>13</v>
      </c>
      <c r="B776">
        <v>821353</v>
      </c>
      <c r="C776">
        <v>821769</v>
      </c>
      <c r="E776" t="s">
        <v>14</v>
      </c>
      <c r="F776" t="s">
        <v>2176</v>
      </c>
      <c r="H776">
        <v>0</v>
      </c>
      <c r="I776" t="s">
        <v>17</v>
      </c>
      <c r="K776" t="s">
        <v>2177</v>
      </c>
      <c r="L776">
        <v>138</v>
      </c>
      <c r="M776" t="s">
        <v>2178</v>
      </c>
    </row>
    <row r="777" spans="1:13" x14ac:dyDescent="0.45">
      <c r="A777" t="s">
        <v>13</v>
      </c>
      <c r="B777">
        <v>821785</v>
      </c>
      <c r="C777">
        <v>822135</v>
      </c>
      <c r="E777" t="s">
        <v>14</v>
      </c>
      <c r="F777" t="s">
        <v>43</v>
      </c>
      <c r="H777">
        <v>0</v>
      </c>
      <c r="I777" t="s">
        <v>17</v>
      </c>
      <c r="K777" t="s">
        <v>2179</v>
      </c>
      <c r="L777">
        <v>116</v>
      </c>
      <c r="M777" t="s">
        <v>2180</v>
      </c>
    </row>
    <row r="778" spans="1:13" x14ac:dyDescent="0.45">
      <c r="A778" t="s">
        <v>13</v>
      </c>
      <c r="B778">
        <v>822675</v>
      </c>
      <c r="C778">
        <v>823454</v>
      </c>
      <c r="E778" t="s">
        <v>14</v>
      </c>
      <c r="F778" t="s">
        <v>2181</v>
      </c>
      <c r="G778" t="s">
        <v>2182</v>
      </c>
      <c r="H778">
        <v>0</v>
      </c>
      <c r="I778" t="s">
        <v>17</v>
      </c>
      <c r="K778" t="s">
        <v>2183</v>
      </c>
      <c r="L778">
        <v>259</v>
      </c>
      <c r="M778" t="s">
        <v>2184</v>
      </c>
    </row>
    <row r="779" spans="1:13" x14ac:dyDescent="0.45">
      <c r="A779" t="s">
        <v>13</v>
      </c>
      <c r="B779">
        <v>823767</v>
      </c>
      <c r="C779">
        <v>824648</v>
      </c>
      <c r="E779" t="s">
        <v>96</v>
      </c>
      <c r="F779" t="s">
        <v>2185</v>
      </c>
      <c r="H779">
        <v>0</v>
      </c>
      <c r="I779" t="s">
        <v>17</v>
      </c>
      <c r="K779" t="s">
        <v>2186</v>
      </c>
      <c r="L779">
        <v>293</v>
      </c>
      <c r="M779" t="s">
        <v>2187</v>
      </c>
    </row>
    <row r="780" spans="1:13" x14ac:dyDescent="0.45">
      <c r="A780" t="s">
        <v>13</v>
      </c>
      <c r="B780">
        <v>825201</v>
      </c>
      <c r="C780">
        <v>825713</v>
      </c>
      <c r="E780" t="s">
        <v>14</v>
      </c>
      <c r="F780" t="s">
        <v>43</v>
      </c>
      <c r="H780">
        <v>0</v>
      </c>
      <c r="I780" t="s">
        <v>17</v>
      </c>
      <c r="K780" t="s">
        <v>2188</v>
      </c>
      <c r="L780">
        <v>170</v>
      </c>
      <c r="M780" t="s">
        <v>2189</v>
      </c>
    </row>
    <row r="781" spans="1:13" x14ac:dyDescent="0.45">
      <c r="A781" t="s">
        <v>13</v>
      </c>
      <c r="B781">
        <v>826392</v>
      </c>
      <c r="C781">
        <v>827489</v>
      </c>
      <c r="E781" t="s">
        <v>96</v>
      </c>
      <c r="F781" t="s">
        <v>2190</v>
      </c>
      <c r="H781">
        <v>0</v>
      </c>
      <c r="I781" t="s">
        <v>17</v>
      </c>
      <c r="K781" t="s">
        <v>2191</v>
      </c>
      <c r="L781">
        <v>365</v>
      </c>
      <c r="M781" t="s">
        <v>2192</v>
      </c>
    </row>
    <row r="782" spans="1:13" x14ac:dyDescent="0.45">
      <c r="A782" t="s">
        <v>13</v>
      </c>
      <c r="B782">
        <v>827782</v>
      </c>
      <c r="C782">
        <v>829308</v>
      </c>
      <c r="E782" t="s">
        <v>14</v>
      </c>
      <c r="F782" t="s">
        <v>2193</v>
      </c>
      <c r="G782" t="s">
        <v>2194</v>
      </c>
      <c r="H782">
        <v>0</v>
      </c>
      <c r="I782" t="s">
        <v>17</v>
      </c>
      <c r="K782" t="s">
        <v>2195</v>
      </c>
      <c r="L782">
        <v>508</v>
      </c>
      <c r="M782" t="s">
        <v>2196</v>
      </c>
    </row>
    <row r="783" spans="1:13" x14ac:dyDescent="0.45">
      <c r="A783" t="s">
        <v>13</v>
      </c>
      <c r="B783">
        <v>829349</v>
      </c>
      <c r="C783">
        <v>830464</v>
      </c>
      <c r="E783" t="s">
        <v>14</v>
      </c>
      <c r="F783" t="s">
        <v>2197</v>
      </c>
      <c r="H783">
        <v>0</v>
      </c>
      <c r="I783" t="s">
        <v>17</v>
      </c>
      <c r="K783" t="s">
        <v>2198</v>
      </c>
      <c r="L783">
        <v>371</v>
      </c>
      <c r="M783" t="s">
        <v>2199</v>
      </c>
    </row>
    <row r="784" spans="1:13" x14ac:dyDescent="0.45">
      <c r="A784" t="s">
        <v>13</v>
      </c>
      <c r="B784">
        <v>830745</v>
      </c>
      <c r="C784">
        <v>831509</v>
      </c>
      <c r="E784" t="s">
        <v>96</v>
      </c>
      <c r="F784" t="s">
        <v>2200</v>
      </c>
      <c r="H784">
        <v>0</v>
      </c>
      <c r="I784" t="s">
        <v>17</v>
      </c>
      <c r="K784" t="s">
        <v>2201</v>
      </c>
      <c r="L784">
        <v>254</v>
      </c>
      <c r="M784" t="s">
        <v>2202</v>
      </c>
    </row>
    <row r="785" spans="1:13" x14ac:dyDescent="0.45">
      <c r="A785" t="s">
        <v>13</v>
      </c>
      <c r="B785">
        <v>831768</v>
      </c>
      <c r="C785">
        <v>831858</v>
      </c>
      <c r="E785" t="s">
        <v>14</v>
      </c>
      <c r="F785" t="s">
        <v>76</v>
      </c>
      <c r="H785">
        <v>0</v>
      </c>
      <c r="I785" t="s">
        <v>77</v>
      </c>
      <c r="M785" t="s">
        <v>2203</v>
      </c>
    </row>
    <row r="786" spans="1:13" x14ac:dyDescent="0.45">
      <c r="A786" t="s">
        <v>13</v>
      </c>
      <c r="B786">
        <v>831946</v>
      </c>
      <c r="C786">
        <v>832734</v>
      </c>
      <c r="E786" t="s">
        <v>14</v>
      </c>
      <c r="F786" t="s">
        <v>2204</v>
      </c>
      <c r="H786">
        <v>0</v>
      </c>
      <c r="I786" t="s">
        <v>17</v>
      </c>
      <c r="K786" t="s">
        <v>2205</v>
      </c>
      <c r="L786">
        <v>262</v>
      </c>
      <c r="M786" t="s">
        <v>2206</v>
      </c>
    </row>
    <row r="787" spans="1:13" x14ac:dyDescent="0.45">
      <c r="A787" t="s">
        <v>13</v>
      </c>
      <c r="B787">
        <v>832755</v>
      </c>
      <c r="C787">
        <v>833495</v>
      </c>
      <c r="E787" t="s">
        <v>14</v>
      </c>
      <c r="F787" t="s">
        <v>2207</v>
      </c>
      <c r="H787">
        <v>0</v>
      </c>
      <c r="I787" t="s">
        <v>17</v>
      </c>
      <c r="K787" t="s">
        <v>2208</v>
      </c>
      <c r="L787">
        <v>246</v>
      </c>
      <c r="M787" t="s">
        <v>2209</v>
      </c>
    </row>
    <row r="788" spans="1:13" x14ac:dyDescent="0.45">
      <c r="A788" t="s">
        <v>13</v>
      </c>
      <c r="B788">
        <v>833673</v>
      </c>
      <c r="C788">
        <v>834047</v>
      </c>
      <c r="E788" t="s">
        <v>14</v>
      </c>
      <c r="F788" t="s">
        <v>43</v>
      </c>
      <c r="H788">
        <v>0</v>
      </c>
      <c r="I788" t="s">
        <v>17</v>
      </c>
      <c r="K788" t="s">
        <v>2210</v>
      </c>
      <c r="L788">
        <v>124</v>
      </c>
      <c r="M788" t="s">
        <v>2211</v>
      </c>
    </row>
    <row r="789" spans="1:13" x14ac:dyDescent="0.45">
      <c r="A789" t="s">
        <v>13</v>
      </c>
      <c r="B789">
        <v>834139</v>
      </c>
      <c r="C789">
        <v>835599</v>
      </c>
      <c r="E789" t="s">
        <v>14</v>
      </c>
      <c r="F789" t="s">
        <v>2212</v>
      </c>
      <c r="H789">
        <v>0</v>
      </c>
      <c r="I789" t="s">
        <v>17</v>
      </c>
      <c r="K789" t="s">
        <v>2213</v>
      </c>
      <c r="L789">
        <v>486</v>
      </c>
      <c r="M789" t="s">
        <v>2214</v>
      </c>
    </row>
    <row r="790" spans="1:13" x14ac:dyDescent="0.45">
      <c r="A790" t="s">
        <v>13</v>
      </c>
      <c r="B790">
        <v>835652</v>
      </c>
      <c r="C790">
        <v>838528</v>
      </c>
      <c r="E790" t="s">
        <v>14</v>
      </c>
      <c r="F790" t="s">
        <v>1748</v>
      </c>
      <c r="H790">
        <v>0</v>
      </c>
      <c r="I790" t="s">
        <v>17</v>
      </c>
      <c r="K790" t="s">
        <v>2215</v>
      </c>
      <c r="L790">
        <v>958</v>
      </c>
      <c r="M790" t="s">
        <v>2216</v>
      </c>
    </row>
    <row r="791" spans="1:13" x14ac:dyDescent="0.45">
      <c r="A791" t="s">
        <v>13</v>
      </c>
      <c r="B791">
        <v>838605</v>
      </c>
      <c r="C791">
        <v>840671</v>
      </c>
      <c r="E791" t="s">
        <v>14</v>
      </c>
      <c r="F791" t="s">
        <v>2217</v>
      </c>
      <c r="H791">
        <v>0</v>
      </c>
      <c r="I791" t="s">
        <v>17</v>
      </c>
      <c r="K791" t="s">
        <v>2218</v>
      </c>
      <c r="L791">
        <v>688</v>
      </c>
      <c r="M791" t="s">
        <v>2219</v>
      </c>
    </row>
    <row r="792" spans="1:13" x14ac:dyDescent="0.45">
      <c r="A792" t="s">
        <v>13</v>
      </c>
      <c r="B792">
        <v>841699</v>
      </c>
      <c r="C792">
        <v>842514</v>
      </c>
      <c r="E792" t="s">
        <v>14</v>
      </c>
      <c r="F792" t="s">
        <v>2220</v>
      </c>
      <c r="H792">
        <v>0</v>
      </c>
      <c r="I792" t="s">
        <v>17</v>
      </c>
      <c r="K792" t="s">
        <v>2221</v>
      </c>
      <c r="L792">
        <v>271</v>
      </c>
      <c r="M792" t="s">
        <v>2222</v>
      </c>
    </row>
    <row r="793" spans="1:13" x14ac:dyDescent="0.45">
      <c r="A793" t="s">
        <v>13</v>
      </c>
      <c r="B793">
        <v>842542</v>
      </c>
      <c r="C793">
        <v>843219</v>
      </c>
      <c r="E793" t="s">
        <v>14</v>
      </c>
      <c r="F793" t="s">
        <v>2223</v>
      </c>
      <c r="H793">
        <v>0</v>
      </c>
      <c r="I793" t="s">
        <v>17</v>
      </c>
      <c r="K793" t="s">
        <v>2224</v>
      </c>
      <c r="L793">
        <v>225</v>
      </c>
      <c r="M793" t="s">
        <v>2225</v>
      </c>
    </row>
    <row r="794" spans="1:13" x14ac:dyDescent="0.45">
      <c r="A794" t="s">
        <v>13</v>
      </c>
      <c r="B794">
        <v>843278</v>
      </c>
      <c r="C794">
        <v>844000</v>
      </c>
      <c r="E794" t="s">
        <v>14</v>
      </c>
      <c r="F794" t="s">
        <v>2226</v>
      </c>
      <c r="H794">
        <v>0</v>
      </c>
      <c r="I794" t="s">
        <v>17</v>
      </c>
      <c r="K794" t="s">
        <v>2227</v>
      </c>
      <c r="L794">
        <v>240</v>
      </c>
      <c r="M794" t="s">
        <v>2228</v>
      </c>
    </row>
    <row r="795" spans="1:13" x14ac:dyDescent="0.45">
      <c r="A795" t="s">
        <v>13</v>
      </c>
      <c r="B795">
        <v>844648</v>
      </c>
      <c r="C795">
        <v>845799</v>
      </c>
      <c r="E795" t="s">
        <v>14</v>
      </c>
      <c r="F795" t="s">
        <v>2229</v>
      </c>
      <c r="H795">
        <v>0</v>
      </c>
      <c r="I795" t="s">
        <v>17</v>
      </c>
      <c r="K795" t="s">
        <v>2230</v>
      </c>
      <c r="L795">
        <v>383</v>
      </c>
      <c r="M795" t="s">
        <v>2231</v>
      </c>
    </row>
    <row r="796" spans="1:13" x14ac:dyDescent="0.45">
      <c r="A796" t="s">
        <v>13</v>
      </c>
      <c r="B796">
        <v>845845</v>
      </c>
      <c r="C796">
        <v>847020</v>
      </c>
      <c r="E796" t="s">
        <v>14</v>
      </c>
      <c r="F796" t="s">
        <v>2232</v>
      </c>
      <c r="G796" t="s">
        <v>2233</v>
      </c>
      <c r="H796">
        <v>0</v>
      </c>
      <c r="I796" t="s">
        <v>17</v>
      </c>
      <c r="K796" t="s">
        <v>2234</v>
      </c>
      <c r="L796">
        <v>391</v>
      </c>
      <c r="M796" t="s">
        <v>2235</v>
      </c>
    </row>
    <row r="797" spans="1:13" x14ac:dyDescent="0.45">
      <c r="A797" t="s">
        <v>13</v>
      </c>
      <c r="B797">
        <v>847176</v>
      </c>
      <c r="C797">
        <v>847979</v>
      </c>
      <c r="E797" t="s">
        <v>14</v>
      </c>
      <c r="F797" t="s">
        <v>2236</v>
      </c>
      <c r="H797">
        <v>0</v>
      </c>
      <c r="I797" t="s">
        <v>17</v>
      </c>
      <c r="K797" t="s">
        <v>2237</v>
      </c>
      <c r="L797">
        <v>267</v>
      </c>
      <c r="M797" t="s">
        <v>2238</v>
      </c>
    </row>
    <row r="798" spans="1:13" x14ac:dyDescent="0.45">
      <c r="A798" t="s">
        <v>13</v>
      </c>
      <c r="B798">
        <v>848222</v>
      </c>
      <c r="C798">
        <v>848863</v>
      </c>
      <c r="E798" t="s">
        <v>14</v>
      </c>
      <c r="F798" t="s">
        <v>2239</v>
      </c>
      <c r="H798">
        <v>0</v>
      </c>
      <c r="I798" t="s">
        <v>17</v>
      </c>
      <c r="K798" t="s">
        <v>2240</v>
      </c>
      <c r="L798">
        <v>213</v>
      </c>
      <c r="M798" t="s">
        <v>2241</v>
      </c>
    </row>
    <row r="799" spans="1:13" x14ac:dyDescent="0.45">
      <c r="A799" t="s">
        <v>13</v>
      </c>
      <c r="B799">
        <v>850276</v>
      </c>
      <c r="C799">
        <v>851946</v>
      </c>
      <c r="E799" t="s">
        <v>14</v>
      </c>
      <c r="F799" t="s">
        <v>2242</v>
      </c>
      <c r="G799" t="s">
        <v>2243</v>
      </c>
      <c r="H799">
        <v>0</v>
      </c>
      <c r="I799" t="s">
        <v>17</v>
      </c>
      <c r="K799" t="s">
        <v>2244</v>
      </c>
      <c r="L799">
        <v>556</v>
      </c>
      <c r="M799" t="s">
        <v>2245</v>
      </c>
    </row>
    <row r="800" spans="1:13" x14ac:dyDescent="0.45">
      <c r="A800" t="s">
        <v>13</v>
      </c>
      <c r="B800">
        <v>852068</v>
      </c>
      <c r="C800">
        <v>852802</v>
      </c>
      <c r="E800" t="s">
        <v>96</v>
      </c>
      <c r="F800" t="s">
        <v>2246</v>
      </c>
      <c r="G800" t="s">
        <v>2247</v>
      </c>
      <c r="H800">
        <v>0</v>
      </c>
      <c r="I800" t="s">
        <v>17</v>
      </c>
      <c r="K800" t="s">
        <v>2248</v>
      </c>
      <c r="L800">
        <v>244</v>
      </c>
      <c r="M800" t="s">
        <v>2249</v>
      </c>
    </row>
    <row r="801" spans="1:13" x14ac:dyDescent="0.45">
      <c r="A801" t="s">
        <v>13</v>
      </c>
      <c r="B801">
        <v>852962</v>
      </c>
      <c r="C801">
        <v>855193</v>
      </c>
      <c r="E801" t="s">
        <v>96</v>
      </c>
      <c r="F801" t="s">
        <v>2250</v>
      </c>
      <c r="G801" t="s">
        <v>2251</v>
      </c>
      <c r="H801">
        <v>0</v>
      </c>
      <c r="I801" t="s">
        <v>17</v>
      </c>
      <c r="K801" t="s">
        <v>2252</v>
      </c>
      <c r="L801">
        <v>743</v>
      </c>
      <c r="M801" t="s">
        <v>2253</v>
      </c>
    </row>
    <row r="802" spans="1:13" x14ac:dyDescent="0.45">
      <c r="A802" t="s">
        <v>13</v>
      </c>
      <c r="B802">
        <v>855552</v>
      </c>
      <c r="C802">
        <v>856547</v>
      </c>
      <c r="E802" t="s">
        <v>14</v>
      </c>
      <c r="F802" t="s">
        <v>2254</v>
      </c>
      <c r="H802">
        <v>0</v>
      </c>
      <c r="I802" t="s">
        <v>17</v>
      </c>
      <c r="K802" t="s">
        <v>2255</v>
      </c>
      <c r="L802">
        <v>331</v>
      </c>
      <c r="M802" t="s">
        <v>2256</v>
      </c>
    </row>
    <row r="803" spans="1:13" x14ac:dyDescent="0.45">
      <c r="A803" t="s">
        <v>13</v>
      </c>
      <c r="B803">
        <v>856638</v>
      </c>
      <c r="C803">
        <v>858251</v>
      </c>
      <c r="E803" t="s">
        <v>14</v>
      </c>
      <c r="F803" t="s">
        <v>2257</v>
      </c>
      <c r="H803">
        <v>0</v>
      </c>
      <c r="I803" t="s">
        <v>17</v>
      </c>
      <c r="K803" t="s">
        <v>2258</v>
      </c>
      <c r="L803">
        <v>537</v>
      </c>
      <c r="M803" t="s">
        <v>2259</v>
      </c>
    </row>
    <row r="804" spans="1:13" x14ac:dyDescent="0.45">
      <c r="A804" t="s">
        <v>13</v>
      </c>
      <c r="B804">
        <v>858526</v>
      </c>
      <c r="C804">
        <v>860511</v>
      </c>
      <c r="E804" t="s">
        <v>14</v>
      </c>
      <c r="F804" t="s">
        <v>613</v>
      </c>
      <c r="H804">
        <v>0</v>
      </c>
      <c r="I804" t="s">
        <v>17</v>
      </c>
      <c r="K804" t="s">
        <v>2260</v>
      </c>
      <c r="L804">
        <v>661</v>
      </c>
      <c r="M804" t="s">
        <v>2261</v>
      </c>
    </row>
    <row r="805" spans="1:13" x14ac:dyDescent="0.45">
      <c r="A805" t="s">
        <v>13</v>
      </c>
      <c r="B805">
        <v>860516</v>
      </c>
      <c r="C805">
        <v>860950</v>
      </c>
      <c r="E805" t="s">
        <v>14</v>
      </c>
      <c r="F805" t="s">
        <v>2262</v>
      </c>
      <c r="H805">
        <v>0</v>
      </c>
      <c r="I805" t="s">
        <v>17</v>
      </c>
      <c r="K805" t="s">
        <v>2263</v>
      </c>
      <c r="L805">
        <v>144</v>
      </c>
      <c r="M805" t="s">
        <v>2264</v>
      </c>
    </row>
    <row r="806" spans="1:13" x14ac:dyDescent="0.45">
      <c r="A806" t="s">
        <v>13</v>
      </c>
      <c r="B806">
        <v>860979</v>
      </c>
      <c r="C806">
        <v>861539</v>
      </c>
      <c r="E806" t="s">
        <v>14</v>
      </c>
      <c r="F806" t="s">
        <v>2265</v>
      </c>
      <c r="H806">
        <v>0</v>
      </c>
      <c r="I806" t="s">
        <v>17</v>
      </c>
      <c r="K806" t="s">
        <v>2266</v>
      </c>
      <c r="L806">
        <v>186</v>
      </c>
      <c r="M806" t="s">
        <v>2267</v>
      </c>
    </row>
    <row r="807" spans="1:13" x14ac:dyDescent="0.45">
      <c r="A807" t="s">
        <v>13</v>
      </c>
      <c r="B807">
        <v>861603</v>
      </c>
      <c r="C807">
        <v>862055</v>
      </c>
      <c r="E807" t="s">
        <v>14</v>
      </c>
      <c r="F807" t="s">
        <v>271</v>
      </c>
      <c r="H807">
        <v>0</v>
      </c>
      <c r="I807" t="s">
        <v>272</v>
      </c>
      <c r="M807" t="s">
        <v>2268</v>
      </c>
    </row>
    <row r="808" spans="1:13" x14ac:dyDescent="0.45">
      <c r="A808" t="s">
        <v>13</v>
      </c>
      <c r="B808">
        <v>862143</v>
      </c>
      <c r="C808">
        <v>862562</v>
      </c>
      <c r="E808" t="s">
        <v>14</v>
      </c>
      <c r="F808" t="s">
        <v>43</v>
      </c>
      <c r="H808">
        <v>0</v>
      </c>
      <c r="I808" t="s">
        <v>17</v>
      </c>
      <c r="K808" t="s">
        <v>2269</v>
      </c>
      <c r="L808">
        <v>139</v>
      </c>
      <c r="M808" t="s">
        <v>2270</v>
      </c>
    </row>
    <row r="809" spans="1:13" x14ac:dyDescent="0.45">
      <c r="A809" t="s">
        <v>13</v>
      </c>
      <c r="B809">
        <v>862603</v>
      </c>
      <c r="C809">
        <v>862968</v>
      </c>
      <c r="E809" t="s">
        <v>14</v>
      </c>
      <c r="F809" t="s">
        <v>2271</v>
      </c>
      <c r="H809">
        <v>0</v>
      </c>
      <c r="I809" t="s">
        <v>17</v>
      </c>
      <c r="K809" t="s">
        <v>2272</v>
      </c>
      <c r="L809">
        <v>121</v>
      </c>
      <c r="M809" t="s">
        <v>2273</v>
      </c>
    </row>
    <row r="810" spans="1:13" x14ac:dyDescent="0.45">
      <c r="A810" t="s">
        <v>13</v>
      </c>
      <c r="B810">
        <v>863069</v>
      </c>
      <c r="C810">
        <v>863842</v>
      </c>
      <c r="E810" t="s">
        <v>14</v>
      </c>
      <c r="F810" t="s">
        <v>2274</v>
      </c>
      <c r="G810" t="s">
        <v>2275</v>
      </c>
      <c r="H810">
        <v>0</v>
      </c>
      <c r="I810" t="s">
        <v>17</v>
      </c>
      <c r="K810" t="s">
        <v>2276</v>
      </c>
      <c r="L810">
        <v>257</v>
      </c>
      <c r="M810" t="s">
        <v>2277</v>
      </c>
    </row>
    <row r="811" spans="1:13" x14ac:dyDescent="0.45">
      <c r="A811" t="s">
        <v>13</v>
      </c>
      <c r="B811">
        <v>864835</v>
      </c>
      <c r="C811">
        <v>865953</v>
      </c>
      <c r="E811" t="s">
        <v>14</v>
      </c>
      <c r="F811" t="s">
        <v>1370</v>
      </c>
      <c r="G811" t="s">
        <v>1371</v>
      </c>
      <c r="H811">
        <v>0</v>
      </c>
      <c r="I811" t="s">
        <v>17</v>
      </c>
      <c r="K811" t="s">
        <v>2278</v>
      </c>
      <c r="L811">
        <v>372</v>
      </c>
      <c r="M811" t="s">
        <v>2279</v>
      </c>
    </row>
    <row r="812" spans="1:13" x14ac:dyDescent="0.45">
      <c r="A812" t="s">
        <v>13</v>
      </c>
      <c r="B812">
        <v>866179</v>
      </c>
      <c r="C812">
        <v>868491</v>
      </c>
      <c r="E812" t="s">
        <v>14</v>
      </c>
      <c r="F812" t="s">
        <v>2280</v>
      </c>
      <c r="H812">
        <v>0</v>
      </c>
      <c r="I812" t="s">
        <v>17</v>
      </c>
      <c r="K812" t="s">
        <v>2281</v>
      </c>
      <c r="L812">
        <v>770</v>
      </c>
      <c r="M812" t="s">
        <v>2282</v>
      </c>
    </row>
    <row r="813" spans="1:13" x14ac:dyDescent="0.45">
      <c r="A813" t="s">
        <v>13</v>
      </c>
      <c r="B813">
        <v>868579</v>
      </c>
      <c r="C813">
        <v>868914</v>
      </c>
      <c r="E813" t="s">
        <v>14</v>
      </c>
      <c r="F813" t="s">
        <v>2283</v>
      </c>
      <c r="G813" t="s">
        <v>2284</v>
      </c>
      <c r="H813">
        <v>0</v>
      </c>
      <c r="I813" t="s">
        <v>17</v>
      </c>
      <c r="K813" t="s">
        <v>2285</v>
      </c>
      <c r="L813">
        <v>111</v>
      </c>
      <c r="M813" t="s">
        <v>2286</v>
      </c>
    </row>
    <row r="814" spans="1:13" x14ac:dyDescent="0.45">
      <c r="A814" t="s">
        <v>13</v>
      </c>
      <c r="B814">
        <v>868928</v>
      </c>
      <c r="C814">
        <v>869356</v>
      </c>
      <c r="E814" t="s">
        <v>14</v>
      </c>
      <c r="F814" t="s">
        <v>2287</v>
      </c>
      <c r="G814" t="s">
        <v>2288</v>
      </c>
      <c r="H814">
        <v>0</v>
      </c>
      <c r="I814" t="s">
        <v>17</v>
      </c>
      <c r="K814" t="s">
        <v>2289</v>
      </c>
      <c r="L814">
        <v>142</v>
      </c>
      <c r="M814" t="s">
        <v>2290</v>
      </c>
    </row>
    <row r="815" spans="1:13" x14ac:dyDescent="0.45">
      <c r="A815" t="s">
        <v>13</v>
      </c>
      <c r="B815">
        <v>869379</v>
      </c>
      <c r="C815">
        <v>870143</v>
      </c>
      <c r="E815" t="s">
        <v>14</v>
      </c>
      <c r="F815" t="s">
        <v>2291</v>
      </c>
      <c r="G815" t="s">
        <v>2292</v>
      </c>
      <c r="H815">
        <v>0</v>
      </c>
      <c r="I815" t="s">
        <v>17</v>
      </c>
      <c r="K815" t="s">
        <v>2293</v>
      </c>
      <c r="L815">
        <v>254</v>
      </c>
      <c r="M815" t="s">
        <v>2294</v>
      </c>
    </row>
    <row r="816" spans="1:13" x14ac:dyDescent="0.45">
      <c r="A816" t="s">
        <v>13</v>
      </c>
      <c r="B816">
        <v>870423</v>
      </c>
      <c r="C816">
        <v>870860</v>
      </c>
      <c r="E816" t="s">
        <v>14</v>
      </c>
      <c r="F816" t="s">
        <v>2295</v>
      </c>
      <c r="G816" t="s">
        <v>2296</v>
      </c>
      <c r="H816">
        <v>0</v>
      </c>
      <c r="I816" t="s">
        <v>17</v>
      </c>
      <c r="K816" t="s">
        <v>2297</v>
      </c>
      <c r="L816">
        <v>145</v>
      </c>
      <c r="M816" t="s">
        <v>2298</v>
      </c>
    </row>
    <row r="817" spans="1:13" x14ac:dyDescent="0.45">
      <c r="A817" t="s">
        <v>13</v>
      </c>
      <c r="B817">
        <v>871014</v>
      </c>
      <c r="C817">
        <v>872027</v>
      </c>
      <c r="E817" t="s">
        <v>14</v>
      </c>
      <c r="F817" t="s">
        <v>2299</v>
      </c>
      <c r="G817" t="s">
        <v>2300</v>
      </c>
      <c r="H817">
        <v>0</v>
      </c>
      <c r="I817" t="s">
        <v>17</v>
      </c>
      <c r="K817" t="s">
        <v>2301</v>
      </c>
      <c r="L817">
        <v>337</v>
      </c>
      <c r="M817" t="s">
        <v>2302</v>
      </c>
    </row>
    <row r="818" spans="1:13" x14ac:dyDescent="0.45">
      <c r="A818" t="s">
        <v>13</v>
      </c>
      <c r="B818">
        <v>872041</v>
      </c>
      <c r="C818">
        <v>872403</v>
      </c>
      <c r="E818" t="s">
        <v>14</v>
      </c>
      <c r="F818" t="s">
        <v>2303</v>
      </c>
      <c r="G818" t="s">
        <v>2304</v>
      </c>
      <c r="H818">
        <v>0</v>
      </c>
      <c r="I818" t="s">
        <v>17</v>
      </c>
      <c r="K818" t="s">
        <v>2305</v>
      </c>
      <c r="L818">
        <v>120</v>
      </c>
      <c r="M818" t="s">
        <v>2306</v>
      </c>
    </row>
    <row r="819" spans="1:13" x14ac:dyDescent="0.45">
      <c r="A819" t="s">
        <v>13</v>
      </c>
      <c r="B819">
        <v>872586</v>
      </c>
      <c r="C819">
        <v>873602</v>
      </c>
      <c r="E819" t="s">
        <v>14</v>
      </c>
      <c r="F819" t="s">
        <v>1154</v>
      </c>
      <c r="H819">
        <v>0</v>
      </c>
      <c r="I819" t="s">
        <v>17</v>
      </c>
      <c r="K819" t="s">
        <v>2307</v>
      </c>
      <c r="L819">
        <v>338</v>
      </c>
      <c r="M819" t="s">
        <v>2308</v>
      </c>
    </row>
    <row r="820" spans="1:13" x14ac:dyDescent="0.45">
      <c r="A820" t="s">
        <v>13</v>
      </c>
      <c r="B820">
        <v>873977</v>
      </c>
      <c r="C820">
        <v>874819</v>
      </c>
      <c r="E820" t="s">
        <v>14</v>
      </c>
      <c r="F820" t="s">
        <v>1588</v>
      </c>
      <c r="H820">
        <v>0</v>
      </c>
      <c r="I820" t="s">
        <v>17</v>
      </c>
      <c r="K820" t="s">
        <v>2309</v>
      </c>
      <c r="L820">
        <v>280</v>
      </c>
      <c r="M820" t="s">
        <v>2310</v>
      </c>
    </row>
    <row r="821" spans="1:13" x14ac:dyDescent="0.45">
      <c r="A821" t="s">
        <v>13</v>
      </c>
      <c r="B821">
        <v>874834</v>
      </c>
      <c r="C821">
        <v>875298</v>
      </c>
      <c r="E821" t="s">
        <v>14</v>
      </c>
      <c r="F821" t="s">
        <v>43</v>
      </c>
      <c r="H821">
        <v>0</v>
      </c>
      <c r="I821" t="s">
        <v>17</v>
      </c>
      <c r="K821" t="s">
        <v>2311</v>
      </c>
      <c r="L821">
        <v>154</v>
      </c>
      <c r="M821" t="s">
        <v>2312</v>
      </c>
    </row>
    <row r="822" spans="1:13" x14ac:dyDescent="0.45">
      <c r="A822" t="s">
        <v>13</v>
      </c>
      <c r="B822">
        <v>875312</v>
      </c>
      <c r="C822">
        <v>876457</v>
      </c>
      <c r="E822" t="s">
        <v>14</v>
      </c>
      <c r="F822" t="s">
        <v>1128</v>
      </c>
      <c r="H822">
        <v>0</v>
      </c>
      <c r="I822" t="s">
        <v>17</v>
      </c>
      <c r="K822" t="s">
        <v>2313</v>
      </c>
      <c r="L822">
        <v>381</v>
      </c>
      <c r="M822" t="s">
        <v>2314</v>
      </c>
    </row>
    <row r="823" spans="1:13" x14ac:dyDescent="0.45">
      <c r="A823" t="s">
        <v>13</v>
      </c>
      <c r="B823">
        <v>876501</v>
      </c>
      <c r="C823">
        <v>877436</v>
      </c>
      <c r="E823" t="s">
        <v>14</v>
      </c>
      <c r="F823" t="s">
        <v>2315</v>
      </c>
      <c r="H823">
        <v>0</v>
      </c>
      <c r="I823" t="s">
        <v>17</v>
      </c>
      <c r="K823" t="s">
        <v>2316</v>
      </c>
      <c r="L823">
        <v>311</v>
      </c>
      <c r="M823" t="s">
        <v>2317</v>
      </c>
    </row>
    <row r="824" spans="1:13" x14ac:dyDescent="0.45">
      <c r="A824" t="s">
        <v>13</v>
      </c>
      <c r="B824">
        <v>878235</v>
      </c>
      <c r="C824">
        <v>878633</v>
      </c>
      <c r="E824" t="s">
        <v>96</v>
      </c>
      <c r="F824" t="s">
        <v>2318</v>
      </c>
      <c r="H824">
        <v>0</v>
      </c>
      <c r="I824" t="s">
        <v>17</v>
      </c>
      <c r="K824" t="s">
        <v>2319</v>
      </c>
      <c r="L824">
        <v>132</v>
      </c>
      <c r="M824" t="s">
        <v>2320</v>
      </c>
    </row>
    <row r="825" spans="1:13" x14ac:dyDescent="0.45">
      <c r="A825" t="s">
        <v>13</v>
      </c>
      <c r="B825">
        <v>878932</v>
      </c>
      <c r="C825">
        <v>881625</v>
      </c>
      <c r="E825" t="s">
        <v>96</v>
      </c>
      <c r="F825" t="s">
        <v>2321</v>
      </c>
      <c r="H825">
        <v>0</v>
      </c>
      <c r="I825" t="s">
        <v>17</v>
      </c>
      <c r="K825" t="s">
        <v>2322</v>
      </c>
      <c r="L825">
        <v>897</v>
      </c>
      <c r="M825" t="s">
        <v>2323</v>
      </c>
    </row>
    <row r="826" spans="1:13" x14ac:dyDescent="0.45">
      <c r="A826" t="s">
        <v>13</v>
      </c>
      <c r="B826">
        <v>881839</v>
      </c>
      <c r="C826">
        <v>882537</v>
      </c>
      <c r="E826" t="s">
        <v>14</v>
      </c>
      <c r="F826" t="s">
        <v>2324</v>
      </c>
      <c r="G826" t="s">
        <v>2325</v>
      </c>
      <c r="H826">
        <v>0</v>
      </c>
      <c r="I826" t="s">
        <v>17</v>
      </c>
      <c r="K826" t="s">
        <v>2326</v>
      </c>
      <c r="L826">
        <v>232</v>
      </c>
      <c r="M826" t="s">
        <v>2327</v>
      </c>
    </row>
    <row r="827" spans="1:13" x14ac:dyDescent="0.45">
      <c r="A827" t="s">
        <v>13</v>
      </c>
      <c r="B827">
        <v>882749</v>
      </c>
      <c r="C827">
        <v>883756</v>
      </c>
      <c r="E827" t="s">
        <v>96</v>
      </c>
      <c r="F827" t="s">
        <v>2328</v>
      </c>
      <c r="H827">
        <v>0</v>
      </c>
      <c r="I827" t="s">
        <v>17</v>
      </c>
      <c r="K827" t="s">
        <v>2329</v>
      </c>
      <c r="L827">
        <v>335</v>
      </c>
      <c r="M827" t="s">
        <v>2330</v>
      </c>
    </row>
    <row r="828" spans="1:13" x14ac:dyDescent="0.45">
      <c r="A828" t="s">
        <v>13</v>
      </c>
      <c r="B828">
        <v>883984</v>
      </c>
      <c r="C828">
        <v>884868</v>
      </c>
      <c r="E828" t="s">
        <v>14</v>
      </c>
      <c r="F828" t="s">
        <v>2331</v>
      </c>
      <c r="H828">
        <v>0</v>
      </c>
      <c r="I828" t="s">
        <v>17</v>
      </c>
      <c r="K828" t="s">
        <v>2332</v>
      </c>
      <c r="L828">
        <v>294</v>
      </c>
      <c r="M828" t="s">
        <v>2333</v>
      </c>
    </row>
    <row r="829" spans="1:13" x14ac:dyDescent="0.45">
      <c r="A829" t="s">
        <v>13</v>
      </c>
      <c r="B829">
        <v>885070</v>
      </c>
      <c r="C829">
        <v>886620</v>
      </c>
      <c r="E829" t="s">
        <v>14</v>
      </c>
      <c r="F829" t="s">
        <v>732</v>
      </c>
      <c r="H829">
        <v>0</v>
      </c>
      <c r="I829" t="s">
        <v>17</v>
      </c>
      <c r="K829" t="s">
        <v>2334</v>
      </c>
      <c r="L829">
        <v>516</v>
      </c>
      <c r="M829" t="s">
        <v>2335</v>
      </c>
    </row>
    <row r="830" spans="1:13" x14ac:dyDescent="0.45">
      <c r="A830" t="s">
        <v>13</v>
      </c>
      <c r="B830">
        <v>886649</v>
      </c>
      <c r="C830">
        <v>887284</v>
      </c>
      <c r="E830" t="s">
        <v>14</v>
      </c>
      <c r="F830" t="s">
        <v>2336</v>
      </c>
      <c r="H830">
        <v>0</v>
      </c>
      <c r="I830" t="s">
        <v>17</v>
      </c>
      <c r="K830" t="s">
        <v>2337</v>
      </c>
      <c r="L830">
        <v>211</v>
      </c>
      <c r="M830" t="s">
        <v>2338</v>
      </c>
    </row>
    <row r="831" spans="1:13" x14ac:dyDescent="0.45">
      <c r="A831" t="s">
        <v>13</v>
      </c>
      <c r="B831">
        <v>887395</v>
      </c>
      <c r="C831">
        <v>887655</v>
      </c>
      <c r="E831" t="s">
        <v>96</v>
      </c>
      <c r="F831" t="s">
        <v>2339</v>
      </c>
      <c r="H831">
        <v>0</v>
      </c>
      <c r="I831" t="s">
        <v>17</v>
      </c>
      <c r="K831" t="s">
        <v>2340</v>
      </c>
      <c r="L831">
        <v>86</v>
      </c>
      <c r="M831" t="s">
        <v>2341</v>
      </c>
    </row>
    <row r="832" spans="1:13" x14ac:dyDescent="0.45">
      <c r="A832" t="s">
        <v>13</v>
      </c>
      <c r="B832">
        <v>887872</v>
      </c>
      <c r="C832">
        <v>889155</v>
      </c>
      <c r="E832" t="s">
        <v>14</v>
      </c>
      <c r="F832" t="s">
        <v>2342</v>
      </c>
      <c r="G832" t="s">
        <v>2343</v>
      </c>
      <c r="H832">
        <v>0</v>
      </c>
      <c r="I832" t="s">
        <v>17</v>
      </c>
      <c r="K832" t="s">
        <v>2344</v>
      </c>
      <c r="L832">
        <v>427</v>
      </c>
      <c r="M832" t="s">
        <v>2345</v>
      </c>
    </row>
    <row r="833" spans="1:13" x14ac:dyDescent="0.45">
      <c r="A833" t="s">
        <v>13</v>
      </c>
      <c r="B833">
        <v>889163</v>
      </c>
      <c r="C833">
        <v>889840</v>
      </c>
      <c r="E833" t="s">
        <v>14</v>
      </c>
      <c r="F833" t="s">
        <v>2346</v>
      </c>
      <c r="H833">
        <v>0</v>
      </c>
      <c r="I833" t="s">
        <v>17</v>
      </c>
      <c r="K833" t="s">
        <v>2347</v>
      </c>
      <c r="L833">
        <v>225</v>
      </c>
      <c r="M833" t="s">
        <v>2348</v>
      </c>
    </row>
    <row r="834" spans="1:13" x14ac:dyDescent="0.45">
      <c r="A834" t="s">
        <v>13</v>
      </c>
      <c r="B834">
        <v>889926</v>
      </c>
      <c r="C834">
        <v>890369</v>
      </c>
      <c r="E834" t="s">
        <v>14</v>
      </c>
      <c r="F834" t="s">
        <v>2349</v>
      </c>
      <c r="H834">
        <v>0</v>
      </c>
      <c r="I834" t="s">
        <v>17</v>
      </c>
      <c r="K834" t="s">
        <v>2350</v>
      </c>
      <c r="L834">
        <v>147</v>
      </c>
      <c r="M834" t="s">
        <v>2351</v>
      </c>
    </row>
    <row r="835" spans="1:13" x14ac:dyDescent="0.45">
      <c r="A835" t="s">
        <v>13</v>
      </c>
      <c r="B835">
        <v>890675</v>
      </c>
      <c r="C835">
        <v>891319</v>
      </c>
      <c r="E835" t="s">
        <v>14</v>
      </c>
      <c r="F835" t="s">
        <v>2352</v>
      </c>
      <c r="H835">
        <v>0</v>
      </c>
      <c r="I835" t="s">
        <v>17</v>
      </c>
      <c r="K835" t="s">
        <v>2353</v>
      </c>
      <c r="L835">
        <v>214</v>
      </c>
      <c r="M835" t="s">
        <v>2354</v>
      </c>
    </row>
    <row r="836" spans="1:13" x14ac:dyDescent="0.45">
      <c r="A836" t="s">
        <v>13</v>
      </c>
      <c r="B836">
        <v>891405</v>
      </c>
      <c r="C836">
        <v>891782</v>
      </c>
      <c r="E836" t="s">
        <v>96</v>
      </c>
      <c r="F836" t="s">
        <v>2355</v>
      </c>
      <c r="H836">
        <v>0</v>
      </c>
      <c r="I836" t="s">
        <v>17</v>
      </c>
      <c r="K836" t="s">
        <v>2356</v>
      </c>
      <c r="L836">
        <v>125</v>
      </c>
      <c r="M836" t="s">
        <v>2357</v>
      </c>
    </row>
    <row r="837" spans="1:13" x14ac:dyDescent="0.45">
      <c r="A837" t="s">
        <v>13</v>
      </c>
      <c r="B837">
        <v>891782</v>
      </c>
      <c r="C837">
        <v>892168</v>
      </c>
      <c r="E837" t="s">
        <v>96</v>
      </c>
      <c r="F837" t="s">
        <v>2355</v>
      </c>
      <c r="H837">
        <v>0</v>
      </c>
      <c r="I837" t="s">
        <v>17</v>
      </c>
      <c r="K837" t="s">
        <v>2358</v>
      </c>
      <c r="L837">
        <v>128</v>
      </c>
      <c r="M837" t="s">
        <v>2359</v>
      </c>
    </row>
    <row r="838" spans="1:13" x14ac:dyDescent="0.45">
      <c r="A838" t="s">
        <v>13</v>
      </c>
      <c r="B838">
        <v>892347</v>
      </c>
      <c r="C838">
        <v>893102</v>
      </c>
      <c r="E838" t="s">
        <v>14</v>
      </c>
      <c r="F838" t="s">
        <v>2360</v>
      </c>
      <c r="G838" t="s">
        <v>2361</v>
      </c>
      <c r="H838">
        <v>0</v>
      </c>
      <c r="I838" t="s">
        <v>17</v>
      </c>
      <c r="K838" t="s">
        <v>2362</v>
      </c>
      <c r="L838">
        <v>251</v>
      </c>
      <c r="M838" t="s">
        <v>2363</v>
      </c>
    </row>
    <row r="839" spans="1:13" x14ac:dyDescent="0.45">
      <c r="A839" t="s">
        <v>13</v>
      </c>
      <c r="B839">
        <v>893185</v>
      </c>
      <c r="C839">
        <v>893904</v>
      </c>
      <c r="E839" t="s">
        <v>14</v>
      </c>
      <c r="F839" t="s">
        <v>2364</v>
      </c>
      <c r="H839">
        <v>0</v>
      </c>
      <c r="I839" t="s">
        <v>17</v>
      </c>
      <c r="K839" t="s">
        <v>2365</v>
      </c>
      <c r="L839">
        <v>239</v>
      </c>
      <c r="M839" t="s">
        <v>2366</v>
      </c>
    </row>
    <row r="840" spans="1:13" x14ac:dyDescent="0.45">
      <c r="A840" t="s">
        <v>13</v>
      </c>
      <c r="B840">
        <v>894072</v>
      </c>
      <c r="C840">
        <v>895076</v>
      </c>
      <c r="E840" t="s">
        <v>96</v>
      </c>
      <c r="F840" t="s">
        <v>1161</v>
      </c>
      <c r="H840">
        <v>0</v>
      </c>
      <c r="I840" t="s">
        <v>17</v>
      </c>
      <c r="K840" t="s">
        <v>2367</v>
      </c>
      <c r="L840">
        <v>334</v>
      </c>
      <c r="M840" t="s">
        <v>2368</v>
      </c>
    </row>
    <row r="841" spans="1:13" x14ac:dyDescent="0.45">
      <c r="A841" t="s">
        <v>13</v>
      </c>
      <c r="B841">
        <v>895342</v>
      </c>
      <c r="C841">
        <v>896238</v>
      </c>
      <c r="E841" t="s">
        <v>14</v>
      </c>
      <c r="F841" t="s">
        <v>2369</v>
      </c>
      <c r="H841">
        <v>0</v>
      </c>
      <c r="I841" t="s">
        <v>17</v>
      </c>
      <c r="K841" t="s">
        <v>2370</v>
      </c>
      <c r="L841">
        <v>298</v>
      </c>
      <c r="M841" t="s">
        <v>2371</v>
      </c>
    </row>
    <row r="842" spans="1:13" x14ac:dyDescent="0.45">
      <c r="A842" t="s">
        <v>13</v>
      </c>
      <c r="B842">
        <v>896376</v>
      </c>
      <c r="C842">
        <v>897638</v>
      </c>
      <c r="E842" t="s">
        <v>14</v>
      </c>
      <c r="F842" t="s">
        <v>2372</v>
      </c>
      <c r="H842">
        <v>0</v>
      </c>
      <c r="I842" t="s">
        <v>17</v>
      </c>
      <c r="K842" t="s">
        <v>2373</v>
      </c>
      <c r="L842">
        <v>420</v>
      </c>
      <c r="M842" t="s">
        <v>2374</v>
      </c>
    </row>
    <row r="843" spans="1:13" x14ac:dyDescent="0.45">
      <c r="A843" t="s">
        <v>13</v>
      </c>
      <c r="B843">
        <v>897714</v>
      </c>
      <c r="C843">
        <v>898907</v>
      </c>
      <c r="E843" t="s">
        <v>14</v>
      </c>
      <c r="F843" t="s">
        <v>2375</v>
      </c>
      <c r="H843">
        <v>0</v>
      </c>
      <c r="I843" t="s">
        <v>17</v>
      </c>
      <c r="K843" t="s">
        <v>2376</v>
      </c>
      <c r="L843">
        <v>397</v>
      </c>
      <c r="M843" t="s">
        <v>2377</v>
      </c>
    </row>
    <row r="844" spans="1:13" x14ac:dyDescent="0.45">
      <c r="A844" t="s">
        <v>13</v>
      </c>
      <c r="B844">
        <v>899536</v>
      </c>
      <c r="C844">
        <v>900330</v>
      </c>
      <c r="E844" t="s">
        <v>14</v>
      </c>
      <c r="F844" t="s">
        <v>2378</v>
      </c>
      <c r="H844">
        <v>0</v>
      </c>
      <c r="I844" t="s">
        <v>17</v>
      </c>
      <c r="K844" t="s">
        <v>2379</v>
      </c>
      <c r="L844">
        <v>264</v>
      </c>
      <c r="M844" t="s">
        <v>2380</v>
      </c>
    </row>
    <row r="845" spans="1:13" x14ac:dyDescent="0.45">
      <c r="A845" t="s">
        <v>13</v>
      </c>
      <c r="B845">
        <v>900424</v>
      </c>
      <c r="C845">
        <v>901764</v>
      </c>
      <c r="E845" t="s">
        <v>14</v>
      </c>
      <c r="F845" t="s">
        <v>2381</v>
      </c>
      <c r="H845">
        <v>0</v>
      </c>
      <c r="I845" t="s">
        <v>17</v>
      </c>
      <c r="K845" t="s">
        <v>2382</v>
      </c>
      <c r="L845">
        <v>446</v>
      </c>
      <c r="M845" t="s">
        <v>2383</v>
      </c>
    </row>
    <row r="846" spans="1:13" x14ac:dyDescent="0.45">
      <c r="A846" t="s">
        <v>13</v>
      </c>
      <c r="B846">
        <v>901901</v>
      </c>
      <c r="C846">
        <v>903133</v>
      </c>
      <c r="E846" t="s">
        <v>14</v>
      </c>
      <c r="F846" t="s">
        <v>2375</v>
      </c>
      <c r="H846">
        <v>0</v>
      </c>
      <c r="I846" t="s">
        <v>17</v>
      </c>
      <c r="K846" t="s">
        <v>2384</v>
      </c>
      <c r="L846">
        <v>410</v>
      </c>
      <c r="M846" t="s">
        <v>2385</v>
      </c>
    </row>
    <row r="847" spans="1:13" x14ac:dyDescent="0.45">
      <c r="A847" t="s">
        <v>13</v>
      </c>
      <c r="B847">
        <v>903173</v>
      </c>
      <c r="C847">
        <v>904315</v>
      </c>
      <c r="E847" t="s">
        <v>14</v>
      </c>
      <c r="F847" t="s">
        <v>2386</v>
      </c>
      <c r="G847" t="s">
        <v>2387</v>
      </c>
      <c r="H847">
        <v>0</v>
      </c>
      <c r="I847" t="s">
        <v>17</v>
      </c>
      <c r="K847" t="s">
        <v>2388</v>
      </c>
      <c r="L847">
        <v>380</v>
      </c>
      <c r="M847" t="s">
        <v>2389</v>
      </c>
    </row>
    <row r="848" spans="1:13" x14ac:dyDescent="0.45">
      <c r="A848" t="s">
        <v>13</v>
      </c>
      <c r="B848">
        <v>904326</v>
      </c>
      <c r="C848">
        <v>905120</v>
      </c>
      <c r="E848" t="s">
        <v>14</v>
      </c>
      <c r="F848" t="s">
        <v>2390</v>
      </c>
      <c r="H848">
        <v>0</v>
      </c>
      <c r="I848" t="s">
        <v>17</v>
      </c>
      <c r="K848" t="s">
        <v>2391</v>
      </c>
      <c r="L848">
        <v>264</v>
      </c>
      <c r="M848" t="s">
        <v>2392</v>
      </c>
    </row>
    <row r="849" spans="1:13" x14ac:dyDescent="0.45">
      <c r="A849" t="s">
        <v>13</v>
      </c>
      <c r="B849">
        <v>905134</v>
      </c>
      <c r="C849">
        <v>906153</v>
      </c>
      <c r="E849" t="s">
        <v>14</v>
      </c>
      <c r="F849" t="s">
        <v>1357</v>
      </c>
      <c r="H849">
        <v>0</v>
      </c>
      <c r="I849" t="s">
        <v>17</v>
      </c>
      <c r="K849" t="s">
        <v>2393</v>
      </c>
      <c r="L849">
        <v>339</v>
      </c>
      <c r="M849" t="s">
        <v>2394</v>
      </c>
    </row>
    <row r="850" spans="1:13" x14ac:dyDescent="0.45">
      <c r="A850" t="s">
        <v>13</v>
      </c>
      <c r="B850">
        <v>906252</v>
      </c>
      <c r="C850">
        <v>907628</v>
      </c>
      <c r="E850" t="s">
        <v>14</v>
      </c>
      <c r="F850" t="s">
        <v>723</v>
      </c>
      <c r="H850">
        <v>0</v>
      </c>
      <c r="I850" t="s">
        <v>17</v>
      </c>
      <c r="K850" t="s">
        <v>2395</v>
      </c>
      <c r="L850">
        <v>458</v>
      </c>
      <c r="M850" t="s">
        <v>2396</v>
      </c>
    </row>
    <row r="851" spans="1:13" x14ac:dyDescent="0.45">
      <c r="A851" t="s">
        <v>13</v>
      </c>
      <c r="B851">
        <v>907960</v>
      </c>
      <c r="C851">
        <v>908304</v>
      </c>
      <c r="E851" t="s">
        <v>96</v>
      </c>
      <c r="F851" t="s">
        <v>43</v>
      </c>
      <c r="H851">
        <v>0</v>
      </c>
      <c r="I851" t="s">
        <v>17</v>
      </c>
      <c r="K851" t="s">
        <v>2397</v>
      </c>
      <c r="L851">
        <v>114</v>
      </c>
      <c r="M851" t="s">
        <v>2398</v>
      </c>
    </row>
    <row r="852" spans="1:13" x14ac:dyDescent="0.45">
      <c r="A852" t="s">
        <v>13</v>
      </c>
      <c r="B852">
        <v>908792</v>
      </c>
      <c r="C852">
        <v>909802</v>
      </c>
      <c r="E852" t="s">
        <v>14</v>
      </c>
      <c r="F852" t="s">
        <v>658</v>
      </c>
      <c r="H852">
        <v>0</v>
      </c>
      <c r="I852" t="s">
        <v>17</v>
      </c>
      <c r="K852" t="s">
        <v>2399</v>
      </c>
      <c r="L852">
        <v>336</v>
      </c>
      <c r="M852" t="s">
        <v>2400</v>
      </c>
    </row>
    <row r="853" spans="1:13" x14ac:dyDescent="0.45">
      <c r="A853" t="s">
        <v>13</v>
      </c>
      <c r="B853">
        <v>909938</v>
      </c>
      <c r="C853">
        <v>910426</v>
      </c>
      <c r="E853" t="s">
        <v>14</v>
      </c>
      <c r="F853" t="s">
        <v>1482</v>
      </c>
      <c r="H853">
        <v>0</v>
      </c>
      <c r="I853" t="s">
        <v>17</v>
      </c>
      <c r="K853" t="s">
        <v>2401</v>
      </c>
      <c r="L853">
        <v>162</v>
      </c>
      <c r="M853" t="s">
        <v>2402</v>
      </c>
    </row>
    <row r="854" spans="1:13" x14ac:dyDescent="0.45">
      <c r="A854" t="s">
        <v>13</v>
      </c>
      <c r="B854">
        <v>910602</v>
      </c>
      <c r="C854">
        <v>912530</v>
      </c>
      <c r="E854" t="s">
        <v>14</v>
      </c>
      <c r="F854" t="s">
        <v>1748</v>
      </c>
      <c r="H854">
        <v>0</v>
      </c>
      <c r="I854" t="s">
        <v>17</v>
      </c>
      <c r="K854" t="s">
        <v>2403</v>
      </c>
      <c r="L854">
        <v>642</v>
      </c>
      <c r="M854" t="s">
        <v>2404</v>
      </c>
    </row>
    <row r="855" spans="1:13" x14ac:dyDescent="0.45">
      <c r="A855" t="s">
        <v>13</v>
      </c>
      <c r="B855">
        <v>912705</v>
      </c>
      <c r="C855">
        <v>913115</v>
      </c>
      <c r="E855" t="s">
        <v>14</v>
      </c>
      <c r="F855" t="s">
        <v>2405</v>
      </c>
      <c r="H855">
        <v>0</v>
      </c>
      <c r="I855" t="s">
        <v>17</v>
      </c>
      <c r="K855" t="s">
        <v>2406</v>
      </c>
      <c r="L855">
        <v>136</v>
      </c>
      <c r="M855" t="s">
        <v>2407</v>
      </c>
    </row>
    <row r="856" spans="1:13" x14ac:dyDescent="0.45">
      <c r="A856" t="s">
        <v>13</v>
      </c>
      <c r="B856">
        <v>913137</v>
      </c>
      <c r="C856">
        <v>913439</v>
      </c>
      <c r="E856" t="s">
        <v>14</v>
      </c>
      <c r="F856" t="s">
        <v>2408</v>
      </c>
      <c r="H856">
        <v>0</v>
      </c>
      <c r="I856" t="s">
        <v>17</v>
      </c>
      <c r="K856" t="s">
        <v>2409</v>
      </c>
      <c r="L856">
        <v>100</v>
      </c>
      <c r="M856" t="s">
        <v>2410</v>
      </c>
    </row>
    <row r="857" spans="1:13" x14ac:dyDescent="0.45">
      <c r="A857" t="s">
        <v>13</v>
      </c>
      <c r="B857">
        <v>913655</v>
      </c>
      <c r="C857">
        <v>914347</v>
      </c>
      <c r="E857" t="s">
        <v>96</v>
      </c>
      <c r="F857" t="s">
        <v>2411</v>
      </c>
      <c r="H857">
        <v>0</v>
      </c>
      <c r="I857" t="s">
        <v>17</v>
      </c>
      <c r="K857" t="s">
        <v>2412</v>
      </c>
      <c r="L857">
        <v>230</v>
      </c>
      <c r="M857" t="s">
        <v>2413</v>
      </c>
    </row>
    <row r="858" spans="1:13" x14ac:dyDescent="0.45">
      <c r="A858" t="s">
        <v>13</v>
      </c>
      <c r="B858">
        <v>914373</v>
      </c>
      <c r="C858">
        <v>915560</v>
      </c>
      <c r="E858" t="s">
        <v>96</v>
      </c>
      <c r="F858" t="s">
        <v>205</v>
      </c>
      <c r="H858">
        <v>0</v>
      </c>
      <c r="I858" t="s">
        <v>17</v>
      </c>
      <c r="K858" t="s">
        <v>2414</v>
      </c>
      <c r="L858">
        <v>395</v>
      </c>
      <c r="M858" t="s">
        <v>2415</v>
      </c>
    </row>
    <row r="859" spans="1:13" x14ac:dyDescent="0.45">
      <c r="A859" t="s">
        <v>13</v>
      </c>
      <c r="B859">
        <v>915896</v>
      </c>
      <c r="C859">
        <v>917773</v>
      </c>
      <c r="E859" t="s">
        <v>14</v>
      </c>
      <c r="F859" t="s">
        <v>1311</v>
      </c>
      <c r="H859">
        <v>0</v>
      </c>
      <c r="I859" t="s">
        <v>17</v>
      </c>
      <c r="K859" t="s">
        <v>2416</v>
      </c>
      <c r="L859">
        <v>625</v>
      </c>
      <c r="M859" t="s">
        <v>2417</v>
      </c>
    </row>
    <row r="860" spans="1:13" x14ac:dyDescent="0.45">
      <c r="A860" t="s">
        <v>13</v>
      </c>
      <c r="B860">
        <v>918085</v>
      </c>
      <c r="C860">
        <v>919491</v>
      </c>
      <c r="E860" t="s">
        <v>14</v>
      </c>
      <c r="F860" t="s">
        <v>1314</v>
      </c>
      <c r="H860">
        <v>0</v>
      </c>
      <c r="I860" t="s">
        <v>17</v>
      </c>
      <c r="K860" t="s">
        <v>2418</v>
      </c>
      <c r="L860">
        <v>468</v>
      </c>
      <c r="M860" t="s">
        <v>2419</v>
      </c>
    </row>
    <row r="861" spans="1:13" x14ac:dyDescent="0.45">
      <c r="A861" t="s">
        <v>13</v>
      </c>
      <c r="B861">
        <v>919519</v>
      </c>
      <c r="C861">
        <v>920367</v>
      </c>
      <c r="E861" t="s">
        <v>14</v>
      </c>
      <c r="F861" t="s">
        <v>1317</v>
      </c>
      <c r="H861">
        <v>0</v>
      </c>
      <c r="I861" t="s">
        <v>17</v>
      </c>
      <c r="K861" t="s">
        <v>2420</v>
      </c>
      <c r="L861">
        <v>282</v>
      </c>
      <c r="M861" t="s">
        <v>2421</v>
      </c>
    </row>
    <row r="862" spans="1:13" x14ac:dyDescent="0.45">
      <c r="A862" t="s">
        <v>13</v>
      </c>
      <c r="B862">
        <v>921028</v>
      </c>
      <c r="C862">
        <v>921720</v>
      </c>
      <c r="E862" t="s">
        <v>14</v>
      </c>
      <c r="F862" t="s">
        <v>1222</v>
      </c>
      <c r="H862">
        <v>0</v>
      </c>
      <c r="I862" t="s">
        <v>17</v>
      </c>
      <c r="K862" t="s">
        <v>2422</v>
      </c>
      <c r="L862">
        <v>230</v>
      </c>
      <c r="M862" t="s">
        <v>2423</v>
      </c>
    </row>
    <row r="863" spans="1:13" x14ac:dyDescent="0.45">
      <c r="A863" t="s">
        <v>13</v>
      </c>
      <c r="B863">
        <v>921717</v>
      </c>
      <c r="C863">
        <v>922652</v>
      </c>
      <c r="E863" t="s">
        <v>14</v>
      </c>
      <c r="F863" t="s">
        <v>1219</v>
      </c>
      <c r="H863">
        <v>0</v>
      </c>
      <c r="I863" t="s">
        <v>17</v>
      </c>
      <c r="K863" t="s">
        <v>2424</v>
      </c>
      <c r="L863">
        <v>311</v>
      </c>
      <c r="M863" t="s">
        <v>2425</v>
      </c>
    </row>
    <row r="864" spans="1:13" x14ac:dyDescent="0.45">
      <c r="A864" t="s">
        <v>13</v>
      </c>
      <c r="B864">
        <v>922800</v>
      </c>
      <c r="C864">
        <v>923723</v>
      </c>
      <c r="E864" t="s">
        <v>14</v>
      </c>
      <c r="F864" t="s">
        <v>1140</v>
      </c>
      <c r="H864">
        <v>0</v>
      </c>
      <c r="I864" t="s">
        <v>17</v>
      </c>
      <c r="K864" t="s">
        <v>2426</v>
      </c>
      <c r="L864">
        <v>307</v>
      </c>
      <c r="M864" t="s">
        <v>2427</v>
      </c>
    </row>
    <row r="865" spans="1:13" x14ac:dyDescent="0.45">
      <c r="A865" t="s">
        <v>13</v>
      </c>
      <c r="B865">
        <v>923707</v>
      </c>
      <c r="C865">
        <v>924477</v>
      </c>
      <c r="E865" t="s">
        <v>14</v>
      </c>
      <c r="F865" t="s">
        <v>1143</v>
      </c>
      <c r="H865">
        <v>0</v>
      </c>
      <c r="I865" t="s">
        <v>17</v>
      </c>
      <c r="K865" t="s">
        <v>2428</v>
      </c>
      <c r="L865">
        <v>256</v>
      </c>
      <c r="M865" t="s">
        <v>2429</v>
      </c>
    </row>
    <row r="866" spans="1:13" x14ac:dyDescent="0.45">
      <c r="A866" t="s">
        <v>13</v>
      </c>
      <c r="B866">
        <v>924487</v>
      </c>
      <c r="C866">
        <v>925269</v>
      </c>
      <c r="E866" t="s">
        <v>14</v>
      </c>
      <c r="F866" t="s">
        <v>1143</v>
      </c>
      <c r="H866">
        <v>0</v>
      </c>
      <c r="I866" t="s">
        <v>17</v>
      </c>
      <c r="K866" t="s">
        <v>2430</v>
      </c>
      <c r="L866">
        <v>260</v>
      </c>
      <c r="M866" t="s">
        <v>2431</v>
      </c>
    </row>
    <row r="867" spans="1:13" x14ac:dyDescent="0.45">
      <c r="A867" t="s">
        <v>13</v>
      </c>
      <c r="B867">
        <v>925646</v>
      </c>
      <c r="C867">
        <v>926182</v>
      </c>
      <c r="E867" t="s">
        <v>14</v>
      </c>
      <c r="F867" t="s">
        <v>2432</v>
      </c>
      <c r="G867" t="s">
        <v>2433</v>
      </c>
      <c r="H867">
        <v>0</v>
      </c>
      <c r="I867" t="s">
        <v>17</v>
      </c>
      <c r="K867" t="s">
        <v>2434</v>
      </c>
      <c r="L867">
        <v>178</v>
      </c>
      <c r="M867" t="s">
        <v>2435</v>
      </c>
    </row>
    <row r="868" spans="1:13" x14ac:dyDescent="0.45">
      <c r="A868" t="s">
        <v>13</v>
      </c>
      <c r="B868">
        <v>926214</v>
      </c>
      <c r="C868">
        <v>926603</v>
      </c>
      <c r="E868" t="s">
        <v>14</v>
      </c>
      <c r="F868" t="s">
        <v>2436</v>
      </c>
      <c r="H868">
        <v>0</v>
      </c>
      <c r="I868" t="s">
        <v>17</v>
      </c>
      <c r="K868" t="s">
        <v>2437</v>
      </c>
      <c r="L868">
        <v>129</v>
      </c>
      <c r="M868" t="s">
        <v>2438</v>
      </c>
    </row>
    <row r="869" spans="1:13" x14ac:dyDescent="0.45">
      <c r="A869" t="s">
        <v>13</v>
      </c>
      <c r="B869">
        <v>926640</v>
      </c>
      <c r="C869">
        <v>927026</v>
      </c>
      <c r="E869" t="s">
        <v>14</v>
      </c>
      <c r="F869" t="s">
        <v>2439</v>
      </c>
      <c r="H869">
        <v>0</v>
      </c>
      <c r="I869" t="s">
        <v>17</v>
      </c>
      <c r="K869" t="s">
        <v>2440</v>
      </c>
      <c r="L869">
        <v>128</v>
      </c>
      <c r="M869" t="s">
        <v>2441</v>
      </c>
    </row>
    <row r="870" spans="1:13" x14ac:dyDescent="0.45">
      <c r="A870" t="s">
        <v>13</v>
      </c>
      <c r="B870">
        <v>927153</v>
      </c>
      <c r="C870">
        <v>928595</v>
      </c>
      <c r="E870" t="s">
        <v>14</v>
      </c>
      <c r="F870" t="s">
        <v>2442</v>
      </c>
      <c r="H870">
        <v>0</v>
      </c>
      <c r="I870" t="s">
        <v>17</v>
      </c>
      <c r="K870" t="s">
        <v>2443</v>
      </c>
      <c r="L870">
        <v>480</v>
      </c>
      <c r="M870" t="s">
        <v>2444</v>
      </c>
    </row>
    <row r="871" spans="1:13" x14ac:dyDescent="0.45">
      <c r="A871" t="s">
        <v>13</v>
      </c>
      <c r="B871">
        <v>928892</v>
      </c>
      <c r="C871">
        <v>929707</v>
      </c>
      <c r="E871" t="s">
        <v>14</v>
      </c>
      <c r="F871" t="s">
        <v>1285</v>
      </c>
      <c r="H871">
        <v>0</v>
      </c>
      <c r="I871" t="s">
        <v>17</v>
      </c>
      <c r="K871" t="s">
        <v>2445</v>
      </c>
      <c r="L871">
        <v>271</v>
      </c>
      <c r="M871" t="s">
        <v>2446</v>
      </c>
    </row>
    <row r="872" spans="1:13" x14ac:dyDescent="0.45">
      <c r="A872" t="s">
        <v>13</v>
      </c>
      <c r="B872">
        <v>930308</v>
      </c>
      <c r="C872">
        <v>931492</v>
      </c>
      <c r="E872" t="s">
        <v>14</v>
      </c>
      <c r="F872" t="s">
        <v>604</v>
      </c>
      <c r="H872">
        <v>0</v>
      </c>
      <c r="I872" t="s">
        <v>17</v>
      </c>
      <c r="K872" t="s">
        <v>2447</v>
      </c>
      <c r="L872">
        <v>394</v>
      </c>
      <c r="M872" t="s">
        <v>2448</v>
      </c>
    </row>
    <row r="873" spans="1:13" x14ac:dyDescent="0.45">
      <c r="A873" t="s">
        <v>13</v>
      </c>
      <c r="B873">
        <v>931869</v>
      </c>
      <c r="C873">
        <v>932996</v>
      </c>
      <c r="E873" t="s">
        <v>96</v>
      </c>
      <c r="F873" t="s">
        <v>2257</v>
      </c>
      <c r="H873">
        <v>0</v>
      </c>
      <c r="I873" t="s">
        <v>17</v>
      </c>
      <c r="K873" t="s">
        <v>2449</v>
      </c>
      <c r="L873">
        <v>375</v>
      </c>
      <c r="M873" t="s">
        <v>2450</v>
      </c>
    </row>
    <row r="874" spans="1:13" x14ac:dyDescent="0.45">
      <c r="A874" t="s">
        <v>13</v>
      </c>
      <c r="B874">
        <v>933441</v>
      </c>
      <c r="C874">
        <v>934634</v>
      </c>
      <c r="E874" t="s">
        <v>14</v>
      </c>
      <c r="F874" t="s">
        <v>2451</v>
      </c>
      <c r="G874" t="s">
        <v>2452</v>
      </c>
      <c r="H874">
        <v>0</v>
      </c>
      <c r="I874" t="s">
        <v>17</v>
      </c>
      <c r="K874" t="s">
        <v>2453</v>
      </c>
      <c r="L874">
        <v>397</v>
      </c>
      <c r="M874" t="s">
        <v>2454</v>
      </c>
    </row>
    <row r="875" spans="1:13" x14ac:dyDescent="0.45">
      <c r="A875" t="s">
        <v>13</v>
      </c>
      <c r="B875">
        <v>934659</v>
      </c>
      <c r="C875">
        <v>936584</v>
      </c>
      <c r="E875" t="s">
        <v>14</v>
      </c>
      <c r="F875" t="s">
        <v>2455</v>
      </c>
      <c r="H875">
        <v>0</v>
      </c>
      <c r="I875" t="s">
        <v>17</v>
      </c>
      <c r="K875" t="s">
        <v>2456</v>
      </c>
      <c r="L875">
        <v>641</v>
      </c>
      <c r="M875" t="s">
        <v>2457</v>
      </c>
    </row>
    <row r="876" spans="1:13" x14ac:dyDescent="0.45">
      <c r="A876" t="s">
        <v>13</v>
      </c>
      <c r="B876">
        <v>936606</v>
      </c>
      <c r="C876">
        <v>937601</v>
      </c>
      <c r="E876" t="s">
        <v>14</v>
      </c>
      <c r="F876" t="s">
        <v>2458</v>
      </c>
      <c r="H876">
        <v>0</v>
      </c>
      <c r="I876" t="s">
        <v>17</v>
      </c>
      <c r="K876" t="s">
        <v>2459</v>
      </c>
      <c r="L876">
        <v>331</v>
      </c>
      <c r="M876" t="s">
        <v>2460</v>
      </c>
    </row>
    <row r="877" spans="1:13" x14ac:dyDescent="0.45">
      <c r="A877" t="s">
        <v>13</v>
      </c>
      <c r="B877">
        <v>937928</v>
      </c>
      <c r="C877">
        <v>938401</v>
      </c>
      <c r="E877" t="s">
        <v>14</v>
      </c>
      <c r="F877" t="s">
        <v>1485</v>
      </c>
      <c r="H877">
        <v>0</v>
      </c>
      <c r="I877" t="s">
        <v>17</v>
      </c>
      <c r="K877" t="s">
        <v>2461</v>
      </c>
      <c r="L877">
        <v>157</v>
      </c>
      <c r="M877" t="s">
        <v>2462</v>
      </c>
    </row>
    <row r="878" spans="1:13" x14ac:dyDescent="0.45">
      <c r="A878" t="s">
        <v>13</v>
      </c>
      <c r="B878">
        <v>938435</v>
      </c>
      <c r="C878">
        <v>938929</v>
      </c>
      <c r="E878" t="s">
        <v>14</v>
      </c>
      <c r="F878" t="s">
        <v>1183</v>
      </c>
      <c r="H878">
        <v>0</v>
      </c>
      <c r="I878" t="s">
        <v>17</v>
      </c>
      <c r="K878" t="s">
        <v>2463</v>
      </c>
      <c r="L878">
        <v>164</v>
      </c>
      <c r="M878" t="s">
        <v>2464</v>
      </c>
    </row>
    <row r="879" spans="1:13" x14ac:dyDescent="0.45">
      <c r="A879" t="s">
        <v>13</v>
      </c>
      <c r="B879">
        <v>939008</v>
      </c>
      <c r="C879">
        <v>939547</v>
      </c>
      <c r="E879" t="s">
        <v>14</v>
      </c>
      <c r="F879" t="s">
        <v>862</v>
      </c>
      <c r="H879">
        <v>0</v>
      </c>
      <c r="I879" t="s">
        <v>17</v>
      </c>
      <c r="K879" t="s">
        <v>2465</v>
      </c>
      <c r="L879">
        <v>179</v>
      </c>
      <c r="M879" t="s">
        <v>2466</v>
      </c>
    </row>
    <row r="880" spans="1:13" x14ac:dyDescent="0.45">
      <c r="A880" t="s">
        <v>13</v>
      </c>
      <c r="B880">
        <v>939736</v>
      </c>
      <c r="C880">
        <v>940047</v>
      </c>
      <c r="E880" t="s">
        <v>14</v>
      </c>
      <c r="F880" t="s">
        <v>1134</v>
      </c>
      <c r="H880">
        <v>0</v>
      </c>
      <c r="I880" t="s">
        <v>17</v>
      </c>
      <c r="K880" t="s">
        <v>2467</v>
      </c>
      <c r="L880">
        <v>103</v>
      </c>
      <c r="M880" t="s">
        <v>2468</v>
      </c>
    </row>
    <row r="881" spans="1:13" x14ac:dyDescent="0.45">
      <c r="A881" t="s">
        <v>13</v>
      </c>
      <c r="B881">
        <v>940075</v>
      </c>
      <c r="C881">
        <v>940761</v>
      </c>
      <c r="E881" t="s">
        <v>14</v>
      </c>
      <c r="F881" t="s">
        <v>689</v>
      </c>
      <c r="H881">
        <v>0</v>
      </c>
      <c r="I881" t="s">
        <v>17</v>
      </c>
      <c r="K881" t="s">
        <v>2469</v>
      </c>
      <c r="L881">
        <v>228</v>
      </c>
      <c r="M881" t="s">
        <v>2470</v>
      </c>
    </row>
    <row r="882" spans="1:13" x14ac:dyDescent="0.45">
      <c r="A882" t="s">
        <v>13</v>
      </c>
      <c r="B882">
        <v>940993</v>
      </c>
      <c r="C882">
        <v>941877</v>
      </c>
      <c r="E882" t="s">
        <v>14</v>
      </c>
      <c r="F882" t="s">
        <v>2471</v>
      </c>
      <c r="H882">
        <v>0</v>
      </c>
      <c r="I882" t="s">
        <v>17</v>
      </c>
      <c r="K882" t="s">
        <v>2472</v>
      </c>
      <c r="L882">
        <v>294</v>
      </c>
      <c r="M882" t="s">
        <v>2473</v>
      </c>
    </row>
    <row r="883" spans="1:13" x14ac:dyDescent="0.45">
      <c r="A883" t="s">
        <v>13</v>
      </c>
      <c r="B883">
        <v>941976</v>
      </c>
      <c r="C883">
        <v>943151</v>
      </c>
      <c r="E883" t="s">
        <v>14</v>
      </c>
      <c r="F883" t="s">
        <v>2474</v>
      </c>
      <c r="H883">
        <v>0</v>
      </c>
      <c r="I883" t="s">
        <v>17</v>
      </c>
      <c r="K883" t="s">
        <v>2475</v>
      </c>
      <c r="L883">
        <v>391</v>
      </c>
      <c r="M883" t="s">
        <v>2476</v>
      </c>
    </row>
    <row r="884" spans="1:13" x14ac:dyDescent="0.45">
      <c r="A884" t="s">
        <v>13</v>
      </c>
      <c r="B884">
        <v>943279</v>
      </c>
      <c r="C884">
        <v>944133</v>
      </c>
      <c r="E884" t="s">
        <v>14</v>
      </c>
      <c r="F884" t="s">
        <v>43</v>
      </c>
      <c r="H884">
        <v>0</v>
      </c>
      <c r="I884" t="s">
        <v>17</v>
      </c>
      <c r="K884" t="s">
        <v>2477</v>
      </c>
      <c r="L884">
        <v>284</v>
      </c>
      <c r="M884" t="s">
        <v>2478</v>
      </c>
    </row>
    <row r="885" spans="1:13" x14ac:dyDescent="0.45">
      <c r="A885" t="s">
        <v>13</v>
      </c>
      <c r="B885">
        <v>944177</v>
      </c>
      <c r="C885">
        <v>945412</v>
      </c>
      <c r="E885" t="s">
        <v>14</v>
      </c>
      <c r="F885" t="s">
        <v>2479</v>
      </c>
      <c r="H885">
        <v>0</v>
      </c>
      <c r="I885" t="s">
        <v>17</v>
      </c>
      <c r="K885" t="s">
        <v>2480</v>
      </c>
      <c r="L885">
        <v>411</v>
      </c>
      <c r="M885" t="s">
        <v>2481</v>
      </c>
    </row>
    <row r="886" spans="1:13" x14ac:dyDescent="0.45">
      <c r="A886" t="s">
        <v>13</v>
      </c>
      <c r="B886">
        <v>945513</v>
      </c>
      <c r="C886">
        <v>946454</v>
      </c>
      <c r="E886" t="s">
        <v>14</v>
      </c>
      <c r="F886" t="s">
        <v>2482</v>
      </c>
      <c r="H886">
        <v>0</v>
      </c>
      <c r="I886" t="s">
        <v>17</v>
      </c>
      <c r="K886" t="s">
        <v>2483</v>
      </c>
      <c r="L886">
        <v>313</v>
      </c>
      <c r="M886" t="s">
        <v>2484</v>
      </c>
    </row>
    <row r="887" spans="1:13" x14ac:dyDescent="0.45">
      <c r="A887" t="s">
        <v>13</v>
      </c>
      <c r="B887">
        <v>946683</v>
      </c>
      <c r="C887">
        <v>947036</v>
      </c>
      <c r="E887" t="s">
        <v>96</v>
      </c>
      <c r="F887" t="s">
        <v>2485</v>
      </c>
      <c r="H887">
        <v>0</v>
      </c>
      <c r="I887" t="s">
        <v>17</v>
      </c>
      <c r="K887" t="s">
        <v>2486</v>
      </c>
      <c r="L887">
        <v>117</v>
      </c>
      <c r="M887" t="s">
        <v>2487</v>
      </c>
    </row>
    <row r="888" spans="1:13" x14ac:dyDescent="0.45">
      <c r="A888" t="s">
        <v>13</v>
      </c>
      <c r="B888">
        <v>947332</v>
      </c>
      <c r="C888">
        <v>948243</v>
      </c>
      <c r="E888" t="s">
        <v>14</v>
      </c>
      <c r="F888" t="s">
        <v>43</v>
      </c>
      <c r="H888">
        <v>0</v>
      </c>
      <c r="I888" t="s">
        <v>17</v>
      </c>
      <c r="K888" t="s">
        <v>2488</v>
      </c>
      <c r="L888">
        <v>303</v>
      </c>
      <c r="M888" t="s">
        <v>2489</v>
      </c>
    </row>
    <row r="889" spans="1:13" x14ac:dyDescent="0.45">
      <c r="A889" t="s">
        <v>13</v>
      </c>
      <c r="B889">
        <v>948503</v>
      </c>
      <c r="C889">
        <v>948937</v>
      </c>
      <c r="E889" t="s">
        <v>14</v>
      </c>
      <c r="F889" t="s">
        <v>2490</v>
      </c>
      <c r="H889">
        <v>0</v>
      </c>
      <c r="I889" t="s">
        <v>17</v>
      </c>
      <c r="K889" t="s">
        <v>2491</v>
      </c>
      <c r="L889">
        <v>144</v>
      </c>
      <c r="M889" t="s">
        <v>2492</v>
      </c>
    </row>
    <row r="890" spans="1:13" x14ac:dyDescent="0.45">
      <c r="A890" t="s">
        <v>13</v>
      </c>
      <c r="B890">
        <v>948960</v>
      </c>
      <c r="C890">
        <v>950495</v>
      </c>
      <c r="E890" t="s">
        <v>14</v>
      </c>
      <c r="F890" t="s">
        <v>2493</v>
      </c>
      <c r="H890">
        <v>0</v>
      </c>
      <c r="I890" t="s">
        <v>17</v>
      </c>
      <c r="K890" t="s">
        <v>2494</v>
      </c>
      <c r="L890">
        <v>511</v>
      </c>
      <c r="M890" t="s">
        <v>2495</v>
      </c>
    </row>
    <row r="891" spans="1:13" x14ac:dyDescent="0.45">
      <c r="A891" t="s">
        <v>13</v>
      </c>
      <c r="B891">
        <v>950579</v>
      </c>
      <c r="C891">
        <v>951946</v>
      </c>
      <c r="E891" t="s">
        <v>14</v>
      </c>
      <c r="F891" t="s">
        <v>1128</v>
      </c>
      <c r="H891">
        <v>0</v>
      </c>
      <c r="I891" t="s">
        <v>17</v>
      </c>
      <c r="K891" t="s">
        <v>2496</v>
      </c>
      <c r="L891">
        <v>455</v>
      </c>
      <c r="M891" t="s">
        <v>2497</v>
      </c>
    </row>
    <row r="892" spans="1:13" x14ac:dyDescent="0.45">
      <c r="A892" t="s">
        <v>13</v>
      </c>
      <c r="B892">
        <v>951981</v>
      </c>
      <c r="C892">
        <v>952205</v>
      </c>
      <c r="E892" t="s">
        <v>14</v>
      </c>
      <c r="F892" t="s">
        <v>2498</v>
      </c>
      <c r="H892">
        <v>0</v>
      </c>
      <c r="I892" t="s">
        <v>17</v>
      </c>
      <c r="K892" t="s">
        <v>2499</v>
      </c>
      <c r="L892">
        <v>74</v>
      </c>
      <c r="M892" t="s">
        <v>2500</v>
      </c>
    </row>
    <row r="893" spans="1:13" x14ac:dyDescent="0.45">
      <c r="A893" t="s">
        <v>13</v>
      </c>
      <c r="B893">
        <v>952655</v>
      </c>
      <c r="C893">
        <v>953053</v>
      </c>
      <c r="E893" t="s">
        <v>96</v>
      </c>
      <c r="F893" t="s">
        <v>2501</v>
      </c>
      <c r="H893">
        <v>0</v>
      </c>
      <c r="I893" t="s">
        <v>17</v>
      </c>
      <c r="K893" t="s">
        <v>2502</v>
      </c>
      <c r="L893">
        <v>132</v>
      </c>
      <c r="M893" t="s">
        <v>2503</v>
      </c>
    </row>
    <row r="894" spans="1:13" x14ac:dyDescent="0.45">
      <c r="A894" t="s">
        <v>13</v>
      </c>
      <c r="B894">
        <v>953056</v>
      </c>
      <c r="C894">
        <v>953490</v>
      </c>
      <c r="E894" t="s">
        <v>96</v>
      </c>
      <c r="F894" t="s">
        <v>1485</v>
      </c>
      <c r="H894">
        <v>0</v>
      </c>
      <c r="I894" t="s">
        <v>17</v>
      </c>
      <c r="K894" t="s">
        <v>2504</v>
      </c>
      <c r="L894">
        <v>144</v>
      </c>
      <c r="M894" t="s">
        <v>2505</v>
      </c>
    </row>
    <row r="895" spans="1:13" x14ac:dyDescent="0.45">
      <c r="A895" t="s">
        <v>13</v>
      </c>
      <c r="B895">
        <v>953816</v>
      </c>
      <c r="C895">
        <v>954802</v>
      </c>
      <c r="E895" t="s">
        <v>14</v>
      </c>
      <c r="F895" t="s">
        <v>1143</v>
      </c>
      <c r="H895">
        <v>0</v>
      </c>
      <c r="I895" t="s">
        <v>17</v>
      </c>
      <c r="K895" t="s">
        <v>2506</v>
      </c>
      <c r="L895">
        <v>328</v>
      </c>
      <c r="M895" t="s">
        <v>2507</v>
      </c>
    </row>
    <row r="896" spans="1:13" x14ac:dyDescent="0.45">
      <c r="A896" t="s">
        <v>13</v>
      </c>
      <c r="B896">
        <v>954786</v>
      </c>
      <c r="C896">
        <v>955697</v>
      </c>
      <c r="E896" t="s">
        <v>14</v>
      </c>
      <c r="F896" t="s">
        <v>1143</v>
      </c>
      <c r="H896">
        <v>0</v>
      </c>
      <c r="I896" t="s">
        <v>17</v>
      </c>
      <c r="K896" t="s">
        <v>2508</v>
      </c>
      <c r="L896">
        <v>303</v>
      </c>
      <c r="M896" t="s">
        <v>2509</v>
      </c>
    </row>
    <row r="897" spans="1:13" x14ac:dyDescent="0.45">
      <c r="A897" t="s">
        <v>13</v>
      </c>
      <c r="B897">
        <v>955810</v>
      </c>
      <c r="C897">
        <v>957378</v>
      </c>
      <c r="E897" t="s">
        <v>14</v>
      </c>
      <c r="F897" t="s">
        <v>2510</v>
      </c>
      <c r="H897">
        <v>0</v>
      </c>
      <c r="I897" t="s">
        <v>17</v>
      </c>
      <c r="K897" t="s">
        <v>2511</v>
      </c>
      <c r="L897">
        <v>522</v>
      </c>
      <c r="M897" t="s">
        <v>2512</v>
      </c>
    </row>
    <row r="898" spans="1:13" x14ac:dyDescent="0.45">
      <c r="A898" t="s">
        <v>13</v>
      </c>
      <c r="B898">
        <v>957453</v>
      </c>
      <c r="C898">
        <v>958478</v>
      </c>
      <c r="E898" t="s">
        <v>14</v>
      </c>
      <c r="F898" t="s">
        <v>1140</v>
      </c>
      <c r="H898">
        <v>0</v>
      </c>
      <c r="I898" t="s">
        <v>17</v>
      </c>
      <c r="K898" t="s">
        <v>2513</v>
      </c>
      <c r="L898">
        <v>341</v>
      </c>
      <c r="M898" t="s">
        <v>2514</v>
      </c>
    </row>
    <row r="899" spans="1:13" x14ac:dyDescent="0.45">
      <c r="A899" t="s">
        <v>13</v>
      </c>
      <c r="B899">
        <v>958471</v>
      </c>
      <c r="C899">
        <v>959415</v>
      </c>
      <c r="E899" t="s">
        <v>14</v>
      </c>
      <c r="F899" t="s">
        <v>1140</v>
      </c>
      <c r="H899">
        <v>0</v>
      </c>
      <c r="I899" t="s">
        <v>17</v>
      </c>
      <c r="K899" t="s">
        <v>2515</v>
      </c>
      <c r="L899">
        <v>314</v>
      </c>
      <c r="M899" t="s">
        <v>2516</v>
      </c>
    </row>
    <row r="900" spans="1:13" x14ac:dyDescent="0.45">
      <c r="A900" t="s">
        <v>13</v>
      </c>
      <c r="B900">
        <v>959774</v>
      </c>
      <c r="C900">
        <v>961432</v>
      </c>
      <c r="E900" t="s">
        <v>14</v>
      </c>
      <c r="F900" t="s">
        <v>224</v>
      </c>
      <c r="H900">
        <v>0</v>
      </c>
      <c r="I900" t="s">
        <v>17</v>
      </c>
      <c r="K900" t="s">
        <v>2517</v>
      </c>
      <c r="L900">
        <v>552</v>
      </c>
      <c r="M900" t="s">
        <v>2518</v>
      </c>
    </row>
    <row r="901" spans="1:13" x14ac:dyDescent="0.45">
      <c r="A901" t="s">
        <v>13</v>
      </c>
      <c r="B901">
        <v>961392</v>
      </c>
      <c r="C901">
        <v>962429</v>
      </c>
      <c r="E901" t="s">
        <v>14</v>
      </c>
      <c r="F901" t="s">
        <v>1317</v>
      </c>
      <c r="H901">
        <v>0</v>
      </c>
      <c r="I901" t="s">
        <v>17</v>
      </c>
      <c r="K901" t="s">
        <v>2519</v>
      </c>
      <c r="L901">
        <v>345</v>
      </c>
      <c r="M901" t="s">
        <v>2520</v>
      </c>
    </row>
    <row r="902" spans="1:13" x14ac:dyDescent="0.45">
      <c r="A902" t="s">
        <v>13</v>
      </c>
      <c r="B902">
        <v>962644</v>
      </c>
      <c r="C902">
        <v>963273</v>
      </c>
      <c r="E902" t="s">
        <v>14</v>
      </c>
      <c r="F902" t="s">
        <v>43</v>
      </c>
      <c r="H902">
        <v>0</v>
      </c>
      <c r="I902" t="s">
        <v>17</v>
      </c>
      <c r="K902" t="s">
        <v>2521</v>
      </c>
      <c r="L902">
        <v>209</v>
      </c>
      <c r="M902" t="s">
        <v>2522</v>
      </c>
    </row>
    <row r="903" spans="1:13" x14ac:dyDescent="0.45">
      <c r="A903" t="s">
        <v>13</v>
      </c>
      <c r="B903">
        <v>963408</v>
      </c>
      <c r="C903">
        <v>963734</v>
      </c>
      <c r="E903" t="s">
        <v>14</v>
      </c>
      <c r="F903" t="s">
        <v>230</v>
      </c>
      <c r="H903">
        <v>0</v>
      </c>
      <c r="I903" t="s">
        <v>17</v>
      </c>
      <c r="K903" t="s">
        <v>2523</v>
      </c>
      <c r="L903">
        <v>108</v>
      </c>
      <c r="M903" t="s">
        <v>2524</v>
      </c>
    </row>
    <row r="904" spans="1:13" x14ac:dyDescent="0.45">
      <c r="A904" t="s">
        <v>13</v>
      </c>
      <c r="B904">
        <v>963750</v>
      </c>
      <c r="C904">
        <v>965039</v>
      </c>
      <c r="E904" t="s">
        <v>14</v>
      </c>
      <c r="F904" t="s">
        <v>2525</v>
      </c>
      <c r="H904">
        <v>0</v>
      </c>
      <c r="I904" t="s">
        <v>17</v>
      </c>
      <c r="K904" t="s">
        <v>2526</v>
      </c>
      <c r="L904">
        <v>429</v>
      </c>
      <c r="M904" t="s">
        <v>2527</v>
      </c>
    </row>
    <row r="905" spans="1:13" x14ac:dyDescent="0.45">
      <c r="A905" t="s">
        <v>13</v>
      </c>
      <c r="B905">
        <v>965063</v>
      </c>
      <c r="C905">
        <v>965392</v>
      </c>
      <c r="E905" t="s">
        <v>14</v>
      </c>
      <c r="F905" t="s">
        <v>616</v>
      </c>
      <c r="H905">
        <v>0</v>
      </c>
      <c r="I905" t="s">
        <v>17</v>
      </c>
      <c r="K905" t="s">
        <v>2528</v>
      </c>
      <c r="L905">
        <v>109</v>
      </c>
      <c r="M905" t="s">
        <v>2529</v>
      </c>
    </row>
    <row r="906" spans="1:13" x14ac:dyDescent="0.45">
      <c r="A906" t="s">
        <v>13</v>
      </c>
      <c r="B906">
        <v>965540</v>
      </c>
      <c r="C906">
        <v>966868</v>
      </c>
      <c r="E906" t="s">
        <v>14</v>
      </c>
      <c r="F906" t="s">
        <v>2530</v>
      </c>
      <c r="H906">
        <v>0</v>
      </c>
      <c r="I906" t="s">
        <v>17</v>
      </c>
      <c r="K906" t="s">
        <v>2531</v>
      </c>
      <c r="L906">
        <v>442</v>
      </c>
      <c r="M906" t="s">
        <v>2532</v>
      </c>
    </row>
    <row r="907" spans="1:13" x14ac:dyDescent="0.45">
      <c r="A907" t="s">
        <v>13</v>
      </c>
      <c r="B907">
        <v>967191</v>
      </c>
      <c r="C907">
        <v>968045</v>
      </c>
      <c r="E907" t="s">
        <v>14</v>
      </c>
      <c r="F907" t="s">
        <v>2533</v>
      </c>
      <c r="H907">
        <v>0</v>
      </c>
      <c r="I907" t="s">
        <v>17</v>
      </c>
      <c r="K907" t="s">
        <v>2534</v>
      </c>
      <c r="L907">
        <v>284</v>
      </c>
      <c r="M907" t="s">
        <v>2535</v>
      </c>
    </row>
    <row r="908" spans="1:13" x14ac:dyDescent="0.45">
      <c r="A908" t="s">
        <v>13</v>
      </c>
      <c r="B908">
        <v>968358</v>
      </c>
      <c r="C908">
        <v>969230</v>
      </c>
      <c r="E908" t="s">
        <v>14</v>
      </c>
      <c r="F908" t="s">
        <v>2536</v>
      </c>
      <c r="H908">
        <v>0</v>
      </c>
      <c r="I908" t="s">
        <v>17</v>
      </c>
      <c r="K908" t="s">
        <v>2537</v>
      </c>
      <c r="L908">
        <v>290</v>
      </c>
      <c r="M908" t="s">
        <v>2538</v>
      </c>
    </row>
    <row r="909" spans="1:13" x14ac:dyDescent="0.45">
      <c r="A909" t="s">
        <v>13</v>
      </c>
      <c r="B909">
        <v>969433</v>
      </c>
      <c r="C909">
        <v>969882</v>
      </c>
      <c r="E909" t="s">
        <v>14</v>
      </c>
      <c r="F909" t="s">
        <v>43</v>
      </c>
      <c r="H909">
        <v>0</v>
      </c>
      <c r="I909" t="s">
        <v>17</v>
      </c>
      <c r="K909" t="s">
        <v>2539</v>
      </c>
      <c r="L909">
        <v>149</v>
      </c>
      <c r="M909" t="s">
        <v>2540</v>
      </c>
    </row>
    <row r="910" spans="1:13" x14ac:dyDescent="0.45">
      <c r="A910" t="s">
        <v>13</v>
      </c>
      <c r="B910">
        <v>970043</v>
      </c>
      <c r="C910">
        <v>970972</v>
      </c>
      <c r="E910" t="s">
        <v>96</v>
      </c>
      <c r="F910" t="s">
        <v>1432</v>
      </c>
      <c r="H910">
        <v>0</v>
      </c>
      <c r="I910" t="s">
        <v>17</v>
      </c>
      <c r="K910" t="s">
        <v>2541</v>
      </c>
      <c r="L910">
        <v>309</v>
      </c>
      <c r="M910" t="s">
        <v>2542</v>
      </c>
    </row>
    <row r="911" spans="1:13" x14ac:dyDescent="0.45">
      <c r="A911" t="s">
        <v>13</v>
      </c>
      <c r="B911">
        <v>971165</v>
      </c>
      <c r="C911">
        <v>971977</v>
      </c>
      <c r="E911" t="s">
        <v>14</v>
      </c>
      <c r="F911" t="s">
        <v>2543</v>
      </c>
      <c r="G911" t="s">
        <v>2544</v>
      </c>
      <c r="H911">
        <v>0</v>
      </c>
      <c r="I911" t="s">
        <v>17</v>
      </c>
      <c r="K911" t="s">
        <v>2545</v>
      </c>
      <c r="L911">
        <v>270</v>
      </c>
      <c r="M911" t="s">
        <v>2546</v>
      </c>
    </row>
    <row r="912" spans="1:13" x14ac:dyDescent="0.45">
      <c r="A912" t="s">
        <v>13</v>
      </c>
      <c r="B912">
        <v>972126</v>
      </c>
      <c r="C912">
        <v>972809</v>
      </c>
      <c r="E912" t="s">
        <v>14</v>
      </c>
      <c r="F912" t="s">
        <v>2547</v>
      </c>
      <c r="G912" t="s">
        <v>2548</v>
      </c>
      <c r="H912">
        <v>0</v>
      </c>
      <c r="I912" t="s">
        <v>17</v>
      </c>
      <c r="K912" t="s">
        <v>2549</v>
      </c>
      <c r="L912">
        <v>227</v>
      </c>
      <c r="M912" t="s">
        <v>2550</v>
      </c>
    </row>
    <row r="913" spans="1:13" x14ac:dyDescent="0.45">
      <c r="A913" t="s">
        <v>13</v>
      </c>
      <c r="B913">
        <v>972810</v>
      </c>
      <c r="C913">
        <v>973886</v>
      </c>
      <c r="E913" t="s">
        <v>14</v>
      </c>
      <c r="F913" t="s">
        <v>2551</v>
      </c>
      <c r="H913">
        <v>0</v>
      </c>
      <c r="I913" t="s">
        <v>17</v>
      </c>
      <c r="K913" t="s">
        <v>2552</v>
      </c>
      <c r="L913">
        <v>358</v>
      </c>
      <c r="M913" t="s">
        <v>2553</v>
      </c>
    </row>
    <row r="914" spans="1:13" x14ac:dyDescent="0.45">
      <c r="A914" t="s">
        <v>13</v>
      </c>
      <c r="B914">
        <v>973892</v>
      </c>
      <c r="C914">
        <v>974449</v>
      </c>
      <c r="E914" t="s">
        <v>14</v>
      </c>
      <c r="F914" t="s">
        <v>2554</v>
      </c>
      <c r="H914">
        <v>0</v>
      </c>
      <c r="I914" t="s">
        <v>17</v>
      </c>
      <c r="K914" t="s">
        <v>2555</v>
      </c>
      <c r="L914">
        <v>185</v>
      </c>
      <c r="M914" t="s">
        <v>2556</v>
      </c>
    </row>
    <row r="915" spans="1:13" x14ac:dyDescent="0.45">
      <c r="A915" t="s">
        <v>13</v>
      </c>
      <c r="B915">
        <v>974613</v>
      </c>
      <c r="C915">
        <v>975635</v>
      </c>
      <c r="E915" t="s">
        <v>96</v>
      </c>
      <c r="F915" t="s">
        <v>2557</v>
      </c>
      <c r="H915">
        <v>0</v>
      </c>
      <c r="I915" t="s">
        <v>17</v>
      </c>
      <c r="K915" t="s">
        <v>2558</v>
      </c>
      <c r="L915">
        <v>340</v>
      </c>
      <c r="M915" t="s">
        <v>2559</v>
      </c>
    </row>
    <row r="916" spans="1:13" x14ac:dyDescent="0.45">
      <c r="A916" t="s">
        <v>13</v>
      </c>
      <c r="B916">
        <v>975766</v>
      </c>
      <c r="C916">
        <v>976521</v>
      </c>
      <c r="E916" t="s">
        <v>96</v>
      </c>
      <c r="F916" t="s">
        <v>1140</v>
      </c>
      <c r="H916">
        <v>0</v>
      </c>
      <c r="I916" t="s">
        <v>17</v>
      </c>
      <c r="K916" t="s">
        <v>2560</v>
      </c>
      <c r="L916">
        <v>251</v>
      </c>
      <c r="M916" t="s">
        <v>2561</v>
      </c>
    </row>
    <row r="917" spans="1:13" x14ac:dyDescent="0.45">
      <c r="A917" t="s">
        <v>13</v>
      </c>
      <c r="B917">
        <v>976522</v>
      </c>
      <c r="C917">
        <v>977409</v>
      </c>
      <c r="E917" t="s">
        <v>96</v>
      </c>
      <c r="F917" t="s">
        <v>1143</v>
      </c>
      <c r="H917">
        <v>0</v>
      </c>
      <c r="I917" t="s">
        <v>17</v>
      </c>
      <c r="K917" t="s">
        <v>2562</v>
      </c>
      <c r="L917">
        <v>295</v>
      </c>
      <c r="M917" t="s">
        <v>2563</v>
      </c>
    </row>
    <row r="918" spans="1:13" x14ac:dyDescent="0.45">
      <c r="A918" t="s">
        <v>13</v>
      </c>
      <c r="B918">
        <v>978218</v>
      </c>
      <c r="C918">
        <v>979255</v>
      </c>
      <c r="E918" t="s">
        <v>96</v>
      </c>
      <c r="F918" t="s">
        <v>2510</v>
      </c>
      <c r="H918">
        <v>0</v>
      </c>
      <c r="I918" t="s">
        <v>17</v>
      </c>
      <c r="K918" t="s">
        <v>2564</v>
      </c>
      <c r="L918">
        <v>345</v>
      </c>
      <c r="M918" t="s">
        <v>2565</v>
      </c>
    </row>
    <row r="919" spans="1:13" x14ac:dyDescent="0.45">
      <c r="A919" t="s">
        <v>13</v>
      </c>
      <c r="B919">
        <v>979352</v>
      </c>
      <c r="C919">
        <v>980107</v>
      </c>
      <c r="E919" t="s">
        <v>96</v>
      </c>
      <c r="F919" t="s">
        <v>1140</v>
      </c>
      <c r="H919">
        <v>0</v>
      </c>
      <c r="I919" t="s">
        <v>17</v>
      </c>
      <c r="K919" t="s">
        <v>2566</v>
      </c>
      <c r="L919">
        <v>251</v>
      </c>
      <c r="M919" t="s">
        <v>2567</v>
      </c>
    </row>
    <row r="920" spans="1:13" x14ac:dyDescent="0.45">
      <c r="A920" t="s">
        <v>13</v>
      </c>
      <c r="B920">
        <v>980108</v>
      </c>
      <c r="C920">
        <v>980995</v>
      </c>
      <c r="E920" t="s">
        <v>96</v>
      </c>
      <c r="F920" t="s">
        <v>1143</v>
      </c>
      <c r="H920">
        <v>0</v>
      </c>
      <c r="I920" t="s">
        <v>17</v>
      </c>
      <c r="K920" t="s">
        <v>2568</v>
      </c>
      <c r="L920">
        <v>295</v>
      </c>
      <c r="M920" t="s">
        <v>2569</v>
      </c>
    </row>
    <row r="921" spans="1:13" x14ac:dyDescent="0.45">
      <c r="A921" t="s">
        <v>13</v>
      </c>
      <c r="B921">
        <v>981793</v>
      </c>
      <c r="C921">
        <v>983373</v>
      </c>
      <c r="E921" t="s">
        <v>14</v>
      </c>
      <c r="F921" t="s">
        <v>2570</v>
      </c>
      <c r="H921">
        <v>0</v>
      </c>
      <c r="I921" t="s">
        <v>17</v>
      </c>
      <c r="K921" t="s">
        <v>2571</v>
      </c>
      <c r="L921">
        <v>526</v>
      </c>
      <c r="M921" t="s">
        <v>2572</v>
      </c>
    </row>
    <row r="922" spans="1:13" x14ac:dyDescent="0.45">
      <c r="A922" t="s">
        <v>13</v>
      </c>
      <c r="B922">
        <v>984019</v>
      </c>
      <c r="C922">
        <v>984117</v>
      </c>
      <c r="E922" t="s">
        <v>14</v>
      </c>
      <c r="F922" t="s">
        <v>271</v>
      </c>
      <c r="H922">
        <v>0</v>
      </c>
      <c r="I922" t="s">
        <v>272</v>
      </c>
      <c r="M922" t="s">
        <v>2573</v>
      </c>
    </row>
    <row r="923" spans="1:13" x14ac:dyDescent="0.45">
      <c r="A923" t="s">
        <v>13</v>
      </c>
      <c r="B923">
        <v>984119</v>
      </c>
      <c r="C923">
        <v>985237</v>
      </c>
      <c r="E923" t="s">
        <v>14</v>
      </c>
      <c r="F923" t="s">
        <v>1370</v>
      </c>
      <c r="G923" t="s">
        <v>1371</v>
      </c>
      <c r="H923">
        <v>0</v>
      </c>
      <c r="I923" t="s">
        <v>17</v>
      </c>
      <c r="K923" t="s">
        <v>2574</v>
      </c>
      <c r="L923">
        <v>372</v>
      </c>
      <c r="M923" t="s">
        <v>2575</v>
      </c>
    </row>
    <row r="924" spans="1:13" x14ac:dyDescent="0.45">
      <c r="A924" t="s">
        <v>13</v>
      </c>
      <c r="B924">
        <v>985521</v>
      </c>
      <c r="C924">
        <v>985967</v>
      </c>
      <c r="E924" t="s">
        <v>14</v>
      </c>
      <c r="F924" t="s">
        <v>2576</v>
      </c>
      <c r="H924">
        <v>0</v>
      </c>
      <c r="I924" t="s">
        <v>17</v>
      </c>
      <c r="K924" t="s">
        <v>2577</v>
      </c>
      <c r="L924">
        <v>148</v>
      </c>
      <c r="M924" t="s">
        <v>2578</v>
      </c>
    </row>
    <row r="925" spans="1:13" x14ac:dyDescent="0.45">
      <c r="A925" t="s">
        <v>13</v>
      </c>
      <c r="B925">
        <v>985988</v>
      </c>
      <c r="C925">
        <v>987031</v>
      </c>
      <c r="E925" t="s">
        <v>14</v>
      </c>
      <c r="F925" t="s">
        <v>2579</v>
      </c>
      <c r="H925">
        <v>0</v>
      </c>
      <c r="I925" t="s">
        <v>17</v>
      </c>
      <c r="K925" t="s">
        <v>2580</v>
      </c>
      <c r="L925">
        <v>347</v>
      </c>
      <c r="M925" t="s">
        <v>2581</v>
      </c>
    </row>
    <row r="926" spans="1:13" x14ac:dyDescent="0.45">
      <c r="A926" t="s">
        <v>13</v>
      </c>
      <c r="B926">
        <v>987802</v>
      </c>
      <c r="C926">
        <v>988962</v>
      </c>
      <c r="E926" t="s">
        <v>14</v>
      </c>
      <c r="F926" t="s">
        <v>2582</v>
      </c>
      <c r="H926">
        <v>0</v>
      </c>
      <c r="I926" t="s">
        <v>17</v>
      </c>
      <c r="K926" t="s">
        <v>2583</v>
      </c>
      <c r="L926">
        <v>386</v>
      </c>
      <c r="M926" t="s">
        <v>2584</v>
      </c>
    </row>
    <row r="927" spans="1:13" x14ac:dyDescent="0.45">
      <c r="A927" t="s">
        <v>13</v>
      </c>
      <c r="B927">
        <v>988964</v>
      </c>
      <c r="C927">
        <v>990094</v>
      </c>
      <c r="E927" t="s">
        <v>14</v>
      </c>
      <c r="F927" t="s">
        <v>2585</v>
      </c>
      <c r="G927" t="s">
        <v>2586</v>
      </c>
      <c r="H927">
        <v>0</v>
      </c>
      <c r="I927" t="s">
        <v>17</v>
      </c>
      <c r="K927" t="s">
        <v>2587</v>
      </c>
      <c r="L927">
        <v>376</v>
      </c>
      <c r="M927" t="s">
        <v>2588</v>
      </c>
    </row>
    <row r="928" spans="1:13" x14ac:dyDescent="0.45">
      <c r="A928" t="s">
        <v>13</v>
      </c>
      <c r="B928">
        <v>990123</v>
      </c>
      <c r="C928">
        <v>991565</v>
      </c>
      <c r="E928" t="s">
        <v>14</v>
      </c>
      <c r="F928" t="s">
        <v>2589</v>
      </c>
      <c r="G928" t="s">
        <v>2590</v>
      </c>
      <c r="H928">
        <v>0</v>
      </c>
      <c r="I928" t="s">
        <v>17</v>
      </c>
      <c r="K928" t="s">
        <v>2591</v>
      </c>
      <c r="L928">
        <v>480</v>
      </c>
      <c r="M928" t="s">
        <v>2592</v>
      </c>
    </row>
    <row r="929" spans="1:13" x14ac:dyDescent="0.45">
      <c r="A929" t="s">
        <v>13</v>
      </c>
      <c r="B929">
        <v>991579</v>
      </c>
      <c r="C929">
        <v>993999</v>
      </c>
      <c r="E929" t="s">
        <v>14</v>
      </c>
      <c r="F929" t="s">
        <v>2593</v>
      </c>
      <c r="H929">
        <v>0</v>
      </c>
      <c r="I929" t="s">
        <v>17</v>
      </c>
      <c r="K929" t="s">
        <v>2594</v>
      </c>
      <c r="L929">
        <v>806</v>
      </c>
      <c r="M929" t="s">
        <v>2595</v>
      </c>
    </row>
    <row r="930" spans="1:13" x14ac:dyDescent="0.45">
      <c r="A930" t="s">
        <v>13</v>
      </c>
      <c r="B930">
        <v>994004</v>
      </c>
      <c r="C930">
        <v>995869</v>
      </c>
      <c r="E930" t="s">
        <v>14</v>
      </c>
      <c r="F930" t="s">
        <v>2596</v>
      </c>
      <c r="H930">
        <v>0</v>
      </c>
      <c r="I930" t="s">
        <v>17</v>
      </c>
      <c r="K930" t="s">
        <v>2597</v>
      </c>
      <c r="L930">
        <v>621</v>
      </c>
      <c r="M930" t="s">
        <v>2598</v>
      </c>
    </row>
    <row r="931" spans="1:13" x14ac:dyDescent="0.45">
      <c r="A931" t="s">
        <v>13</v>
      </c>
      <c r="B931">
        <v>996114</v>
      </c>
      <c r="C931">
        <v>996767</v>
      </c>
      <c r="E931" t="s">
        <v>14</v>
      </c>
      <c r="F931" t="s">
        <v>1909</v>
      </c>
      <c r="H931">
        <v>0</v>
      </c>
      <c r="I931" t="s">
        <v>17</v>
      </c>
      <c r="K931" t="s">
        <v>2599</v>
      </c>
      <c r="L931">
        <v>217</v>
      </c>
      <c r="M931" t="s">
        <v>2600</v>
      </c>
    </row>
    <row r="932" spans="1:13" x14ac:dyDescent="0.45">
      <c r="A932" t="s">
        <v>13</v>
      </c>
      <c r="B932">
        <v>997405</v>
      </c>
      <c r="C932">
        <v>998880</v>
      </c>
      <c r="E932" t="s">
        <v>14</v>
      </c>
      <c r="F932" t="s">
        <v>2601</v>
      </c>
      <c r="H932">
        <v>0</v>
      </c>
      <c r="I932" t="s">
        <v>17</v>
      </c>
      <c r="K932" t="s">
        <v>2602</v>
      </c>
      <c r="L932">
        <v>491</v>
      </c>
      <c r="M932" t="s">
        <v>2603</v>
      </c>
    </row>
    <row r="933" spans="1:13" x14ac:dyDescent="0.45">
      <c r="A933" t="s">
        <v>13</v>
      </c>
      <c r="B933">
        <v>998967</v>
      </c>
      <c r="C933">
        <v>999380</v>
      </c>
      <c r="E933" t="s">
        <v>14</v>
      </c>
      <c r="F933" t="s">
        <v>2604</v>
      </c>
      <c r="G933" t="s">
        <v>2605</v>
      </c>
      <c r="H933">
        <v>0</v>
      </c>
      <c r="I933" t="s">
        <v>17</v>
      </c>
      <c r="K933" t="s">
        <v>2606</v>
      </c>
      <c r="L933">
        <v>137</v>
      </c>
      <c r="M933" t="s">
        <v>2607</v>
      </c>
    </row>
    <row r="934" spans="1:13" x14ac:dyDescent="0.45">
      <c r="A934" t="s">
        <v>13</v>
      </c>
      <c r="B934">
        <v>999410</v>
      </c>
      <c r="C934">
        <v>1000261</v>
      </c>
      <c r="E934" t="s">
        <v>14</v>
      </c>
      <c r="F934" t="s">
        <v>2608</v>
      </c>
      <c r="G934" t="s">
        <v>2609</v>
      </c>
      <c r="H934">
        <v>0</v>
      </c>
      <c r="I934" t="s">
        <v>17</v>
      </c>
      <c r="K934" t="s">
        <v>2610</v>
      </c>
      <c r="L934">
        <v>283</v>
      </c>
      <c r="M934" t="s">
        <v>2611</v>
      </c>
    </row>
    <row r="935" spans="1:13" x14ac:dyDescent="0.45">
      <c r="A935" t="s">
        <v>13</v>
      </c>
      <c r="B935">
        <v>1000251</v>
      </c>
      <c r="C935">
        <v>1001129</v>
      </c>
      <c r="E935" t="s">
        <v>14</v>
      </c>
      <c r="F935" t="s">
        <v>2612</v>
      </c>
      <c r="G935" t="s">
        <v>2613</v>
      </c>
      <c r="H935">
        <v>0</v>
      </c>
      <c r="I935" t="s">
        <v>17</v>
      </c>
      <c r="K935" t="s">
        <v>2614</v>
      </c>
      <c r="L935">
        <v>292</v>
      </c>
      <c r="M935" t="s">
        <v>2615</v>
      </c>
    </row>
    <row r="936" spans="1:13" x14ac:dyDescent="0.45">
      <c r="A936" t="s">
        <v>13</v>
      </c>
      <c r="B936">
        <v>1001309</v>
      </c>
      <c r="C936">
        <v>1001509</v>
      </c>
      <c r="E936" t="s">
        <v>96</v>
      </c>
      <c r="F936" t="s">
        <v>2616</v>
      </c>
      <c r="H936">
        <v>0</v>
      </c>
      <c r="I936" t="s">
        <v>17</v>
      </c>
      <c r="K936" t="s">
        <v>2617</v>
      </c>
      <c r="L936">
        <v>66</v>
      </c>
      <c r="M936" t="s">
        <v>2618</v>
      </c>
    </row>
    <row r="937" spans="1:13" x14ac:dyDescent="0.45">
      <c r="A937" t="s">
        <v>13</v>
      </c>
      <c r="B937">
        <v>1001976</v>
      </c>
      <c r="C937">
        <v>1003466</v>
      </c>
      <c r="E937" t="s">
        <v>14</v>
      </c>
      <c r="F937" t="s">
        <v>751</v>
      </c>
      <c r="H937">
        <v>0</v>
      </c>
      <c r="I937" t="s">
        <v>17</v>
      </c>
      <c r="K937" t="s">
        <v>2619</v>
      </c>
      <c r="L937">
        <v>496</v>
      </c>
      <c r="M937" t="s">
        <v>2620</v>
      </c>
    </row>
    <row r="938" spans="1:13" x14ac:dyDescent="0.45">
      <c r="A938" t="s">
        <v>13</v>
      </c>
      <c r="B938">
        <v>1003724</v>
      </c>
      <c r="C938">
        <v>1005220</v>
      </c>
      <c r="E938" t="s">
        <v>14</v>
      </c>
      <c r="F938" t="s">
        <v>751</v>
      </c>
      <c r="H938">
        <v>0</v>
      </c>
      <c r="I938" t="s">
        <v>17</v>
      </c>
      <c r="K938" t="s">
        <v>2621</v>
      </c>
      <c r="L938">
        <v>498</v>
      </c>
      <c r="M938" t="s">
        <v>2622</v>
      </c>
    </row>
    <row r="939" spans="1:13" x14ac:dyDescent="0.45">
      <c r="A939" t="s">
        <v>13</v>
      </c>
      <c r="B939">
        <v>1005354</v>
      </c>
      <c r="C939">
        <v>1005695</v>
      </c>
      <c r="E939" t="s">
        <v>14</v>
      </c>
      <c r="F939" t="s">
        <v>271</v>
      </c>
      <c r="H939">
        <v>0</v>
      </c>
      <c r="I939" t="s">
        <v>272</v>
      </c>
      <c r="M939" t="s">
        <v>2623</v>
      </c>
    </row>
    <row r="940" spans="1:13" x14ac:dyDescent="0.45">
      <c r="A940" t="s">
        <v>13</v>
      </c>
      <c r="B940">
        <v>1006343</v>
      </c>
      <c r="C940">
        <v>1007461</v>
      </c>
      <c r="E940" t="s">
        <v>14</v>
      </c>
      <c r="F940" t="s">
        <v>1370</v>
      </c>
      <c r="G940" t="s">
        <v>1371</v>
      </c>
      <c r="H940">
        <v>0</v>
      </c>
      <c r="I940" t="s">
        <v>17</v>
      </c>
      <c r="K940" t="s">
        <v>2624</v>
      </c>
      <c r="L940">
        <v>372</v>
      </c>
      <c r="M940" t="s">
        <v>2625</v>
      </c>
    </row>
    <row r="941" spans="1:13" x14ac:dyDescent="0.45">
      <c r="A941" t="s">
        <v>13</v>
      </c>
      <c r="B941">
        <v>1007580</v>
      </c>
      <c r="C941">
        <v>1008152</v>
      </c>
      <c r="E941" t="s">
        <v>14</v>
      </c>
      <c r="F941" t="s">
        <v>271</v>
      </c>
      <c r="H941">
        <v>0</v>
      </c>
      <c r="I941" t="s">
        <v>272</v>
      </c>
      <c r="M941" t="s">
        <v>2626</v>
      </c>
    </row>
    <row r="942" spans="1:13" x14ac:dyDescent="0.45">
      <c r="A942" t="s">
        <v>13</v>
      </c>
      <c r="B942">
        <v>1008271</v>
      </c>
      <c r="C942">
        <v>1008462</v>
      </c>
      <c r="E942" t="s">
        <v>14</v>
      </c>
      <c r="F942" t="s">
        <v>43</v>
      </c>
      <c r="H942">
        <v>0</v>
      </c>
      <c r="I942" t="s">
        <v>17</v>
      </c>
      <c r="K942" t="s">
        <v>2627</v>
      </c>
      <c r="L942">
        <v>63</v>
      </c>
      <c r="M942" t="s">
        <v>2628</v>
      </c>
    </row>
    <row r="943" spans="1:13" x14ac:dyDescent="0.45">
      <c r="A943" t="s">
        <v>13</v>
      </c>
      <c r="B943">
        <v>1008685</v>
      </c>
      <c r="C943">
        <v>1009035</v>
      </c>
      <c r="E943" t="s">
        <v>14</v>
      </c>
      <c r="F943" t="s">
        <v>2629</v>
      </c>
      <c r="H943">
        <v>0</v>
      </c>
      <c r="I943" t="s">
        <v>17</v>
      </c>
      <c r="K943" t="s">
        <v>2630</v>
      </c>
      <c r="L943">
        <v>116</v>
      </c>
      <c r="M943" t="s">
        <v>2631</v>
      </c>
    </row>
    <row r="944" spans="1:13" x14ac:dyDescent="0.45">
      <c r="A944" t="s">
        <v>13</v>
      </c>
      <c r="B944">
        <v>1009297</v>
      </c>
      <c r="C944">
        <v>1010802</v>
      </c>
      <c r="E944" t="s">
        <v>14</v>
      </c>
      <c r="F944" t="s">
        <v>2632</v>
      </c>
      <c r="H944">
        <v>0</v>
      </c>
      <c r="I944" t="s">
        <v>17</v>
      </c>
      <c r="K944" t="s">
        <v>2633</v>
      </c>
      <c r="L944">
        <v>501</v>
      </c>
      <c r="M944" t="s">
        <v>2634</v>
      </c>
    </row>
    <row r="945" spans="1:13" x14ac:dyDescent="0.45">
      <c r="A945" t="s">
        <v>13</v>
      </c>
      <c r="B945">
        <v>1011192</v>
      </c>
      <c r="C945">
        <v>1012289</v>
      </c>
      <c r="E945" t="s">
        <v>14</v>
      </c>
      <c r="F945" t="s">
        <v>2635</v>
      </c>
      <c r="G945" t="s">
        <v>2636</v>
      </c>
      <c r="H945">
        <v>0</v>
      </c>
      <c r="I945" t="s">
        <v>17</v>
      </c>
      <c r="K945" t="s">
        <v>2637</v>
      </c>
      <c r="L945">
        <v>365</v>
      </c>
      <c r="M945" t="s">
        <v>2638</v>
      </c>
    </row>
    <row r="946" spans="1:13" x14ac:dyDescent="0.45">
      <c r="A946" t="s">
        <v>13</v>
      </c>
      <c r="B946">
        <v>1012545</v>
      </c>
      <c r="C946">
        <v>1013681</v>
      </c>
      <c r="E946" t="s">
        <v>14</v>
      </c>
      <c r="F946" t="s">
        <v>1140</v>
      </c>
      <c r="H946">
        <v>0</v>
      </c>
      <c r="I946" t="s">
        <v>17</v>
      </c>
      <c r="K946" t="s">
        <v>2639</v>
      </c>
      <c r="L946">
        <v>378</v>
      </c>
      <c r="M946" t="s">
        <v>2640</v>
      </c>
    </row>
    <row r="947" spans="1:13" x14ac:dyDescent="0.45">
      <c r="A947" t="s">
        <v>13</v>
      </c>
      <c r="B947">
        <v>1013674</v>
      </c>
      <c r="C947">
        <v>1015221</v>
      </c>
      <c r="E947" t="s">
        <v>14</v>
      </c>
      <c r="F947" t="s">
        <v>2641</v>
      </c>
      <c r="H947">
        <v>0</v>
      </c>
      <c r="I947" t="s">
        <v>17</v>
      </c>
      <c r="K947" t="s">
        <v>2642</v>
      </c>
      <c r="L947">
        <v>515</v>
      </c>
      <c r="M947" t="s">
        <v>2643</v>
      </c>
    </row>
    <row r="948" spans="1:13" x14ac:dyDescent="0.45">
      <c r="A948" t="s">
        <v>13</v>
      </c>
      <c r="B948">
        <v>1015555</v>
      </c>
      <c r="C948">
        <v>1016421</v>
      </c>
      <c r="E948" t="s">
        <v>14</v>
      </c>
      <c r="F948" t="s">
        <v>2644</v>
      </c>
      <c r="H948">
        <v>0</v>
      </c>
      <c r="I948" t="s">
        <v>17</v>
      </c>
      <c r="K948" t="s">
        <v>2645</v>
      </c>
      <c r="L948">
        <v>288</v>
      </c>
      <c r="M948" t="s">
        <v>2646</v>
      </c>
    </row>
    <row r="949" spans="1:13" x14ac:dyDescent="0.45">
      <c r="A949" t="s">
        <v>13</v>
      </c>
      <c r="B949">
        <v>1016562</v>
      </c>
      <c r="C949">
        <v>1017704</v>
      </c>
      <c r="E949" t="s">
        <v>14</v>
      </c>
      <c r="F949" t="s">
        <v>1674</v>
      </c>
      <c r="H949">
        <v>0</v>
      </c>
      <c r="I949" t="s">
        <v>17</v>
      </c>
      <c r="K949" t="s">
        <v>2647</v>
      </c>
      <c r="L949">
        <v>380</v>
      </c>
      <c r="M949" t="s">
        <v>2648</v>
      </c>
    </row>
    <row r="950" spans="1:13" x14ac:dyDescent="0.45">
      <c r="A950" t="s">
        <v>13</v>
      </c>
      <c r="B950">
        <v>1018106</v>
      </c>
      <c r="C950">
        <v>1019326</v>
      </c>
      <c r="E950" t="s">
        <v>14</v>
      </c>
      <c r="F950" t="s">
        <v>2649</v>
      </c>
      <c r="H950">
        <v>0</v>
      </c>
      <c r="I950" t="s">
        <v>17</v>
      </c>
      <c r="K950" t="s">
        <v>2650</v>
      </c>
      <c r="L950">
        <v>406</v>
      </c>
      <c r="M950" t="s">
        <v>2651</v>
      </c>
    </row>
    <row r="951" spans="1:13" x14ac:dyDescent="0.45">
      <c r="A951" t="s">
        <v>13</v>
      </c>
      <c r="B951">
        <v>1019355</v>
      </c>
      <c r="C951">
        <v>1020242</v>
      </c>
      <c r="E951" t="s">
        <v>14</v>
      </c>
      <c r="F951" t="s">
        <v>2652</v>
      </c>
      <c r="H951">
        <v>0</v>
      </c>
      <c r="I951" t="s">
        <v>17</v>
      </c>
      <c r="K951" t="s">
        <v>2653</v>
      </c>
      <c r="L951">
        <v>295</v>
      </c>
      <c r="M951" t="s">
        <v>2654</v>
      </c>
    </row>
    <row r="952" spans="1:13" x14ac:dyDescent="0.45">
      <c r="A952" t="s">
        <v>13</v>
      </c>
      <c r="B952">
        <v>1020276</v>
      </c>
      <c r="C952">
        <v>1020905</v>
      </c>
      <c r="E952" t="s">
        <v>14</v>
      </c>
      <c r="F952" t="s">
        <v>2655</v>
      </c>
      <c r="H952">
        <v>0</v>
      </c>
      <c r="I952" t="s">
        <v>17</v>
      </c>
      <c r="K952" t="s">
        <v>2656</v>
      </c>
      <c r="L952">
        <v>209</v>
      </c>
      <c r="M952" t="s">
        <v>2657</v>
      </c>
    </row>
    <row r="953" spans="1:13" x14ac:dyDescent="0.45">
      <c r="A953" t="s">
        <v>13</v>
      </c>
      <c r="B953">
        <v>1020937</v>
      </c>
      <c r="C953">
        <v>1021374</v>
      </c>
      <c r="E953" t="s">
        <v>14</v>
      </c>
      <c r="F953" t="s">
        <v>2658</v>
      </c>
      <c r="H953">
        <v>0</v>
      </c>
      <c r="I953" t="s">
        <v>17</v>
      </c>
      <c r="K953" t="s">
        <v>2659</v>
      </c>
      <c r="L953">
        <v>145</v>
      </c>
      <c r="M953" t="s">
        <v>2660</v>
      </c>
    </row>
    <row r="954" spans="1:13" x14ac:dyDescent="0.45">
      <c r="A954" t="s">
        <v>13</v>
      </c>
      <c r="B954">
        <v>1021624</v>
      </c>
      <c r="C954">
        <v>1022991</v>
      </c>
      <c r="E954" t="s">
        <v>14</v>
      </c>
      <c r="F954" t="s">
        <v>729</v>
      </c>
      <c r="H954">
        <v>0</v>
      </c>
      <c r="I954" t="s">
        <v>17</v>
      </c>
      <c r="K954" t="s">
        <v>2661</v>
      </c>
      <c r="L954">
        <v>455</v>
      </c>
      <c r="M954" t="s">
        <v>2662</v>
      </c>
    </row>
    <row r="955" spans="1:13" x14ac:dyDescent="0.45">
      <c r="A955" t="s">
        <v>13</v>
      </c>
      <c r="B955">
        <v>1023191</v>
      </c>
      <c r="C955">
        <v>1024465</v>
      </c>
      <c r="E955" t="s">
        <v>14</v>
      </c>
      <c r="F955" t="s">
        <v>2663</v>
      </c>
      <c r="H955">
        <v>0</v>
      </c>
      <c r="I955" t="s">
        <v>17</v>
      </c>
      <c r="K955" t="s">
        <v>2664</v>
      </c>
      <c r="L955">
        <v>424</v>
      </c>
      <c r="M955" t="s">
        <v>2665</v>
      </c>
    </row>
    <row r="956" spans="1:13" x14ac:dyDescent="0.45">
      <c r="A956" t="s">
        <v>13</v>
      </c>
      <c r="B956">
        <v>1024583</v>
      </c>
      <c r="C956">
        <v>1025302</v>
      </c>
      <c r="E956" t="s">
        <v>14</v>
      </c>
      <c r="F956" t="s">
        <v>1104</v>
      </c>
      <c r="H956">
        <v>0</v>
      </c>
      <c r="I956" t="s">
        <v>17</v>
      </c>
      <c r="K956" t="s">
        <v>2666</v>
      </c>
      <c r="L956">
        <v>239</v>
      </c>
      <c r="M956" t="s">
        <v>2667</v>
      </c>
    </row>
    <row r="957" spans="1:13" x14ac:dyDescent="0.45">
      <c r="A957" t="s">
        <v>13</v>
      </c>
      <c r="B957">
        <v>1025323</v>
      </c>
      <c r="C957">
        <v>1025769</v>
      </c>
      <c r="E957" t="s">
        <v>14</v>
      </c>
      <c r="F957" t="s">
        <v>43</v>
      </c>
      <c r="H957">
        <v>0</v>
      </c>
      <c r="I957" t="s">
        <v>17</v>
      </c>
      <c r="K957" t="s">
        <v>2668</v>
      </c>
      <c r="L957">
        <v>148</v>
      </c>
      <c r="M957" t="s">
        <v>2669</v>
      </c>
    </row>
    <row r="958" spans="1:13" x14ac:dyDescent="0.45">
      <c r="A958" t="s">
        <v>13</v>
      </c>
      <c r="B958">
        <v>1026287</v>
      </c>
      <c r="C958">
        <v>1028029</v>
      </c>
      <c r="E958" t="s">
        <v>14</v>
      </c>
      <c r="F958" t="s">
        <v>2670</v>
      </c>
      <c r="G958" t="s">
        <v>2671</v>
      </c>
      <c r="H958">
        <v>0</v>
      </c>
      <c r="I958" t="s">
        <v>17</v>
      </c>
      <c r="K958" t="s">
        <v>2672</v>
      </c>
      <c r="L958">
        <v>580</v>
      </c>
      <c r="M958" t="s">
        <v>2673</v>
      </c>
    </row>
    <row r="959" spans="1:13" x14ac:dyDescent="0.45">
      <c r="A959" t="s">
        <v>13</v>
      </c>
      <c r="B959">
        <v>1027986</v>
      </c>
      <c r="C959">
        <v>1029263</v>
      </c>
      <c r="E959" t="s">
        <v>14</v>
      </c>
      <c r="F959" t="s">
        <v>2674</v>
      </c>
      <c r="G959" t="s">
        <v>2675</v>
      </c>
      <c r="H959">
        <v>0</v>
      </c>
      <c r="I959" t="s">
        <v>17</v>
      </c>
      <c r="K959" t="s">
        <v>2676</v>
      </c>
      <c r="L959">
        <v>425</v>
      </c>
      <c r="M959" t="s">
        <v>2677</v>
      </c>
    </row>
    <row r="960" spans="1:13" x14ac:dyDescent="0.45">
      <c r="A960" t="s">
        <v>13</v>
      </c>
      <c r="B960">
        <v>1029278</v>
      </c>
      <c r="C960">
        <v>1029769</v>
      </c>
      <c r="E960" t="s">
        <v>14</v>
      </c>
      <c r="F960" t="s">
        <v>2678</v>
      </c>
      <c r="G960" t="s">
        <v>2679</v>
      </c>
      <c r="H960">
        <v>0</v>
      </c>
      <c r="I960" t="s">
        <v>17</v>
      </c>
      <c r="K960" t="s">
        <v>2680</v>
      </c>
      <c r="L960">
        <v>163</v>
      </c>
      <c r="M960" t="s">
        <v>2681</v>
      </c>
    </row>
    <row r="961" spans="1:13" x14ac:dyDescent="0.45">
      <c r="A961" t="s">
        <v>13</v>
      </c>
      <c r="B961">
        <v>1029776</v>
      </c>
      <c r="C961">
        <v>1030846</v>
      </c>
      <c r="E961" t="s">
        <v>14</v>
      </c>
      <c r="F961" t="s">
        <v>2682</v>
      </c>
      <c r="G961" t="s">
        <v>2683</v>
      </c>
      <c r="H961">
        <v>0</v>
      </c>
      <c r="I961" t="s">
        <v>17</v>
      </c>
      <c r="K961" t="s">
        <v>2684</v>
      </c>
      <c r="L961">
        <v>356</v>
      </c>
      <c r="M961" t="s">
        <v>2685</v>
      </c>
    </row>
    <row r="962" spans="1:13" x14ac:dyDescent="0.45">
      <c r="A962" t="s">
        <v>13</v>
      </c>
      <c r="B962">
        <v>1031209</v>
      </c>
      <c r="C962">
        <v>1031724</v>
      </c>
      <c r="E962" t="s">
        <v>14</v>
      </c>
      <c r="F962" t="s">
        <v>2686</v>
      </c>
      <c r="H962">
        <v>0</v>
      </c>
      <c r="I962" t="s">
        <v>17</v>
      </c>
      <c r="K962" t="s">
        <v>2687</v>
      </c>
      <c r="L962">
        <v>171</v>
      </c>
      <c r="M962" t="s">
        <v>2688</v>
      </c>
    </row>
    <row r="963" spans="1:13" x14ac:dyDescent="0.45">
      <c r="A963" t="s">
        <v>13</v>
      </c>
      <c r="B963">
        <v>1032097</v>
      </c>
      <c r="C963">
        <v>1033173</v>
      </c>
      <c r="E963" t="s">
        <v>14</v>
      </c>
      <c r="F963" t="s">
        <v>2190</v>
      </c>
      <c r="H963">
        <v>0</v>
      </c>
      <c r="I963" t="s">
        <v>17</v>
      </c>
      <c r="K963" t="s">
        <v>2689</v>
      </c>
      <c r="L963">
        <v>358</v>
      </c>
      <c r="M963" t="s">
        <v>2690</v>
      </c>
    </row>
    <row r="964" spans="1:13" x14ac:dyDescent="0.45">
      <c r="A964" t="s">
        <v>13</v>
      </c>
      <c r="B964">
        <v>1033413</v>
      </c>
      <c r="C964">
        <v>1034354</v>
      </c>
      <c r="E964" t="s">
        <v>14</v>
      </c>
      <c r="F964" t="s">
        <v>1330</v>
      </c>
      <c r="H964">
        <v>0</v>
      </c>
      <c r="I964" t="s">
        <v>17</v>
      </c>
      <c r="K964" t="s">
        <v>2691</v>
      </c>
      <c r="L964">
        <v>313</v>
      </c>
      <c r="M964" t="s">
        <v>2692</v>
      </c>
    </row>
    <row r="965" spans="1:13" x14ac:dyDescent="0.45">
      <c r="A965" t="s">
        <v>13</v>
      </c>
      <c r="B965">
        <v>1034386</v>
      </c>
      <c r="C965">
        <v>1035636</v>
      </c>
      <c r="E965" t="s">
        <v>14</v>
      </c>
      <c r="F965" t="s">
        <v>2693</v>
      </c>
      <c r="H965">
        <v>0</v>
      </c>
      <c r="I965" t="s">
        <v>17</v>
      </c>
      <c r="K965" t="s">
        <v>2694</v>
      </c>
      <c r="L965">
        <v>416</v>
      </c>
      <c r="M965" t="s">
        <v>2695</v>
      </c>
    </row>
    <row r="966" spans="1:13" x14ac:dyDescent="0.45">
      <c r="A966" t="s">
        <v>13</v>
      </c>
      <c r="B966">
        <v>1036457</v>
      </c>
      <c r="C966">
        <v>1040002</v>
      </c>
      <c r="E966" t="s">
        <v>14</v>
      </c>
      <c r="F966" t="s">
        <v>2089</v>
      </c>
      <c r="H966">
        <v>0</v>
      </c>
      <c r="I966" t="s">
        <v>17</v>
      </c>
      <c r="K966" t="s">
        <v>2696</v>
      </c>
      <c r="L966">
        <v>1181</v>
      </c>
      <c r="M966" t="s">
        <v>2697</v>
      </c>
    </row>
    <row r="967" spans="1:13" x14ac:dyDescent="0.45">
      <c r="A967" t="s">
        <v>13</v>
      </c>
      <c r="B967">
        <v>1040187</v>
      </c>
      <c r="C967">
        <v>1042121</v>
      </c>
      <c r="E967" t="s">
        <v>14</v>
      </c>
      <c r="F967" t="s">
        <v>2698</v>
      </c>
      <c r="H967">
        <v>0</v>
      </c>
      <c r="I967" t="s">
        <v>17</v>
      </c>
      <c r="K967" t="s">
        <v>2699</v>
      </c>
      <c r="L967">
        <v>644</v>
      </c>
      <c r="M967" t="s">
        <v>2700</v>
      </c>
    </row>
    <row r="968" spans="1:13" x14ac:dyDescent="0.45">
      <c r="A968" t="s">
        <v>13</v>
      </c>
      <c r="B968">
        <v>1042227</v>
      </c>
      <c r="C968">
        <v>1043222</v>
      </c>
      <c r="E968" t="s">
        <v>14</v>
      </c>
      <c r="F968" t="s">
        <v>2510</v>
      </c>
      <c r="H968">
        <v>0</v>
      </c>
      <c r="I968" t="s">
        <v>17</v>
      </c>
      <c r="K968" t="s">
        <v>2701</v>
      </c>
      <c r="L968">
        <v>331</v>
      </c>
      <c r="M968" t="s">
        <v>2702</v>
      </c>
    </row>
    <row r="969" spans="1:13" x14ac:dyDescent="0.45">
      <c r="A969" t="s">
        <v>13</v>
      </c>
      <c r="B969">
        <v>1043194</v>
      </c>
      <c r="C969">
        <v>1043979</v>
      </c>
      <c r="E969" t="s">
        <v>14</v>
      </c>
      <c r="F969" t="s">
        <v>1143</v>
      </c>
      <c r="H969">
        <v>0</v>
      </c>
      <c r="I969" t="s">
        <v>17</v>
      </c>
      <c r="K969" t="s">
        <v>2703</v>
      </c>
      <c r="L969">
        <v>261</v>
      </c>
      <c r="M969" t="s">
        <v>2704</v>
      </c>
    </row>
    <row r="970" spans="1:13" x14ac:dyDescent="0.45">
      <c r="A970" t="s">
        <v>13</v>
      </c>
      <c r="B970">
        <v>1043967</v>
      </c>
      <c r="C970">
        <v>1044665</v>
      </c>
      <c r="E970" t="s">
        <v>14</v>
      </c>
      <c r="F970" t="s">
        <v>1140</v>
      </c>
      <c r="H970">
        <v>0</v>
      </c>
      <c r="I970" t="s">
        <v>17</v>
      </c>
      <c r="K970" t="s">
        <v>2705</v>
      </c>
      <c r="L970">
        <v>232</v>
      </c>
      <c r="M970" t="s">
        <v>2706</v>
      </c>
    </row>
    <row r="971" spans="1:13" x14ac:dyDescent="0.45">
      <c r="A971" t="s">
        <v>13</v>
      </c>
      <c r="B971">
        <v>1044788</v>
      </c>
      <c r="C971">
        <v>1045261</v>
      </c>
      <c r="E971" t="s">
        <v>14</v>
      </c>
      <c r="F971" t="s">
        <v>2707</v>
      </c>
      <c r="G971" t="s">
        <v>2708</v>
      </c>
      <c r="H971">
        <v>0</v>
      </c>
      <c r="I971" t="s">
        <v>17</v>
      </c>
      <c r="K971" t="s">
        <v>2709</v>
      </c>
      <c r="L971">
        <v>157</v>
      </c>
      <c r="M971" t="s">
        <v>2710</v>
      </c>
    </row>
    <row r="972" spans="1:13" x14ac:dyDescent="0.45">
      <c r="A972" t="s">
        <v>13</v>
      </c>
      <c r="B972">
        <v>1045458</v>
      </c>
      <c r="C972">
        <v>1046297</v>
      </c>
      <c r="E972" t="s">
        <v>14</v>
      </c>
      <c r="F972" t="s">
        <v>2711</v>
      </c>
      <c r="H972">
        <v>0</v>
      </c>
      <c r="I972" t="s">
        <v>17</v>
      </c>
      <c r="K972" t="s">
        <v>2712</v>
      </c>
      <c r="L972">
        <v>279</v>
      </c>
      <c r="M972" t="s">
        <v>2713</v>
      </c>
    </row>
    <row r="973" spans="1:13" x14ac:dyDescent="0.45">
      <c r="A973" t="s">
        <v>13</v>
      </c>
      <c r="B973">
        <v>1046310</v>
      </c>
      <c r="C973">
        <v>1046858</v>
      </c>
      <c r="E973" t="s">
        <v>14</v>
      </c>
      <c r="F973" t="s">
        <v>2714</v>
      </c>
      <c r="H973">
        <v>0</v>
      </c>
      <c r="I973" t="s">
        <v>17</v>
      </c>
      <c r="K973" t="s">
        <v>2715</v>
      </c>
      <c r="L973">
        <v>182</v>
      </c>
      <c r="M973" t="s">
        <v>2716</v>
      </c>
    </row>
    <row r="974" spans="1:13" x14ac:dyDescent="0.45">
      <c r="A974" t="s">
        <v>13</v>
      </c>
      <c r="B974">
        <v>1046924</v>
      </c>
      <c r="C974">
        <v>1048105</v>
      </c>
      <c r="E974" t="s">
        <v>14</v>
      </c>
      <c r="F974" t="s">
        <v>2717</v>
      </c>
      <c r="H974">
        <v>0</v>
      </c>
      <c r="I974" t="s">
        <v>17</v>
      </c>
      <c r="K974" t="s">
        <v>2718</v>
      </c>
      <c r="L974">
        <v>393</v>
      </c>
      <c r="M974" t="s">
        <v>2719</v>
      </c>
    </row>
    <row r="975" spans="1:13" x14ac:dyDescent="0.45">
      <c r="A975" t="s">
        <v>13</v>
      </c>
      <c r="B975">
        <v>1048278</v>
      </c>
      <c r="C975">
        <v>1048541</v>
      </c>
      <c r="E975" t="s">
        <v>14</v>
      </c>
      <c r="F975" t="s">
        <v>2720</v>
      </c>
      <c r="H975">
        <v>0</v>
      </c>
      <c r="I975" t="s">
        <v>17</v>
      </c>
      <c r="K975" t="s">
        <v>2721</v>
      </c>
      <c r="L975">
        <v>87</v>
      </c>
      <c r="M975" t="s">
        <v>2722</v>
      </c>
    </row>
    <row r="976" spans="1:13" x14ac:dyDescent="0.45">
      <c r="A976" t="s">
        <v>13</v>
      </c>
      <c r="B976">
        <v>1049067</v>
      </c>
      <c r="C976">
        <v>1049750</v>
      </c>
      <c r="E976" t="s">
        <v>14</v>
      </c>
      <c r="F976" t="s">
        <v>1222</v>
      </c>
      <c r="H976">
        <v>0</v>
      </c>
      <c r="I976" t="s">
        <v>17</v>
      </c>
      <c r="K976" t="s">
        <v>2723</v>
      </c>
      <c r="L976">
        <v>227</v>
      </c>
      <c r="M976" t="s">
        <v>2724</v>
      </c>
    </row>
    <row r="977" spans="1:13" x14ac:dyDescent="0.45">
      <c r="A977" t="s">
        <v>13</v>
      </c>
      <c r="B977">
        <v>1049761</v>
      </c>
      <c r="C977">
        <v>1051002</v>
      </c>
      <c r="E977" t="s">
        <v>14</v>
      </c>
      <c r="F977" t="s">
        <v>1219</v>
      </c>
      <c r="H977">
        <v>0</v>
      </c>
      <c r="I977" t="s">
        <v>17</v>
      </c>
      <c r="K977" t="s">
        <v>2725</v>
      </c>
      <c r="L977">
        <v>413</v>
      </c>
      <c r="M977" t="s">
        <v>2726</v>
      </c>
    </row>
    <row r="978" spans="1:13" x14ac:dyDescent="0.45">
      <c r="A978" t="s">
        <v>13</v>
      </c>
      <c r="B978">
        <v>1051074</v>
      </c>
      <c r="C978">
        <v>1051757</v>
      </c>
      <c r="E978" t="s">
        <v>14</v>
      </c>
      <c r="F978" t="s">
        <v>1140</v>
      </c>
      <c r="H978">
        <v>0</v>
      </c>
      <c r="I978" t="s">
        <v>17</v>
      </c>
      <c r="K978" t="s">
        <v>2727</v>
      </c>
      <c r="L978">
        <v>227</v>
      </c>
      <c r="M978" t="s">
        <v>2728</v>
      </c>
    </row>
    <row r="979" spans="1:13" x14ac:dyDescent="0.45">
      <c r="A979" t="s">
        <v>13</v>
      </c>
      <c r="B979">
        <v>1051754</v>
      </c>
      <c r="C979">
        <v>1054084</v>
      </c>
      <c r="E979" t="s">
        <v>14</v>
      </c>
      <c r="F979" t="s">
        <v>1143</v>
      </c>
      <c r="H979">
        <v>0</v>
      </c>
      <c r="I979" t="s">
        <v>17</v>
      </c>
      <c r="K979" t="s">
        <v>2729</v>
      </c>
      <c r="L979">
        <v>776</v>
      </c>
      <c r="M979" t="s">
        <v>2730</v>
      </c>
    </row>
    <row r="980" spans="1:13" x14ac:dyDescent="0.45">
      <c r="A980" t="s">
        <v>13</v>
      </c>
      <c r="B980">
        <v>1054265</v>
      </c>
      <c r="C980">
        <v>1055107</v>
      </c>
      <c r="E980" t="s">
        <v>96</v>
      </c>
      <c r="F980" t="s">
        <v>2731</v>
      </c>
      <c r="H980">
        <v>0</v>
      </c>
      <c r="I980" t="s">
        <v>17</v>
      </c>
      <c r="K980" t="s">
        <v>2732</v>
      </c>
      <c r="L980">
        <v>280</v>
      </c>
      <c r="M980" t="s">
        <v>2733</v>
      </c>
    </row>
    <row r="981" spans="1:13" x14ac:dyDescent="0.45">
      <c r="A981" t="s">
        <v>13</v>
      </c>
      <c r="B981">
        <v>1055402</v>
      </c>
      <c r="C981">
        <v>1056136</v>
      </c>
      <c r="E981" t="s">
        <v>14</v>
      </c>
      <c r="F981" t="s">
        <v>1909</v>
      </c>
      <c r="H981">
        <v>0</v>
      </c>
      <c r="I981" t="s">
        <v>17</v>
      </c>
      <c r="K981" t="s">
        <v>2734</v>
      </c>
      <c r="L981">
        <v>244</v>
      </c>
      <c r="M981" t="s">
        <v>2735</v>
      </c>
    </row>
    <row r="982" spans="1:13" x14ac:dyDescent="0.45">
      <c r="A982" t="s">
        <v>13</v>
      </c>
      <c r="B982">
        <v>1056146</v>
      </c>
      <c r="C982">
        <v>1057279</v>
      </c>
      <c r="E982" t="s">
        <v>14</v>
      </c>
      <c r="F982" t="s">
        <v>2736</v>
      </c>
      <c r="G982" t="s">
        <v>2737</v>
      </c>
      <c r="H982">
        <v>0</v>
      </c>
      <c r="I982" t="s">
        <v>17</v>
      </c>
      <c r="K982" t="s">
        <v>2738</v>
      </c>
      <c r="L982">
        <v>377</v>
      </c>
      <c r="M982" t="s">
        <v>2739</v>
      </c>
    </row>
    <row r="983" spans="1:13" x14ac:dyDescent="0.45">
      <c r="A983" t="s">
        <v>13</v>
      </c>
      <c r="B983">
        <v>1057378</v>
      </c>
      <c r="C983">
        <v>1058127</v>
      </c>
      <c r="E983" t="s">
        <v>14</v>
      </c>
      <c r="F983" t="s">
        <v>2740</v>
      </c>
      <c r="G983" t="s">
        <v>2741</v>
      </c>
      <c r="H983">
        <v>0</v>
      </c>
      <c r="I983" t="s">
        <v>17</v>
      </c>
      <c r="K983" t="s">
        <v>2742</v>
      </c>
      <c r="L983">
        <v>249</v>
      </c>
      <c r="M983" t="s">
        <v>2743</v>
      </c>
    </row>
    <row r="984" spans="1:13" x14ac:dyDescent="0.45">
      <c r="A984" t="s">
        <v>13</v>
      </c>
      <c r="B984">
        <v>1058302</v>
      </c>
      <c r="C984">
        <v>1058574</v>
      </c>
      <c r="E984" t="s">
        <v>14</v>
      </c>
      <c r="F984" t="s">
        <v>43</v>
      </c>
      <c r="H984">
        <v>0</v>
      </c>
      <c r="I984" t="s">
        <v>17</v>
      </c>
      <c r="K984" t="s">
        <v>2744</v>
      </c>
      <c r="L984">
        <v>90</v>
      </c>
      <c r="M984" t="s">
        <v>2745</v>
      </c>
    </row>
    <row r="985" spans="1:13" x14ac:dyDescent="0.45">
      <c r="A985" t="s">
        <v>13</v>
      </c>
      <c r="B985">
        <v>1059234</v>
      </c>
      <c r="C985">
        <v>1059938</v>
      </c>
      <c r="E985" t="s">
        <v>14</v>
      </c>
      <c r="F985" t="s">
        <v>1222</v>
      </c>
      <c r="H985">
        <v>0</v>
      </c>
      <c r="I985" t="s">
        <v>17</v>
      </c>
      <c r="K985" t="s">
        <v>2746</v>
      </c>
      <c r="L985">
        <v>234</v>
      </c>
      <c r="M985" t="s">
        <v>2747</v>
      </c>
    </row>
    <row r="986" spans="1:13" x14ac:dyDescent="0.45">
      <c r="A986" t="s">
        <v>13</v>
      </c>
      <c r="B986">
        <v>1059940</v>
      </c>
      <c r="C986">
        <v>1061427</v>
      </c>
      <c r="E986" t="s">
        <v>14</v>
      </c>
      <c r="F986" t="s">
        <v>1219</v>
      </c>
      <c r="H986">
        <v>0</v>
      </c>
      <c r="I986" t="s">
        <v>17</v>
      </c>
      <c r="K986" t="s">
        <v>2748</v>
      </c>
      <c r="L986">
        <v>495</v>
      </c>
      <c r="M986" t="s">
        <v>2749</v>
      </c>
    </row>
    <row r="987" spans="1:13" x14ac:dyDescent="0.45">
      <c r="A987" t="s">
        <v>13</v>
      </c>
      <c r="B987">
        <v>1061632</v>
      </c>
      <c r="C987">
        <v>1063245</v>
      </c>
      <c r="E987" t="s">
        <v>14</v>
      </c>
      <c r="F987" t="s">
        <v>2750</v>
      </c>
      <c r="H987">
        <v>0</v>
      </c>
      <c r="I987" t="s">
        <v>17</v>
      </c>
      <c r="K987" t="s">
        <v>2751</v>
      </c>
      <c r="L987">
        <v>537</v>
      </c>
      <c r="M987" t="s">
        <v>2752</v>
      </c>
    </row>
    <row r="988" spans="1:13" x14ac:dyDescent="0.45">
      <c r="A988" t="s">
        <v>13</v>
      </c>
      <c r="B988">
        <v>1063935</v>
      </c>
      <c r="C988">
        <v>1064765</v>
      </c>
      <c r="E988" t="s">
        <v>96</v>
      </c>
      <c r="F988" t="s">
        <v>1827</v>
      </c>
      <c r="H988">
        <v>0</v>
      </c>
      <c r="I988" t="s">
        <v>17</v>
      </c>
      <c r="K988" t="s">
        <v>2753</v>
      </c>
      <c r="L988">
        <v>276</v>
      </c>
      <c r="M988" t="s">
        <v>2754</v>
      </c>
    </row>
    <row r="989" spans="1:13" x14ac:dyDescent="0.45">
      <c r="A989" t="s">
        <v>13</v>
      </c>
      <c r="B989">
        <v>1064838</v>
      </c>
      <c r="C989">
        <v>1066565</v>
      </c>
      <c r="E989" t="s">
        <v>14</v>
      </c>
      <c r="F989" t="s">
        <v>1140</v>
      </c>
      <c r="H989">
        <v>0</v>
      </c>
      <c r="I989" t="s">
        <v>17</v>
      </c>
      <c r="K989" t="s">
        <v>2755</v>
      </c>
      <c r="L989">
        <v>575</v>
      </c>
      <c r="M989" t="s">
        <v>2756</v>
      </c>
    </row>
    <row r="990" spans="1:13" x14ac:dyDescent="0.45">
      <c r="A990" t="s">
        <v>13</v>
      </c>
      <c r="B990">
        <v>1066602</v>
      </c>
      <c r="C990">
        <v>1068464</v>
      </c>
      <c r="E990" t="s">
        <v>14</v>
      </c>
      <c r="F990" t="s">
        <v>1140</v>
      </c>
      <c r="H990">
        <v>0</v>
      </c>
      <c r="I990" t="s">
        <v>17</v>
      </c>
      <c r="K990" t="s">
        <v>2757</v>
      </c>
      <c r="L990">
        <v>620</v>
      </c>
      <c r="M990" t="s">
        <v>2758</v>
      </c>
    </row>
    <row r="991" spans="1:13" x14ac:dyDescent="0.45">
      <c r="A991" t="s">
        <v>13</v>
      </c>
      <c r="B991">
        <v>1068797</v>
      </c>
      <c r="C991">
        <v>1069486</v>
      </c>
      <c r="E991" t="s">
        <v>14</v>
      </c>
      <c r="F991" t="s">
        <v>2759</v>
      </c>
      <c r="H991">
        <v>0</v>
      </c>
      <c r="I991" t="s">
        <v>17</v>
      </c>
      <c r="K991" t="s">
        <v>2760</v>
      </c>
      <c r="L991">
        <v>229</v>
      </c>
      <c r="M991" t="s">
        <v>2761</v>
      </c>
    </row>
    <row r="992" spans="1:13" x14ac:dyDescent="0.45">
      <c r="A992" t="s">
        <v>13</v>
      </c>
      <c r="B992">
        <v>1069603</v>
      </c>
      <c r="C992">
        <v>1070277</v>
      </c>
      <c r="E992" t="s">
        <v>14</v>
      </c>
      <c r="F992" t="s">
        <v>2762</v>
      </c>
      <c r="H992">
        <v>0</v>
      </c>
      <c r="I992" t="s">
        <v>17</v>
      </c>
      <c r="K992" t="s">
        <v>2763</v>
      </c>
      <c r="L992">
        <v>224</v>
      </c>
      <c r="M992" t="s">
        <v>2764</v>
      </c>
    </row>
    <row r="993" spans="1:13" x14ac:dyDescent="0.45">
      <c r="A993" t="s">
        <v>13</v>
      </c>
      <c r="B993">
        <v>1070294</v>
      </c>
      <c r="C993">
        <v>1072201</v>
      </c>
      <c r="E993" t="s">
        <v>14</v>
      </c>
      <c r="F993" t="s">
        <v>2765</v>
      </c>
      <c r="H993">
        <v>0</v>
      </c>
      <c r="I993" t="s">
        <v>17</v>
      </c>
      <c r="K993" t="s">
        <v>2766</v>
      </c>
      <c r="L993">
        <v>635</v>
      </c>
      <c r="M993" t="s">
        <v>2767</v>
      </c>
    </row>
    <row r="994" spans="1:13" x14ac:dyDescent="0.45">
      <c r="A994" t="s">
        <v>13</v>
      </c>
      <c r="B994">
        <v>1072654</v>
      </c>
      <c r="C994">
        <v>1073343</v>
      </c>
      <c r="E994" t="s">
        <v>14</v>
      </c>
      <c r="F994" t="s">
        <v>2768</v>
      </c>
      <c r="H994">
        <v>0</v>
      </c>
      <c r="I994" t="s">
        <v>17</v>
      </c>
      <c r="K994" t="s">
        <v>2769</v>
      </c>
      <c r="L994">
        <v>229</v>
      </c>
      <c r="M994" t="s">
        <v>2770</v>
      </c>
    </row>
    <row r="995" spans="1:13" x14ac:dyDescent="0.45">
      <c r="A995" t="s">
        <v>13</v>
      </c>
      <c r="B995">
        <v>1073779</v>
      </c>
      <c r="C995">
        <v>1074318</v>
      </c>
      <c r="E995" t="s">
        <v>14</v>
      </c>
      <c r="F995" t="s">
        <v>1134</v>
      </c>
      <c r="H995">
        <v>0</v>
      </c>
      <c r="I995" t="s">
        <v>17</v>
      </c>
      <c r="K995" t="s">
        <v>2771</v>
      </c>
      <c r="L995">
        <v>179</v>
      </c>
      <c r="M995" t="s">
        <v>2772</v>
      </c>
    </row>
    <row r="996" spans="1:13" x14ac:dyDescent="0.45">
      <c r="A996" t="s">
        <v>13</v>
      </c>
      <c r="B996">
        <v>1074337</v>
      </c>
      <c r="C996">
        <v>1075380</v>
      </c>
      <c r="E996" t="s">
        <v>14</v>
      </c>
      <c r="F996" t="s">
        <v>2773</v>
      </c>
      <c r="G996" t="s">
        <v>2774</v>
      </c>
      <c r="H996">
        <v>0</v>
      </c>
      <c r="I996" t="s">
        <v>17</v>
      </c>
      <c r="K996" t="s">
        <v>2775</v>
      </c>
      <c r="L996">
        <v>347</v>
      </c>
      <c r="M996" t="s">
        <v>2776</v>
      </c>
    </row>
    <row r="997" spans="1:13" x14ac:dyDescent="0.45">
      <c r="A997" t="s">
        <v>13</v>
      </c>
      <c r="B997">
        <v>1075382</v>
      </c>
      <c r="C997">
        <v>1076218</v>
      </c>
      <c r="E997" t="s">
        <v>14</v>
      </c>
      <c r="F997" t="s">
        <v>1143</v>
      </c>
      <c r="H997">
        <v>0</v>
      </c>
      <c r="I997" t="s">
        <v>17</v>
      </c>
      <c r="K997" t="s">
        <v>2777</v>
      </c>
      <c r="L997">
        <v>278</v>
      </c>
      <c r="M997" t="s">
        <v>2778</v>
      </c>
    </row>
    <row r="998" spans="1:13" x14ac:dyDescent="0.45">
      <c r="A998" t="s">
        <v>13</v>
      </c>
      <c r="B998">
        <v>1076323</v>
      </c>
      <c r="C998">
        <v>1076997</v>
      </c>
      <c r="E998" t="s">
        <v>14</v>
      </c>
      <c r="F998" t="s">
        <v>1143</v>
      </c>
      <c r="H998">
        <v>0</v>
      </c>
      <c r="I998" t="s">
        <v>17</v>
      </c>
      <c r="K998" t="s">
        <v>2779</v>
      </c>
      <c r="L998">
        <v>224</v>
      </c>
      <c r="M998" t="s">
        <v>2780</v>
      </c>
    </row>
    <row r="999" spans="1:13" x14ac:dyDescent="0.45">
      <c r="A999" t="s">
        <v>13</v>
      </c>
      <c r="B999">
        <v>1076997</v>
      </c>
      <c r="C999">
        <v>1078049</v>
      </c>
      <c r="E999" t="s">
        <v>14</v>
      </c>
      <c r="F999" t="s">
        <v>2510</v>
      </c>
      <c r="H999">
        <v>0</v>
      </c>
      <c r="I999" t="s">
        <v>17</v>
      </c>
      <c r="K999" t="s">
        <v>2781</v>
      </c>
      <c r="L999">
        <v>350</v>
      </c>
      <c r="M999" t="s">
        <v>2782</v>
      </c>
    </row>
    <row r="1000" spans="1:13" x14ac:dyDescent="0.45">
      <c r="A1000" t="s">
        <v>13</v>
      </c>
      <c r="B1000">
        <v>1078493</v>
      </c>
      <c r="C1000">
        <v>1079341</v>
      </c>
      <c r="E1000" t="s">
        <v>14</v>
      </c>
      <c r="F1000" t="s">
        <v>2089</v>
      </c>
      <c r="H1000">
        <v>0</v>
      </c>
      <c r="I1000" t="s">
        <v>17</v>
      </c>
      <c r="K1000" t="s">
        <v>2783</v>
      </c>
      <c r="L1000">
        <v>282</v>
      </c>
      <c r="M1000" t="s">
        <v>2784</v>
      </c>
    </row>
    <row r="1001" spans="1:13" x14ac:dyDescent="0.45">
      <c r="A1001" t="s">
        <v>13</v>
      </c>
      <c r="B1001">
        <v>1079331</v>
      </c>
      <c r="C1001">
        <v>1080995</v>
      </c>
      <c r="E1001" t="s">
        <v>14</v>
      </c>
      <c r="F1001" t="s">
        <v>2785</v>
      </c>
      <c r="H1001">
        <v>0</v>
      </c>
      <c r="I1001" t="s">
        <v>17</v>
      </c>
      <c r="K1001" t="s">
        <v>2786</v>
      </c>
      <c r="L1001">
        <v>554</v>
      </c>
      <c r="M1001" t="s">
        <v>2787</v>
      </c>
    </row>
    <row r="1002" spans="1:13" x14ac:dyDescent="0.45">
      <c r="A1002" t="s">
        <v>13</v>
      </c>
      <c r="B1002">
        <v>1081044</v>
      </c>
      <c r="C1002">
        <v>1082300</v>
      </c>
      <c r="E1002" t="s">
        <v>14</v>
      </c>
      <c r="F1002" t="s">
        <v>960</v>
      </c>
      <c r="H1002">
        <v>0</v>
      </c>
      <c r="I1002" t="s">
        <v>17</v>
      </c>
      <c r="K1002" t="s">
        <v>2788</v>
      </c>
      <c r="L1002">
        <v>418</v>
      </c>
      <c r="M1002" t="s">
        <v>2789</v>
      </c>
    </row>
    <row r="1003" spans="1:13" x14ac:dyDescent="0.45">
      <c r="A1003" t="s">
        <v>13</v>
      </c>
      <c r="B1003">
        <v>1082323</v>
      </c>
      <c r="C1003">
        <v>1084404</v>
      </c>
      <c r="E1003" t="s">
        <v>14</v>
      </c>
      <c r="F1003" t="s">
        <v>2790</v>
      </c>
      <c r="H1003">
        <v>0</v>
      </c>
      <c r="I1003" t="s">
        <v>17</v>
      </c>
      <c r="K1003" t="s">
        <v>2791</v>
      </c>
      <c r="L1003">
        <v>693</v>
      </c>
      <c r="M1003" t="s">
        <v>2792</v>
      </c>
    </row>
    <row r="1004" spans="1:13" x14ac:dyDescent="0.45">
      <c r="A1004" t="s">
        <v>13</v>
      </c>
      <c r="B1004">
        <v>1084453</v>
      </c>
      <c r="C1004">
        <v>1085526</v>
      </c>
      <c r="E1004" t="s">
        <v>14</v>
      </c>
      <c r="F1004" t="s">
        <v>2793</v>
      </c>
      <c r="H1004">
        <v>0</v>
      </c>
      <c r="I1004" t="s">
        <v>17</v>
      </c>
      <c r="K1004" t="s">
        <v>2794</v>
      </c>
      <c r="L1004">
        <v>357</v>
      </c>
      <c r="M1004" t="s">
        <v>2795</v>
      </c>
    </row>
    <row r="1005" spans="1:13" x14ac:dyDescent="0.45">
      <c r="A1005" t="s">
        <v>13</v>
      </c>
      <c r="B1005">
        <v>1085580</v>
      </c>
      <c r="C1005">
        <v>1086704</v>
      </c>
      <c r="E1005" t="s">
        <v>14</v>
      </c>
      <c r="F1005" t="s">
        <v>2796</v>
      </c>
      <c r="G1005" t="s">
        <v>2797</v>
      </c>
      <c r="H1005">
        <v>0</v>
      </c>
      <c r="I1005" t="s">
        <v>17</v>
      </c>
      <c r="K1005" t="s">
        <v>2798</v>
      </c>
      <c r="L1005">
        <v>374</v>
      </c>
      <c r="M1005" t="s">
        <v>2799</v>
      </c>
    </row>
    <row r="1006" spans="1:13" x14ac:dyDescent="0.45">
      <c r="A1006" t="s">
        <v>13</v>
      </c>
      <c r="B1006">
        <v>1086782</v>
      </c>
      <c r="C1006">
        <v>1087756</v>
      </c>
      <c r="E1006" t="s">
        <v>14</v>
      </c>
      <c r="F1006" t="s">
        <v>2800</v>
      </c>
      <c r="H1006">
        <v>0</v>
      </c>
      <c r="I1006" t="s">
        <v>17</v>
      </c>
      <c r="K1006" t="s">
        <v>2801</v>
      </c>
      <c r="L1006">
        <v>324</v>
      </c>
      <c r="M1006" t="s">
        <v>2802</v>
      </c>
    </row>
    <row r="1007" spans="1:13" x14ac:dyDescent="0.45">
      <c r="A1007" t="s">
        <v>13</v>
      </c>
      <c r="B1007">
        <v>1087998</v>
      </c>
      <c r="C1007">
        <v>1089500</v>
      </c>
      <c r="E1007" t="s">
        <v>14</v>
      </c>
      <c r="F1007" t="s">
        <v>55</v>
      </c>
      <c r="H1007">
        <v>0</v>
      </c>
      <c r="I1007" t="s">
        <v>56</v>
      </c>
      <c r="M1007" t="s">
        <v>2803</v>
      </c>
    </row>
    <row r="1008" spans="1:13" x14ac:dyDescent="0.45">
      <c r="A1008" t="s">
        <v>13</v>
      </c>
      <c r="B1008">
        <v>1089825</v>
      </c>
      <c r="C1008">
        <v>1092722</v>
      </c>
      <c r="E1008" t="s">
        <v>14</v>
      </c>
      <c r="F1008" t="s">
        <v>58</v>
      </c>
      <c r="H1008">
        <v>0</v>
      </c>
      <c r="I1008" t="s">
        <v>56</v>
      </c>
      <c r="M1008" t="s">
        <v>2804</v>
      </c>
    </row>
    <row r="1009" spans="1:13" x14ac:dyDescent="0.45">
      <c r="A1009" t="s">
        <v>13</v>
      </c>
      <c r="B1009">
        <v>1092815</v>
      </c>
      <c r="C1009">
        <v>1092888</v>
      </c>
      <c r="E1009" t="s">
        <v>14</v>
      </c>
      <c r="F1009" t="s">
        <v>111</v>
      </c>
      <c r="H1009">
        <v>0</v>
      </c>
      <c r="I1009" t="s">
        <v>77</v>
      </c>
      <c r="M1009" t="s">
        <v>2805</v>
      </c>
    </row>
    <row r="1010" spans="1:13" x14ac:dyDescent="0.45">
      <c r="A1010" t="s">
        <v>13</v>
      </c>
      <c r="B1010">
        <v>1092897</v>
      </c>
      <c r="C1010">
        <v>1093013</v>
      </c>
      <c r="E1010" t="s">
        <v>14</v>
      </c>
      <c r="F1010" t="s">
        <v>60</v>
      </c>
      <c r="G1010" t="s">
        <v>61</v>
      </c>
      <c r="H1010">
        <v>0</v>
      </c>
      <c r="I1010" t="s">
        <v>56</v>
      </c>
      <c r="M1010" t="s">
        <v>2806</v>
      </c>
    </row>
    <row r="1011" spans="1:13" x14ac:dyDescent="0.45">
      <c r="A1011" t="s">
        <v>13</v>
      </c>
      <c r="B1011">
        <v>1093287</v>
      </c>
      <c r="C1011">
        <v>1095305</v>
      </c>
      <c r="E1011" t="s">
        <v>14</v>
      </c>
      <c r="F1011" t="s">
        <v>2331</v>
      </c>
      <c r="H1011">
        <v>0</v>
      </c>
      <c r="I1011" t="s">
        <v>17</v>
      </c>
      <c r="K1011" t="s">
        <v>2807</v>
      </c>
      <c r="L1011">
        <v>672</v>
      </c>
      <c r="M1011" t="s">
        <v>2808</v>
      </c>
    </row>
    <row r="1012" spans="1:13" x14ac:dyDescent="0.45">
      <c r="A1012" t="s">
        <v>13</v>
      </c>
      <c r="B1012">
        <v>1095818</v>
      </c>
      <c r="C1012">
        <v>1097830</v>
      </c>
      <c r="E1012" t="s">
        <v>14</v>
      </c>
      <c r="F1012" t="s">
        <v>2331</v>
      </c>
      <c r="H1012">
        <v>0</v>
      </c>
      <c r="I1012" t="s">
        <v>17</v>
      </c>
      <c r="K1012" t="s">
        <v>2809</v>
      </c>
      <c r="L1012">
        <v>670</v>
      </c>
      <c r="M1012" t="s">
        <v>2810</v>
      </c>
    </row>
    <row r="1013" spans="1:13" x14ac:dyDescent="0.45">
      <c r="A1013" t="s">
        <v>13</v>
      </c>
      <c r="B1013">
        <v>1098058</v>
      </c>
      <c r="C1013">
        <v>1099971</v>
      </c>
      <c r="E1013" t="s">
        <v>14</v>
      </c>
      <c r="F1013" t="s">
        <v>43</v>
      </c>
      <c r="H1013">
        <v>0</v>
      </c>
      <c r="I1013" t="s">
        <v>17</v>
      </c>
      <c r="K1013" t="s">
        <v>2811</v>
      </c>
      <c r="L1013">
        <v>637</v>
      </c>
      <c r="M1013" t="s">
        <v>2812</v>
      </c>
    </row>
    <row r="1014" spans="1:13" x14ac:dyDescent="0.45">
      <c r="A1014" t="s">
        <v>13</v>
      </c>
      <c r="B1014">
        <v>1099964</v>
      </c>
      <c r="C1014">
        <v>1102183</v>
      </c>
      <c r="E1014" t="s">
        <v>14</v>
      </c>
      <c r="F1014" t="s">
        <v>2217</v>
      </c>
      <c r="H1014">
        <v>0</v>
      </c>
      <c r="I1014" t="s">
        <v>17</v>
      </c>
      <c r="K1014" t="s">
        <v>2813</v>
      </c>
      <c r="L1014">
        <v>739</v>
      </c>
      <c r="M1014" t="s">
        <v>2814</v>
      </c>
    </row>
    <row r="1015" spans="1:13" x14ac:dyDescent="0.45">
      <c r="A1015" t="s">
        <v>13</v>
      </c>
      <c r="B1015">
        <v>1102292</v>
      </c>
      <c r="C1015">
        <v>1103122</v>
      </c>
      <c r="E1015" t="s">
        <v>14</v>
      </c>
      <c r="F1015" t="s">
        <v>2815</v>
      </c>
      <c r="H1015">
        <v>0</v>
      </c>
      <c r="I1015" t="s">
        <v>17</v>
      </c>
      <c r="K1015" t="s">
        <v>2816</v>
      </c>
      <c r="L1015">
        <v>276</v>
      </c>
      <c r="M1015" t="s">
        <v>2817</v>
      </c>
    </row>
    <row r="1016" spans="1:13" x14ac:dyDescent="0.45">
      <c r="A1016" t="s">
        <v>13</v>
      </c>
      <c r="B1016">
        <v>1103112</v>
      </c>
      <c r="C1016">
        <v>1106579</v>
      </c>
      <c r="E1016" t="s">
        <v>14</v>
      </c>
      <c r="F1016" t="s">
        <v>2818</v>
      </c>
      <c r="G1016" t="s">
        <v>2819</v>
      </c>
      <c r="H1016">
        <v>0</v>
      </c>
      <c r="I1016" t="s">
        <v>17</v>
      </c>
      <c r="K1016" t="s">
        <v>2820</v>
      </c>
      <c r="L1016">
        <v>1155</v>
      </c>
      <c r="M1016" t="s">
        <v>2821</v>
      </c>
    </row>
    <row r="1017" spans="1:13" x14ac:dyDescent="0.45">
      <c r="A1017" t="s">
        <v>13</v>
      </c>
      <c r="B1017">
        <v>1106579</v>
      </c>
      <c r="C1017">
        <v>1110406</v>
      </c>
      <c r="E1017" t="s">
        <v>14</v>
      </c>
      <c r="F1017" t="s">
        <v>2822</v>
      </c>
      <c r="G1017" t="s">
        <v>2823</v>
      </c>
      <c r="H1017">
        <v>0</v>
      </c>
      <c r="I1017" t="s">
        <v>17</v>
      </c>
      <c r="K1017" t="s">
        <v>2824</v>
      </c>
      <c r="L1017">
        <v>1275</v>
      </c>
      <c r="M1017" t="s">
        <v>2825</v>
      </c>
    </row>
    <row r="1018" spans="1:13" x14ac:dyDescent="0.45">
      <c r="A1018" t="s">
        <v>13</v>
      </c>
      <c r="B1018">
        <v>1110452</v>
      </c>
      <c r="C1018">
        <v>1111663</v>
      </c>
      <c r="E1018" t="s">
        <v>14</v>
      </c>
      <c r="F1018" t="s">
        <v>2826</v>
      </c>
      <c r="H1018">
        <v>0</v>
      </c>
      <c r="I1018" t="s">
        <v>17</v>
      </c>
      <c r="K1018" t="s">
        <v>2827</v>
      </c>
      <c r="L1018">
        <v>403</v>
      </c>
      <c r="M1018" t="s">
        <v>2828</v>
      </c>
    </row>
    <row r="1019" spans="1:13" x14ac:dyDescent="0.45">
      <c r="A1019" t="s">
        <v>13</v>
      </c>
      <c r="B1019">
        <v>1111650</v>
      </c>
      <c r="C1019">
        <v>1115177</v>
      </c>
      <c r="E1019" t="s">
        <v>14</v>
      </c>
      <c r="F1019" t="s">
        <v>1227</v>
      </c>
      <c r="H1019">
        <v>0</v>
      </c>
      <c r="I1019" t="s">
        <v>17</v>
      </c>
      <c r="K1019" t="s">
        <v>2829</v>
      </c>
      <c r="L1019">
        <v>1175</v>
      </c>
      <c r="M1019" t="s">
        <v>2830</v>
      </c>
    </row>
    <row r="1020" spans="1:13" x14ac:dyDescent="0.45">
      <c r="A1020" t="s">
        <v>13</v>
      </c>
      <c r="B1020">
        <v>1115308</v>
      </c>
      <c r="C1020">
        <v>1116561</v>
      </c>
      <c r="E1020" t="s">
        <v>14</v>
      </c>
      <c r="F1020" t="s">
        <v>2831</v>
      </c>
      <c r="H1020">
        <v>0</v>
      </c>
      <c r="I1020" t="s">
        <v>17</v>
      </c>
      <c r="K1020" t="s">
        <v>2832</v>
      </c>
      <c r="L1020">
        <v>417</v>
      </c>
      <c r="M1020" t="s">
        <v>2833</v>
      </c>
    </row>
    <row r="1021" spans="1:13" x14ac:dyDescent="0.45">
      <c r="A1021" t="s">
        <v>13</v>
      </c>
      <c r="B1021">
        <v>1116710</v>
      </c>
      <c r="C1021">
        <v>1117468</v>
      </c>
      <c r="E1021" t="s">
        <v>14</v>
      </c>
      <c r="F1021" t="s">
        <v>2834</v>
      </c>
      <c r="H1021">
        <v>0</v>
      </c>
      <c r="I1021" t="s">
        <v>17</v>
      </c>
      <c r="K1021" t="s">
        <v>2835</v>
      </c>
      <c r="L1021">
        <v>252</v>
      </c>
      <c r="M1021" t="s">
        <v>2836</v>
      </c>
    </row>
    <row r="1022" spans="1:13" x14ac:dyDescent="0.45">
      <c r="A1022" t="s">
        <v>13</v>
      </c>
      <c r="B1022">
        <v>1117468</v>
      </c>
      <c r="C1022">
        <v>1117761</v>
      </c>
      <c r="E1022" t="s">
        <v>14</v>
      </c>
      <c r="F1022" t="s">
        <v>2834</v>
      </c>
      <c r="H1022">
        <v>0</v>
      </c>
      <c r="I1022" t="s">
        <v>17</v>
      </c>
      <c r="K1022" t="s">
        <v>2837</v>
      </c>
      <c r="L1022">
        <v>97</v>
      </c>
      <c r="M1022" t="s">
        <v>2838</v>
      </c>
    </row>
    <row r="1023" spans="1:13" x14ac:dyDescent="0.45">
      <c r="A1023" t="s">
        <v>13</v>
      </c>
      <c r="B1023">
        <v>1117852</v>
      </c>
      <c r="C1023">
        <v>1119078</v>
      </c>
      <c r="E1023" t="s">
        <v>14</v>
      </c>
      <c r="F1023" t="s">
        <v>2839</v>
      </c>
      <c r="G1023" t="s">
        <v>2840</v>
      </c>
      <c r="H1023">
        <v>0</v>
      </c>
      <c r="I1023" t="s">
        <v>17</v>
      </c>
      <c r="K1023" t="s">
        <v>2841</v>
      </c>
      <c r="L1023">
        <v>408</v>
      </c>
      <c r="M1023" t="s">
        <v>2842</v>
      </c>
    </row>
    <row r="1024" spans="1:13" x14ac:dyDescent="0.45">
      <c r="A1024" t="s">
        <v>13</v>
      </c>
      <c r="B1024">
        <v>1119285</v>
      </c>
      <c r="C1024">
        <v>1120337</v>
      </c>
      <c r="E1024" t="s">
        <v>14</v>
      </c>
      <c r="F1024" t="s">
        <v>2843</v>
      </c>
      <c r="H1024">
        <v>0</v>
      </c>
      <c r="I1024" t="s">
        <v>17</v>
      </c>
      <c r="K1024" t="s">
        <v>2844</v>
      </c>
      <c r="L1024">
        <v>350</v>
      </c>
      <c r="M1024" t="s">
        <v>2845</v>
      </c>
    </row>
    <row r="1025" spans="1:13" x14ac:dyDescent="0.45">
      <c r="A1025" t="s">
        <v>13</v>
      </c>
      <c r="B1025">
        <v>1120755</v>
      </c>
      <c r="C1025">
        <v>1121324</v>
      </c>
      <c r="E1025" t="s">
        <v>96</v>
      </c>
      <c r="F1025" t="s">
        <v>2846</v>
      </c>
      <c r="G1025" t="s">
        <v>2847</v>
      </c>
      <c r="H1025">
        <v>0</v>
      </c>
      <c r="I1025" t="s">
        <v>17</v>
      </c>
      <c r="K1025" t="s">
        <v>2848</v>
      </c>
      <c r="L1025">
        <v>189</v>
      </c>
      <c r="M1025" t="s">
        <v>2849</v>
      </c>
    </row>
    <row r="1026" spans="1:13" x14ac:dyDescent="0.45">
      <c r="A1026" t="s">
        <v>13</v>
      </c>
      <c r="B1026">
        <v>1121349</v>
      </c>
      <c r="C1026">
        <v>1122149</v>
      </c>
      <c r="E1026" t="s">
        <v>96</v>
      </c>
      <c r="F1026" t="s">
        <v>2850</v>
      </c>
      <c r="H1026">
        <v>0</v>
      </c>
      <c r="I1026" t="s">
        <v>17</v>
      </c>
      <c r="K1026" t="s">
        <v>2851</v>
      </c>
      <c r="L1026">
        <v>266</v>
      </c>
      <c r="M1026" t="s">
        <v>2852</v>
      </c>
    </row>
    <row r="1027" spans="1:13" x14ac:dyDescent="0.45">
      <c r="A1027" t="s">
        <v>13</v>
      </c>
      <c r="B1027">
        <v>1122284</v>
      </c>
      <c r="C1027">
        <v>1123156</v>
      </c>
      <c r="E1027" t="s">
        <v>14</v>
      </c>
      <c r="F1027" t="s">
        <v>1140</v>
      </c>
      <c r="H1027">
        <v>0</v>
      </c>
      <c r="I1027" t="s">
        <v>17</v>
      </c>
      <c r="K1027" t="s">
        <v>2853</v>
      </c>
      <c r="L1027">
        <v>290</v>
      </c>
      <c r="M1027" t="s">
        <v>2854</v>
      </c>
    </row>
    <row r="1028" spans="1:13" x14ac:dyDescent="0.45">
      <c r="A1028" t="s">
        <v>13</v>
      </c>
      <c r="B1028">
        <v>1123144</v>
      </c>
      <c r="C1028">
        <v>1123830</v>
      </c>
      <c r="E1028" t="s">
        <v>14</v>
      </c>
      <c r="F1028" t="s">
        <v>1925</v>
      </c>
      <c r="H1028">
        <v>0</v>
      </c>
      <c r="I1028" t="s">
        <v>17</v>
      </c>
      <c r="K1028" t="s">
        <v>2855</v>
      </c>
      <c r="L1028">
        <v>228</v>
      </c>
      <c r="M1028" t="s">
        <v>2856</v>
      </c>
    </row>
    <row r="1029" spans="1:13" x14ac:dyDescent="0.45">
      <c r="A1029" t="s">
        <v>13</v>
      </c>
      <c r="B1029">
        <v>1123882</v>
      </c>
      <c r="C1029">
        <v>1124424</v>
      </c>
      <c r="E1029" t="s">
        <v>14</v>
      </c>
      <c r="F1029" t="s">
        <v>43</v>
      </c>
      <c r="H1029">
        <v>0</v>
      </c>
      <c r="I1029" t="s">
        <v>17</v>
      </c>
      <c r="K1029" t="s">
        <v>2857</v>
      </c>
      <c r="L1029">
        <v>180</v>
      </c>
      <c r="M1029" t="s">
        <v>2858</v>
      </c>
    </row>
    <row r="1030" spans="1:13" x14ac:dyDescent="0.45">
      <c r="A1030" t="s">
        <v>13</v>
      </c>
      <c r="B1030">
        <v>1124503</v>
      </c>
      <c r="C1030">
        <v>1124970</v>
      </c>
      <c r="E1030" t="s">
        <v>14</v>
      </c>
      <c r="F1030" t="s">
        <v>2859</v>
      </c>
      <c r="H1030">
        <v>0</v>
      </c>
      <c r="I1030" t="s">
        <v>17</v>
      </c>
      <c r="K1030" t="s">
        <v>2860</v>
      </c>
      <c r="L1030">
        <v>155</v>
      </c>
      <c r="M1030" t="s">
        <v>2861</v>
      </c>
    </row>
    <row r="1031" spans="1:13" x14ac:dyDescent="0.45">
      <c r="A1031" t="s">
        <v>13</v>
      </c>
      <c r="B1031">
        <v>1125678</v>
      </c>
      <c r="C1031">
        <v>1126814</v>
      </c>
      <c r="E1031" t="s">
        <v>14</v>
      </c>
      <c r="F1031" t="s">
        <v>2862</v>
      </c>
      <c r="H1031">
        <v>0</v>
      </c>
      <c r="I1031" t="s">
        <v>17</v>
      </c>
      <c r="K1031" t="s">
        <v>2863</v>
      </c>
      <c r="L1031">
        <v>378</v>
      </c>
      <c r="M1031" t="s">
        <v>2864</v>
      </c>
    </row>
    <row r="1032" spans="1:13" x14ac:dyDescent="0.45">
      <c r="A1032" t="s">
        <v>13</v>
      </c>
      <c r="B1032">
        <v>1126873</v>
      </c>
      <c r="C1032">
        <v>1127655</v>
      </c>
      <c r="E1032" t="s">
        <v>14</v>
      </c>
      <c r="F1032" t="s">
        <v>2390</v>
      </c>
      <c r="H1032">
        <v>0</v>
      </c>
      <c r="I1032" t="s">
        <v>17</v>
      </c>
      <c r="K1032" t="s">
        <v>2865</v>
      </c>
      <c r="L1032">
        <v>260</v>
      </c>
      <c r="M1032" t="s">
        <v>2866</v>
      </c>
    </row>
    <row r="1033" spans="1:13" x14ac:dyDescent="0.45">
      <c r="A1033" t="s">
        <v>13</v>
      </c>
      <c r="B1033">
        <v>1127674</v>
      </c>
      <c r="C1033">
        <v>1128684</v>
      </c>
      <c r="E1033" t="s">
        <v>14</v>
      </c>
      <c r="F1033" t="s">
        <v>1357</v>
      </c>
      <c r="H1033">
        <v>0</v>
      </c>
      <c r="I1033" t="s">
        <v>17</v>
      </c>
      <c r="K1033" t="s">
        <v>2867</v>
      </c>
      <c r="L1033">
        <v>336</v>
      </c>
      <c r="M1033" t="s">
        <v>2868</v>
      </c>
    </row>
    <row r="1034" spans="1:13" x14ac:dyDescent="0.45">
      <c r="A1034" t="s">
        <v>13</v>
      </c>
      <c r="B1034">
        <v>1128703</v>
      </c>
      <c r="C1034">
        <v>1129500</v>
      </c>
      <c r="E1034" t="s">
        <v>14</v>
      </c>
      <c r="F1034" t="s">
        <v>2378</v>
      </c>
      <c r="H1034">
        <v>0</v>
      </c>
      <c r="I1034" t="s">
        <v>17</v>
      </c>
      <c r="K1034" t="s">
        <v>2869</v>
      </c>
      <c r="L1034">
        <v>265</v>
      </c>
      <c r="M1034" t="s">
        <v>2870</v>
      </c>
    </row>
    <row r="1035" spans="1:13" x14ac:dyDescent="0.45">
      <c r="A1035" t="s">
        <v>13</v>
      </c>
      <c r="B1035">
        <v>1129598</v>
      </c>
      <c r="C1035">
        <v>1130443</v>
      </c>
      <c r="E1035" t="s">
        <v>14</v>
      </c>
      <c r="F1035" t="s">
        <v>2871</v>
      </c>
      <c r="H1035">
        <v>0</v>
      </c>
      <c r="I1035" t="s">
        <v>17</v>
      </c>
      <c r="K1035" t="s">
        <v>2872</v>
      </c>
      <c r="L1035">
        <v>281</v>
      </c>
      <c r="M1035" t="s">
        <v>2873</v>
      </c>
    </row>
    <row r="1036" spans="1:13" x14ac:dyDescent="0.45">
      <c r="A1036" t="s">
        <v>13</v>
      </c>
      <c r="B1036">
        <v>1130530</v>
      </c>
      <c r="C1036">
        <v>1131705</v>
      </c>
      <c r="E1036" t="s">
        <v>14</v>
      </c>
      <c r="F1036" t="s">
        <v>2874</v>
      </c>
      <c r="H1036">
        <v>0</v>
      </c>
      <c r="I1036" t="s">
        <v>17</v>
      </c>
      <c r="K1036" t="s">
        <v>2875</v>
      </c>
      <c r="L1036">
        <v>391</v>
      </c>
      <c r="M1036" t="s">
        <v>2876</v>
      </c>
    </row>
    <row r="1037" spans="1:13" x14ac:dyDescent="0.45">
      <c r="A1037" t="s">
        <v>13</v>
      </c>
      <c r="B1037">
        <v>1131900</v>
      </c>
      <c r="C1037">
        <v>1132802</v>
      </c>
      <c r="E1037" t="s">
        <v>14</v>
      </c>
      <c r="F1037" t="s">
        <v>2877</v>
      </c>
      <c r="H1037">
        <v>0</v>
      </c>
      <c r="I1037" t="s">
        <v>17</v>
      </c>
      <c r="K1037" t="s">
        <v>2878</v>
      </c>
      <c r="L1037">
        <v>300</v>
      </c>
      <c r="M1037" t="s">
        <v>2879</v>
      </c>
    </row>
    <row r="1038" spans="1:13" x14ac:dyDescent="0.45">
      <c r="A1038" t="s">
        <v>13</v>
      </c>
      <c r="B1038">
        <v>1132816</v>
      </c>
      <c r="C1038">
        <v>1133820</v>
      </c>
      <c r="E1038" t="s">
        <v>14</v>
      </c>
      <c r="F1038" t="s">
        <v>2880</v>
      </c>
      <c r="H1038">
        <v>0</v>
      </c>
      <c r="I1038" t="s">
        <v>17</v>
      </c>
      <c r="K1038" t="s">
        <v>2881</v>
      </c>
      <c r="L1038">
        <v>334</v>
      </c>
      <c r="M1038" t="s">
        <v>2882</v>
      </c>
    </row>
    <row r="1039" spans="1:13" x14ac:dyDescent="0.45">
      <c r="A1039" t="s">
        <v>13</v>
      </c>
      <c r="B1039">
        <v>1133964</v>
      </c>
      <c r="C1039">
        <v>1134191</v>
      </c>
      <c r="E1039" t="s">
        <v>96</v>
      </c>
      <c r="F1039" t="s">
        <v>2883</v>
      </c>
      <c r="G1039" t="s">
        <v>2884</v>
      </c>
      <c r="H1039">
        <v>0</v>
      </c>
      <c r="I1039" t="s">
        <v>17</v>
      </c>
      <c r="K1039" t="s">
        <v>2885</v>
      </c>
      <c r="L1039">
        <v>75</v>
      </c>
      <c r="M1039" t="s">
        <v>2886</v>
      </c>
    </row>
    <row r="1040" spans="1:13" x14ac:dyDescent="0.45">
      <c r="A1040" t="s">
        <v>13</v>
      </c>
      <c r="B1040">
        <v>1134363</v>
      </c>
      <c r="C1040">
        <v>1134788</v>
      </c>
      <c r="E1040" t="s">
        <v>14</v>
      </c>
      <c r="F1040" t="s">
        <v>43</v>
      </c>
      <c r="H1040">
        <v>0</v>
      </c>
      <c r="I1040" t="s">
        <v>17</v>
      </c>
      <c r="K1040" t="s">
        <v>2887</v>
      </c>
      <c r="L1040">
        <v>141</v>
      </c>
      <c r="M1040" t="s">
        <v>2888</v>
      </c>
    </row>
    <row r="1041" spans="1:13" x14ac:dyDescent="0.45">
      <c r="A1041" t="s">
        <v>13</v>
      </c>
      <c r="B1041">
        <v>1134836</v>
      </c>
      <c r="C1041">
        <v>1135042</v>
      </c>
      <c r="E1041" t="s">
        <v>14</v>
      </c>
      <c r="F1041" t="s">
        <v>43</v>
      </c>
      <c r="H1041">
        <v>0</v>
      </c>
      <c r="I1041" t="s">
        <v>17</v>
      </c>
      <c r="K1041" t="s">
        <v>2889</v>
      </c>
      <c r="L1041">
        <v>68</v>
      </c>
      <c r="M1041" t="s">
        <v>2890</v>
      </c>
    </row>
    <row r="1042" spans="1:13" x14ac:dyDescent="0.45">
      <c r="A1042" t="s">
        <v>13</v>
      </c>
      <c r="B1042">
        <v>1135224</v>
      </c>
      <c r="C1042">
        <v>1135403</v>
      </c>
      <c r="E1042" t="s">
        <v>14</v>
      </c>
      <c r="F1042" t="s">
        <v>43</v>
      </c>
      <c r="H1042">
        <v>0</v>
      </c>
      <c r="I1042" t="s">
        <v>17</v>
      </c>
      <c r="K1042" t="s">
        <v>2891</v>
      </c>
      <c r="L1042">
        <v>59</v>
      </c>
      <c r="M1042" t="s">
        <v>2892</v>
      </c>
    </row>
    <row r="1043" spans="1:13" x14ac:dyDescent="0.45">
      <c r="A1043" t="s">
        <v>13</v>
      </c>
      <c r="B1043">
        <v>1135437</v>
      </c>
      <c r="C1043">
        <v>1135637</v>
      </c>
      <c r="E1043" t="s">
        <v>14</v>
      </c>
      <c r="F1043" t="s">
        <v>43</v>
      </c>
      <c r="H1043">
        <v>0</v>
      </c>
      <c r="I1043" t="s">
        <v>17</v>
      </c>
      <c r="K1043" t="s">
        <v>2893</v>
      </c>
      <c r="L1043">
        <v>66</v>
      </c>
      <c r="M1043" t="s">
        <v>2894</v>
      </c>
    </row>
    <row r="1044" spans="1:13" x14ac:dyDescent="0.45">
      <c r="A1044" t="s">
        <v>13</v>
      </c>
      <c r="B1044">
        <v>1135890</v>
      </c>
      <c r="C1044">
        <v>1136906</v>
      </c>
      <c r="E1044" t="s">
        <v>14</v>
      </c>
      <c r="F1044" t="s">
        <v>2895</v>
      </c>
      <c r="G1044" t="s">
        <v>2896</v>
      </c>
      <c r="H1044">
        <v>0</v>
      </c>
      <c r="I1044" t="s">
        <v>17</v>
      </c>
      <c r="K1044" t="s">
        <v>2897</v>
      </c>
      <c r="L1044">
        <v>338</v>
      </c>
      <c r="M1044" t="s">
        <v>2898</v>
      </c>
    </row>
    <row r="1045" spans="1:13" x14ac:dyDescent="0.45">
      <c r="A1045" t="s">
        <v>13</v>
      </c>
      <c r="B1045">
        <v>1137029</v>
      </c>
      <c r="C1045">
        <v>1137427</v>
      </c>
      <c r="E1045" t="s">
        <v>96</v>
      </c>
      <c r="F1045" t="s">
        <v>43</v>
      </c>
      <c r="H1045">
        <v>0</v>
      </c>
      <c r="I1045" t="s">
        <v>17</v>
      </c>
      <c r="K1045" t="s">
        <v>2899</v>
      </c>
      <c r="L1045">
        <v>132</v>
      </c>
      <c r="M1045" t="s">
        <v>2900</v>
      </c>
    </row>
    <row r="1046" spans="1:13" x14ac:dyDescent="0.45">
      <c r="A1046" t="s">
        <v>13</v>
      </c>
      <c r="B1046">
        <v>1137639</v>
      </c>
      <c r="C1046">
        <v>1138544</v>
      </c>
      <c r="E1046" t="s">
        <v>14</v>
      </c>
      <c r="F1046" t="s">
        <v>43</v>
      </c>
      <c r="H1046">
        <v>0</v>
      </c>
      <c r="I1046" t="s">
        <v>17</v>
      </c>
      <c r="K1046" t="s">
        <v>2901</v>
      </c>
      <c r="L1046">
        <v>301</v>
      </c>
      <c r="M1046" t="s">
        <v>2902</v>
      </c>
    </row>
    <row r="1047" spans="1:13" x14ac:dyDescent="0.45">
      <c r="A1047" t="s">
        <v>13</v>
      </c>
      <c r="B1047">
        <v>1138659</v>
      </c>
      <c r="C1047">
        <v>1138839</v>
      </c>
      <c r="E1047" t="s">
        <v>14</v>
      </c>
      <c r="F1047" t="s">
        <v>2903</v>
      </c>
      <c r="G1047" t="s">
        <v>2904</v>
      </c>
      <c r="H1047">
        <v>0</v>
      </c>
      <c r="I1047" t="s">
        <v>2905</v>
      </c>
      <c r="M1047" t="s">
        <v>2906</v>
      </c>
    </row>
    <row r="1048" spans="1:13" x14ac:dyDescent="0.45">
      <c r="A1048" t="s">
        <v>13</v>
      </c>
      <c r="B1048">
        <v>1139022</v>
      </c>
      <c r="C1048">
        <v>1140239</v>
      </c>
      <c r="E1048" t="s">
        <v>14</v>
      </c>
      <c r="F1048" t="s">
        <v>2907</v>
      </c>
      <c r="G1048" t="s">
        <v>2908</v>
      </c>
      <c r="H1048">
        <v>0</v>
      </c>
      <c r="I1048" t="s">
        <v>17</v>
      </c>
      <c r="K1048" t="s">
        <v>2909</v>
      </c>
      <c r="L1048">
        <v>405</v>
      </c>
      <c r="M1048" t="s">
        <v>2910</v>
      </c>
    </row>
    <row r="1049" spans="1:13" x14ac:dyDescent="0.45">
      <c r="A1049" t="s">
        <v>13</v>
      </c>
      <c r="B1049">
        <v>1140340</v>
      </c>
      <c r="C1049">
        <v>1141662</v>
      </c>
      <c r="E1049" t="s">
        <v>96</v>
      </c>
      <c r="F1049" t="s">
        <v>2911</v>
      </c>
      <c r="H1049">
        <v>0</v>
      </c>
      <c r="I1049" t="s">
        <v>17</v>
      </c>
      <c r="K1049" t="s">
        <v>2912</v>
      </c>
      <c r="L1049">
        <v>440</v>
      </c>
      <c r="M1049" t="s">
        <v>2913</v>
      </c>
    </row>
    <row r="1050" spans="1:13" x14ac:dyDescent="0.45">
      <c r="A1050" t="s">
        <v>13</v>
      </c>
      <c r="B1050">
        <v>1141713</v>
      </c>
      <c r="C1050">
        <v>1142507</v>
      </c>
      <c r="E1050" t="s">
        <v>96</v>
      </c>
      <c r="F1050" t="s">
        <v>2914</v>
      </c>
      <c r="H1050">
        <v>0</v>
      </c>
      <c r="I1050" t="s">
        <v>17</v>
      </c>
      <c r="K1050" t="s">
        <v>2915</v>
      </c>
      <c r="L1050">
        <v>264</v>
      </c>
      <c r="M1050" t="s">
        <v>2916</v>
      </c>
    </row>
    <row r="1051" spans="1:13" x14ac:dyDescent="0.45">
      <c r="A1051" t="s">
        <v>13</v>
      </c>
      <c r="B1051">
        <v>1142617</v>
      </c>
      <c r="C1051">
        <v>1144062</v>
      </c>
      <c r="E1051" t="s">
        <v>14</v>
      </c>
      <c r="F1051" t="s">
        <v>2917</v>
      </c>
      <c r="H1051">
        <v>0</v>
      </c>
      <c r="I1051" t="s">
        <v>17</v>
      </c>
      <c r="K1051" t="s">
        <v>2918</v>
      </c>
      <c r="L1051">
        <v>481</v>
      </c>
      <c r="M1051" t="s">
        <v>2919</v>
      </c>
    </row>
    <row r="1052" spans="1:13" x14ac:dyDescent="0.45">
      <c r="A1052" t="s">
        <v>13</v>
      </c>
      <c r="B1052">
        <v>1144091</v>
      </c>
      <c r="C1052">
        <v>1144300</v>
      </c>
      <c r="E1052" t="s">
        <v>14</v>
      </c>
      <c r="F1052" t="s">
        <v>2920</v>
      </c>
      <c r="H1052">
        <v>0</v>
      </c>
      <c r="I1052" t="s">
        <v>17</v>
      </c>
      <c r="K1052" t="s">
        <v>2921</v>
      </c>
      <c r="L1052">
        <v>69</v>
      </c>
      <c r="M1052" t="s">
        <v>2922</v>
      </c>
    </row>
    <row r="1053" spans="1:13" x14ac:dyDescent="0.45">
      <c r="A1053" t="s">
        <v>13</v>
      </c>
      <c r="B1053">
        <v>1144320</v>
      </c>
      <c r="C1053">
        <v>1145714</v>
      </c>
      <c r="E1053" t="s">
        <v>14</v>
      </c>
      <c r="F1053" t="s">
        <v>2923</v>
      </c>
      <c r="H1053">
        <v>0</v>
      </c>
      <c r="I1053" t="s">
        <v>17</v>
      </c>
      <c r="K1053" t="s">
        <v>2924</v>
      </c>
      <c r="L1053">
        <v>464</v>
      </c>
      <c r="M1053" t="s">
        <v>2925</v>
      </c>
    </row>
    <row r="1054" spans="1:13" x14ac:dyDescent="0.45">
      <c r="A1054" t="s">
        <v>13</v>
      </c>
      <c r="B1054">
        <v>1145954</v>
      </c>
      <c r="C1054">
        <v>1146706</v>
      </c>
      <c r="E1054" t="s">
        <v>14</v>
      </c>
      <c r="F1054" t="s">
        <v>1909</v>
      </c>
      <c r="H1054">
        <v>0</v>
      </c>
      <c r="I1054" t="s">
        <v>17</v>
      </c>
      <c r="K1054" t="s">
        <v>2926</v>
      </c>
      <c r="L1054">
        <v>250</v>
      </c>
      <c r="M1054" t="s">
        <v>2927</v>
      </c>
    </row>
    <row r="1055" spans="1:13" x14ac:dyDescent="0.45">
      <c r="A1055" t="s">
        <v>13</v>
      </c>
      <c r="B1055">
        <v>1146732</v>
      </c>
      <c r="C1055">
        <v>1147145</v>
      </c>
      <c r="E1055" t="s">
        <v>14</v>
      </c>
      <c r="F1055" t="s">
        <v>227</v>
      </c>
      <c r="H1055">
        <v>0</v>
      </c>
      <c r="I1055" t="s">
        <v>17</v>
      </c>
      <c r="K1055" t="s">
        <v>2928</v>
      </c>
      <c r="L1055">
        <v>137</v>
      </c>
      <c r="M1055" t="s">
        <v>2929</v>
      </c>
    </row>
    <row r="1056" spans="1:13" x14ac:dyDescent="0.45">
      <c r="A1056" t="s">
        <v>13</v>
      </c>
      <c r="B1056">
        <v>1147149</v>
      </c>
      <c r="C1056">
        <v>1147892</v>
      </c>
      <c r="E1056" t="s">
        <v>14</v>
      </c>
      <c r="F1056" t="s">
        <v>2930</v>
      </c>
      <c r="H1056">
        <v>0</v>
      </c>
      <c r="I1056" t="s">
        <v>17</v>
      </c>
      <c r="K1056" t="s">
        <v>2931</v>
      </c>
      <c r="L1056">
        <v>247</v>
      </c>
      <c r="M1056" t="s">
        <v>2932</v>
      </c>
    </row>
    <row r="1057" spans="1:13" x14ac:dyDescent="0.45">
      <c r="A1057" t="s">
        <v>13</v>
      </c>
      <c r="B1057">
        <v>1147892</v>
      </c>
      <c r="C1057">
        <v>1148362</v>
      </c>
      <c r="E1057" t="s">
        <v>14</v>
      </c>
      <c r="F1057" t="s">
        <v>230</v>
      </c>
      <c r="H1057">
        <v>0</v>
      </c>
      <c r="I1057" t="s">
        <v>17</v>
      </c>
      <c r="K1057" t="s">
        <v>2933</v>
      </c>
      <c r="L1057">
        <v>156</v>
      </c>
      <c r="M1057" t="s">
        <v>2934</v>
      </c>
    </row>
    <row r="1058" spans="1:13" x14ac:dyDescent="0.45">
      <c r="A1058" t="s">
        <v>13</v>
      </c>
      <c r="B1058">
        <v>1148379</v>
      </c>
      <c r="C1058">
        <v>1149137</v>
      </c>
      <c r="E1058" t="s">
        <v>14</v>
      </c>
      <c r="F1058" t="s">
        <v>1119</v>
      </c>
      <c r="H1058">
        <v>0</v>
      </c>
      <c r="I1058" t="s">
        <v>17</v>
      </c>
      <c r="K1058" t="s">
        <v>2935</v>
      </c>
      <c r="L1058">
        <v>252</v>
      </c>
      <c r="M1058" t="s">
        <v>2936</v>
      </c>
    </row>
    <row r="1059" spans="1:13" x14ac:dyDescent="0.45">
      <c r="A1059" t="s">
        <v>13</v>
      </c>
      <c r="B1059">
        <v>1149121</v>
      </c>
      <c r="C1059">
        <v>1149963</v>
      </c>
      <c r="E1059" t="s">
        <v>14</v>
      </c>
      <c r="F1059" t="s">
        <v>1122</v>
      </c>
      <c r="H1059">
        <v>0</v>
      </c>
      <c r="I1059" t="s">
        <v>17</v>
      </c>
      <c r="K1059" t="s">
        <v>2937</v>
      </c>
      <c r="L1059">
        <v>280</v>
      </c>
      <c r="M1059" t="s">
        <v>2938</v>
      </c>
    </row>
    <row r="1060" spans="1:13" x14ac:dyDescent="0.45">
      <c r="A1060" t="s">
        <v>13</v>
      </c>
      <c r="B1060">
        <v>1150123</v>
      </c>
      <c r="C1060">
        <v>1151028</v>
      </c>
      <c r="E1060" t="s">
        <v>96</v>
      </c>
      <c r="F1060" t="s">
        <v>2939</v>
      </c>
      <c r="H1060">
        <v>0</v>
      </c>
      <c r="I1060" t="s">
        <v>17</v>
      </c>
      <c r="K1060" t="s">
        <v>2940</v>
      </c>
      <c r="L1060">
        <v>301</v>
      </c>
      <c r="M1060" t="s">
        <v>2941</v>
      </c>
    </row>
    <row r="1061" spans="1:13" x14ac:dyDescent="0.45">
      <c r="A1061" t="s">
        <v>13</v>
      </c>
      <c r="B1061">
        <v>1151390</v>
      </c>
      <c r="C1061">
        <v>1152124</v>
      </c>
      <c r="E1061" t="s">
        <v>14</v>
      </c>
      <c r="F1061" t="s">
        <v>43</v>
      </c>
      <c r="H1061">
        <v>0</v>
      </c>
      <c r="I1061" t="s">
        <v>17</v>
      </c>
      <c r="K1061" t="s">
        <v>2942</v>
      </c>
      <c r="L1061">
        <v>244</v>
      </c>
      <c r="M1061" t="s">
        <v>2943</v>
      </c>
    </row>
    <row r="1062" spans="1:13" x14ac:dyDescent="0.45">
      <c r="A1062" t="s">
        <v>13</v>
      </c>
      <c r="B1062">
        <v>1152335</v>
      </c>
      <c r="C1062">
        <v>1153516</v>
      </c>
      <c r="E1062" t="s">
        <v>14</v>
      </c>
      <c r="F1062" t="s">
        <v>2944</v>
      </c>
      <c r="H1062">
        <v>0</v>
      </c>
      <c r="I1062" t="s">
        <v>17</v>
      </c>
      <c r="K1062" t="s">
        <v>2945</v>
      </c>
      <c r="L1062">
        <v>393</v>
      </c>
      <c r="M1062" t="s">
        <v>2946</v>
      </c>
    </row>
    <row r="1063" spans="1:13" x14ac:dyDescent="0.45">
      <c r="A1063" t="s">
        <v>13</v>
      </c>
      <c r="B1063">
        <v>1153539</v>
      </c>
      <c r="C1063">
        <v>1154072</v>
      </c>
      <c r="E1063" t="s">
        <v>14</v>
      </c>
      <c r="F1063" t="s">
        <v>2947</v>
      </c>
      <c r="G1063" t="s">
        <v>2948</v>
      </c>
      <c r="H1063">
        <v>0</v>
      </c>
      <c r="I1063" t="s">
        <v>17</v>
      </c>
      <c r="K1063" t="s">
        <v>2949</v>
      </c>
      <c r="L1063">
        <v>177</v>
      </c>
      <c r="M1063" t="s">
        <v>2950</v>
      </c>
    </row>
    <row r="1064" spans="1:13" x14ac:dyDescent="0.45">
      <c r="A1064" t="s">
        <v>13</v>
      </c>
      <c r="B1064">
        <v>1154191</v>
      </c>
      <c r="C1064">
        <v>1154466</v>
      </c>
      <c r="E1064" t="s">
        <v>14</v>
      </c>
      <c r="F1064" t="s">
        <v>230</v>
      </c>
      <c r="H1064">
        <v>0</v>
      </c>
      <c r="I1064" t="s">
        <v>17</v>
      </c>
      <c r="K1064" t="s">
        <v>2951</v>
      </c>
      <c r="L1064">
        <v>91</v>
      </c>
      <c r="M1064" t="s">
        <v>2952</v>
      </c>
    </row>
    <row r="1065" spans="1:13" x14ac:dyDescent="0.45">
      <c r="A1065" t="s">
        <v>13</v>
      </c>
      <c r="B1065">
        <v>1154722</v>
      </c>
      <c r="C1065">
        <v>1156422</v>
      </c>
      <c r="E1065" t="s">
        <v>14</v>
      </c>
      <c r="F1065" t="s">
        <v>1140</v>
      </c>
      <c r="H1065">
        <v>0</v>
      </c>
      <c r="I1065" t="s">
        <v>17</v>
      </c>
      <c r="K1065" t="s">
        <v>2953</v>
      </c>
      <c r="L1065">
        <v>566</v>
      </c>
      <c r="M1065" t="s">
        <v>2954</v>
      </c>
    </row>
    <row r="1066" spans="1:13" x14ac:dyDescent="0.45">
      <c r="A1066" t="s">
        <v>13</v>
      </c>
      <c r="B1066">
        <v>1156785</v>
      </c>
      <c r="C1066">
        <v>1157972</v>
      </c>
      <c r="E1066" t="s">
        <v>14</v>
      </c>
      <c r="F1066" t="s">
        <v>604</v>
      </c>
      <c r="H1066">
        <v>0</v>
      </c>
      <c r="I1066" t="s">
        <v>17</v>
      </c>
      <c r="K1066" t="s">
        <v>2955</v>
      </c>
      <c r="L1066">
        <v>395</v>
      </c>
      <c r="M1066" t="s">
        <v>2956</v>
      </c>
    </row>
    <row r="1067" spans="1:13" x14ac:dyDescent="0.45">
      <c r="A1067" t="s">
        <v>13</v>
      </c>
      <c r="B1067">
        <v>1158032</v>
      </c>
      <c r="C1067">
        <v>1159195</v>
      </c>
      <c r="E1067" t="s">
        <v>14</v>
      </c>
      <c r="F1067" t="s">
        <v>1128</v>
      </c>
      <c r="H1067">
        <v>0</v>
      </c>
      <c r="I1067" t="s">
        <v>17</v>
      </c>
      <c r="K1067" t="s">
        <v>2957</v>
      </c>
      <c r="L1067">
        <v>387</v>
      </c>
      <c r="M1067" t="s">
        <v>2958</v>
      </c>
    </row>
    <row r="1068" spans="1:13" x14ac:dyDescent="0.45">
      <c r="A1068" t="s">
        <v>13</v>
      </c>
      <c r="B1068">
        <v>1159346</v>
      </c>
      <c r="C1068">
        <v>1160149</v>
      </c>
      <c r="E1068" t="s">
        <v>14</v>
      </c>
      <c r="F1068" t="s">
        <v>2959</v>
      </c>
      <c r="G1068" t="s">
        <v>2960</v>
      </c>
      <c r="H1068">
        <v>0</v>
      </c>
      <c r="I1068" t="s">
        <v>17</v>
      </c>
      <c r="K1068" t="s">
        <v>2961</v>
      </c>
      <c r="L1068">
        <v>267</v>
      </c>
      <c r="M1068" t="s">
        <v>2962</v>
      </c>
    </row>
    <row r="1069" spans="1:13" x14ac:dyDescent="0.45">
      <c r="A1069" t="s">
        <v>13</v>
      </c>
      <c r="B1069">
        <v>1160254</v>
      </c>
      <c r="C1069">
        <v>1160805</v>
      </c>
      <c r="E1069" t="s">
        <v>14</v>
      </c>
      <c r="F1069" t="s">
        <v>2963</v>
      </c>
      <c r="H1069">
        <v>0</v>
      </c>
      <c r="I1069" t="s">
        <v>17</v>
      </c>
      <c r="K1069" t="s">
        <v>2964</v>
      </c>
      <c r="L1069">
        <v>183</v>
      </c>
      <c r="M1069" t="s">
        <v>2965</v>
      </c>
    </row>
    <row r="1070" spans="1:13" x14ac:dyDescent="0.45">
      <c r="A1070" t="s">
        <v>13</v>
      </c>
      <c r="B1070">
        <v>1161056</v>
      </c>
      <c r="C1070">
        <v>1161769</v>
      </c>
      <c r="E1070" t="s">
        <v>14</v>
      </c>
      <c r="F1070" t="s">
        <v>2966</v>
      </c>
      <c r="G1070" t="s">
        <v>2967</v>
      </c>
      <c r="H1070">
        <v>0</v>
      </c>
      <c r="I1070" t="s">
        <v>17</v>
      </c>
      <c r="K1070" t="s">
        <v>2968</v>
      </c>
      <c r="L1070">
        <v>237</v>
      </c>
      <c r="M1070" t="s">
        <v>2969</v>
      </c>
    </row>
    <row r="1071" spans="1:13" x14ac:dyDescent="0.45">
      <c r="A1071" t="s">
        <v>13</v>
      </c>
      <c r="B1071">
        <v>1161763</v>
      </c>
      <c r="C1071">
        <v>1163142</v>
      </c>
      <c r="E1071" t="s">
        <v>14</v>
      </c>
      <c r="F1071" t="s">
        <v>1219</v>
      </c>
      <c r="H1071">
        <v>0</v>
      </c>
      <c r="I1071" t="s">
        <v>17</v>
      </c>
      <c r="K1071" t="s">
        <v>2970</v>
      </c>
      <c r="L1071">
        <v>459</v>
      </c>
      <c r="M1071" t="s">
        <v>2971</v>
      </c>
    </row>
    <row r="1072" spans="1:13" x14ac:dyDescent="0.45">
      <c r="A1072" t="s">
        <v>13</v>
      </c>
      <c r="B1072">
        <v>1163383</v>
      </c>
      <c r="C1072">
        <v>1164072</v>
      </c>
      <c r="E1072" t="s">
        <v>14</v>
      </c>
      <c r="F1072" t="s">
        <v>43</v>
      </c>
      <c r="H1072">
        <v>0</v>
      </c>
      <c r="I1072" t="s">
        <v>17</v>
      </c>
      <c r="K1072" t="s">
        <v>2972</v>
      </c>
      <c r="L1072">
        <v>229</v>
      </c>
      <c r="M1072" t="s">
        <v>2973</v>
      </c>
    </row>
    <row r="1073" spans="1:13" x14ac:dyDescent="0.45">
      <c r="A1073" t="s">
        <v>13</v>
      </c>
      <c r="B1073">
        <v>1164291</v>
      </c>
      <c r="C1073">
        <v>1166663</v>
      </c>
      <c r="E1073" t="s">
        <v>14</v>
      </c>
      <c r="F1073" t="s">
        <v>2974</v>
      </c>
      <c r="H1073">
        <v>0</v>
      </c>
      <c r="I1073" t="s">
        <v>17</v>
      </c>
      <c r="K1073" t="s">
        <v>2975</v>
      </c>
      <c r="L1073">
        <v>790</v>
      </c>
      <c r="M1073" t="s">
        <v>2976</v>
      </c>
    </row>
    <row r="1074" spans="1:13" x14ac:dyDescent="0.45">
      <c r="A1074" t="s">
        <v>13</v>
      </c>
      <c r="B1074">
        <v>1166678</v>
      </c>
      <c r="C1074">
        <v>1167580</v>
      </c>
      <c r="E1074" t="s">
        <v>14</v>
      </c>
      <c r="F1074" t="s">
        <v>2977</v>
      </c>
      <c r="H1074">
        <v>0</v>
      </c>
      <c r="I1074" t="s">
        <v>17</v>
      </c>
      <c r="K1074" t="s">
        <v>2978</v>
      </c>
      <c r="L1074">
        <v>300</v>
      </c>
      <c r="M1074" t="s">
        <v>2979</v>
      </c>
    </row>
    <row r="1075" spans="1:13" x14ac:dyDescent="0.45">
      <c r="A1075" t="s">
        <v>13</v>
      </c>
      <c r="B1075">
        <v>1167600</v>
      </c>
      <c r="C1075">
        <v>1168151</v>
      </c>
      <c r="E1075" t="s">
        <v>14</v>
      </c>
      <c r="F1075" t="s">
        <v>1134</v>
      </c>
      <c r="H1075">
        <v>0</v>
      </c>
      <c r="I1075" t="s">
        <v>17</v>
      </c>
      <c r="K1075" t="s">
        <v>2980</v>
      </c>
      <c r="L1075">
        <v>183</v>
      </c>
      <c r="M1075" t="s">
        <v>2981</v>
      </c>
    </row>
    <row r="1076" spans="1:13" x14ac:dyDescent="0.45">
      <c r="A1076" t="s">
        <v>13</v>
      </c>
      <c r="B1076">
        <v>1168315</v>
      </c>
      <c r="C1076">
        <v>1169187</v>
      </c>
      <c r="E1076" t="s">
        <v>14</v>
      </c>
      <c r="F1076" t="s">
        <v>822</v>
      </c>
      <c r="H1076">
        <v>0</v>
      </c>
      <c r="I1076" t="s">
        <v>17</v>
      </c>
      <c r="K1076" t="s">
        <v>2982</v>
      </c>
      <c r="L1076">
        <v>290</v>
      </c>
      <c r="M1076" t="s">
        <v>2983</v>
      </c>
    </row>
    <row r="1077" spans="1:13" x14ac:dyDescent="0.45">
      <c r="A1077" t="s">
        <v>13</v>
      </c>
      <c r="B1077">
        <v>1169351</v>
      </c>
      <c r="C1077">
        <v>1170331</v>
      </c>
      <c r="E1077" t="s">
        <v>14</v>
      </c>
      <c r="F1077" t="s">
        <v>43</v>
      </c>
      <c r="H1077">
        <v>0</v>
      </c>
      <c r="I1077" t="s">
        <v>17</v>
      </c>
      <c r="K1077" t="s">
        <v>2984</v>
      </c>
      <c r="L1077">
        <v>326</v>
      </c>
      <c r="M1077" t="s">
        <v>2985</v>
      </c>
    </row>
    <row r="1078" spans="1:13" x14ac:dyDescent="0.45">
      <c r="A1078" t="s">
        <v>13</v>
      </c>
      <c r="B1078">
        <v>1170832</v>
      </c>
      <c r="C1078">
        <v>1171053</v>
      </c>
      <c r="E1078" t="s">
        <v>14</v>
      </c>
      <c r="F1078" t="s">
        <v>43</v>
      </c>
      <c r="H1078">
        <v>0</v>
      </c>
      <c r="I1078" t="s">
        <v>17</v>
      </c>
      <c r="K1078" t="s">
        <v>2986</v>
      </c>
      <c r="L1078">
        <v>73</v>
      </c>
      <c r="M1078" t="s">
        <v>2987</v>
      </c>
    </row>
    <row r="1079" spans="1:13" x14ac:dyDescent="0.45">
      <c r="A1079" t="s">
        <v>13</v>
      </c>
      <c r="B1079">
        <v>1171559</v>
      </c>
      <c r="C1079">
        <v>1172428</v>
      </c>
      <c r="E1079" t="s">
        <v>14</v>
      </c>
      <c r="F1079" t="s">
        <v>862</v>
      </c>
      <c r="H1079">
        <v>0</v>
      </c>
      <c r="I1079" t="s">
        <v>17</v>
      </c>
      <c r="K1079" t="s">
        <v>2988</v>
      </c>
      <c r="L1079">
        <v>289</v>
      </c>
      <c r="M1079" t="s">
        <v>2989</v>
      </c>
    </row>
    <row r="1080" spans="1:13" x14ac:dyDescent="0.45">
      <c r="A1080" t="s">
        <v>13</v>
      </c>
      <c r="B1080">
        <v>1172654</v>
      </c>
      <c r="C1080">
        <v>1173520</v>
      </c>
      <c r="E1080" t="s">
        <v>14</v>
      </c>
      <c r="F1080" t="s">
        <v>196</v>
      </c>
      <c r="H1080">
        <v>0</v>
      </c>
      <c r="I1080" t="s">
        <v>17</v>
      </c>
      <c r="K1080" t="s">
        <v>2990</v>
      </c>
      <c r="L1080">
        <v>288</v>
      </c>
      <c r="M1080" t="s">
        <v>2991</v>
      </c>
    </row>
    <row r="1081" spans="1:13" x14ac:dyDescent="0.45">
      <c r="A1081" t="s">
        <v>13</v>
      </c>
      <c r="B1081">
        <v>1173694</v>
      </c>
      <c r="C1081">
        <v>1173855</v>
      </c>
      <c r="E1081" t="s">
        <v>14</v>
      </c>
      <c r="F1081" t="s">
        <v>1432</v>
      </c>
      <c r="H1081">
        <v>0</v>
      </c>
      <c r="I1081" t="s">
        <v>17</v>
      </c>
      <c r="K1081" t="s">
        <v>2992</v>
      </c>
      <c r="L1081">
        <v>53</v>
      </c>
      <c r="M1081" t="s">
        <v>2993</v>
      </c>
    </row>
    <row r="1082" spans="1:13" x14ac:dyDescent="0.45">
      <c r="A1082" t="s">
        <v>13</v>
      </c>
      <c r="B1082">
        <v>1174493</v>
      </c>
      <c r="C1082">
        <v>1174591</v>
      </c>
      <c r="E1082" t="s">
        <v>14</v>
      </c>
      <c r="F1082" t="s">
        <v>271</v>
      </c>
      <c r="H1082">
        <v>0</v>
      </c>
      <c r="I1082" t="s">
        <v>272</v>
      </c>
      <c r="M1082" t="s">
        <v>2994</v>
      </c>
    </row>
    <row r="1083" spans="1:13" x14ac:dyDescent="0.45">
      <c r="A1083" t="s">
        <v>13</v>
      </c>
      <c r="B1083">
        <v>1174593</v>
      </c>
      <c r="C1083">
        <v>1175711</v>
      </c>
      <c r="E1083" t="s">
        <v>14</v>
      </c>
      <c r="F1083" t="s">
        <v>1370</v>
      </c>
      <c r="G1083" t="s">
        <v>1371</v>
      </c>
      <c r="H1083">
        <v>0</v>
      </c>
      <c r="I1083" t="s">
        <v>17</v>
      </c>
      <c r="K1083" t="s">
        <v>2995</v>
      </c>
      <c r="L1083">
        <v>372</v>
      </c>
      <c r="M1083" t="s">
        <v>2996</v>
      </c>
    </row>
    <row r="1084" spans="1:13" x14ac:dyDescent="0.45">
      <c r="A1084" t="s">
        <v>13</v>
      </c>
      <c r="B1084">
        <v>1175870</v>
      </c>
      <c r="C1084">
        <v>1176313</v>
      </c>
      <c r="E1084" t="s">
        <v>14</v>
      </c>
      <c r="F1084" t="s">
        <v>43</v>
      </c>
      <c r="H1084">
        <v>0</v>
      </c>
      <c r="I1084" t="s">
        <v>17</v>
      </c>
      <c r="K1084" t="s">
        <v>2997</v>
      </c>
      <c r="L1084">
        <v>147</v>
      </c>
      <c r="M1084" t="s">
        <v>2998</v>
      </c>
    </row>
    <row r="1085" spans="1:13" x14ac:dyDescent="0.45">
      <c r="A1085" t="s">
        <v>13</v>
      </c>
      <c r="B1085">
        <v>1176763</v>
      </c>
      <c r="C1085">
        <v>1177833</v>
      </c>
      <c r="E1085" t="s">
        <v>96</v>
      </c>
      <c r="F1085" t="s">
        <v>43</v>
      </c>
      <c r="H1085">
        <v>0</v>
      </c>
      <c r="I1085" t="s">
        <v>17</v>
      </c>
      <c r="K1085" t="s">
        <v>2999</v>
      </c>
      <c r="L1085">
        <v>356</v>
      </c>
      <c r="M1085" t="s">
        <v>3000</v>
      </c>
    </row>
    <row r="1086" spans="1:13" x14ac:dyDescent="0.45">
      <c r="A1086" t="s">
        <v>13</v>
      </c>
      <c r="B1086">
        <v>1177947</v>
      </c>
      <c r="C1086">
        <v>1179149</v>
      </c>
      <c r="E1086" t="s">
        <v>96</v>
      </c>
      <c r="F1086" t="s">
        <v>3001</v>
      </c>
      <c r="H1086">
        <v>0</v>
      </c>
      <c r="I1086" t="s">
        <v>17</v>
      </c>
      <c r="K1086" t="s">
        <v>3002</v>
      </c>
      <c r="L1086">
        <v>400</v>
      </c>
      <c r="M1086" t="s">
        <v>3003</v>
      </c>
    </row>
    <row r="1087" spans="1:13" x14ac:dyDescent="0.45">
      <c r="A1087" t="s">
        <v>13</v>
      </c>
      <c r="B1087">
        <v>1179165</v>
      </c>
      <c r="C1087">
        <v>1180574</v>
      </c>
      <c r="E1087" t="s">
        <v>96</v>
      </c>
      <c r="F1087" t="s">
        <v>3004</v>
      </c>
      <c r="H1087">
        <v>0</v>
      </c>
      <c r="I1087" t="s">
        <v>17</v>
      </c>
      <c r="K1087" t="s">
        <v>3005</v>
      </c>
      <c r="L1087">
        <v>469</v>
      </c>
      <c r="M1087" t="s">
        <v>3006</v>
      </c>
    </row>
    <row r="1088" spans="1:13" x14ac:dyDescent="0.45">
      <c r="A1088" t="s">
        <v>13</v>
      </c>
      <c r="B1088">
        <v>1181949</v>
      </c>
      <c r="C1088">
        <v>1182031</v>
      </c>
      <c r="E1088" t="s">
        <v>96</v>
      </c>
      <c r="F1088" t="s">
        <v>105</v>
      </c>
      <c r="H1088">
        <v>0</v>
      </c>
      <c r="I1088" t="s">
        <v>77</v>
      </c>
      <c r="M1088" t="s">
        <v>3007</v>
      </c>
    </row>
    <row r="1089" spans="1:13" x14ac:dyDescent="0.45">
      <c r="A1089" t="s">
        <v>13</v>
      </c>
      <c r="B1089">
        <v>1182350</v>
      </c>
      <c r="C1089">
        <v>1184998</v>
      </c>
      <c r="E1089" t="s">
        <v>14</v>
      </c>
      <c r="F1089" t="s">
        <v>3008</v>
      </c>
      <c r="G1089" t="s">
        <v>3009</v>
      </c>
      <c r="H1089">
        <v>0</v>
      </c>
      <c r="I1089" t="s">
        <v>17</v>
      </c>
      <c r="K1089" t="s">
        <v>3010</v>
      </c>
      <c r="L1089">
        <v>882</v>
      </c>
      <c r="M1089" t="s">
        <v>3011</v>
      </c>
    </row>
    <row r="1090" spans="1:13" x14ac:dyDescent="0.45">
      <c r="A1090" t="s">
        <v>13</v>
      </c>
      <c r="B1090">
        <v>1185007</v>
      </c>
      <c r="C1090">
        <v>1185609</v>
      </c>
      <c r="E1090" t="s">
        <v>14</v>
      </c>
      <c r="F1090" t="s">
        <v>3012</v>
      </c>
      <c r="G1090" t="s">
        <v>3013</v>
      </c>
      <c r="H1090">
        <v>0</v>
      </c>
      <c r="I1090" t="s">
        <v>17</v>
      </c>
      <c r="K1090" t="s">
        <v>3014</v>
      </c>
      <c r="L1090">
        <v>200</v>
      </c>
      <c r="M1090" t="s">
        <v>3015</v>
      </c>
    </row>
    <row r="1091" spans="1:13" x14ac:dyDescent="0.45">
      <c r="A1091" t="s">
        <v>13</v>
      </c>
      <c r="B1091">
        <v>1185602</v>
      </c>
      <c r="C1091">
        <v>1186156</v>
      </c>
      <c r="E1091" t="s">
        <v>14</v>
      </c>
      <c r="F1091" t="s">
        <v>912</v>
      </c>
      <c r="H1091">
        <v>0</v>
      </c>
      <c r="I1091" t="s">
        <v>17</v>
      </c>
      <c r="K1091" t="s">
        <v>3016</v>
      </c>
      <c r="L1091">
        <v>184</v>
      </c>
      <c r="M1091" t="s">
        <v>3017</v>
      </c>
    </row>
    <row r="1092" spans="1:13" x14ac:dyDescent="0.45">
      <c r="A1092" t="s">
        <v>13</v>
      </c>
      <c r="B1092">
        <v>1186156</v>
      </c>
      <c r="C1092">
        <v>1187871</v>
      </c>
      <c r="E1092" t="s">
        <v>14</v>
      </c>
      <c r="F1092" t="s">
        <v>2510</v>
      </c>
      <c r="H1092">
        <v>0</v>
      </c>
      <c r="I1092" t="s">
        <v>17</v>
      </c>
      <c r="K1092" t="s">
        <v>3018</v>
      </c>
      <c r="L1092">
        <v>571</v>
      </c>
      <c r="M1092" t="s">
        <v>3019</v>
      </c>
    </row>
    <row r="1093" spans="1:13" x14ac:dyDescent="0.45">
      <c r="A1093" t="s">
        <v>13</v>
      </c>
      <c r="B1093">
        <v>1187944</v>
      </c>
      <c r="C1093">
        <v>1188156</v>
      </c>
      <c r="E1093" t="s">
        <v>14</v>
      </c>
      <c r="F1093" t="s">
        <v>3020</v>
      </c>
      <c r="H1093">
        <v>0</v>
      </c>
      <c r="I1093" t="s">
        <v>17</v>
      </c>
      <c r="K1093" t="s">
        <v>3021</v>
      </c>
      <c r="L1093">
        <v>70</v>
      </c>
      <c r="M1093" t="s">
        <v>3022</v>
      </c>
    </row>
    <row r="1094" spans="1:13" x14ac:dyDescent="0.45">
      <c r="A1094" t="s">
        <v>13</v>
      </c>
      <c r="B1094">
        <v>1188357</v>
      </c>
      <c r="C1094">
        <v>1188956</v>
      </c>
      <c r="E1094" t="s">
        <v>14</v>
      </c>
      <c r="F1094" t="s">
        <v>43</v>
      </c>
      <c r="H1094">
        <v>0</v>
      </c>
      <c r="I1094" t="s">
        <v>17</v>
      </c>
      <c r="K1094" t="s">
        <v>3023</v>
      </c>
      <c r="L1094">
        <v>199</v>
      </c>
      <c r="M1094" t="s">
        <v>3024</v>
      </c>
    </row>
    <row r="1095" spans="1:13" x14ac:dyDescent="0.45">
      <c r="A1095" t="s">
        <v>13</v>
      </c>
      <c r="B1095">
        <v>1189184</v>
      </c>
      <c r="C1095">
        <v>1189555</v>
      </c>
      <c r="E1095" t="s">
        <v>14</v>
      </c>
      <c r="F1095" t="s">
        <v>694</v>
      </c>
      <c r="H1095">
        <v>0</v>
      </c>
      <c r="I1095" t="s">
        <v>17</v>
      </c>
      <c r="K1095" t="s">
        <v>3025</v>
      </c>
      <c r="L1095">
        <v>123</v>
      </c>
      <c r="M1095" t="s">
        <v>3026</v>
      </c>
    </row>
    <row r="1096" spans="1:13" x14ac:dyDescent="0.45">
      <c r="A1096" t="s">
        <v>13</v>
      </c>
      <c r="B1096">
        <v>1189687</v>
      </c>
      <c r="C1096">
        <v>1190961</v>
      </c>
      <c r="E1096" t="s">
        <v>14</v>
      </c>
      <c r="F1096" t="s">
        <v>772</v>
      </c>
      <c r="H1096">
        <v>0</v>
      </c>
      <c r="I1096" t="s">
        <v>17</v>
      </c>
      <c r="K1096" t="s">
        <v>3027</v>
      </c>
      <c r="L1096">
        <v>424</v>
      </c>
      <c r="M1096" t="s">
        <v>3028</v>
      </c>
    </row>
    <row r="1097" spans="1:13" x14ac:dyDescent="0.45">
      <c r="A1097" t="s">
        <v>13</v>
      </c>
      <c r="B1097">
        <v>1191072</v>
      </c>
      <c r="C1097">
        <v>1192016</v>
      </c>
      <c r="E1097" t="s">
        <v>14</v>
      </c>
      <c r="F1097" t="s">
        <v>43</v>
      </c>
      <c r="H1097">
        <v>0</v>
      </c>
      <c r="I1097" t="s">
        <v>17</v>
      </c>
      <c r="K1097" t="s">
        <v>3029</v>
      </c>
      <c r="L1097">
        <v>314</v>
      </c>
      <c r="M1097" t="s">
        <v>3030</v>
      </c>
    </row>
    <row r="1098" spans="1:13" x14ac:dyDescent="0.45">
      <c r="A1098" t="s">
        <v>13</v>
      </c>
      <c r="B1098">
        <v>1192232</v>
      </c>
      <c r="C1098">
        <v>1193569</v>
      </c>
      <c r="E1098" t="s">
        <v>14</v>
      </c>
      <c r="F1098" t="s">
        <v>3031</v>
      </c>
      <c r="G1098" t="s">
        <v>3032</v>
      </c>
      <c r="H1098">
        <v>0</v>
      </c>
      <c r="I1098" t="s">
        <v>17</v>
      </c>
      <c r="K1098" t="s">
        <v>3033</v>
      </c>
      <c r="L1098">
        <v>445</v>
      </c>
      <c r="M1098" t="s">
        <v>3034</v>
      </c>
    </row>
    <row r="1099" spans="1:13" x14ac:dyDescent="0.45">
      <c r="A1099" t="s">
        <v>13</v>
      </c>
      <c r="B1099">
        <v>1193592</v>
      </c>
      <c r="C1099">
        <v>1194569</v>
      </c>
      <c r="E1099" t="s">
        <v>14</v>
      </c>
      <c r="F1099" t="s">
        <v>3035</v>
      </c>
      <c r="H1099">
        <v>0</v>
      </c>
      <c r="I1099" t="s">
        <v>17</v>
      </c>
      <c r="K1099" t="s">
        <v>3036</v>
      </c>
      <c r="L1099">
        <v>325</v>
      </c>
      <c r="M1099" t="s">
        <v>3037</v>
      </c>
    </row>
    <row r="1100" spans="1:13" x14ac:dyDescent="0.45">
      <c r="A1100" t="s">
        <v>13</v>
      </c>
      <c r="B1100">
        <v>1194569</v>
      </c>
      <c r="C1100">
        <v>1195138</v>
      </c>
      <c r="E1100" t="s">
        <v>14</v>
      </c>
      <c r="F1100" t="s">
        <v>3038</v>
      </c>
      <c r="H1100">
        <v>0</v>
      </c>
      <c r="I1100" t="s">
        <v>17</v>
      </c>
      <c r="K1100" t="s">
        <v>3039</v>
      </c>
      <c r="L1100">
        <v>189</v>
      </c>
      <c r="M1100" t="s">
        <v>3040</v>
      </c>
    </row>
    <row r="1101" spans="1:13" x14ac:dyDescent="0.45">
      <c r="A1101" t="s">
        <v>13</v>
      </c>
      <c r="B1101">
        <v>1195151</v>
      </c>
      <c r="C1101">
        <v>1195744</v>
      </c>
      <c r="E1101" t="s">
        <v>14</v>
      </c>
      <c r="F1101" t="s">
        <v>3041</v>
      </c>
      <c r="H1101">
        <v>0</v>
      </c>
      <c r="I1101" t="s">
        <v>17</v>
      </c>
      <c r="K1101" t="s">
        <v>3042</v>
      </c>
      <c r="L1101">
        <v>197</v>
      </c>
      <c r="M1101" t="s">
        <v>3043</v>
      </c>
    </row>
    <row r="1102" spans="1:13" x14ac:dyDescent="0.45">
      <c r="A1102" t="s">
        <v>13</v>
      </c>
      <c r="B1102">
        <v>1195759</v>
      </c>
      <c r="C1102">
        <v>1196334</v>
      </c>
      <c r="E1102" t="s">
        <v>14</v>
      </c>
      <c r="F1102" t="s">
        <v>3044</v>
      </c>
      <c r="G1102" t="s">
        <v>3045</v>
      </c>
      <c r="H1102">
        <v>0</v>
      </c>
      <c r="I1102" t="s">
        <v>17</v>
      </c>
      <c r="K1102" t="s">
        <v>3046</v>
      </c>
      <c r="L1102">
        <v>191</v>
      </c>
      <c r="M1102" t="s">
        <v>3047</v>
      </c>
    </row>
    <row r="1103" spans="1:13" x14ac:dyDescent="0.45">
      <c r="A1103" t="s">
        <v>13</v>
      </c>
      <c r="B1103">
        <v>1196350</v>
      </c>
      <c r="C1103">
        <v>1197321</v>
      </c>
      <c r="E1103" t="s">
        <v>14</v>
      </c>
      <c r="F1103" t="s">
        <v>3048</v>
      </c>
      <c r="H1103">
        <v>0</v>
      </c>
      <c r="I1103" t="s">
        <v>17</v>
      </c>
      <c r="K1103" t="s">
        <v>3049</v>
      </c>
      <c r="L1103">
        <v>323</v>
      </c>
      <c r="M1103" t="s">
        <v>3050</v>
      </c>
    </row>
    <row r="1104" spans="1:13" x14ac:dyDescent="0.45">
      <c r="A1104" t="s">
        <v>13</v>
      </c>
      <c r="B1104">
        <v>1197541</v>
      </c>
      <c r="C1104">
        <v>1198125</v>
      </c>
      <c r="E1104" t="s">
        <v>14</v>
      </c>
      <c r="F1104" t="s">
        <v>3051</v>
      </c>
      <c r="H1104">
        <v>0</v>
      </c>
      <c r="I1104" t="s">
        <v>17</v>
      </c>
      <c r="K1104" t="s">
        <v>3052</v>
      </c>
      <c r="L1104">
        <v>194</v>
      </c>
      <c r="M1104" t="s">
        <v>3053</v>
      </c>
    </row>
    <row r="1105" spans="1:13" x14ac:dyDescent="0.45">
      <c r="A1105" t="s">
        <v>13</v>
      </c>
      <c r="B1105">
        <v>1198170</v>
      </c>
      <c r="C1105">
        <v>1198829</v>
      </c>
      <c r="E1105" t="s">
        <v>14</v>
      </c>
      <c r="F1105" t="s">
        <v>3054</v>
      </c>
      <c r="G1105" t="s">
        <v>3055</v>
      </c>
      <c r="H1105">
        <v>0</v>
      </c>
      <c r="I1105" t="s">
        <v>17</v>
      </c>
      <c r="K1105" t="s">
        <v>3056</v>
      </c>
      <c r="L1105">
        <v>219</v>
      </c>
      <c r="M1105" t="s">
        <v>3057</v>
      </c>
    </row>
    <row r="1106" spans="1:13" x14ac:dyDescent="0.45">
      <c r="A1106" t="s">
        <v>13</v>
      </c>
      <c r="B1106">
        <v>1198899</v>
      </c>
      <c r="C1106">
        <v>1199960</v>
      </c>
      <c r="E1106" t="s">
        <v>14</v>
      </c>
      <c r="F1106" t="s">
        <v>589</v>
      </c>
      <c r="H1106">
        <v>0</v>
      </c>
      <c r="I1106" t="s">
        <v>17</v>
      </c>
      <c r="K1106" t="s">
        <v>3058</v>
      </c>
      <c r="L1106">
        <v>353</v>
      </c>
      <c r="M1106" t="s">
        <v>3059</v>
      </c>
    </row>
    <row r="1107" spans="1:13" x14ac:dyDescent="0.45">
      <c r="A1107" t="s">
        <v>13</v>
      </c>
      <c r="B1107">
        <v>1199970</v>
      </c>
      <c r="C1107">
        <v>1200863</v>
      </c>
      <c r="E1107" t="s">
        <v>14</v>
      </c>
      <c r="F1107" t="s">
        <v>3060</v>
      </c>
      <c r="G1107" t="s">
        <v>3061</v>
      </c>
      <c r="H1107">
        <v>0</v>
      </c>
      <c r="I1107" t="s">
        <v>17</v>
      </c>
      <c r="K1107" t="s">
        <v>3062</v>
      </c>
      <c r="L1107">
        <v>297</v>
      </c>
      <c r="M1107" t="s">
        <v>3063</v>
      </c>
    </row>
    <row r="1108" spans="1:13" x14ac:dyDescent="0.45">
      <c r="A1108" t="s">
        <v>13</v>
      </c>
      <c r="B1108">
        <v>1200878</v>
      </c>
      <c r="C1108">
        <v>1201366</v>
      </c>
      <c r="E1108" t="s">
        <v>14</v>
      </c>
      <c r="F1108" t="s">
        <v>3064</v>
      </c>
      <c r="G1108" t="s">
        <v>3065</v>
      </c>
      <c r="H1108">
        <v>0</v>
      </c>
      <c r="I1108" t="s">
        <v>17</v>
      </c>
      <c r="K1108" t="s">
        <v>3066</v>
      </c>
      <c r="L1108">
        <v>162</v>
      </c>
      <c r="M1108" t="s">
        <v>3067</v>
      </c>
    </row>
    <row r="1109" spans="1:13" x14ac:dyDescent="0.45">
      <c r="A1109" t="s">
        <v>13</v>
      </c>
      <c r="B1109">
        <v>1201378</v>
      </c>
      <c r="C1109">
        <v>1204356</v>
      </c>
      <c r="E1109" t="s">
        <v>14</v>
      </c>
      <c r="F1109" t="s">
        <v>3068</v>
      </c>
      <c r="H1109">
        <v>0</v>
      </c>
      <c r="I1109" t="s">
        <v>17</v>
      </c>
      <c r="K1109" t="s">
        <v>3069</v>
      </c>
      <c r="L1109">
        <v>992</v>
      </c>
      <c r="M1109" t="s">
        <v>3070</v>
      </c>
    </row>
    <row r="1110" spans="1:13" x14ac:dyDescent="0.45">
      <c r="A1110" t="s">
        <v>13</v>
      </c>
      <c r="B1110">
        <v>1204454</v>
      </c>
      <c r="C1110">
        <v>1205137</v>
      </c>
      <c r="E1110" t="s">
        <v>14</v>
      </c>
      <c r="F1110" t="s">
        <v>3071</v>
      </c>
      <c r="G1110" t="s">
        <v>3072</v>
      </c>
      <c r="H1110">
        <v>0</v>
      </c>
      <c r="I1110" t="s">
        <v>17</v>
      </c>
      <c r="K1110" t="s">
        <v>3073</v>
      </c>
      <c r="L1110">
        <v>227</v>
      </c>
      <c r="M1110" t="s">
        <v>3074</v>
      </c>
    </row>
    <row r="1111" spans="1:13" x14ac:dyDescent="0.45">
      <c r="A1111" t="s">
        <v>13</v>
      </c>
      <c r="B1111">
        <v>1205161</v>
      </c>
      <c r="C1111">
        <v>1205958</v>
      </c>
      <c r="E1111" t="s">
        <v>14</v>
      </c>
      <c r="F1111" t="s">
        <v>3075</v>
      </c>
      <c r="G1111" t="s">
        <v>3076</v>
      </c>
      <c r="H1111">
        <v>0</v>
      </c>
      <c r="I1111" t="s">
        <v>17</v>
      </c>
      <c r="K1111" t="s">
        <v>3077</v>
      </c>
      <c r="L1111">
        <v>265</v>
      </c>
      <c r="M1111" t="s">
        <v>3078</v>
      </c>
    </row>
    <row r="1112" spans="1:13" x14ac:dyDescent="0.45">
      <c r="A1112" t="s">
        <v>13</v>
      </c>
      <c r="B1112">
        <v>1205976</v>
      </c>
      <c r="C1112">
        <v>1206260</v>
      </c>
      <c r="E1112" t="s">
        <v>14</v>
      </c>
      <c r="F1112" t="s">
        <v>3079</v>
      </c>
      <c r="G1112" t="s">
        <v>3080</v>
      </c>
      <c r="H1112">
        <v>0</v>
      </c>
      <c r="I1112" t="s">
        <v>17</v>
      </c>
      <c r="K1112" t="s">
        <v>3081</v>
      </c>
      <c r="L1112">
        <v>94</v>
      </c>
      <c r="M1112" t="s">
        <v>3082</v>
      </c>
    </row>
    <row r="1113" spans="1:13" x14ac:dyDescent="0.45">
      <c r="A1113" t="s">
        <v>13</v>
      </c>
      <c r="B1113">
        <v>1206345</v>
      </c>
      <c r="C1113">
        <v>1207475</v>
      </c>
      <c r="E1113" t="s">
        <v>14</v>
      </c>
      <c r="F1113" t="s">
        <v>3083</v>
      </c>
      <c r="G1113" t="s">
        <v>3084</v>
      </c>
      <c r="H1113">
        <v>0</v>
      </c>
      <c r="I1113" t="s">
        <v>17</v>
      </c>
      <c r="K1113" t="s">
        <v>3085</v>
      </c>
      <c r="L1113">
        <v>376</v>
      </c>
      <c r="M1113" t="s">
        <v>3086</v>
      </c>
    </row>
    <row r="1114" spans="1:13" x14ac:dyDescent="0.45">
      <c r="A1114" t="s">
        <v>13</v>
      </c>
      <c r="B1114">
        <v>1207516</v>
      </c>
      <c r="C1114">
        <v>1207929</v>
      </c>
      <c r="E1114" t="s">
        <v>14</v>
      </c>
      <c r="F1114" t="s">
        <v>3087</v>
      </c>
      <c r="H1114">
        <v>0</v>
      </c>
      <c r="I1114" t="s">
        <v>17</v>
      </c>
      <c r="K1114" t="s">
        <v>3088</v>
      </c>
      <c r="L1114">
        <v>137</v>
      </c>
      <c r="M1114" t="s">
        <v>3089</v>
      </c>
    </row>
    <row r="1115" spans="1:13" x14ac:dyDescent="0.45">
      <c r="A1115" t="s">
        <v>13</v>
      </c>
      <c r="B1115">
        <v>1208414</v>
      </c>
      <c r="C1115">
        <v>1208743</v>
      </c>
      <c r="E1115" t="s">
        <v>14</v>
      </c>
      <c r="F1115" t="s">
        <v>1728</v>
      </c>
      <c r="H1115">
        <v>0</v>
      </c>
      <c r="I1115" t="s">
        <v>17</v>
      </c>
      <c r="K1115" t="s">
        <v>3090</v>
      </c>
      <c r="L1115">
        <v>109</v>
      </c>
      <c r="M1115" t="s">
        <v>3091</v>
      </c>
    </row>
    <row r="1116" spans="1:13" x14ac:dyDescent="0.45">
      <c r="A1116" t="s">
        <v>13</v>
      </c>
      <c r="B1116">
        <v>1208747</v>
      </c>
      <c r="C1116">
        <v>1209538</v>
      </c>
      <c r="E1116" t="s">
        <v>14</v>
      </c>
      <c r="F1116" t="s">
        <v>1725</v>
      </c>
      <c r="H1116">
        <v>0</v>
      </c>
      <c r="I1116" t="s">
        <v>17</v>
      </c>
      <c r="K1116" t="s">
        <v>3092</v>
      </c>
      <c r="L1116">
        <v>263</v>
      </c>
      <c r="M1116" t="s">
        <v>3093</v>
      </c>
    </row>
    <row r="1117" spans="1:13" x14ac:dyDescent="0.45">
      <c r="A1117" t="s">
        <v>13</v>
      </c>
      <c r="B1117">
        <v>1210102</v>
      </c>
      <c r="C1117">
        <v>1211184</v>
      </c>
      <c r="E1117" t="s">
        <v>14</v>
      </c>
      <c r="F1117" t="s">
        <v>3094</v>
      </c>
      <c r="H1117">
        <v>0</v>
      </c>
      <c r="I1117" t="s">
        <v>17</v>
      </c>
      <c r="K1117" t="s">
        <v>3095</v>
      </c>
      <c r="L1117">
        <v>360</v>
      </c>
      <c r="M1117" t="s">
        <v>3096</v>
      </c>
    </row>
    <row r="1118" spans="1:13" x14ac:dyDescent="0.45">
      <c r="A1118" t="s">
        <v>13</v>
      </c>
      <c r="B1118">
        <v>1211396</v>
      </c>
      <c r="C1118">
        <v>1212589</v>
      </c>
      <c r="E1118" t="s">
        <v>96</v>
      </c>
      <c r="F1118" t="s">
        <v>3097</v>
      </c>
      <c r="H1118">
        <v>0</v>
      </c>
      <c r="I1118" t="s">
        <v>17</v>
      </c>
      <c r="K1118" t="s">
        <v>3098</v>
      </c>
      <c r="L1118">
        <v>397</v>
      </c>
      <c r="M1118" t="s">
        <v>3099</v>
      </c>
    </row>
    <row r="1119" spans="1:13" x14ac:dyDescent="0.45">
      <c r="A1119" t="s">
        <v>13</v>
      </c>
      <c r="B1119">
        <v>1212908</v>
      </c>
      <c r="C1119">
        <v>1214752</v>
      </c>
      <c r="E1119" t="s">
        <v>14</v>
      </c>
      <c r="F1119" t="s">
        <v>3100</v>
      </c>
      <c r="H1119">
        <v>0</v>
      </c>
      <c r="I1119" t="s">
        <v>17</v>
      </c>
      <c r="K1119" t="s">
        <v>3101</v>
      </c>
      <c r="L1119">
        <v>614</v>
      </c>
      <c r="M1119" t="s">
        <v>3102</v>
      </c>
    </row>
    <row r="1120" spans="1:13" x14ac:dyDescent="0.45">
      <c r="A1120" t="s">
        <v>13</v>
      </c>
      <c r="B1120">
        <v>1214754</v>
      </c>
      <c r="C1120">
        <v>1215455</v>
      </c>
      <c r="E1120" t="s">
        <v>14</v>
      </c>
      <c r="F1120" t="s">
        <v>3103</v>
      </c>
      <c r="H1120">
        <v>0</v>
      </c>
      <c r="I1120" t="s">
        <v>17</v>
      </c>
      <c r="K1120" t="s">
        <v>3104</v>
      </c>
      <c r="L1120">
        <v>233</v>
      </c>
      <c r="M1120" t="s">
        <v>3105</v>
      </c>
    </row>
    <row r="1121" spans="1:13" x14ac:dyDescent="0.45">
      <c r="A1121" t="s">
        <v>13</v>
      </c>
      <c r="B1121">
        <v>1215473</v>
      </c>
      <c r="C1121">
        <v>1216894</v>
      </c>
      <c r="E1121" t="s">
        <v>14</v>
      </c>
      <c r="F1121" t="s">
        <v>3106</v>
      </c>
      <c r="H1121">
        <v>0</v>
      </c>
      <c r="I1121" t="s">
        <v>17</v>
      </c>
      <c r="K1121" t="s">
        <v>3107</v>
      </c>
      <c r="L1121">
        <v>473</v>
      </c>
      <c r="M1121" t="s">
        <v>3108</v>
      </c>
    </row>
    <row r="1122" spans="1:13" x14ac:dyDescent="0.45">
      <c r="A1122" t="s">
        <v>13</v>
      </c>
      <c r="B1122">
        <v>1216995</v>
      </c>
      <c r="C1122">
        <v>1217306</v>
      </c>
      <c r="E1122" t="s">
        <v>14</v>
      </c>
      <c r="F1122" t="s">
        <v>3109</v>
      </c>
      <c r="G1122" t="s">
        <v>3110</v>
      </c>
      <c r="H1122">
        <v>0</v>
      </c>
      <c r="I1122" t="s">
        <v>17</v>
      </c>
      <c r="K1122" t="s">
        <v>3111</v>
      </c>
      <c r="L1122">
        <v>103</v>
      </c>
      <c r="M1122" t="s">
        <v>3112</v>
      </c>
    </row>
    <row r="1123" spans="1:13" x14ac:dyDescent="0.45">
      <c r="A1123" t="s">
        <v>13</v>
      </c>
      <c r="B1123">
        <v>1217321</v>
      </c>
      <c r="C1123">
        <v>1217638</v>
      </c>
      <c r="E1123" t="s">
        <v>14</v>
      </c>
      <c r="F1123" t="s">
        <v>3113</v>
      </c>
      <c r="H1123">
        <v>0</v>
      </c>
      <c r="I1123" t="s">
        <v>17</v>
      </c>
      <c r="K1123" t="s">
        <v>3114</v>
      </c>
      <c r="L1123">
        <v>105</v>
      </c>
      <c r="M1123" t="s">
        <v>3115</v>
      </c>
    </row>
    <row r="1124" spans="1:13" x14ac:dyDescent="0.45">
      <c r="A1124" t="s">
        <v>13</v>
      </c>
      <c r="B1124">
        <v>1217652</v>
      </c>
      <c r="C1124">
        <v>1217942</v>
      </c>
      <c r="E1124" t="s">
        <v>14</v>
      </c>
      <c r="F1124" t="s">
        <v>3116</v>
      </c>
      <c r="G1124" t="s">
        <v>3117</v>
      </c>
      <c r="H1124">
        <v>0</v>
      </c>
      <c r="I1124" t="s">
        <v>17</v>
      </c>
      <c r="K1124" t="s">
        <v>3118</v>
      </c>
      <c r="L1124">
        <v>96</v>
      </c>
      <c r="M1124" t="s">
        <v>3119</v>
      </c>
    </row>
    <row r="1125" spans="1:13" x14ac:dyDescent="0.45">
      <c r="A1125" t="s">
        <v>13</v>
      </c>
      <c r="B1125">
        <v>1218053</v>
      </c>
      <c r="C1125">
        <v>1219330</v>
      </c>
      <c r="E1125" t="s">
        <v>14</v>
      </c>
      <c r="F1125" t="s">
        <v>3120</v>
      </c>
      <c r="G1125" t="s">
        <v>3121</v>
      </c>
      <c r="H1125">
        <v>0</v>
      </c>
      <c r="I1125" t="s">
        <v>17</v>
      </c>
      <c r="K1125" t="s">
        <v>3122</v>
      </c>
      <c r="L1125">
        <v>425</v>
      </c>
      <c r="M1125" t="s">
        <v>3123</v>
      </c>
    </row>
    <row r="1126" spans="1:13" x14ac:dyDescent="0.45">
      <c r="A1126" t="s">
        <v>13</v>
      </c>
      <c r="B1126">
        <v>1219382</v>
      </c>
      <c r="C1126">
        <v>1219750</v>
      </c>
      <c r="E1126" t="s">
        <v>14</v>
      </c>
      <c r="F1126" t="s">
        <v>3124</v>
      </c>
      <c r="H1126">
        <v>0</v>
      </c>
      <c r="I1126" t="s">
        <v>17</v>
      </c>
      <c r="K1126" t="s">
        <v>3125</v>
      </c>
      <c r="L1126">
        <v>122</v>
      </c>
      <c r="M1126" t="s">
        <v>3126</v>
      </c>
    </row>
    <row r="1127" spans="1:13" x14ac:dyDescent="0.45">
      <c r="A1127" t="s">
        <v>13</v>
      </c>
      <c r="B1127">
        <v>1220051</v>
      </c>
      <c r="C1127">
        <v>1221256</v>
      </c>
      <c r="E1127" t="s">
        <v>14</v>
      </c>
      <c r="F1127" t="s">
        <v>3127</v>
      </c>
      <c r="H1127">
        <v>0</v>
      </c>
      <c r="I1127" t="s">
        <v>17</v>
      </c>
      <c r="K1127" t="s">
        <v>3128</v>
      </c>
      <c r="L1127">
        <v>401</v>
      </c>
      <c r="M1127" t="s">
        <v>3129</v>
      </c>
    </row>
    <row r="1128" spans="1:13" x14ac:dyDescent="0.45">
      <c r="A1128" t="s">
        <v>13</v>
      </c>
      <c r="B1128">
        <v>1221457</v>
      </c>
      <c r="C1128">
        <v>1222023</v>
      </c>
      <c r="E1128" t="s">
        <v>96</v>
      </c>
      <c r="F1128" t="s">
        <v>3130</v>
      </c>
      <c r="H1128">
        <v>0</v>
      </c>
      <c r="I1128" t="s">
        <v>17</v>
      </c>
      <c r="K1128" t="s">
        <v>3131</v>
      </c>
      <c r="L1128">
        <v>188</v>
      </c>
      <c r="M1128" t="s">
        <v>3132</v>
      </c>
    </row>
    <row r="1129" spans="1:13" x14ac:dyDescent="0.45">
      <c r="A1129" t="s">
        <v>13</v>
      </c>
      <c r="B1129">
        <v>1222291</v>
      </c>
      <c r="C1129">
        <v>1223550</v>
      </c>
      <c r="E1129" t="s">
        <v>96</v>
      </c>
      <c r="F1129" t="s">
        <v>604</v>
      </c>
      <c r="H1129">
        <v>0</v>
      </c>
      <c r="I1129" t="s">
        <v>17</v>
      </c>
      <c r="K1129" t="s">
        <v>3133</v>
      </c>
      <c r="L1129">
        <v>419</v>
      </c>
      <c r="M1129" t="s">
        <v>3134</v>
      </c>
    </row>
    <row r="1130" spans="1:13" x14ac:dyDescent="0.45">
      <c r="A1130" t="s">
        <v>13</v>
      </c>
      <c r="B1130">
        <v>1223675</v>
      </c>
      <c r="C1130">
        <v>1224388</v>
      </c>
      <c r="E1130" t="s">
        <v>14</v>
      </c>
      <c r="F1130" t="s">
        <v>2411</v>
      </c>
      <c r="H1130">
        <v>0</v>
      </c>
      <c r="I1130" t="s">
        <v>17</v>
      </c>
      <c r="K1130" t="s">
        <v>3135</v>
      </c>
      <c r="L1130">
        <v>237</v>
      </c>
      <c r="M1130" t="s">
        <v>3136</v>
      </c>
    </row>
    <row r="1131" spans="1:13" x14ac:dyDescent="0.45">
      <c r="A1131" t="s">
        <v>13</v>
      </c>
      <c r="B1131">
        <v>1224506</v>
      </c>
      <c r="C1131">
        <v>1225780</v>
      </c>
      <c r="E1131" t="s">
        <v>14</v>
      </c>
      <c r="F1131" t="s">
        <v>3137</v>
      </c>
      <c r="G1131" t="s">
        <v>3138</v>
      </c>
      <c r="H1131">
        <v>0</v>
      </c>
      <c r="I1131" t="s">
        <v>17</v>
      </c>
      <c r="K1131" t="s">
        <v>3139</v>
      </c>
      <c r="L1131">
        <v>424</v>
      </c>
      <c r="M1131" t="s">
        <v>3140</v>
      </c>
    </row>
    <row r="1132" spans="1:13" x14ac:dyDescent="0.45">
      <c r="A1132" t="s">
        <v>13</v>
      </c>
      <c r="B1132">
        <v>1225797</v>
      </c>
      <c r="C1132">
        <v>1226585</v>
      </c>
      <c r="E1132" t="s">
        <v>14</v>
      </c>
      <c r="F1132" t="s">
        <v>2390</v>
      </c>
      <c r="H1132">
        <v>0</v>
      </c>
      <c r="I1132" t="s">
        <v>17</v>
      </c>
      <c r="K1132" t="s">
        <v>3141</v>
      </c>
      <c r="L1132">
        <v>262</v>
      </c>
      <c r="M1132" t="s">
        <v>3142</v>
      </c>
    </row>
    <row r="1133" spans="1:13" x14ac:dyDescent="0.45">
      <c r="A1133" t="s">
        <v>13</v>
      </c>
      <c r="B1133">
        <v>1226599</v>
      </c>
      <c r="C1133">
        <v>1227819</v>
      </c>
      <c r="E1133" t="s">
        <v>14</v>
      </c>
      <c r="F1133" t="s">
        <v>3143</v>
      </c>
      <c r="H1133">
        <v>0</v>
      </c>
      <c r="I1133" t="s">
        <v>17</v>
      </c>
      <c r="K1133" t="s">
        <v>3144</v>
      </c>
      <c r="L1133">
        <v>406</v>
      </c>
      <c r="M1133" t="s">
        <v>3145</v>
      </c>
    </row>
    <row r="1134" spans="1:13" x14ac:dyDescent="0.45">
      <c r="A1134" t="s">
        <v>13</v>
      </c>
      <c r="B1134">
        <v>1227830</v>
      </c>
      <c r="C1134">
        <v>1229221</v>
      </c>
      <c r="E1134" t="s">
        <v>14</v>
      </c>
      <c r="F1134" t="s">
        <v>3146</v>
      </c>
      <c r="H1134">
        <v>0</v>
      </c>
      <c r="I1134" t="s">
        <v>17</v>
      </c>
      <c r="K1134" t="s">
        <v>3147</v>
      </c>
      <c r="L1134">
        <v>463</v>
      </c>
      <c r="M1134" t="s">
        <v>3148</v>
      </c>
    </row>
    <row r="1135" spans="1:13" x14ac:dyDescent="0.45">
      <c r="A1135" t="s">
        <v>13</v>
      </c>
      <c r="B1135">
        <v>1229484</v>
      </c>
      <c r="C1135">
        <v>1230764</v>
      </c>
      <c r="E1135" t="s">
        <v>96</v>
      </c>
      <c r="F1135" t="s">
        <v>3149</v>
      </c>
      <c r="H1135">
        <v>0</v>
      </c>
      <c r="I1135" t="s">
        <v>17</v>
      </c>
      <c r="K1135" t="s">
        <v>3150</v>
      </c>
      <c r="L1135">
        <v>426</v>
      </c>
      <c r="M1135" t="s">
        <v>3151</v>
      </c>
    </row>
    <row r="1136" spans="1:13" x14ac:dyDescent="0.45">
      <c r="A1136" t="s">
        <v>13</v>
      </c>
      <c r="B1136">
        <v>1231227</v>
      </c>
      <c r="C1136">
        <v>1232423</v>
      </c>
      <c r="E1136" t="s">
        <v>14</v>
      </c>
      <c r="F1136" t="s">
        <v>3152</v>
      </c>
      <c r="H1136">
        <v>0</v>
      </c>
      <c r="I1136" t="s">
        <v>17</v>
      </c>
      <c r="K1136" t="s">
        <v>3153</v>
      </c>
      <c r="L1136">
        <v>398</v>
      </c>
      <c r="M1136" t="s">
        <v>3154</v>
      </c>
    </row>
    <row r="1137" spans="1:13" x14ac:dyDescent="0.45">
      <c r="A1137" t="s">
        <v>13</v>
      </c>
      <c r="B1137">
        <v>1232516</v>
      </c>
      <c r="C1137">
        <v>1233040</v>
      </c>
      <c r="E1137" t="s">
        <v>14</v>
      </c>
      <c r="F1137" t="s">
        <v>3155</v>
      </c>
      <c r="H1137">
        <v>0</v>
      </c>
      <c r="I1137" t="s">
        <v>17</v>
      </c>
      <c r="K1137" t="s">
        <v>3156</v>
      </c>
      <c r="L1137">
        <v>174</v>
      </c>
      <c r="M1137" t="s">
        <v>3157</v>
      </c>
    </row>
    <row r="1138" spans="1:13" x14ac:dyDescent="0.45">
      <c r="A1138" t="s">
        <v>13</v>
      </c>
      <c r="B1138">
        <v>1233065</v>
      </c>
      <c r="C1138">
        <v>1233241</v>
      </c>
      <c r="E1138" t="s">
        <v>14</v>
      </c>
      <c r="F1138" t="s">
        <v>3158</v>
      </c>
      <c r="G1138" t="s">
        <v>3159</v>
      </c>
      <c r="H1138">
        <v>0</v>
      </c>
      <c r="I1138" t="s">
        <v>17</v>
      </c>
      <c r="K1138" t="s">
        <v>3160</v>
      </c>
      <c r="L1138">
        <v>58</v>
      </c>
      <c r="M1138" t="s">
        <v>3161</v>
      </c>
    </row>
    <row r="1139" spans="1:13" x14ac:dyDescent="0.45">
      <c r="A1139" t="s">
        <v>13</v>
      </c>
      <c r="B1139">
        <v>1233448</v>
      </c>
      <c r="C1139">
        <v>1234005</v>
      </c>
      <c r="E1139" t="s">
        <v>14</v>
      </c>
      <c r="F1139" t="s">
        <v>3162</v>
      </c>
      <c r="G1139" t="s">
        <v>3163</v>
      </c>
      <c r="H1139">
        <v>0</v>
      </c>
      <c r="I1139" t="s">
        <v>17</v>
      </c>
      <c r="K1139" t="s">
        <v>3164</v>
      </c>
      <c r="L1139">
        <v>185</v>
      </c>
      <c r="M1139" t="s">
        <v>3165</v>
      </c>
    </row>
    <row r="1140" spans="1:13" x14ac:dyDescent="0.45">
      <c r="A1140" t="s">
        <v>13</v>
      </c>
      <c r="B1140">
        <v>1234016</v>
      </c>
      <c r="C1140">
        <v>1235038</v>
      </c>
      <c r="E1140" t="s">
        <v>14</v>
      </c>
      <c r="F1140" t="s">
        <v>3166</v>
      </c>
      <c r="G1140" t="s">
        <v>3167</v>
      </c>
      <c r="H1140">
        <v>0</v>
      </c>
      <c r="I1140" t="s">
        <v>17</v>
      </c>
      <c r="K1140" t="s">
        <v>3168</v>
      </c>
      <c r="L1140">
        <v>340</v>
      </c>
      <c r="M1140" t="s">
        <v>3169</v>
      </c>
    </row>
    <row r="1141" spans="1:13" x14ac:dyDescent="0.45">
      <c r="A1141" t="s">
        <v>13</v>
      </c>
      <c r="B1141">
        <v>1235064</v>
      </c>
      <c r="C1141">
        <v>1236050</v>
      </c>
      <c r="E1141" t="s">
        <v>14</v>
      </c>
      <c r="F1141" t="s">
        <v>3170</v>
      </c>
      <c r="H1141">
        <v>0</v>
      </c>
      <c r="I1141" t="s">
        <v>17</v>
      </c>
      <c r="K1141" t="s">
        <v>3171</v>
      </c>
      <c r="L1141">
        <v>328</v>
      </c>
      <c r="M1141" t="s">
        <v>3172</v>
      </c>
    </row>
    <row r="1142" spans="1:13" x14ac:dyDescent="0.45">
      <c r="A1142" t="s">
        <v>13</v>
      </c>
      <c r="B1142">
        <v>1236159</v>
      </c>
      <c r="C1142">
        <v>1237088</v>
      </c>
      <c r="E1142" t="s">
        <v>14</v>
      </c>
      <c r="F1142" t="s">
        <v>3173</v>
      </c>
      <c r="G1142" t="s">
        <v>3174</v>
      </c>
      <c r="H1142">
        <v>0</v>
      </c>
      <c r="I1142" t="s">
        <v>17</v>
      </c>
      <c r="K1142" t="s">
        <v>3175</v>
      </c>
      <c r="L1142">
        <v>309</v>
      </c>
      <c r="M1142" t="s">
        <v>3176</v>
      </c>
    </row>
    <row r="1143" spans="1:13" x14ac:dyDescent="0.45">
      <c r="A1143" t="s">
        <v>13</v>
      </c>
      <c r="B1143">
        <v>1237104</v>
      </c>
      <c r="C1143">
        <v>1238054</v>
      </c>
      <c r="E1143" t="s">
        <v>14</v>
      </c>
      <c r="F1143" t="s">
        <v>3177</v>
      </c>
      <c r="G1143" t="s">
        <v>3178</v>
      </c>
      <c r="H1143">
        <v>0</v>
      </c>
      <c r="I1143" t="s">
        <v>17</v>
      </c>
      <c r="K1143" t="s">
        <v>3179</v>
      </c>
      <c r="L1143">
        <v>316</v>
      </c>
      <c r="M1143" t="s">
        <v>3180</v>
      </c>
    </row>
    <row r="1144" spans="1:13" x14ac:dyDescent="0.45">
      <c r="A1144" t="s">
        <v>13</v>
      </c>
      <c r="B1144">
        <v>1238054</v>
      </c>
      <c r="C1144">
        <v>1238803</v>
      </c>
      <c r="E1144" t="s">
        <v>14</v>
      </c>
      <c r="F1144" t="s">
        <v>3181</v>
      </c>
      <c r="G1144" t="s">
        <v>3182</v>
      </c>
      <c r="H1144">
        <v>0</v>
      </c>
      <c r="I1144" t="s">
        <v>17</v>
      </c>
      <c r="K1144" t="s">
        <v>3183</v>
      </c>
      <c r="L1144">
        <v>249</v>
      </c>
      <c r="M1144" t="s">
        <v>3184</v>
      </c>
    </row>
    <row r="1145" spans="1:13" x14ac:dyDescent="0.45">
      <c r="A1145" t="s">
        <v>13</v>
      </c>
      <c r="B1145">
        <v>1238857</v>
      </c>
      <c r="C1145">
        <v>1239081</v>
      </c>
      <c r="E1145" t="s">
        <v>14</v>
      </c>
      <c r="F1145" t="s">
        <v>2883</v>
      </c>
      <c r="G1145" t="s">
        <v>2884</v>
      </c>
      <c r="H1145">
        <v>0</v>
      </c>
      <c r="I1145" t="s">
        <v>17</v>
      </c>
      <c r="K1145" t="s">
        <v>3185</v>
      </c>
      <c r="L1145">
        <v>74</v>
      </c>
      <c r="M1145" t="s">
        <v>3186</v>
      </c>
    </row>
    <row r="1146" spans="1:13" x14ac:dyDescent="0.45">
      <c r="A1146" t="s">
        <v>13</v>
      </c>
      <c r="B1146">
        <v>1239110</v>
      </c>
      <c r="C1146">
        <v>1240348</v>
      </c>
      <c r="E1146" t="s">
        <v>14</v>
      </c>
      <c r="F1146" t="s">
        <v>3187</v>
      </c>
      <c r="G1146" t="s">
        <v>3188</v>
      </c>
      <c r="H1146">
        <v>0</v>
      </c>
      <c r="I1146" t="s">
        <v>17</v>
      </c>
      <c r="K1146" t="s">
        <v>3189</v>
      </c>
      <c r="L1146">
        <v>412</v>
      </c>
      <c r="M1146" t="s">
        <v>3190</v>
      </c>
    </row>
    <row r="1147" spans="1:13" x14ac:dyDescent="0.45">
      <c r="A1147" t="s">
        <v>13</v>
      </c>
      <c r="B1147">
        <v>1240574</v>
      </c>
      <c r="C1147">
        <v>1242292</v>
      </c>
      <c r="E1147" t="s">
        <v>14</v>
      </c>
      <c r="F1147" t="s">
        <v>838</v>
      </c>
      <c r="H1147">
        <v>0</v>
      </c>
      <c r="I1147" t="s">
        <v>17</v>
      </c>
      <c r="K1147" t="s">
        <v>3191</v>
      </c>
      <c r="L1147">
        <v>572</v>
      </c>
      <c r="M1147" t="s">
        <v>3192</v>
      </c>
    </row>
    <row r="1148" spans="1:13" x14ac:dyDescent="0.45">
      <c r="A1148" t="s">
        <v>13</v>
      </c>
      <c r="B1148">
        <v>1242323</v>
      </c>
      <c r="C1148">
        <v>1244323</v>
      </c>
      <c r="E1148" t="s">
        <v>14</v>
      </c>
      <c r="F1148" t="s">
        <v>723</v>
      </c>
      <c r="H1148">
        <v>0</v>
      </c>
      <c r="I1148" t="s">
        <v>17</v>
      </c>
      <c r="K1148" t="s">
        <v>3193</v>
      </c>
      <c r="L1148">
        <v>666</v>
      </c>
      <c r="M1148" t="s">
        <v>3194</v>
      </c>
    </row>
    <row r="1149" spans="1:13" x14ac:dyDescent="0.45">
      <c r="A1149" t="s">
        <v>13</v>
      </c>
      <c r="B1149">
        <v>1244671</v>
      </c>
      <c r="C1149">
        <v>1244916</v>
      </c>
      <c r="E1149" t="s">
        <v>14</v>
      </c>
      <c r="F1149" t="s">
        <v>3195</v>
      </c>
      <c r="H1149">
        <v>0</v>
      </c>
      <c r="I1149" t="s">
        <v>17</v>
      </c>
      <c r="K1149" t="s">
        <v>3196</v>
      </c>
      <c r="L1149">
        <v>81</v>
      </c>
      <c r="M1149" t="s">
        <v>3197</v>
      </c>
    </row>
    <row r="1150" spans="1:13" x14ac:dyDescent="0.45">
      <c r="A1150" t="s">
        <v>13</v>
      </c>
      <c r="B1150">
        <v>1244951</v>
      </c>
      <c r="C1150">
        <v>1245676</v>
      </c>
      <c r="E1150" t="s">
        <v>14</v>
      </c>
      <c r="F1150" t="s">
        <v>3198</v>
      </c>
      <c r="H1150">
        <v>0</v>
      </c>
      <c r="I1150" t="s">
        <v>17</v>
      </c>
      <c r="K1150" t="s">
        <v>3199</v>
      </c>
      <c r="L1150">
        <v>241</v>
      </c>
      <c r="M1150" t="s">
        <v>3200</v>
      </c>
    </row>
    <row r="1151" spans="1:13" x14ac:dyDescent="0.45">
      <c r="A1151" t="s">
        <v>13</v>
      </c>
      <c r="B1151">
        <v>1245698</v>
      </c>
      <c r="C1151">
        <v>1247011</v>
      </c>
      <c r="E1151" t="s">
        <v>14</v>
      </c>
      <c r="F1151" t="s">
        <v>717</v>
      </c>
      <c r="H1151">
        <v>0</v>
      </c>
      <c r="I1151" t="s">
        <v>17</v>
      </c>
      <c r="K1151" t="s">
        <v>3201</v>
      </c>
      <c r="L1151">
        <v>437</v>
      </c>
      <c r="M1151" t="s">
        <v>3202</v>
      </c>
    </row>
    <row r="1152" spans="1:13" x14ac:dyDescent="0.45">
      <c r="A1152" t="s">
        <v>13</v>
      </c>
      <c r="B1152">
        <v>1247310</v>
      </c>
      <c r="C1152">
        <v>1247756</v>
      </c>
      <c r="E1152" t="s">
        <v>14</v>
      </c>
      <c r="F1152" t="s">
        <v>1183</v>
      </c>
      <c r="H1152">
        <v>0</v>
      </c>
      <c r="I1152" t="s">
        <v>17</v>
      </c>
      <c r="K1152" t="s">
        <v>3203</v>
      </c>
      <c r="L1152">
        <v>148</v>
      </c>
      <c r="M1152" t="s">
        <v>3204</v>
      </c>
    </row>
    <row r="1153" spans="1:13" x14ac:dyDescent="0.45">
      <c r="A1153" t="s">
        <v>13</v>
      </c>
      <c r="B1153">
        <v>1247845</v>
      </c>
      <c r="C1153">
        <v>1249830</v>
      </c>
      <c r="E1153" t="s">
        <v>14</v>
      </c>
      <c r="F1153" t="s">
        <v>3205</v>
      </c>
      <c r="H1153">
        <v>0</v>
      </c>
      <c r="I1153" t="s">
        <v>17</v>
      </c>
      <c r="K1153" t="s">
        <v>3206</v>
      </c>
      <c r="L1153">
        <v>661</v>
      </c>
      <c r="M1153" t="s">
        <v>3207</v>
      </c>
    </row>
    <row r="1154" spans="1:13" x14ac:dyDescent="0.45">
      <c r="A1154" t="s">
        <v>13</v>
      </c>
      <c r="B1154">
        <v>1250054</v>
      </c>
      <c r="C1154">
        <v>1251022</v>
      </c>
      <c r="E1154" t="s">
        <v>14</v>
      </c>
      <c r="F1154" t="s">
        <v>3208</v>
      </c>
      <c r="G1154" t="s">
        <v>3209</v>
      </c>
      <c r="H1154">
        <v>0</v>
      </c>
      <c r="I1154" t="s">
        <v>17</v>
      </c>
      <c r="K1154" t="s">
        <v>3210</v>
      </c>
      <c r="L1154">
        <v>322</v>
      </c>
      <c r="M1154" t="s">
        <v>3211</v>
      </c>
    </row>
    <row r="1155" spans="1:13" x14ac:dyDescent="0.45">
      <c r="A1155" t="s">
        <v>13</v>
      </c>
      <c r="B1155">
        <v>1251012</v>
      </c>
      <c r="C1155">
        <v>1251533</v>
      </c>
      <c r="E1155" t="s">
        <v>14</v>
      </c>
      <c r="F1155" t="s">
        <v>3212</v>
      </c>
      <c r="H1155">
        <v>0</v>
      </c>
      <c r="I1155" t="s">
        <v>17</v>
      </c>
      <c r="K1155" t="s">
        <v>3213</v>
      </c>
      <c r="L1155">
        <v>173</v>
      </c>
      <c r="M1155" t="s">
        <v>3214</v>
      </c>
    </row>
    <row r="1156" spans="1:13" x14ac:dyDescent="0.45">
      <c r="A1156" t="s">
        <v>13</v>
      </c>
      <c r="B1156">
        <v>1251550</v>
      </c>
      <c r="C1156">
        <v>1251747</v>
      </c>
      <c r="E1156" t="s">
        <v>14</v>
      </c>
      <c r="F1156" t="s">
        <v>3215</v>
      </c>
      <c r="G1156" t="s">
        <v>3216</v>
      </c>
      <c r="H1156">
        <v>0</v>
      </c>
      <c r="I1156" t="s">
        <v>17</v>
      </c>
      <c r="K1156" t="s">
        <v>3217</v>
      </c>
      <c r="L1156">
        <v>65</v>
      </c>
      <c r="M1156" t="s">
        <v>3218</v>
      </c>
    </row>
    <row r="1157" spans="1:13" x14ac:dyDescent="0.45">
      <c r="A1157" t="s">
        <v>13</v>
      </c>
      <c r="B1157">
        <v>1251772</v>
      </c>
      <c r="C1157">
        <v>1252149</v>
      </c>
      <c r="E1157" t="s">
        <v>14</v>
      </c>
      <c r="F1157" t="s">
        <v>3219</v>
      </c>
      <c r="G1157" t="s">
        <v>3220</v>
      </c>
      <c r="H1157">
        <v>0</v>
      </c>
      <c r="I1157" t="s">
        <v>17</v>
      </c>
      <c r="K1157" t="s">
        <v>3221</v>
      </c>
      <c r="L1157">
        <v>125</v>
      </c>
      <c r="M1157" t="s">
        <v>3222</v>
      </c>
    </row>
    <row r="1158" spans="1:13" x14ac:dyDescent="0.45">
      <c r="A1158" t="s">
        <v>13</v>
      </c>
      <c r="B1158">
        <v>1252234</v>
      </c>
      <c r="C1158">
        <v>1253439</v>
      </c>
      <c r="E1158" t="s">
        <v>14</v>
      </c>
      <c r="F1158" t="s">
        <v>3223</v>
      </c>
      <c r="G1158" t="s">
        <v>3224</v>
      </c>
      <c r="H1158">
        <v>0</v>
      </c>
      <c r="I1158" t="s">
        <v>17</v>
      </c>
      <c r="K1158" t="s">
        <v>3225</v>
      </c>
      <c r="L1158">
        <v>401</v>
      </c>
      <c r="M1158" t="s">
        <v>3226</v>
      </c>
    </row>
    <row r="1159" spans="1:13" x14ac:dyDescent="0.45">
      <c r="A1159" t="s">
        <v>13</v>
      </c>
      <c r="B1159">
        <v>1253499</v>
      </c>
      <c r="C1159">
        <v>1254116</v>
      </c>
      <c r="E1159" t="s">
        <v>14</v>
      </c>
      <c r="F1159" t="s">
        <v>3227</v>
      </c>
      <c r="H1159">
        <v>0</v>
      </c>
      <c r="I1159" t="s">
        <v>17</v>
      </c>
      <c r="K1159" t="s">
        <v>3228</v>
      </c>
      <c r="L1159">
        <v>205</v>
      </c>
      <c r="M1159" t="s">
        <v>3229</v>
      </c>
    </row>
    <row r="1160" spans="1:13" x14ac:dyDescent="0.45">
      <c r="A1160" t="s">
        <v>13</v>
      </c>
      <c r="B1160">
        <v>1254128</v>
      </c>
      <c r="C1160">
        <v>1254682</v>
      </c>
      <c r="E1160" t="s">
        <v>14</v>
      </c>
      <c r="F1160" t="s">
        <v>3230</v>
      </c>
      <c r="H1160">
        <v>0</v>
      </c>
      <c r="I1160" t="s">
        <v>17</v>
      </c>
      <c r="K1160" t="s">
        <v>3231</v>
      </c>
      <c r="L1160">
        <v>184</v>
      </c>
      <c r="M1160" t="s">
        <v>3232</v>
      </c>
    </row>
    <row r="1161" spans="1:13" x14ac:dyDescent="0.45">
      <c r="A1161" t="s">
        <v>13</v>
      </c>
      <c r="B1161">
        <v>1254709</v>
      </c>
      <c r="C1161">
        <v>1255398</v>
      </c>
      <c r="E1161" t="s">
        <v>14</v>
      </c>
      <c r="F1161" t="s">
        <v>3233</v>
      </c>
      <c r="H1161">
        <v>0</v>
      </c>
      <c r="I1161" t="s">
        <v>17</v>
      </c>
      <c r="K1161" t="s">
        <v>3234</v>
      </c>
      <c r="L1161">
        <v>229</v>
      </c>
      <c r="M1161" t="s">
        <v>3235</v>
      </c>
    </row>
    <row r="1162" spans="1:13" x14ac:dyDescent="0.45">
      <c r="A1162" t="s">
        <v>13</v>
      </c>
      <c r="B1162">
        <v>1255508</v>
      </c>
      <c r="C1162">
        <v>1255870</v>
      </c>
      <c r="E1162" t="s">
        <v>14</v>
      </c>
      <c r="F1162" t="s">
        <v>3236</v>
      </c>
      <c r="H1162">
        <v>0</v>
      </c>
      <c r="I1162" t="s">
        <v>17</v>
      </c>
      <c r="K1162" t="s">
        <v>3237</v>
      </c>
      <c r="L1162">
        <v>120</v>
      </c>
      <c r="M1162" t="s">
        <v>3238</v>
      </c>
    </row>
    <row r="1163" spans="1:13" x14ac:dyDescent="0.45">
      <c r="A1163" t="s">
        <v>13</v>
      </c>
      <c r="B1163">
        <v>1255955</v>
      </c>
      <c r="C1163">
        <v>1256461</v>
      </c>
      <c r="E1163" t="s">
        <v>14</v>
      </c>
      <c r="F1163" t="s">
        <v>3239</v>
      </c>
      <c r="G1163" t="s">
        <v>3240</v>
      </c>
      <c r="H1163">
        <v>0</v>
      </c>
      <c r="I1163" t="s">
        <v>17</v>
      </c>
      <c r="K1163" t="s">
        <v>3241</v>
      </c>
      <c r="L1163">
        <v>168</v>
      </c>
      <c r="M1163" t="s">
        <v>3242</v>
      </c>
    </row>
    <row r="1164" spans="1:13" x14ac:dyDescent="0.45">
      <c r="A1164" t="s">
        <v>13</v>
      </c>
      <c r="B1164">
        <v>1256445</v>
      </c>
      <c r="C1164">
        <v>1257515</v>
      </c>
      <c r="E1164" t="s">
        <v>14</v>
      </c>
      <c r="F1164" t="s">
        <v>3243</v>
      </c>
      <c r="H1164">
        <v>0</v>
      </c>
      <c r="I1164" t="s">
        <v>17</v>
      </c>
      <c r="K1164" t="s">
        <v>3244</v>
      </c>
      <c r="L1164">
        <v>356</v>
      </c>
      <c r="M1164" t="s">
        <v>3245</v>
      </c>
    </row>
    <row r="1165" spans="1:13" x14ac:dyDescent="0.45">
      <c r="A1165" t="s">
        <v>13</v>
      </c>
      <c r="B1165">
        <v>1257512</v>
      </c>
      <c r="C1165">
        <v>1258717</v>
      </c>
      <c r="E1165" t="s">
        <v>14</v>
      </c>
      <c r="F1165" t="s">
        <v>3246</v>
      </c>
      <c r="G1165" t="s">
        <v>3247</v>
      </c>
      <c r="H1165">
        <v>0</v>
      </c>
      <c r="I1165" t="s">
        <v>17</v>
      </c>
      <c r="K1165" t="s">
        <v>3248</v>
      </c>
      <c r="L1165">
        <v>401</v>
      </c>
      <c r="M1165" t="s">
        <v>3249</v>
      </c>
    </row>
    <row r="1166" spans="1:13" x14ac:dyDescent="0.45">
      <c r="A1166" t="s">
        <v>13</v>
      </c>
      <c r="B1166">
        <v>1258719</v>
      </c>
      <c r="C1166">
        <v>1258934</v>
      </c>
      <c r="E1166" t="s">
        <v>14</v>
      </c>
      <c r="F1166" t="s">
        <v>3250</v>
      </c>
      <c r="G1166" t="s">
        <v>3251</v>
      </c>
      <c r="H1166">
        <v>0</v>
      </c>
      <c r="I1166" t="s">
        <v>17</v>
      </c>
      <c r="K1166" t="s">
        <v>3252</v>
      </c>
      <c r="L1166">
        <v>71</v>
      </c>
      <c r="M1166" t="s">
        <v>3253</v>
      </c>
    </row>
    <row r="1167" spans="1:13" x14ac:dyDescent="0.45">
      <c r="A1167" t="s">
        <v>13</v>
      </c>
      <c r="B1167">
        <v>1258937</v>
      </c>
      <c r="C1167">
        <v>1259824</v>
      </c>
      <c r="E1167" t="s">
        <v>14</v>
      </c>
      <c r="F1167" t="s">
        <v>3254</v>
      </c>
      <c r="H1167">
        <v>0</v>
      </c>
      <c r="I1167" t="s">
        <v>17</v>
      </c>
      <c r="K1167" t="s">
        <v>3255</v>
      </c>
      <c r="L1167">
        <v>295</v>
      </c>
      <c r="M1167" t="s">
        <v>3256</v>
      </c>
    </row>
    <row r="1168" spans="1:13" x14ac:dyDescent="0.45">
      <c r="A1168" t="s">
        <v>13</v>
      </c>
      <c r="B1168">
        <v>1259854</v>
      </c>
      <c r="C1168">
        <v>1260291</v>
      </c>
      <c r="E1168" t="s">
        <v>14</v>
      </c>
      <c r="F1168" t="s">
        <v>3257</v>
      </c>
      <c r="H1168">
        <v>0</v>
      </c>
      <c r="I1168" t="s">
        <v>17</v>
      </c>
      <c r="K1168" t="s">
        <v>3258</v>
      </c>
      <c r="L1168">
        <v>145</v>
      </c>
      <c r="M1168" t="s">
        <v>3259</v>
      </c>
    </row>
    <row r="1169" spans="1:13" x14ac:dyDescent="0.45">
      <c r="A1169" t="s">
        <v>13</v>
      </c>
      <c r="B1169">
        <v>1260325</v>
      </c>
      <c r="C1169">
        <v>1262190</v>
      </c>
      <c r="E1169" t="s">
        <v>14</v>
      </c>
      <c r="F1169" t="s">
        <v>3260</v>
      </c>
      <c r="G1169" t="s">
        <v>3261</v>
      </c>
      <c r="H1169">
        <v>0</v>
      </c>
      <c r="I1169" t="s">
        <v>17</v>
      </c>
      <c r="K1169" t="s">
        <v>3262</v>
      </c>
      <c r="L1169">
        <v>621</v>
      </c>
      <c r="M1169" t="s">
        <v>3263</v>
      </c>
    </row>
    <row r="1170" spans="1:13" x14ac:dyDescent="0.45">
      <c r="A1170" t="s">
        <v>13</v>
      </c>
      <c r="B1170">
        <v>1262323</v>
      </c>
      <c r="C1170">
        <v>1263135</v>
      </c>
      <c r="E1170" t="s">
        <v>14</v>
      </c>
      <c r="F1170" t="s">
        <v>3264</v>
      </c>
      <c r="H1170">
        <v>0</v>
      </c>
      <c r="I1170" t="s">
        <v>17</v>
      </c>
      <c r="K1170" t="s">
        <v>3265</v>
      </c>
      <c r="L1170">
        <v>270</v>
      </c>
      <c r="M1170" t="s">
        <v>3266</v>
      </c>
    </row>
    <row r="1171" spans="1:13" x14ac:dyDescent="0.45">
      <c r="A1171" t="s">
        <v>13</v>
      </c>
      <c r="B1171">
        <v>1263173</v>
      </c>
      <c r="C1171">
        <v>1264834</v>
      </c>
      <c r="E1171" t="s">
        <v>14</v>
      </c>
      <c r="F1171" t="s">
        <v>3267</v>
      </c>
      <c r="G1171" t="s">
        <v>3268</v>
      </c>
      <c r="H1171">
        <v>0</v>
      </c>
      <c r="I1171" t="s">
        <v>17</v>
      </c>
      <c r="K1171" t="s">
        <v>3269</v>
      </c>
      <c r="L1171">
        <v>553</v>
      </c>
      <c r="M1171" t="s">
        <v>3270</v>
      </c>
    </row>
    <row r="1172" spans="1:13" x14ac:dyDescent="0.45">
      <c r="A1172" t="s">
        <v>13</v>
      </c>
      <c r="B1172">
        <v>1265049</v>
      </c>
      <c r="C1172">
        <v>1265915</v>
      </c>
      <c r="E1172" t="s">
        <v>14</v>
      </c>
      <c r="F1172" t="s">
        <v>43</v>
      </c>
      <c r="H1172">
        <v>0</v>
      </c>
      <c r="I1172" t="s">
        <v>17</v>
      </c>
      <c r="K1172" t="s">
        <v>3271</v>
      </c>
      <c r="L1172">
        <v>288</v>
      </c>
      <c r="M1172" t="s">
        <v>3272</v>
      </c>
    </row>
    <row r="1173" spans="1:13" x14ac:dyDescent="0.45">
      <c r="A1173" t="s">
        <v>13</v>
      </c>
      <c r="B1173">
        <v>1266006</v>
      </c>
      <c r="C1173">
        <v>1266497</v>
      </c>
      <c r="E1173" t="s">
        <v>96</v>
      </c>
      <c r="F1173" t="s">
        <v>1183</v>
      </c>
      <c r="H1173">
        <v>0</v>
      </c>
      <c r="I1173" t="s">
        <v>17</v>
      </c>
      <c r="K1173" t="s">
        <v>3273</v>
      </c>
      <c r="L1173">
        <v>163</v>
      </c>
      <c r="M1173" t="s">
        <v>3274</v>
      </c>
    </row>
    <row r="1174" spans="1:13" x14ac:dyDescent="0.45">
      <c r="A1174" t="s">
        <v>13</v>
      </c>
      <c r="B1174">
        <v>1266558</v>
      </c>
      <c r="C1174">
        <v>1266998</v>
      </c>
      <c r="E1174" t="s">
        <v>96</v>
      </c>
      <c r="F1174" t="s">
        <v>1183</v>
      </c>
      <c r="H1174">
        <v>0</v>
      </c>
      <c r="I1174" t="s">
        <v>17</v>
      </c>
      <c r="K1174" t="s">
        <v>3275</v>
      </c>
      <c r="L1174">
        <v>146</v>
      </c>
      <c r="M1174" t="s">
        <v>3276</v>
      </c>
    </row>
    <row r="1175" spans="1:13" x14ac:dyDescent="0.45">
      <c r="A1175" t="s">
        <v>13</v>
      </c>
      <c r="B1175">
        <v>1267159</v>
      </c>
      <c r="C1175">
        <v>1268217</v>
      </c>
      <c r="E1175" t="s">
        <v>14</v>
      </c>
      <c r="F1175" t="s">
        <v>2328</v>
      </c>
      <c r="H1175">
        <v>0</v>
      </c>
      <c r="I1175" t="s">
        <v>17</v>
      </c>
      <c r="K1175" t="s">
        <v>3277</v>
      </c>
      <c r="L1175">
        <v>352</v>
      </c>
      <c r="M1175" t="s">
        <v>3278</v>
      </c>
    </row>
    <row r="1176" spans="1:13" x14ac:dyDescent="0.45">
      <c r="A1176" t="s">
        <v>13</v>
      </c>
      <c r="B1176">
        <v>1268359</v>
      </c>
      <c r="C1176">
        <v>1269183</v>
      </c>
      <c r="E1176" t="s">
        <v>14</v>
      </c>
      <c r="F1176" t="s">
        <v>3279</v>
      </c>
      <c r="G1176" t="s">
        <v>3280</v>
      </c>
      <c r="H1176">
        <v>0</v>
      </c>
      <c r="I1176" t="s">
        <v>17</v>
      </c>
      <c r="K1176" t="s">
        <v>3281</v>
      </c>
      <c r="L1176">
        <v>274</v>
      </c>
      <c r="M1176" t="s">
        <v>3282</v>
      </c>
    </row>
    <row r="1177" spans="1:13" x14ac:dyDescent="0.45">
      <c r="A1177" t="s">
        <v>13</v>
      </c>
      <c r="B1177">
        <v>1269596</v>
      </c>
      <c r="C1177">
        <v>1270717</v>
      </c>
      <c r="E1177" t="s">
        <v>14</v>
      </c>
      <c r="F1177" t="s">
        <v>3283</v>
      </c>
      <c r="G1177" t="s">
        <v>3284</v>
      </c>
      <c r="H1177">
        <v>0</v>
      </c>
      <c r="I1177" t="s">
        <v>17</v>
      </c>
      <c r="K1177" t="s">
        <v>3285</v>
      </c>
      <c r="L1177">
        <v>373</v>
      </c>
      <c r="M1177" t="s">
        <v>3286</v>
      </c>
    </row>
    <row r="1178" spans="1:13" x14ac:dyDescent="0.45">
      <c r="A1178" t="s">
        <v>13</v>
      </c>
      <c r="B1178">
        <v>1270735</v>
      </c>
      <c r="C1178">
        <v>1271610</v>
      </c>
      <c r="E1178" t="s">
        <v>14</v>
      </c>
      <c r="F1178" t="s">
        <v>3287</v>
      </c>
      <c r="H1178">
        <v>0</v>
      </c>
      <c r="I1178" t="s">
        <v>17</v>
      </c>
      <c r="K1178" t="s">
        <v>3288</v>
      </c>
      <c r="L1178">
        <v>291</v>
      </c>
      <c r="M1178" t="s">
        <v>3289</v>
      </c>
    </row>
    <row r="1179" spans="1:13" x14ac:dyDescent="0.45">
      <c r="A1179" t="s">
        <v>13</v>
      </c>
      <c r="B1179">
        <v>1271634</v>
      </c>
      <c r="C1179">
        <v>1272326</v>
      </c>
      <c r="E1179" t="s">
        <v>14</v>
      </c>
      <c r="F1179" t="s">
        <v>3290</v>
      </c>
      <c r="H1179">
        <v>0</v>
      </c>
      <c r="I1179" t="s">
        <v>17</v>
      </c>
      <c r="K1179" t="s">
        <v>3291</v>
      </c>
      <c r="L1179">
        <v>230</v>
      </c>
      <c r="M1179" t="s">
        <v>3292</v>
      </c>
    </row>
    <row r="1180" spans="1:13" x14ac:dyDescent="0.45">
      <c r="A1180" t="s">
        <v>13</v>
      </c>
      <c r="B1180">
        <v>1272334</v>
      </c>
      <c r="C1180">
        <v>1273158</v>
      </c>
      <c r="E1180" t="s">
        <v>14</v>
      </c>
      <c r="F1180" t="s">
        <v>3293</v>
      </c>
      <c r="H1180">
        <v>0</v>
      </c>
      <c r="I1180" t="s">
        <v>17</v>
      </c>
      <c r="K1180" t="s">
        <v>3294</v>
      </c>
      <c r="L1180">
        <v>274</v>
      </c>
      <c r="M1180" t="s">
        <v>3295</v>
      </c>
    </row>
    <row r="1181" spans="1:13" x14ac:dyDescent="0.45">
      <c r="A1181" t="s">
        <v>13</v>
      </c>
      <c r="B1181">
        <v>1273163</v>
      </c>
      <c r="C1181">
        <v>1274230</v>
      </c>
      <c r="E1181" t="s">
        <v>14</v>
      </c>
      <c r="F1181" t="s">
        <v>3296</v>
      </c>
      <c r="H1181">
        <v>0</v>
      </c>
      <c r="I1181" t="s">
        <v>17</v>
      </c>
      <c r="K1181" t="s">
        <v>3297</v>
      </c>
      <c r="L1181">
        <v>355</v>
      </c>
      <c r="M1181" t="s">
        <v>3298</v>
      </c>
    </row>
    <row r="1182" spans="1:13" x14ac:dyDescent="0.45">
      <c r="A1182" t="s">
        <v>13</v>
      </c>
      <c r="B1182">
        <v>1274232</v>
      </c>
      <c r="C1182">
        <v>1274768</v>
      </c>
      <c r="E1182" t="s">
        <v>14</v>
      </c>
      <c r="F1182" t="s">
        <v>2084</v>
      </c>
      <c r="H1182">
        <v>0</v>
      </c>
      <c r="I1182" t="s">
        <v>17</v>
      </c>
      <c r="K1182" t="s">
        <v>3299</v>
      </c>
      <c r="L1182">
        <v>178</v>
      </c>
      <c r="M1182" t="s">
        <v>3300</v>
      </c>
    </row>
    <row r="1183" spans="1:13" x14ac:dyDescent="0.45">
      <c r="A1183" t="s">
        <v>13</v>
      </c>
      <c r="B1183">
        <v>1274836</v>
      </c>
      <c r="C1183">
        <v>1275441</v>
      </c>
      <c r="E1183" t="s">
        <v>14</v>
      </c>
      <c r="F1183" t="s">
        <v>3301</v>
      </c>
      <c r="H1183">
        <v>0</v>
      </c>
      <c r="I1183" t="s">
        <v>17</v>
      </c>
      <c r="K1183" t="s">
        <v>3302</v>
      </c>
      <c r="L1183">
        <v>201</v>
      </c>
      <c r="M1183" t="s">
        <v>3303</v>
      </c>
    </row>
    <row r="1184" spans="1:13" x14ac:dyDescent="0.45">
      <c r="A1184" t="s">
        <v>13</v>
      </c>
      <c r="B1184">
        <v>1275453</v>
      </c>
      <c r="C1184">
        <v>1276367</v>
      </c>
      <c r="E1184" t="s">
        <v>14</v>
      </c>
      <c r="F1184" t="s">
        <v>3130</v>
      </c>
      <c r="H1184">
        <v>0</v>
      </c>
      <c r="I1184" t="s">
        <v>17</v>
      </c>
      <c r="K1184" t="s">
        <v>3304</v>
      </c>
      <c r="L1184">
        <v>304</v>
      </c>
      <c r="M1184" t="s">
        <v>3305</v>
      </c>
    </row>
    <row r="1185" spans="1:13" x14ac:dyDescent="0.45">
      <c r="A1185" t="s">
        <v>13</v>
      </c>
      <c r="B1185">
        <v>1276409</v>
      </c>
      <c r="C1185">
        <v>1277581</v>
      </c>
      <c r="E1185" t="s">
        <v>14</v>
      </c>
      <c r="F1185" t="s">
        <v>3306</v>
      </c>
      <c r="H1185">
        <v>0</v>
      </c>
      <c r="I1185" t="s">
        <v>17</v>
      </c>
      <c r="K1185" t="s">
        <v>3307</v>
      </c>
      <c r="L1185">
        <v>390</v>
      </c>
      <c r="M1185" t="s">
        <v>3308</v>
      </c>
    </row>
    <row r="1186" spans="1:13" x14ac:dyDescent="0.45">
      <c r="A1186" t="s">
        <v>13</v>
      </c>
      <c r="B1186">
        <v>1277628</v>
      </c>
      <c r="C1186">
        <v>1278440</v>
      </c>
      <c r="E1186" t="s">
        <v>14</v>
      </c>
      <c r="F1186" t="s">
        <v>3309</v>
      </c>
      <c r="H1186">
        <v>0</v>
      </c>
      <c r="I1186" t="s">
        <v>17</v>
      </c>
      <c r="K1186" t="s">
        <v>3310</v>
      </c>
      <c r="L1186">
        <v>270</v>
      </c>
      <c r="M1186" t="s">
        <v>3311</v>
      </c>
    </row>
    <row r="1187" spans="1:13" x14ac:dyDescent="0.45">
      <c r="A1187" t="s">
        <v>13</v>
      </c>
      <c r="B1187">
        <v>1278644</v>
      </c>
      <c r="C1187">
        <v>1279969</v>
      </c>
      <c r="E1187" t="s">
        <v>14</v>
      </c>
      <c r="F1187" t="s">
        <v>3312</v>
      </c>
      <c r="H1187">
        <v>0</v>
      </c>
      <c r="I1187" t="s">
        <v>17</v>
      </c>
      <c r="K1187" t="s">
        <v>3313</v>
      </c>
      <c r="L1187">
        <v>441</v>
      </c>
      <c r="M1187" t="s">
        <v>3314</v>
      </c>
    </row>
    <row r="1188" spans="1:13" x14ac:dyDescent="0.45">
      <c r="A1188" t="s">
        <v>13</v>
      </c>
      <c r="B1188">
        <v>1280182</v>
      </c>
      <c r="C1188">
        <v>1281261</v>
      </c>
      <c r="E1188" t="s">
        <v>14</v>
      </c>
      <c r="F1188" t="s">
        <v>3315</v>
      </c>
      <c r="G1188" t="s">
        <v>3316</v>
      </c>
      <c r="H1188">
        <v>0</v>
      </c>
      <c r="I1188" t="s">
        <v>17</v>
      </c>
      <c r="K1188" t="s">
        <v>3317</v>
      </c>
      <c r="L1188">
        <v>359</v>
      </c>
      <c r="M1188" t="s">
        <v>3318</v>
      </c>
    </row>
    <row r="1189" spans="1:13" x14ac:dyDescent="0.45">
      <c r="A1189" t="s">
        <v>13</v>
      </c>
      <c r="B1189">
        <v>1281433</v>
      </c>
      <c r="C1189">
        <v>1282107</v>
      </c>
      <c r="E1189" t="s">
        <v>14</v>
      </c>
      <c r="F1189" t="s">
        <v>3319</v>
      </c>
      <c r="H1189">
        <v>0</v>
      </c>
      <c r="I1189" t="s">
        <v>17</v>
      </c>
      <c r="K1189" t="s">
        <v>3320</v>
      </c>
      <c r="L1189">
        <v>224</v>
      </c>
      <c r="M1189" t="s">
        <v>3321</v>
      </c>
    </row>
    <row r="1190" spans="1:13" x14ac:dyDescent="0.45">
      <c r="A1190" t="s">
        <v>13</v>
      </c>
      <c r="B1190">
        <v>1282094</v>
      </c>
      <c r="C1190">
        <v>1283341</v>
      </c>
      <c r="E1190" t="s">
        <v>14</v>
      </c>
      <c r="F1190" t="s">
        <v>3322</v>
      </c>
      <c r="H1190">
        <v>0</v>
      </c>
      <c r="I1190" t="s">
        <v>17</v>
      </c>
      <c r="K1190" t="s">
        <v>3323</v>
      </c>
      <c r="L1190">
        <v>415</v>
      </c>
      <c r="M1190" t="s">
        <v>3324</v>
      </c>
    </row>
    <row r="1191" spans="1:13" x14ac:dyDescent="0.45">
      <c r="A1191" t="s">
        <v>13</v>
      </c>
      <c r="B1191">
        <v>1283413</v>
      </c>
      <c r="C1191">
        <v>1285077</v>
      </c>
      <c r="E1191" t="s">
        <v>14</v>
      </c>
      <c r="F1191" t="s">
        <v>3325</v>
      </c>
      <c r="H1191">
        <v>0</v>
      </c>
      <c r="I1191" t="s">
        <v>17</v>
      </c>
      <c r="K1191" t="s">
        <v>3326</v>
      </c>
      <c r="L1191">
        <v>554</v>
      </c>
      <c r="M1191" t="s">
        <v>3327</v>
      </c>
    </row>
    <row r="1192" spans="1:13" x14ac:dyDescent="0.45">
      <c r="A1192" t="s">
        <v>13</v>
      </c>
      <c r="B1192">
        <v>1285174</v>
      </c>
      <c r="C1192">
        <v>1285458</v>
      </c>
      <c r="E1192" t="s">
        <v>96</v>
      </c>
      <c r="F1192" t="s">
        <v>1060</v>
      </c>
      <c r="H1192">
        <v>0</v>
      </c>
      <c r="I1192" t="s">
        <v>17</v>
      </c>
      <c r="K1192" t="s">
        <v>3328</v>
      </c>
      <c r="L1192">
        <v>94</v>
      </c>
      <c r="M1192" t="s">
        <v>3329</v>
      </c>
    </row>
    <row r="1193" spans="1:13" x14ac:dyDescent="0.45">
      <c r="A1193" t="s">
        <v>13</v>
      </c>
      <c r="B1193">
        <v>1285481</v>
      </c>
      <c r="C1193">
        <v>1286998</v>
      </c>
      <c r="E1193" t="s">
        <v>96</v>
      </c>
      <c r="F1193" t="s">
        <v>3330</v>
      </c>
      <c r="H1193">
        <v>0</v>
      </c>
      <c r="I1193" t="s">
        <v>17</v>
      </c>
      <c r="K1193" t="s">
        <v>3331</v>
      </c>
      <c r="L1193">
        <v>505</v>
      </c>
      <c r="M1193" t="s">
        <v>3332</v>
      </c>
    </row>
    <row r="1194" spans="1:13" x14ac:dyDescent="0.45">
      <c r="A1194" t="s">
        <v>13</v>
      </c>
      <c r="B1194">
        <v>1287123</v>
      </c>
      <c r="C1194">
        <v>1287944</v>
      </c>
      <c r="E1194" t="s">
        <v>96</v>
      </c>
      <c r="F1194" t="s">
        <v>1077</v>
      </c>
      <c r="H1194">
        <v>0</v>
      </c>
      <c r="I1194" t="s">
        <v>17</v>
      </c>
      <c r="K1194" t="s">
        <v>3333</v>
      </c>
      <c r="L1194">
        <v>273</v>
      </c>
      <c r="M1194" t="s">
        <v>3334</v>
      </c>
    </row>
    <row r="1195" spans="1:13" x14ac:dyDescent="0.45">
      <c r="A1195" t="s">
        <v>13</v>
      </c>
      <c r="B1195">
        <v>1288135</v>
      </c>
      <c r="C1195">
        <v>1289562</v>
      </c>
      <c r="E1195" t="s">
        <v>14</v>
      </c>
      <c r="F1195" t="s">
        <v>3335</v>
      </c>
      <c r="H1195">
        <v>0</v>
      </c>
      <c r="I1195" t="s">
        <v>17</v>
      </c>
      <c r="K1195" t="s">
        <v>3336</v>
      </c>
      <c r="L1195">
        <v>475</v>
      </c>
      <c r="M1195" t="s">
        <v>3337</v>
      </c>
    </row>
    <row r="1196" spans="1:13" x14ac:dyDescent="0.45">
      <c r="A1196" t="s">
        <v>13</v>
      </c>
      <c r="B1196">
        <v>1289872</v>
      </c>
      <c r="C1196">
        <v>1290543</v>
      </c>
      <c r="E1196" t="s">
        <v>14</v>
      </c>
      <c r="F1196" t="s">
        <v>1134</v>
      </c>
      <c r="H1196">
        <v>0</v>
      </c>
      <c r="I1196" t="s">
        <v>17</v>
      </c>
      <c r="K1196" t="s">
        <v>3338</v>
      </c>
      <c r="L1196">
        <v>223</v>
      </c>
      <c r="M1196" t="s">
        <v>3339</v>
      </c>
    </row>
    <row r="1197" spans="1:13" x14ac:dyDescent="0.45">
      <c r="A1197" t="s">
        <v>13</v>
      </c>
      <c r="B1197">
        <v>1290537</v>
      </c>
      <c r="C1197">
        <v>1291436</v>
      </c>
      <c r="E1197" t="s">
        <v>14</v>
      </c>
      <c r="F1197" t="s">
        <v>1390</v>
      </c>
      <c r="H1197">
        <v>0</v>
      </c>
      <c r="I1197" t="s">
        <v>17</v>
      </c>
      <c r="K1197" t="s">
        <v>3340</v>
      </c>
      <c r="L1197">
        <v>299</v>
      </c>
      <c r="M1197" t="s">
        <v>3341</v>
      </c>
    </row>
    <row r="1198" spans="1:13" x14ac:dyDescent="0.45">
      <c r="A1198" t="s">
        <v>13</v>
      </c>
      <c r="B1198">
        <v>1294518</v>
      </c>
      <c r="C1198">
        <v>1294673</v>
      </c>
      <c r="E1198" t="s">
        <v>14</v>
      </c>
      <c r="F1198" t="s">
        <v>43</v>
      </c>
      <c r="H1198">
        <v>0</v>
      </c>
      <c r="I1198" t="s">
        <v>17</v>
      </c>
      <c r="K1198" t="s">
        <v>3342</v>
      </c>
      <c r="L1198">
        <v>51</v>
      </c>
      <c r="M1198" t="s">
        <v>3343</v>
      </c>
    </row>
    <row r="1199" spans="1:13" x14ac:dyDescent="0.45">
      <c r="A1199" t="s">
        <v>13</v>
      </c>
      <c r="B1199">
        <v>1294952</v>
      </c>
      <c r="C1199">
        <v>1295170</v>
      </c>
      <c r="E1199" t="s">
        <v>14</v>
      </c>
      <c r="F1199" t="s">
        <v>43</v>
      </c>
      <c r="H1199">
        <v>0</v>
      </c>
      <c r="I1199" t="s">
        <v>17</v>
      </c>
      <c r="K1199" t="s">
        <v>3344</v>
      </c>
      <c r="L1199">
        <v>72</v>
      </c>
      <c r="M1199" t="s">
        <v>3345</v>
      </c>
    </row>
    <row r="1200" spans="1:13" x14ac:dyDescent="0.45">
      <c r="A1200" t="s">
        <v>13</v>
      </c>
      <c r="B1200">
        <v>1296379</v>
      </c>
      <c r="C1200">
        <v>1296762</v>
      </c>
      <c r="E1200" t="s">
        <v>96</v>
      </c>
      <c r="F1200" t="s">
        <v>43</v>
      </c>
      <c r="H1200">
        <v>0</v>
      </c>
      <c r="I1200" t="s">
        <v>17</v>
      </c>
      <c r="K1200" t="s">
        <v>3346</v>
      </c>
      <c r="L1200">
        <v>127</v>
      </c>
      <c r="M1200" t="s">
        <v>3347</v>
      </c>
    </row>
    <row r="1201" spans="1:13" x14ac:dyDescent="0.45">
      <c r="A1201" t="s">
        <v>13</v>
      </c>
      <c r="B1201">
        <v>1296889</v>
      </c>
      <c r="C1201">
        <v>1297233</v>
      </c>
      <c r="E1201" t="s">
        <v>14</v>
      </c>
      <c r="F1201" t="s">
        <v>43</v>
      </c>
      <c r="H1201">
        <v>0</v>
      </c>
      <c r="I1201" t="s">
        <v>17</v>
      </c>
      <c r="K1201" t="s">
        <v>3348</v>
      </c>
      <c r="L1201">
        <v>114</v>
      </c>
      <c r="M1201" t="s">
        <v>3349</v>
      </c>
    </row>
    <row r="1202" spans="1:13" x14ac:dyDescent="0.45">
      <c r="A1202" t="s">
        <v>13</v>
      </c>
      <c r="B1202">
        <v>1297416</v>
      </c>
      <c r="C1202">
        <v>1297631</v>
      </c>
      <c r="E1202" t="s">
        <v>14</v>
      </c>
      <c r="F1202" t="s">
        <v>43</v>
      </c>
      <c r="H1202">
        <v>0</v>
      </c>
      <c r="I1202" t="s">
        <v>17</v>
      </c>
      <c r="K1202" t="s">
        <v>3350</v>
      </c>
      <c r="L1202">
        <v>71</v>
      </c>
      <c r="M1202" t="s">
        <v>3351</v>
      </c>
    </row>
    <row r="1203" spans="1:13" x14ac:dyDescent="0.45">
      <c r="A1203" t="s">
        <v>13</v>
      </c>
      <c r="B1203">
        <v>1298617</v>
      </c>
      <c r="C1203">
        <v>1298934</v>
      </c>
      <c r="E1203" t="s">
        <v>96</v>
      </c>
      <c r="F1203" t="s">
        <v>43</v>
      </c>
      <c r="H1203">
        <v>0</v>
      </c>
      <c r="I1203" t="s">
        <v>17</v>
      </c>
      <c r="K1203" t="s">
        <v>3352</v>
      </c>
      <c r="L1203">
        <v>105</v>
      </c>
      <c r="M1203" t="s">
        <v>3353</v>
      </c>
    </row>
    <row r="1204" spans="1:13" x14ac:dyDescent="0.45">
      <c r="A1204" t="s">
        <v>13</v>
      </c>
      <c r="B1204">
        <v>1299226</v>
      </c>
      <c r="C1204">
        <v>1299795</v>
      </c>
      <c r="E1204" t="s">
        <v>96</v>
      </c>
      <c r="F1204" t="s">
        <v>43</v>
      </c>
      <c r="H1204">
        <v>0</v>
      </c>
      <c r="I1204" t="s">
        <v>17</v>
      </c>
      <c r="K1204" t="s">
        <v>3354</v>
      </c>
      <c r="L1204">
        <v>189</v>
      </c>
      <c r="M1204" t="s">
        <v>3355</v>
      </c>
    </row>
    <row r="1205" spans="1:13" x14ac:dyDescent="0.45">
      <c r="A1205" t="s">
        <v>13</v>
      </c>
      <c r="B1205">
        <v>1300239</v>
      </c>
      <c r="C1205">
        <v>1300629</v>
      </c>
      <c r="E1205" t="s">
        <v>14</v>
      </c>
      <c r="F1205" t="s">
        <v>271</v>
      </c>
      <c r="H1205">
        <v>0</v>
      </c>
      <c r="I1205" t="s">
        <v>272</v>
      </c>
      <c r="M1205" t="s">
        <v>3356</v>
      </c>
    </row>
    <row r="1206" spans="1:13" x14ac:dyDescent="0.45">
      <c r="A1206" t="s">
        <v>13</v>
      </c>
      <c r="B1206">
        <v>1300949</v>
      </c>
      <c r="C1206">
        <v>1301458</v>
      </c>
      <c r="E1206" t="s">
        <v>14</v>
      </c>
      <c r="F1206" t="s">
        <v>3357</v>
      </c>
      <c r="G1206" t="s">
        <v>3358</v>
      </c>
      <c r="H1206">
        <v>0</v>
      </c>
      <c r="I1206" t="s">
        <v>17</v>
      </c>
      <c r="K1206" t="s">
        <v>3359</v>
      </c>
      <c r="L1206">
        <v>169</v>
      </c>
      <c r="M1206" t="s">
        <v>3360</v>
      </c>
    </row>
    <row r="1207" spans="1:13" x14ac:dyDescent="0.45">
      <c r="A1207" t="s">
        <v>13</v>
      </c>
      <c r="B1207">
        <v>1301560</v>
      </c>
      <c r="C1207">
        <v>1301754</v>
      </c>
      <c r="E1207" t="s">
        <v>96</v>
      </c>
      <c r="F1207" t="s">
        <v>43</v>
      </c>
      <c r="H1207">
        <v>0</v>
      </c>
      <c r="I1207" t="s">
        <v>17</v>
      </c>
      <c r="K1207" t="s">
        <v>3361</v>
      </c>
      <c r="L1207">
        <v>64</v>
      </c>
      <c r="M1207" t="s">
        <v>3362</v>
      </c>
    </row>
    <row r="1208" spans="1:13" x14ac:dyDescent="0.45">
      <c r="A1208" t="s">
        <v>13</v>
      </c>
      <c r="B1208">
        <v>1302269</v>
      </c>
      <c r="C1208">
        <v>1302661</v>
      </c>
      <c r="E1208" t="s">
        <v>96</v>
      </c>
      <c r="F1208" t="s">
        <v>1060</v>
      </c>
      <c r="H1208">
        <v>0</v>
      </c>
      <c r="I1208" t="s">
        <v>17</v>
      </c>
      <c r="K1208" t="s">
        <v>3363</v>
      </c>
      <c r="L1208">
        <v>130</v>
      </c>
      <c r="M1208" t="s">
        <v>3364</v>
      </c>
    </row>
    <row r="1209" spans="1:13" x14ac:dyDescent="0.45">
      <c r="A1209" t="s">
        <v>13</v>
      </c>
      <c r="B1209">
        <v>1303229</v>
      </c>
      <c r="C1209">
        <v>1303591</v>
      </c>
      <c r="E1209" t="s">
        <v>14</v>
      </c>
      <c r="F1209" t="s">
        <v>43</v>
      </c>
      <c r="H1209">
        <v>0</v>
      </c>
      <c r="I1209" t="s">
        <v>17</v>
      </c>
      <c r="K1209" t="s">
        <v>3365</v>
      </c>
      <c r="L1209">
        <v>120</v>
      </c>
      <c r="M1209" t="s">
        <v>3366</v>
      </c>
    </row>
    <row r="1210" spans="1:13" x14ac:dyDescent="0.45">
      <c r="A1210" t="s">
        <v>13</v>
      </c>
      <c r="B1210">
        <v>1303575</v>
      </c>
      <c r="C1210">
        <v>1304291</v>
      </c>
      <c r="E1210" t="s">
        <v>14</v>
      </c>
      <c r="F1210" t="s">
        <v>43</v>
      </c>
      <c r="H1210">
        <v>0</v>
      </c>
      <c r="I1210" t="s">
        <v>17</v>
      </c>
      <c r="K1210" t="s">
        <v>3367</v>
      </c>
      <c r="L1210">
        <v>238</v>
      </c>
      <c r="M1210" t="s">
        <v>3368</v>
      </c>
    </row>
    <row r="1211" spans="1:13" x14ac:dyDescent="0.45">
      <c r="A1211" t="s">
        <v>13</v>
      </c>
      <c r="B1211">
        <v>1304311</v>
      </c>
      <c r="C1211">
        <v>1304730</v>
      </c>
      <c r="E1211" t="s">
        <v>14</v>
      </c>
      <c r="F1211" t="s">
        <v>43</v>
      </c>
      <c r="H1211">
        <v>0</v>
      </c>
      <c r="I1211" t="s">
        <v>17</v>
      </c>
      <c r="K1211" t="s">
        <v>3369</v>
      </c>
      <c r="L1211">
        <v>139</v>
      </c>
      <c r="M1211" t="s">
        <v>3370</v>
      </c>
    </row>
    <row r="1212" spans="1:13" x14ac:dyDescent="0.45">
      <c r="A1212" t="s">
        <v>13</v>
      </c>
      <c r="B1212">
        <v>1304720</v>
      </c>
      <c r="C1212">
        <v>1305244</v>
      </c>
      <c r="E1212" t="s">
        <v>14</v>
      </c>
      <c r="F1212" t="s">
        <v>43</v>
      </c>
      <c r="H1212">
        <v>0</v>
      </c>
      <c r="I1212" t="s">
        <v>17</v>
      </c>
      <c r="K1212" t="s">
        <v>3371</v>
      </c>
      <c r="L1212">
        <v>174</v>
      </c>
      <c r="M1212" t="s">
        <v>3372</v>
      </c>
    </row>
    <row r="1213" spans="1:13" x14ac:dyDescent="0.45">
      <c r="A1213" t="s">
        <v>13</v>
      </c>
      <c r="B1213">
        <v>1305556</v>
      </c>
      <c r="C1213">
        <v>1306113</v>
      </c>
      <c r="E1213" t="s">
        <v>14</v>
      </c>
      <c r="F1213" t="s">
        <v>3373</v>
      </c>
      <c r="G1213" t="s">
        <v>3374</v>
      </c>
      <c r="H1213">
        <v>0</v>
      </c>
      <c r="I1213" t="s">
        <v>17</v>
      </c>
      <c r="K1213" t="s">
        <v>3375</v>
      </c>
      <c r="L1213">
        <v>185</v>
      </c>
      <c r="M1213" t="s">
        <v>3376</v>
      </c>
    </row>
    <row r="1214" spans="1:13" x14ac:dyDescent="0.45">
      <c r="A1214" t="s">
        <v>13</v>
      </c>
      <c r="B1214">
        <v>1306205</v>
      </c>
      <c r="C1214">
        <v>1306660</v>
      </c>
      <c r="E1214" t="s">
        <v>14</v>
      </c>
      <c r="F1214" t="s">
        <v>3377</v>
      </c>
      <c r="H1214">
        <v>0</v>
      </c>
      <c r="I1214" t="s">
        <v>17</v>
      </c>
      <c r="K1214" t="s">
        <v>3378</v>
      </c>
      <c r="L1214">
        <v>151</v>
      </c>
      <c r="M1214" t="s">
        <v>3379</v>
      </c>
    </row>
    <row r="1215" spans="1:13" x14ac:dyDescent="0.45">
      <c r="A1215" t="s">
        <v>13</v>
      </c>
      <c r="B1215">
        <v>1306823</v>
      </c>
      <c r="C1215">
        <v>1307533</v>
      </c>
      <c r="E1215" t="s">
        <v>14</v>
      </c>
      <c r="F1215" t="s">
        <v>3380</v>
      </c>
      <c r="G1215" t="s">
        <v>3381</v>
      </c>
      <c r="H1215">
        <v>0</v>
      </c>
      <c r="I1215" t="s">
        <v>17</v>
      </c>
      <c r="K1215" t="s">
        <v>3382</v>
      </c>
      <c r="L1215">
        <v>236</v>
      </c>
      <c r="M1215" t="s">
        <v>3383</v>
      </c>
    </row>
    <row r="1216" spans="1:13" x14ac:dyDescent="0.45">
      <c r="A1216" t="s">
        <v>13</v>
      </c>
      <c r="B1216">
        <v>1307587</v>
      </c>
      <c r="C1216">
        <v>1308657</v>
      </c>
      <c r="E1216" t="s">
        <v>14</v>
      </c>
      <c r="F1216" t="s">
        <v>3384</v>
      </c>
      <c r="H1216">
        <v>0</v>
      </c>
      <c r="I1216" t="s">
        <v>17</v>
      </c>
      <c r="K1216" t="s">
        <v>3385</v>
      </c>
      <c r="L1216">
        <v>356</v>
      </c>
      <c r="M1216" t="s">
        <v>3386</v>
      </c>
    </row>
    <row r="1217" spans="1:13" x14ac:dyDescent="0.45">
      <c r="A1217" t="s">
        <v>13</v>
      </c>
      <c r="B1217">
        <v>1308685</v>
      </c>
      <c r="C1217">
        <v>1312239</v>
      </c>
      <c r="E1217" t="s">
        <v>14</v>
      </c>
      <c r="F1217" t="s">
        <v>3387</v>
      </c>
      <c r="G1217" t="s">
        <v>3388</v>
      </c>
      <c r="H1217">
        <v>0</v>
      </c>
      <c r="I1217" t="s">
        <v>17</v>
      </c>
      <c r="K1217" t="s">
        <v>3389</v>
      </c>
      <c r="L1217">
        <v>1184</v>
      </c>
      <c r="M1217" t="s">
        <v>3390</v>
      </c>
    </row>
    <row r="1218" spans="1:13" x14ac:dyDescent="0.45">
      <c r="A1218" t="s">
        <v>13</v>
      </c>
      <c r="B1218">
        <v>1312266</v>
      </c>
      <c r="C1218">
        <v>1313546</v>
      </c>
      <c r="E1218" t="s">
        <v>14</v>
      </c>
      <c r="F1218" t="s">
        <v>3391</v>
      </c>
      <c r="G1218" t="s">
        <v>3392</v>
      </c>
      <c r="H1218">
        <v>0</v>
      </c>
      <c r="I1218" t="s">
        <v>17</v>
      </c>
      <c r="K1218" t="s">
        <v>3393</v>
      </c>
      <c r="L1218">
        <v>426</v>
      </c>
      <c r="M1218" t="s">
        <v>3394</v>
      </c>
    </row>
    <row r="1219" spans="1:13" x14ac:dyDescent="0.45">
      <c r="A1219" t="s">
        <v>13</v>
      </c>
      <c r="B1219">
        <v>1313649</v>
      </c>
      <c r="C1219">
        <v>1314017</v>
      </c>
      <c r="E1219" t="s">
        <v>14</v>
      </c>
      <c r="F1219" t="s">
        <v>3395</v>
      </c>
      <c r="G1219" t="s">
        <v>3396</v>
      </c>
      <c r="H1219">
        <v>0</v>
      </c>
      <c r="I1219" t="s">
        <v>17</v>
      </c>
      <c r="K1219" t="s">
        <v>3397</v>
      </c>
      <c r="L1219">
        <v>122</v>
      </c>
      <c r="M1219" t="s">
        <v>3398</v>
      </c>
    </row>
    <row r="1220" spans="1:13" x14ac:dyDescent="0.45">
      <c r="A1220" t="s">
        <v>13</v>
      </c>
      <c r="B1220">
        <v>1314014</v>
      </c>
      <c r="C1220">
        <v>1315366</v>
      </c>
      <c r="E1220" t="s">
        <v>14</v>
      </c>
      <c r="F1220" t="s">
        <v>3399</v>
      </c>
      <c r="G1220" t="s">
        <v>3400</v>
      </c>
      <c r="H1220">
        <v>0</v>
      </c>
      <c r="I1220" t="s">
        <v>17</v>
      </c>
      <c r="K1220" t="s">
        <v>3401</v>
      </c>
      <c r="L1220">
        <v>450</v>
      </c>
      <c r="M1220" t="s">
        <v>3402</v>
      </c>
    </row>
    <row r="1221" spans="1:13" x14ac:dyDescent="0.45">
      <c r="A1221" t="s">
        <v>13</v>
      </c>
      <c r="B1221">
        <v>1315404</v>
      </c>
      <c r="C1221">
        <v>1315676</v>
      </c>
      <c r="E1221" t="s">
        <v>14</v>
      </c>
      <c r="F1221" t="s">
        <v>3403</v>
      </c>
      <c r="G1221" t="s">
        <v>3404</v>
      </c>
      <c r="H1221">
        <v>0</v>
      </c>
      <c r="I1221" t="s">
        <v>17</v>
      </c>
      <c r="K1221" t="s">
        <v>3405</v>
      </c>
      <c r="L1221">
        <v>90</v>
      </c>
      <c r="M1221" t="s">
        <v>3406</v>
      </c>
    </row>
    <row r="1222" spans="1:13" x14ac:dyDescent="0.45">
      <c r="A1222" t="s">
        <v>13</v>
      </c>
      <c r="B1222">
        <v>1315741</v>
      </c>
      <c r="C1222">
        <v>1315968</v>
      </c>
      <c r="E1222" t="s">
        <v>14</v>
      </c>
      <c r="F1222" t="s">
        <v>3407</v>
      </c>
      <c r="H1222">
        <v>0</v>
      </c>
      <c r="I1222" t="s">
        <v>17</v>
      </c>
      <c r="K1222" t="s">
        <v>3408</v>
      </c>
      <c r="L1222">
        <v>75</v>
      </c>
      <c r="M1222" t="s">
        <v>3409</v>
      </c>
    </row>
    <row r="1223" spans="1:13" x14ac:dyDescent="0.45">
      <c r="A1223" t="s">
        <v>13</v>
      </c>
      <c r="B1223">
        <v>1316076</v>
      </c>
      <c r="C1223">
        <v>1316591</v>
      </c>
      <c r="E1223" t="s">
        <v>14</v>
      </c>
      <c r="F1223" t="s">
        <v>3410</v>
      </c>
      <c r="G1223" t="s">
        <v>3411</v>
      </c>
      <c r="H1223">
        <v>0</v>
      </c>
      <c r="I1223" t="s">
        <v>17</v>
      </c>
      <c r="K1223" t="s">
        <v>3412</v>
      </c>
      <c r="L1223">
        <v>171</v>
      </c>
      <c r="M1223" t="s">
        <v>3413</v>
      </c>
    </row>
    <row r="1224" spans="1:13" x14ac:dyDescent="0.45">
      <c r="A1224" t="s">
        <v>13</v>
      </c>
      <c r="B1224">
        <v>1316600</v>
      </c>
      <c r="C1224">
        <v>1317295</v>
      </c>
      <c r="E1224" t="s">
        <v>14</v>
      </c>
      <c r="F1224" t="s">
        <v>3414</v>
      </c>
      <c r="G1224" t="s">
        <v>3415</v>
      </c>
      <c r="H1224">
        <v>0</v>
      </c>
      <c r="I1224" t="s">
        <v>17</v>
      </c>
      <c r="K1224" t="s">
        <v>3416</v>
      </c>
      <c r="L1224">
        <v>231</v>
      </c>
      <c r="M1224" t="s">
        <v>3417</v>
      </c>
    </row>
    <row r="1225" spans="1:13" x14ac:dyDescent="0.45">
      <c r="A1225" t="s">
        <v>13</v>
      </c>
      <c r="B1225">
        <v>1317480</v>
      </c>
      <c r="C1225">
        <v>1317830</v>
      </c>
      <c r="E1225" t="s">
        <v>14</v>
      </c>
      <c r="F1225" t="s">
        <v>3418</v>
      </c>
      <c r="G1225" t="s">
        <v>3419</v>
      </c>
      <c r="H1225">
        <v>0</v>
      </c>
      <c r="I1225" t="s">
        <v>17</v>
      </c>
      <c r="K1225" t="s">
        <v>3420</v>
      </c>
      <c r="L1225">
        <v>116</v>
      </c>
      <c r="M1225" t="s">
        <v>3421</v>
      </c>
    </row>
    <row r="1226" spans="1:13" x14ac:dyDescent="0.45">
      <c r="A1226" t="s">
        <v>13</v>
      </c>
      <c r="B1226">
        <v>1318151</v>
      </c>
      <c r="C1226">
        <v>1319047</v>
      </c>
      <c r="E1226" t="s">
        <v>14</v>
      </c>
      <c r="F1226" t="s">
        <v>3422</v>
      </c>
      <c r="G1226" t="s">
        <v>3423</v>
      </c>
      <c r="H1226">
        <v>0</v>
      </c>
      <c r="I1226" t="s">
        <v>17</v>
      </c>
      <c r="K1226" t="s">
        <v>3424</v>
      </c>
      <c r="L1226">
        <v>298</v>
      </c>
      <c r="M1226" t="s">
        <v>3425</v>
      </c>
    </row>
    <row r="1227" spans="1:13" x14ac:dyDescent="0.45">
      <c r="A1227" t="s">
        <v>13</v>
      </c>
      <c r="B1227">
        <v>1319436</v>
      </c>
      <c r="C1227">
        <v>1320728</v>
      </c>
      <c r="E1227" t="s">
        <v>14</v>
      </c>
      <c r="F1227" t="s">
        <v>3426</v>
      </c>
      <c r="G1227" t="s">
        <v>3427</v>
      </c>
      <c r="H1227">
        <v>0</v>
      </c>
      <c r="I1227" t="s">
        <v>17</v>
      </c>
      <c r="K1227" t="s">
        <v>3428</v>
      </c>
      <c r="L1227">
        <v>430</v>
      </c>
      <c r="M1227" t="s">
        <v>3429</v>
      </c>
    </row>
    <row r="1228" spans="1:13" x14ac:dyDescent="0.45">
      <c r="A1228" t="s">
        <v>13</v>
      </c>
      <c r="B1228">
        <v>1321846</v>
      </c>
      <c r="C1228">
        <v>1323138</v>
      </c>
      <c r="E1228" t="s">
        <v>14</v>
      </c>
      <c r="F1228" t="s">
        <v>3426</v>
      </c>
      <c r="G1228" t="s">
        <v>3427</v>
      </c>
      <c r="H1228">
        <v>0</v>
      </c>
      <c r="I1228" t="s">
        <v>17</v>
      </c>
      <c r="K1228" t="s">
        <v>3430</v>
      </c>
      <c r="L1228">
        <v>430</v>
      </c>
      <c r="M1228" t="s">
        <v>3431</v>
      </c>
    </row>
    <row r="1229" spans="1:13" x14ac:dyDescent="0.45">
      <c r="A1229" t="s">
        <v>13</v>
      </c>
      <c r="B1229">
        <v>1323703</v>
      </c>
      <c r="C1229">
        <v>1325892</v>
      </c>
      <c r="E1229" t="s">
        <v>14</v>
      </c>
      <c r="F1229" t="s">
        <v>3432</v>
      </c>
      <c r="H1229">
        <v>0</v>
      </c>
      <c r="I1229" t="s">
        <v>17</v>
      </c>
      <c r="K1229" t="s">
        <v>3433</v>
      </c>
      <c r="L1229">
        <v>729</v>
      </c>
      <c r="M1229" t="s">
        <v>3434</v>
      </c>
    </row>
    <row r="1230" spans="1:13" x14ac:dyDescent="0.45">
      <c r="A1230" t="s">
        <v>13</v>
      </c>
      <c r="B1230">
        <v>1325960</v>
      </c>
      <c r="C1230">
        <v>1326727</v>
      </c>
      <c r="E1230" t="s">
        <v>14</v>
      </c>
      <c r="F1230" t="s">
        <v>3435</v>
      </c>
      <c r="H1230">
        <v>0</v>
      </c>
      <c r="I1230" t="s">
        <v>17</v>
      </c>
      <c r="K1230" t="s">
        <v>3436</v>
      </c>
      <c r="L1230">
        <v>255</v>
      </c>
      <c r="M1230" t="s">
        <v>3437</v>
      </c>
    </row>
    <row r="1231" spans="1:13" x14ac:dyDescent="0.45">
      <c r="A1231" t="s">
        <v>13</v>
      </c>
      <c r="B1231">
        <v>1326785</v>
      </c>
      <c r="C1231">
        <v>1327801</v>
      </c>
      <c r="E1231" t="s">
        <v>14</v>
      </c>
      <c r="F1231" t="s">
        <v>3438</v>
      </c>
      <c r="H1231">
        <v>0</v>
      </c>
      <c r="I1231" t="s">
        <v>17</v>
      </c>
      <c r="K1231" t="s">
        <v>3439</v>
      </c>
      <c r="L1231">
        <v>338</v>
      </c>
      <c r="M1231" t="s">
        <v>3440</v>
      </c>
    </row>
    <row r="1232" spans="1:13" x14ac:dyDescent="0.45">
      <c r="A1232" t="s">
        <v>13</v>
      </c>
      <c r="B1232">
        <v>1327867</v>
      </c>
      <c r="C1232">
        <v>1328115</v>
      </c>
      <c r="E1232" t="s">
        <v>14</v>
      </c>
      <c r="F1232" t="s">
        <v>43</v>
      </c>
      <c r="H1232">
        <v>0</v>
      </c>
      <c r="I1232" t="s">
        <v>17</v>
      </c>
      <c r="K1232" t="s">
        <v>3441</v>
      </c>
      <c r="L1232">
        <v>82</v>
      </c>
      <c r="M1232" t="s">
        <v>3442</v>
      </c>
    </row>
    <row r="1233" spans="1:13" x14ac:dyDescent="0.45">
      <c r="A1233" t="s">
        <v>13</v>
      </c>
      <c r="B1233">
        <v>1328292</v>
      </c>
      <c r="C1233">
        <v>1328789</v>
      </c>
      <c r="E1233" t="s">
        <v>96</v>
      </c>
      <c r="F1233" t="s">
        <v>3443</v>
      </c>
      <c r="H1233">
        <v>0</v>
      </c>
      <c r="I1233" t="s">
        <v>17</v>
      </c>
      <c r="K1233" t="s">
        <v>3444</v>
      </c>
      <c r="L1233">
        <v>165</v>
      </c>
      <c r="M1233" t="s">
        <v>3445</v>
      </c>
    </row>
    <row r="1234" spans="1:13" x14ac:dyDescent="0.45">
      <c r="A1234" t="s">
        <v>13</v>
      </c>
      <c r="B1234">
        <v>1329030</v>
      </c>
      <c r="C1234">
        <v>1330094</v>
      </c>
      <c r="E1234" t="s">
        <v>96</v>
      </c>
      <c r="F1234" t="s">
        <v>1143</v>
      </c>
      <c r="H1234">
        <v>0</v>
      </c>
      <c r="I1234" t="s">
        <v>17</v>
      </c>
      <c r="K1234" t="s">
        <v>3446</v>
      </c>
      <c r="L1234">
        <v>354</v>
      </c>
      <c r="M1234" t="s">
        <v>3447</v>
      </c>
    </row>
    <row r="1235" spans="1:13" x14ac:dyDescent="0.45">
      <c r="A1235" t="s">
        <v>13</v>
      </c>
      <c r="B1235">
        <v>1330097</v>
      </c>
      <c r="C1235">
        <v>1331194</v>
      </c>
      <c r="E1235" t="s">
        <v>96</v>
      </c>
      <c r="F1235" t="s">
        <v>1143</v>
      </c>
      <c r="H1235">
        <v>0</v>
      </c>
      <c r="I1235" t="s">
        <v>17</v>
      </c>
      <c r="K1235" t="s">
        <v>3448</v>
      </c>
      <c r="L1235">
        <v>365</v>
      </c>
      <c r="M1235" t="s">
        <v>3449</v>
      </c>
    </row>
    <row r="1236" spans="1:13" x14ac:dyDescent="0.45">
      <c r="A1236" t="s">
        <v>13</v>
      </c>
      <c r="B1236">
        <v>1331208</v>
      </c>
      <c r="C1236">
        <v>1332143</v>
      </c>
      <c r="E1236" t="s">
        <v>96</v>
      </c>
      <c r="F1236" t="s">
        <v>1140</v>
      </c>
      <c r="H1236">
        <v>0</v>
      </c>
      <c r="I1236" t="s">
        <v>17</v>
      </c>
      <c r="K1236" t="s">
        <v>3450</v>
      </c>
      <c r="L1236">
        <v>311</v>
      </c>
      <c r="M1236" t="s">
        <v>3451</v>
      </c>
    </row>
    <row r="1237" spans="1:13" x14ac:dyDescent="0.45">
      <c r="A1237" t="s">
        <v>13</v>
      </c>
      <c r="B1237">
        <v>1332331</v>
      </c>
      <c r="C1237">
        <v>1332975</v>
      </c>
      <c r="E1237" t="s">
        <v>96</v>
      </c>
      <c r="F1237" t="s">
        <v>1222</v>
      </c>
      <c r="H1237">
        <v>0</v>
      </c>
      <c r="I1237" t="s">
        <v>17</v>
      </c>
      <c r="K1237" t="s">
        <v>3452</v>
      </c>
      <c r="L1237">
        <v>214</v>
      </c>
      <c r="M1237" t="s">
        <v>3453</v>
      </c>
    </row>
    <row r="1238" spans="1:13" x14ac:dyDescent="0.45">
      <c r="A1238" t="s">
        <v>13</v>
      </c>
      <c r="B1238">
        <v>1332968</v>
      </c>
      <c r="C1238">
        <v>1334128</v>
      </c>
      <c r="E1238" t="s">
        <v>96</v>
      </c>
      <c r="F1238" t="s">
        <v>1219</v>
      </c>
      <c r="H1238">
        <v>0</v>
      </c>
      <c r="I1238" t="s">
        <v>17</v>
      </c>
      <c r="K1238" t="s">
        <v>3454</v>
      </c>
      <c r="L1238">
        <v>386</v>
      </c>
      <c r="M1238" t="s">
        <v>3455</v>
      </c>
    </row>
    <row r="1239" spans="1:13" x14ac:dyDescent="0.45">
      <c r="A1239" t="s">
        <v>13</v>
      </c>
      <c r="B1239">
        <v>1334313</v>
      </c>
      <c r="C1239">
        <v>1334657</v>
      </c>
      <c r="E1239" t="s">
        <v>14</v>
      </c>
      <c r="F1239" t="s">
        <v>3456</v>
      </c>
      <c r="H1239">
        <v>0</v>
      </c>
      <c r="I1239" t="s">
        <v>17</v>
      </c>
      <c r="K1239" t="s">
        <v>3457</v>
      </c>
      <c r="L1239">
        <v>114</v>
      </c>
      <c r="M1239" t="s">
        <v>3458</v>
      </c>
    </row>
    <row r="1240" spans="1:13" x14ac:dyDescent="0.45">
      <c r="A1240" t="s">
        <v>13</v>
      </c>
      <c r="B1240">
        <v>1334688</v>
      </c>
      <c r="C1240">
        <v>1336289</v>
      </c>
      <c r="E1240" t="s">
        <v>14</v>
      </c>
      <c r="F1240" t="s">
        <v>3459</v>
      </c>
      <c r="H1240">
        <v>0</v>
      </c>
      <c r="I1240" t="s">
        <v>17</v>
      </c>
      <c r="K1240" t="s">
        <v>3460</v>
      </c>
      <c r="L1240">
        <v>533</v>
      </c>
      <c r="M1240" t="s">
        <v>3461</v>
      </c>
    </row>
    <row r="1241" spans="1:13" x14ac:dyDescent="0.45">
      <c r="A1241" t="s">
        <v>13</v>
      </c>
      <c r="B1241">
        <v>1336308</v>
      </c>
      <c r="C1241">
        <v>1337408</v>
      </c>
      <c r="E1241" t="s">
        <v>14</v>
      </c>
      <c r="F1241" t="s">
        <v>3462</v>
      </c>
      <c r="G1241" t="s">
        <v>3463</v>
      </c>
      <c r="H1241">
        <v>0</v>
      </c>
      <c r="I1241" t="s">
        <v>17</v>
      </c>
      <c r="K1241" t="s">
        <v>3464</v>
      </c>
      <c r="L1241">
        <v>366</v>
      </c>
      <c r="M1241" t="s">
        <v>3465</v>
      </c>
    </row>
    <row r="1242" spans="1:13" x14ac:dyDescent="0.45">
      <c r="A1242" t="s">
        <v>13</v>
      </c>
      <c r="B1242">
        <v>1337441</v>
      </c>
      <c r="C1242">
        <v>1339528</v>
      </c>
      <c r="E1242" t="s">
        <v>14</v>
      </c>
      <c r="F1242" t="s">
        <v>3466</v>
      </c>
      <c r="G1242" t="s">
        <v>3467</v>
      </c>
      <c r="H1242">
        <v>0</v>
      </c>
      <c r="I1242" t="s">
        <v>17</v>
      </c>
      <c r="K1242" t="s">
        <v>3468</v>
      </c>
      <c r="L1242">
        <v>695</v>
      </c>
      <c r="M1242" t="s">
        <v>3469</v>
      </c>
    </row>
    <row r="1243" spans="1:13" x14ac:dyDescent="0.45">
      <c r="A1243" t="s">
        <v>13</v>
      </c>
      <c r="B1243">
        <v>1339693</v>
      </c>
      <c r="C1243">
        <v>1340478</v>
      </c>
      <c r="E1243" t="s">
        <v>14</v>
      </c>
      <c r="F1243" t="s">
        <v>3470</v>
      </c>
      <c r="G1243" t="s">
        <v>3471</v>
      </c>
      <c r="H1243">
        <v>0</v>
      </c>
      <c r="I1243" t="s">
        <v>17</v>
      </c>
      <c r="K1243" t="s">
        <v>3472</v>
      </c>
      <c r="L1243">
        <v>261</v>
      </c>
      <c r="M1243" t="s">
        <v>3473</v>
      </c>
    </row>
    <row r="1244" spans="1:13" x14ac:dyDescent="0.45">
      <c r="A1244" t="s">
        <v>13</v>
      </c>
      <c r="B1244">
        <v>1340585</v>
      </c>
      <c r="C1244">
        <v>1341850</v>
      </c>
      <c r="E1244" t="s">
        <v>14</v>
      </c>
      <c r="F1244" t="s">
        <v>3474</v>
      </c>
      <c r="H1244">
        <v>0</v>
      </c>
      <c r="I1244" t="s">
        <v>17</v>
      </c>
      <c r="K1244" t="s">
        <v>3475</v>
      </c>
      <c r="L1244">
        <v>421</v>
      </c>
      <c r="M1244" t="s">
        <v>3476</v>
      </c>
    </row>
    <row r="1245" spans="1:13" x14ac:dyDescent="0.45">
      <c r="A1245" t="s">
        <v>13</v>
      </c>
      <c r="B1245">
        <v>1341881</v>
      </c>
      <c r="C1245">
        <v>1342651</v>
      </c>
      <c r="E1245" t="s">
        <v>14</v>
      </c>
      <c r="F1245" t="s">
        <v>1183</v>
      </c>
      <c r="H1245">
        <v>0</v>
      </c>
      <c r="I1245" t="s">
        <v>17</v>
      </c>
      <c r="K1245" t="s">
        <v>3477</v>
      </c>
      <c r="L1245">
        <v>256</v>
      </c>
      <c r="M1245" t="s">
        <v>3478</v>
      </c>
    </row>
    <row r="1246" spans="1:13" x14ac:dyDescent="0.45">
      <c r="A1246" t="s">
        <v>13</v>
      </c>
      <c r="B1246">
        <v>1342760</v>
      </c>
      <c r="C1246">
        <v>1343206</v>
      </c>
      <c r="E1246" t="s">
        <v>14</v>
      </c>
      <c r="F1246" t="s">
        <v>3479</v>
      </c>
      <c r="H1246">
        <v>0</v>
      </c>
      <c r="I1246" t="s">
        <v>17</v>
      </c>
      <c r="K1246" t="s">
        <v>3480</v>
      </c>
      <c r="L1246">
        <v>148</v>
      </c>
      <c r="M1246" t="s">
        <v>3481</v>
      </c>
    </row>
    <row r="1247" spans="1:13" x14ac:dyDescent="0.45">
      <c r="A1247" t="s">
        <v>13</v>
      </c>
      <c r="B1247">
        <v>1343224</v>
      </c>
      <c r="C1247">
        <v>1344417</v>
      </c>
      <c r="E1247" t="s">
        <v>14</v>
      </c>
      <c r="F1247" t="s">
        <v>3482</v>
      </c>
      <c r="G1247" t="s">
        <v>3483</v>
      </c>
      <c r="H1247">
        <v>0</v>
      </c>
      <c r="I1247" t="s">
        <v>17</v>
      </c>
      <c r="K1247" t="s">
        <v>3484</v>
      </c>
      <c r="L1247">
        <v>397</v>
      </c>
      <c r="M1247" t="s">
        <v>3485</v>
      </c>
    </row>
    <row r="1248" spans="1:13" x14ac:dyDescent="0.45">
      <c r="A1248" t="s">
        <v>13</v>
      </c>
      <c r="B1248">
        <v>1344471</v>
      </c>
      <c r="C1248">
        <v>1344911</v>
      </c>
      <c r="E1248" t="s">
        <v>14</v>
      </c>
      <c r="F1248" t="s">
        <v>3486</v>
      </c>
      <c r="G1248" t="s">
        <v>3487</v>
      </c>
      <c r="H1248">
        <v>0</v>
      </c>
      <c r="I1248" t="s">
        <v>17</v>
      </c>
      <c r="K1248" t="s">
        <v>3488</v>
      </c>
      <c r="L1248">
        <v>146</v>
      </c>
      <c r="M1248" t="s">
        <v>3489</v>
      </c>
    </row>
    <row r="1249" spans="1:13" x14ac:dyDescent="0.45">
      <c r="A1249" t="s">
        <v>13</v>
      </c>
      <c r="B1249">
        <v>1345200</v>
      </c>
      <c r="C1249">
        <v>1346279</v>
      </c>
      <c r="E1249" t="s">
        <v>14</v>
      </c>
      <c r="F1249" t="s">
        <v>3490</v>
      </c>
      <c r="G1249" t="s">
        <v>3491</v>
      </c>
      <c r="H1249">
        <v>0</v>
      </c>
      <c r="I1249" t="s">
        <v>17</v>
      </c>
      <c r="K1249" t="s">
        <v>3492</v>
      </c>
      <c r="L1249">
        <v>359</v>
      </c>
      <c r="M1249" t="s">
        <v>3493</v>
      </c>
    </row>
    <row r="1250" spans="1:13" x14ac:dyDescent="0.45">
      <c r="A1250" t="s">
        <v>13</v>
      </c>
      <c r="B1250">
        <v>1346728</v>
      </c>
      <c r="C1250">
        <v>1349367</v>
      </c>
      <c r="E1250" t="s">
        <v>14</v>
      </c>
      <c r="F1250" t="s">
        <v>3494</v>
      </c>
      <c r="G1250" t="s">
        <v>3495</v>
      </c>
      <c r="H1250">
        <v>0</v>
      </c>
      <c r="I1250" t="s">
        <v>17</v>
      </c>
      <c r="K1250" t="s">
        <v>3496</v>
      </c>
      <c r="L1250">
        <v>879</v>
      </c>
      <c r="M1250" t="s">
        <v>3497</v>
      </c>
    </row>
    <row r="1251" spans="1:13" x14ac:dyDescent="0.45">
      <c r="A1251" t="s">
        <v>13</v>
      </c>
      <c r="B1251">
        <v>1349392</v>
      </c>
      <c r="C1251">
        <v>1349649</v>
      </c>
      <c r="E1251" t="s">
        <v>14</v>
      </c>
      <c r="F1251" t="s">
        <v>3498</v>
      </c>
      <c r="H1251">
        <v>0</v>
      </c>
      <c r="I1251" t="s">
        <v>17</v>
      </c>
      <c r="K1251" t="s">
        <v>3499</v>
      </c>
      <c r="L1251">
        <v>85</v>
      </c>
      <c r="M1251" t="s">
        <v>3500</v>
      </c>
    </row>
    <row r="1252" spans="1:13" x14ac:dyDescent="0.45">
      <c r="A1252" t="s">
        <v>13</v>
      </c>
      <c r="B1252">
        <v>1349659</v>
      </c>
      <c r="C1252">
        <v>1351830</v>
      </c>
      <c r="E1252" t="s">
        <v>14</v>
      </c>
      <c r="F1252" t="s">
        <v>604</v>
      </c>
      <c r="H1252">
        <v>0</v>
      </c>
      <c r="I1252" t="s">
        <v>17</v>
      </c>
      <c r="K1252" t="s">
        <v>3501</v>
      </c>
      <c r="L1252">
        <v>723</v>
      </c>
      <c r="M1252" t="s">
        <v>3502</v>
      </c>
    </row>
    <row r="1253" spans="1:13" x14ac:dyDescent="0.45">
      <c r="A1253" t="s">
        <v>13</v>
      </c>
      <c r="B1253">
        <v>1352036</v>
      </c>
      <c r="C1253">
        <v>1352461</v>
      </c>
      <c r="E1253" t="s">
        <v>14</v>
      </c>
      <c r="F1253" t="s">
        <v>3503</v>
      </c>
      <c r="G1253" t="s">
        <v>3504</v>
      </c>
      <c r="H1253">
        <v>0</v>
      </c>
      <c r="I1253" t="s">
        <v>17</v>
      </c>
      <c r="K1253" t="s">
        <v>3505</v>
      </c>
      <c r="L1253">
        <v>141</v>
      </c>
      <c r="M1253" t="s">
        <v>3506</v>
      </c>
    </row>
    <row r="1254" spans="1:13" x14ac:dyDescent="0.45">
      <c r="A1254" t="s">
        <v>13</v>
      </c>
      <c r="B1254">
        <v>1352539</v>
      </c>
      <c r="C1254">
        <v>1352826</v>
      </c>
      <c r="E1254" t="s">
        <v>14</v>
      </c>
      <c r="F1254" t="s">
        <v>3507</v>
      </c>
      <c r="H1254">
        <v>0</v>
      </c>
      <c r="I1254" t="s">
        <v>17</v>
      </c>
      <c r="K1254" t="s">
        <v>3508</v>
      </c>
      <c r="L1254">
        <v>95</v>
      </c>
      <c r="M1254" t="s">
        <v>3509</v>
      </c>
    </row>
    <row r="1255" spans="1:13" x14ac:dyDescent="0.45">
      <c r="A1255" t="s">
        <v>13</v>
      </c>
      <c r="B1255">
        <v>1353108</v>
      </c>
      <c r="C1255">
        <v>1353566</v>
      </c>
      <c r="E1255" t="s">
        <v>14</v>
      </c>
      <c r="F1255" t="s">
        <v>2436</v>
      </c>
      <c r="H1255">
        <v>0</v>
      </c>
      <c r="I1255" t="s">
        <v>17</v>
      </c>
      <c r="K1255" t="s">
        <v>3510</v>
      </c>
      <c r="L1255">
        <v>152</v>
      </c>
      <c r="M1255" t="s">
        <v>3511</v>
      </c>
    </row>
    <row r="1256" spans="1:13" x14ac:dyDescent="0.45">
      <c r="A1256" t="s">
        <v>13</v>
      </c>
      <c r="B1256">
        <v>1353683</v>
      </c>
      <c r="C1256">
        <v>1354420</v>
      </c>
      <c r="E1256" t="s">
        <v>96</v>
      </c>
      <c r="F1256" t="s">
        <v>3512</v>
      </c>
      <c r="H1256">
        <v>0</v>
      </c>
      <c r="I1256" t="s">
        <v>17</v>
      </c>
      <c r="K1256" t="s">
        <v>3513</v>
      </c>
      <c r="L1256">
        <v>245</v>
      </c>
      <c r="M1256" t="s">
        <v>3514</v>
      </c>
    </row>
    <row r="1257" spans="1:13" x14ac:dyDescent="0.45">
      <c r="A1257" t="s">
        <v>13</v>
      </c>
      <c r="B1257">
        <v>1354637</v>
      </c>
      <c r="C1257">
        <v>1356313</v>
      </c>
      <c r="E1257" t="s">
        <v>14</v>
      </c>
      <c r="F1257" t="s">
        <v>3515</v>
      </c>
      <c r="H1257">
        <v>0</v>
      </c>
      <c r="I1257" t="s">
        <v>17</v>
      </c>
      <c r="K1257" t="s">
        <v>3516</v>
      </c>
      <c r="L1257">
        <v>558</v>
      </c>
      <c r="M1257" t="s">
        <v>3517</v>
      </c>
    </row>
    <row r="1258" spans="1:13" x14ac:dyDescent="0.45">
      <c r="A1258" t="s">
        <v>13</v>
      </c>
      <c r="B1258">
        <v>1356519</v>
      </c>
      <c r="C1258">
        <v>1356719</v>
      </c>
      <c r="E1258" t="s">
        <v>14</v>
      </c>
      <c r="F1258" t="s">
        <v>3518</v>
      </c>
      <c r="H1258">
        <v>0</v>
      </c>
      <c r="I1258" t="s">
        <v>17</v>
      </c>
      <c r="K1258" t="s">
        <v>3519</v>
      </c>
      <c r="L1258">
        <v>66</v>
      </c>
      <c r="M1258" t="s">
        <v>3520</v>
      </c>
    </row>
    <row r="1259" spans="1:13" x14ac:dyDescent="0.45">
      <c r="A1259" t="s">
        <v>13</v>
      </c>
      <c r="B1259">
        <v>1356773</v>
      </c>
      <c r="C1259">
        <v>1357936</v>
      </c>
      <c r="E1259" t="s">
        <v>14</v>
      </c>
      <c r="F1259" t="s">
        <v>1550</v>
      </c>
      <c r="H1259">
        <v>0</v>
      </c>
      <c r="I1259" t="s">
        <v>17</v>
      </c>
      <c r="K1259" t="s">
        <v>3521</v>
      </c>
      <c r="L1259">
        <v>387</v>
      </c>
      <c r="M1259" t="s">
        <v>3522</v>
      </c>
    </row>
    <row r="1260" spans="1:13" x14ac:dyDescent="0.45">
      <c r="A1260" t="s">
        <v>13</v>
      </c>
      <c r="B1260">
        <v>1358147</v>
      </c>
      <c r="C1260">
        <v>1358569</v>
      </c>
      <c r="E1260" t="s">
        <v>96</v>
      </c>
      <c r="F1260" t="s">
        <v>3523</v>
      </c>
      <c r="H1260">
        <v>0</v>
      </c>
      <c r="I1260" t="s">
        <v>17</v>
      </c>
      <c r="K1260" t="s">
        <v>3524</v>
      </c>
      <c r="L1260">
        <v>140</v>
      </c>
      <c r="M1260" t="s">
        <v>3525</v>
      </c>
    </row>
    <row r="1261" spans="1:13" x14ac:dyDescent="0.45">
      <c r="A1261" t="s">
        <v>13</v>
      </c>
      <c r="B1261">
        <v>1358590</v>
      </c>
      <c r="C1261">
        <v>1359426</v>
      </c>
      <c r="E1261" t="s">
        <v>96</v>
      </c>
      <c r="F1261" t="s">
        <v>196</v>
      </c>
      <c r="H1261">
        <v>0</v>
      </c>
      <c r="I1261" t="s">
        <v>17</v>
      </c>
      <c r="K1261" t="s">
        <v>3526</v>
      </c>
      <c r="L1261">
        <v>278</v>
      </c>
      <c r="M1261" t="s">
        <v>3527</v>
      </c>
    </row>
    <row r="1262" spans="1:13" x14ac:dyDescent="0.45">
      <c r="A1262" t="s">
        <v>13</v>
      </c>
      <c r="B1262">
        <v>1359724</v>
      </c>
      <c r="C1262">
        <v>1360320</v>
      </c>
      <c r="E1262" t="s">
        <v>14</v>
      </c>
      <c r="F1262" t="s">
        <v>3528</v>
      </c>
      <c r="H1262">
        <v>0</v>
      </c>
      <c r="I1262" t="s">
        <v>17</v>
      </c>
      <c r="K1262" t="s">
        <v>3529</v>
      </c>
      <c r="L1262">
        <v>198</v>
      </c>
      <c r="M1262" t="s">
        <v>3530</v>
      </c>
    </row>
    <row r="1263" spans="1:13" x14ac:dyDescent="0.45">
      <c r="A1263" t="s">
        <v>13</v>
      </c>
      <c r="B1263">
        <v>1360350</v>
      </c>
      <c r="C1263">
        <v>1361069</v>
      </c>
      <c r="E1263" t="s">
        <v>14</v>
      </c>
      <c r="F1263" t="s">
        <v>3531</v>
      </c>
      <c r="H1263">
        <v>0</v>
      </c>
      <c r="I1263" t="s">
        <v>17</v>
      </c>
      <c r="K1263" t="s">
        <v>3532</v>
      </c>
      <c r="L1263">
        <v>239</v>
      </c>
      <c r="M1263" t="s">
        <v>3533</v>
      </c>
    </row>
    <row r="1264" spans="1:13" x14ac:dyDescent="0.45">
      <c r="A1264" t="s">
        <v>13</v>
      </c>
      <c r="B1264">
        <v>1361071</v>
      </c>
      <c r="C1264">
        <v>1361610</v>
      </c>
      <c r="E1264" t="s">
        <v>14</v>
      </c>
      <c r="F1264" t="s">
        <v>3534</v>
      </c>
      <c r="G1264" t="s">
        <v>3535</v>
      </c>
      <c r="H1264">
        <v>0</v>
      </c>
      <c r="I1264" t="s">
        <v>17</v>
      </c>
      <c r="K1264" t="s">
        <v>3536</v>
      </c>
      <c r="L1264">
        <v>179</v>
      </c>
      <c r="M1264" t="s">
        <v>3537</v>
      </c>
    </row>
    <row r="1265" spans="1:13" x14ac:dyDescent="0.45">
      <c r="A1265" t="s">
        <v>13</v>
      </c>
      <c r="B1265">
        <v>1361772</v>
      </c>
      <c r="C1265">
        <v>1362401</v>
      </c>
      <c r="E1265" t="s">
        <v>14</v>
      </c>
      <c r="F1265" t="s">
        <v>3538</v>
      </c>
      <c r="H1265">
        <v>0</v>
      </c>
      <c r="I1265" t="s">
        <v>17</v>
      </c>
      <c r="K1265" t="s">
        <v>3539</v>
      </c>
      <c r="L1265">
        <v>209</v>
      </c>
      <c r="M1265" t="s">
        <v>3540</v>
      </c>
    </row>
    <row r="1266" spans="1:13" x14ac:dyDescent="0.45">
      <c r="A1266" t="s">
        <v>13</v>
      </c>
      <c r="B1266">
        <v>1362385</v>
      </c>
      <c r="C1266">
        <v>1362783</v>
      </c>
      <c r="E1266" t="s">
        <v>14</v>
      </c>
      <c r="F1266" t="s">
        <v>3541</v>
      </c>
      <c r="H1266">
        <v>0</v>
      </c>
      <c r="I1266" t="s">
        <v>17</v>
      </c>
      <c r="K1266" t="s">
        <v>3542</v>
      </c>
      <c r="L1266">
        <v>132</v>
      </c>
      <c r="M1266" t="s">
        <v>3543</v>
      </c>
    </row>
    <row r="1267" spans="1:13" x14ac:dyDescent="0.45">
      <c r="A1267" t="s">
        <v>13</v>
      </c>
      <c r="B1267">
        <v>1363031</v>
      </c>
      <c r="C1267">
        <v>1363471</v>
      </c>
      <c r="E1267" t="s">
        <v>14</v>
      </c>
      <c r="F1267" t="s">
        <v>1485</v>
      </c>
      <c r="H1267">
        <v>0</v>
      </c>
      <c r="I1267" t="s">
        <v>17</v>
      </c>
      <c r="K1267" t="s">
        <v>3544</v>
      </c>
      <c r="L1267">
        <v>146</v>
      </c>
      <c r="M1267" t="s">
        <v>3545</v>
      </c>
    </row>
    <row r="1268" spans="1:13" x14ac:dyDescent="0.45">
      <c r="A1268" t="s">
        <v>13</v>
      </c>
      <c r="B1268">
        <v>1363487</v>
      </c>
      <c r="C1268">
        <v>1364938</v>
      </c>
      <c r="E1268" t="s">
        <v>14</v>
      </c>
      <c r="F1268" t="s">
        <v>3546</v>
      </c>
      <c r="H1268">
        <v>0</v>
      </c>
      <c r="I1268" t="s">
        <v>17</v>
      </c>
      <c r="K1268" t="s">
        <v>3547</v>
      </c>
      <c r="L1268">
        <v>483</v>
      </c>
      <c r="M1268" t="s">
        <v>3548</v>
      </c>
    </row>
    <row r="1269" spans="1:13" x14ac:dyDescent="0.45">
      <c r="A1269" t="s">
        <v>13</v>
      </c>
      <c r="B1269">
        <v>1365029</v>
      </c>
      <c r="C1269">
        <v>1365697</v>
      </c>
      <c r="E1269" t="s">
        <v>96</v>
      </c>
      <c r="F1269" t="s">
        <v>3549</v>
      </c>
      <c r="H1269">
        <v>0</v>
      </c>
      <c r="I1269" t="s">
        <v>17</v>
      </c>
      <c r="K1269" t="s">
        <v>3550</v>
      </c>
      <c r="L1269">
        <v>222</v>
      </c>
      <c r="M1269" t="s">
        <v>3551</v>
      </c>
    </row>
    <row r="1270" spans="1:13" x14ac:dyDescent="0.45">
      <c r="A1270" t="s">
        <v>13</v>
      </c>
      <c r="B1270">
        <v>1365966</v>
      </c>
      <c r="C1270">
        <v>1366106</v>
      </c>
      <c r="E1270" t="s">
        <v>14</v>
      </c>
      <c r="F1270" t="s">
        <v>43</v>
      </c>
      <c r="H1270">
        <v>0</v>
      </c>
      <c r="I1270" t="s">
        <v>17</v>
      </c>
      <c r="K1270" t="s">
        <v>3552</v>
      </c>
      <c r="L1270">
        <v>46</v>
      </c>
      <c r="M1270" t="s">
        <v>3553</v>
      </c>
    </row>
    <row r="1271" spans="1:13" x14ac:dyDescent="0.45">
      <c r="A1271" t="s">
        <v>13</v>
      </c>
      <c r="B1271">
        <v>1366281</v>
      </c>
      <c r="C1271">
        <v>1366601</v>
      </c>
      <c r="E1271" t="s">
        <v>96</v>
      </c>
      <c r="F1271" t="s">
        <v>3554</v>
      </c>
      <c r="H1271">
        <v>0</v>
      </c>
      <c r="I1271" t="s">
        <v>17</v>
      </c>
      <c r="K1271" t="s">
        <v>3555</v>
      </c>
      <c r="L1271">
        <v>106</v>
      </c>
      <c r="M1271" t="s">
        <v>3556</v>
      </c>
    </row>
    <row r="1272" spans="1:13" x14ac:dyDescent="0.45">
      <c r="A1272" t="s">
        <v>13</v>
      </c>
      <c r="B1272">
        <v>1366721</v>
      </c>
      <c r="C1272">
        <v>1367458</v>
      </c>
      <c r="E1272" t="s">
        <v>96</v>
      </c>
      <c r="F1272" t="s">
        <v>3557</v>
      </c>
      <c r="H1272">
        <v>0</v>
      </c>
      <c r="I1272" t="s">
        <v>17</v>
      </c>
      <c r="K1272" t="s">
        <v>3558</v>
      </c>
      <c r="L1272">
        <v>245</v>
      </c>
      <c r="M1272" t="s">
        <v>3559</v>
      </c>
    </row>
    <row r="1273" spans="1:13" x14ac:dyDescent="0.45">
      <c r="A1273" t="s">
        <v>13</v>
      </c>
      <c r="B1273">
        <v>1367673</v>
      </c>
      <c r="C1273">
        <v>1369496</v>
      </c>
      <c r="E1273" t="s">
        <v>14</v>
      </c>
      <c r="F1273" t="s">
        <v>3560</v>
      </c>
      <c r="G1273" t="s">
        <v>3561</v>
      </c>
      <c r="H1273">
        <v>0</v>
      </c>
      <c r="I1273" t="s">
        <v>17</v>
      </c>
      <c r="K1273" t="s">
        <v>3562</v>
      </c>
      <c r="L1273">
        <v>607</v>
      </c>
      <c r="M1273" t="s">
        <v>3563</v>
      </c>
    </row>
    <row r="1274" spans="1:13" x14ac:dyDescent="0.45">
      <c r="A1274" t="s">
        <v>13</v>
      </c>
      <c r="B1274">
        <v>1369711</v>
      </c>
      <c r="C1274">
        <v>1374009</v>
      </c>
      <c r="E1274" t="s">
        <v>14</v>
      </c>
      <c r="F1274" t="s">
        <v>3564</v>
      </c>
      <c r="H1274">
        <v>0</v>
      </c>
      <c r="I1274" t="s">
        <v>17</v>
      </c>
      <c r="K1274" t="s">
        <v>3565</v>
      </c>
      <c r="L1274">
        <v>1432</v>
      </c>
      <c r="M1274" t="s">
        <v>3566</v>
      </c>
    </row>
    <row r="1275" spans="1:13" x14ac:dyDescent="0.45">
      <c r="A1275" t="s">
        <v>13</v>
      </c>
      <c r="B1275">
        <v>1374213</v>
      </c>
      <c r="C1275">
        <v>1374674</v>
      </c>
      <c r="E1275" t="s">
        <v>14</v>
      </c>
      <c r="F1275" t="s">
        <v>3567</v>
      </c>
      <c r="G1275" t="s">
        <v>3568</v>
      </c>
      <c r="H1275">
        <v>0</v>
      </c>
      <c r="I1275" t="s">
        <v>17</v>
      </c>
      <c r="K1275" t="s">
        <v>3569</v>
      </c>
      <c r="L1275">
        <v>153</v>
      </c>
      <c r="M1275" t="s">
        <v>3570</v>
      </c>
    </row>
    <row r="1276" spans="1:13" x14ac:dyDescent="0.45">
      <c r="A1276" t="s">
        <v>13</v>
      </c>
      <c r="B1276">
        <v>1374704</v>
      </c>
      <c r="C1276">
        <v>1375858</v>
      </c>
      <c r="E1276" t="s">
        <v>14</v>
      </c>
      <c r="F1276" t="s">
        <v>3571</v>
      </c>
      <c r="G1276" t="s">
        <v>3572</v>
      </c>
      <c r="H1276">
        <v>0</v>
      </c>
      <c r="I1276" t="s">
        <v>17</v>
      </c>
      <c r="K1276" t="s">
        <v>3573</v>
      </c>
      <c r="L1276">
        <v>384</v>
      </c>
      <c r="M1276" t="s">
        <v>3574</v>
      </c>
    </row>
    <row r="1277" spans="1:13" x14ac:dyDescent="0.45">
      <c r="A1277" t="s">
        <v>13</v>
      </c>
      <c r="B1277">
        <v>1375865</v>
      </c>
      <c r="C1277">
        <v>1376146</v>
      </c>
      <c r="E1277" t="s">
        <v>14</v>
      </c>
      <c r="F1277" t="s">
        <v>3575</v>
      </c>
      <c r="G1277" t="s">
        <v>3576</v>
      </c>
      <c r="H1277">
        <v>0</v>
      </c>
      <c r="I1277" t="s">
        <v>17</v>
      </c>
      <c r="K1277" t="s">
        <v>3577</v>
      </c>
      <c r="L1277">
        <v>93</v>
      </c>
      <c r="M1277" t="s">
        <v>3578</v>
      </c>
    </row>
    <row r="1278" spans="1:13" x14ac:dyDescent="0.45">
      <c r="A1278" t="s">
        <v>13</v>
      </c>
      <c r="B1278">
        <v>1376136</v>
      </c>
      <c r="C1278">
        <v>1376447</v>
      </c>
      <c r="E1278" t="s">
        <v>14</v>
      </c>
      <c r="F1278" t="s">
        <v>3579</v>
      </c>
      <c r="H1278">
        <v>0</v>
      </c>
      <c r="I1278" t="s">
        <v>17</v>
      </c>
      <c r="K1278" t="s">
        <v>3580</v>
      </c>
      <c r="L1278">
        <v>103</v>
      </c>
      <c r="M1278" t="s">
        <v>3581</v>
      </c>
    </row>
    <row r="1279" spans="1:13" x14ac:dyDescent="0.45">
      <c r="A1279" t="s">
        <v>13</v>
      </c>
      <c r="B1279">
        <v>1376469</v>
      </c>
      <c r="C1279">
        <v>1378409</v>
      </c>
      <c r="E1279" t="s">
        <v>14</v>
      </c>
      <c r="F1279" t="s">
        <v>3582</v>
      </c>
      <c r="G1279" t="s">
        <v>3583</v>
      </c>
      <c r="H1279">
        <v>0</v>
      </c>
      <c r="I1279" t="s">
        <v>17</v>
      </c>
      <c r="K1279" t="s">
        <v>3584</v>
      </c>
      <c r="L1279">
        <v>646</v>
      </c>
      <c r="M1279" t="s">
        <v>3585</v>
      </c>
    </row>
    <row r="1280" spans="1:13" x14ac:dyDescent="0.45">
      <c r="A1280" t="s">
        <v>13</v>
      </c>
      <c r="B1280">
        <v>1378452</v>
      </c>
      <c r="C1280">
        <v>1378832</v>
      </c>
      <c r="E1280" t="s">
        <v>14</v>
      </c>
      <c r="F1280" t="s">
        <v>3586</v>
      </c>
      <c r="G1280" t="s">
        <v>3587</v>
      </c>
      <c r="H1280">
        <v>0</v>
      </c>
      <c r="I1280" t="s">
        <v>17</v>
      </c>
      <c r="K1280" t="s">
        <v>3588</v>
      </c>
      <c r="L1280">
        <v>126</v>
      </c>
      <c r="M1280" t="s">
        <v>3589</v>
      </c>
    </row>
    <row r="1281" spans="1:13" x14ac:dyDescent="0.45">
      <c r="A1281" t="s">
        <v>13</v>
      </c>
      <c r="B1281">
        <v>1378813</v>
      </c>
      <c r="C1281">
        <v>1379796</v>
      </c>
      <c r="E1281" t="s">
        <v>14</v>
      </c>
      <c r="F1281" t="s">
        <v>3590</v>
      </c>
      <c r="H1281">
        <v>0</v>
      </c>
      <c r="I1281" t="s">
        <v>17</v>
      </c>
      <c r="K1281" t="s">
        <v>3591</v>
      </c>
      <c r="L1281">
        <v>327</v>
      </c>
      <c r="M1281" t="s">
        <v>3592</v>
      </c>
    </row>
    <row r="1282" spans="1:13" x14ac:dyDescent="0.45">
      <c r="A1282" t="s">
        <v>13</v>
      </c>
      <c r="B1282">
        <v>1379809</v>
      </c>
      <c r="C1282">
        <v>1380714</v>
      </c>
      <c r="E1282" t="s">
        <v>14</v>
      </c>
      <c r="F1282" t="s">
        <v>3593</v>
      </c>
      <c r="G1282" t="s">
        <v>3594</v>
      </c>
      <c r="H1282">
        <v>0</v>
      </c>
      <c r="I1282" t="s">
        <v>17</v>
      </c>
      <c r="K1282" t="s">
        <v>3595</v>
      </c>
      <c r="L1282">
        <v>301</v>
      </c>
      <c r="M1282" t="s">
        <v>3596</v>
      </c>
    </row>
    <row r="1283" spans="1:13" x14ac:dyDescent="0.45">
      <c r="A1283" t="s">
        <v>13</v>
      </c>
      <c r="B1283">
        <v>1380845</v>
      </c>
      <c r="C1283">
        <v>1381774</v>
      </c>
      <c r="E1283" t="s">
        <v>14</v>
      </c>
      <c r="F1283" t="s">
        <v>3597</v>
      </c>
      <c r="H1283">
        <v>0</v>
      </c>
      <c r="I1283" t="s">
        <v>17</v>
      </c>
      <c r="K1283" t="s">
        <v>3598</v>
      </c>
      <c r="L1283">
        <v>309</v>
      </c>
      <c r="M1283" t="s">
        <v>3599</v>
      </c>
    </row>
    <row r="1284" spans="1:13" x14ac:dyDescent="0.45">
      <c r="A1284" t="s">
        <v>13</v>
      </c>
      <c r="B1284">
        <v>1381878</v>
      </c>
      <c r="C1284">
        <v>1382135</v>
      </c>
      <c r="E1284" t="s">
        <v>14</v>
      </c>
      <c r="F1284" t="s">
        <v>3600</v>
      </c>
      <c r="G1284" t="s">
        <v>3601</v>
      </c>
      <c r="H1284">
        <v>0</v>
      </c>
      <c r="I1284" t="s">
        <v>17</v>
      </c>
      <c r="K1284" t="s">
        <v>3602</v>
      </c>
      <c r="L1284">
        <v>85</v>
      </c>
      <c r="M1284" t="s">
        <v>3603</v>
      </c>
    </row>
    <row r="1285" spans="1:13" x14ac:dyDescent="0.45">
      <c r="A1285" t="s">
        <v>13</v>
      </c>
      <c r="B1285">
        <v>1382375</v>
      </c>
      <c r="C1285">
        <v>1383220</v>
      </c>
      <c r="E1285" t="s">
        <v>14</v>
      </c>
      <c r="F1285" t="s">
        <v>1694</v>
      </c>
      <c r="H1285">
        <v>0</v>
      </c>
      <c r="I1285" t="s">
        <v>17</v>
      </c>
      <c r="K1285" t="s">
        <v>3604</v>
      </c>
      <c r="L1285">
        <v>281</v>
      </c>
      <c r="M1285" t="s">
        <v>3605</v>
      </c>
    </row>
    <row r="1286" spans="1:13" x14ac:dyDescent="0.45">
      <c r="A1286" t="s">
        <v>13</v>
      </c>
      <c r="B1286">
        <v>1383345</v>
      </c>
      <c r="C1286">
        <v>1385456</v>
      </c>
      <c r="E1286" t="s">
        <v>14</v>
      </c>
      <c r="F1286" t="s">
        <v>3606</v>
      </c>
      <c r="G1286" t="s">
        <v>3607</v>
      </c>
      <c r="H1286">
        <v>0</v>
      </c>
      <c r="I1286" t="s">
        <v>17</v>
      </c>
      <c r="K1286" t="s">
        <v>3608</v>
      </c>
      <c r="L1286">
        <v>703</v>
      </c>
      <c r="M1286" t="s">
        <v>3609</v>
      </c>
    </row>
    <row r="1287" spans="1:13" x14ac:dyDescent="0.45">
      <c r="A1287" t="s">
        <v>13</v>
      </c>
      <c r="B1287">
        <v>1385722</v>
      </c>
      <c r="C1287">
        <v>1386465</v>
      </c>
      <c r="E1287" t="s">
        <v>14</v>
      </c>
      <c r="F1287" t="s">
        <v>3610</v>
      </c>
      <c r="H1287">
        <v>0</v>
      </c>
      <c r="I1287" t="s">
        <v>17</v>
      </c>
      <c r="K1287" t="s">
        <v>3611</v>
      </c>
      <c r="L1287">
        <v>247</v>
      </c>
      <c r="M1287" t="s">
        <v>3612</v>
      </c>
    </row>
    <row r="1288" spans="1:13" x14ac:dyDescent="0.45">
      <c r="A1288" t="s">
        <v>13</v>
      </c>
      <c r="B1288">
        <v>1386623</v>
      </c>
      <c r="C1288">
        <v>1387870</v>
      </c>
      <c r="E1288" t="s">
        <v>14</v>
      </c>
      <c r="F1288" t="s">
        <v>3613</v>
      </c>
      <c r="H1288">
        <v>0</v>
      </c>
      <c r="I1288" t="s">
        <v>17</v>
      </c>
      <c r="K1288" t="s">
        <v>3614</v>
      </c>
      <c r="L1288">
        <v>415</v>
      </c>
      <c r="M1288" t="s">
        <v>3615</v>
      </c>
    </row>
    <row r="1289" spans="1:13" x14ac:dyDescent="0.45">
      <c r="A1289" t="s">
        <v>13</v>
      </c>
      <c r="B1289">
        <v>1387905</v>
      </c>
      <c r="C1289">
        <v>1388150</v>
      </c>
      <c r="E1289" t="s">
        <v>14</v>
      </c>
      <c r="F1289" t="s">
        <v>3616</v>
      </c>
      <c r="H1289">
        <v>0</v>
      </c>
      <c r="I1289" t="s">
        <v>17</v>
      </c>
      <c r="K1289" t="s">
        <v>3617</v>
      </c>
      <c r="L1289">
        <v>81</v>
      </c>
      <c r="M1289" t="s">
        <v>3618</v>
      </c>
    </row>
    <row r="1290" spans="1:13" x14ac:dyDescent="0.45">
      <c r="A1290" t="s">
        <v>13</v>
      </c>
      <c r="B1290">
        <v>1388160</v>
      </c>
      <c r="C1290">
        <v>1389383</v>
      </c>
      <c r="E1290" t="s">
        <v>14</v>
      </c>
      <c r="F1290" t="s">
        <v>3619</v>
      </c>
      <c r="G1290" t="s">
        <v>3620</v>
      </c>
      <c r="H1290">
        <v>0</v>
      </c>
      <c r="I1290" t="s">
        <v>17</v>
      </c>
      <c r="K1290" t="s">
        <v>3621</v>
      </c>
      <c r="L1290">
        <v>407</v>
      </c>
      <c r="M1290" t="s">
        <v>3622</v>
      </c>
    </row>
    <row r="1291" spans="1:13" x14ac:dyDescent="0.45">
      <c r="A1291" t="s">
        <v>13</v>
      </c>
      <c r="B1291">
        <v>1389496</v>
      </c>
      <c r="C1291">
        <v>1390230</v>
      </c>
      <c r="E1291" t="s">
        <v>14</v>
      </c>
      <c r="F1291" t="s">
        <v>3623</v>
      </c>
      <c r="H1291">
        <v>0</v>
      </c>
      <c r="I1291" t="s">
        <v>17</v>
      </c>
      <c r="K1291" t="s">
        <v>3624</v>
      </c>
      <c r="L1291">
        <v>244</v>
      </c>
      <c r="M1291" t="s">
        <v>3625</v>
      </c>
    </row>
    <row r="1292" spans="1:13" x14ac:dyDescent="0.45">
      <c r="A1292" t="s">
        <v>13</v>
      </c>
      <c r="B1292">
        <v>1390353</v>
      </c>
      <c r="C1292">
        <v>1392764</v>
      </c>
      <c r="E1292" t="s">
        <v>14</v>
      </c>
      <c r="F1292" t="s">
        <v>3626</v>
      </c>
      <c r="H1292">
        <v>0</v>
      </c>
      <c r="I1292" t="s">
        <v>17</v>
      </c>
      <c r="K1292" t="s">
        <v>3627</v>
      </c>
      <c r="L1292">
        <v>803</v>
      </c>
      <c r="M1292" t="s">
        <v>3628</v>
      </c>
    </row>
    <row r="1293" spans="1:13" x14ac:dyDescent="0.45">
      <c r="A1293" t="s">
        <v>13</v>
      </c>
      <c r="B1293">
        <v>1392767</v>
      </c>
      <c r="C1293">
        <v>1393825</v>
      </c>
      <c r="E1293" t="s">
        <v>14</v>
      </c>
      <c r="F1293" t="s">
        <v>3629</v>
      </c>
      <c r="G1293" t="s">
        <v>3630</v>
      </c>
      <c r="H1293">
        <v>0</v>
      </c>
      <c r="I1293" t="s">
        <v>17</v>
      </c>
      <c r="K1293" t="s">
        <v>3631</v>
      </c>
      <c r="L1293">
        <v>352</v>
      </c>
      <c r="M1293" t="s">
        <v>3632</v>
      </c>
    </row>
    <row r="1294" spans="1:13" x14ac:dyDescent="0.45">
      <c r="A1294" t="s">
        <v>13</v>
      </c>
      <c r="B1294">
        <v>1393819</v>
      </c>
      <c r="C1294">
        <v>1395153</v>
      </c>
      <c r="E1294" t="s">
        <v>14</v>
      </c>
      <c r="F1294" t="s">
        <v>3633</v>
      </c>
      <c r="G1294" t="s">
        <v>3634</v>
      </c>
      <c r="H1294">
        <v>0</v>
      </c>
      <c r="I1294" t="s">
        <v>17</v>
      </c>
      <c r="K1294" t="s">
        <v>3635</v>
      </c>
      <c r="L1294">
        <v>444</v>
      </c>
      <c r="M1294" t="s">
        <v>3636</v>
      </c>
    </row>
    <row r="1295" spans="1:13" x14ac:dyDescent="0.45">
      <c r="A1295" t="s">
        <v>13</v>
      </c>
      <c r="B1295">
        <v>1395140</v>
      </c>
      <c r="C1295">
        <v>1395682</v>
      </c>
      <c r="E1295" t="s">
        <v>14</v>
      </c>
      <c r="F1295" t="s">
        <v>3637</v>
      </c>
      <c r="G1295" t="s">
        <v>3638</v>
      </c>
      <c r="H1295">
        <v>0</v>
      </c>
      <c r="I1295" t="s">
        <v>17</v>
      </c>
      <c r="K1295" t="s">
        <v>3639</v>
      </c>
      <c r="L1295">
        <v>180</v>
      </c>
      <c r="M1295" t="s">
        <v>3640</v>
      </c>
    </row>
    <row r="1296" spans="1:13" x14ac:dyDescent="0.45">
      <c r="A1296" t="s">
        <v>13</v>
      </c>
      <c r="B1296">
        <v>1395970</v>
      </c>
      <c r="C1296">
        <v>1397016</v>
      </c>
      <c r="E1296" t="s">
        <v>14</v>
      </c>
      <c r="F1296" t="s">
        <v>3641</v>
      </c>
      <c r="G1296" t="s">
        <v>3642</v>
      </c>
      <c r="H1296">
        <v>0</v>
      </c>
      <c r="I1296" t="s">
        <v>17</v>
      </c>
      <c r="K1296" t="s">
        <v>3643</v>
      </c>
      <c r="L1296">
        <v>348</v>
      </c>
      <c r="M1296" t="s">
        <v>3644</v>
      </c>
    </row>
    <row r="1297" spans="1:13" x14ac:dyDescent="0.45">
      <c r="A1297" t="s">
        <v>13</v>
      </c>
      <c r="B1297">
        <v>1397192</v>
      </c>
      <c r="C1297">
        <v>1398733</v>
      </c>
      <c r="E1297" t="s">
        <v>14</v>
      </c>
      <c r="F1297" t="s">
        <v>3645</v>
      </c>
      <c r="G1297" t="s">
        <v>3646</v>
      </c>
      <c r="H1297">
        <v>0</v>
      </c>
      <c r="I1297" t="s">
        <v>17</v>
      </c>
      <c r="K1297" t="s">
        <v>3647</v>
      </c>
      <c r="L1297">
        <v>513</v>
      </c>
      <c r="M1297" t="s">
        <v>3648</v>
      </c>
    </row>
    <row r="1298" spans="1:13" x14ac:dyDescent="0.45">
      <c r="A1298" t="s">
        <v>13</v>
      </c>
      <c r="B1298">
        <v>1399368</v>
      </c>
      <c r="C1298">
        <v>1401149</v>
      </c>
      <c r="E1298" t="s">
        <v>14</v>
      </c>
      <c r="F1298" t="s">
        <v>3649</v>
      </c>
      <c r="H1298">
        <v>0</v>
      </c>
      <c r="I1298" t="s">
        <v>17</v>
      </c>
      <c r="K1298" t="s">
        <v>3650</v>
      </c>
      <c r="L1298">
        <v>593</v>
      </c>
      <c r="M1298" t="s">
        <v>3651</v>
      </c>
    </row>
    <row r="1299" spans="1:13" x14ac:dyDescent="0.45">
      <c r="A1299" t="s">
        <v>13</v>
      </c>
      <c r="B1299">
        <v>1401231</v>
      </c>
      <c r="C1299">
        <v>1401761</v>
      </c>
      <c r="E1299" t="s">
        <v>96</v>
      </c>
      <c r="F1299" t="s">
        <v>1653</v>
      </c>
      <c r="G1299" t="s">
        <v>1654</v>
      </c>
      <c r="H1299">
        <v>0</v>
      </c>
      <c r="I1299" t="s">
        <v>17</v>
      </c>
      <c r="K1299" t="s">
        <v>3652</v>
      </c>
      <c r="L1299">
        <v>176</v>
      </c>
      <c r="M1299" t="s">
        <v>3653</v>
      </c>
    </row>
    <row r="1300" spans="1:13" x14ac:dyDescent="0.45">
      <c r="A1300" t="s">
        <v>13</v>
      </c>
      <c r="B1300">
        <v>1401801</v>
      </c>
      <c r="C1300">
        <v>1402625</v>
      </c>
      <c r="E1300" t="s">
        <v>96</v>
      </c>
      <c r="F1300" t="s">
        <v>3654</v>
      </c>
      <c r="H1300">
        <v>0</v>
      </c>
      <c r="I1300" t="s">
        <v>17</v>
      </c>
      <c r="K1300" t="s">
        <v>3655</v>
      </c>
      <c r="L1300">
        <v>274</v>
      </c>
      <c r="M1300" t="s">
        <v>3656</v>
      </c>
    </row>
    <row r="1301" spans="1:13" x14ac:dyDescent="0.45">
      <c r="A1301" t="s">
        <v>13</v>
      </c>
      <c r="B1301">
        <v>1402882</v>
      </c>
      <c r="C1301">
        <v>1403790</v>
      </c>
      <c r="E1301" t="s">
        <v>14</v>
      </c>
      <c r="F1301" t="s">
        <v>3130</v>
      </c>
      <c r="H1301">
        <v>0</v>
      </c>
      <c r="I1301" t="s">
        <v>17</v>
      </c>
      <c r="K1301" t="s">
        <v>3657</v>
      </c>
      <c r="L1301">
        <v>302</v>
      </c>
      <c r="M1301" t="s">
        <v>3658</v>
      </c>
    </row>
    <row r="1302" spans="1:13" x14ac:dyDescent="0.45">
      <c r="A1302" t="s">
        <v>13</v>
      </c>
      <c r="B1302">
        <v>1403934</v>
      </c>
      <c r="C1302">
        <v>1405379</v>
      </c>
      <c r="E1302" t="s">
        <v>14</v>
      </c>
      <c r="F1302" t="s">
        <v>3659</v>
      </c>
      <c r="G1302" t="s">
        <v>3660</v>
      </c>
      <c r="H1302">
        <v>0</v>
      </c>
      <c r="I1302" t="s">
        <v>17</v>
      </c>
      <c r="K1302" t="s">
        <v>3661</v>
      </c>
      <c r="L1302">
        <v>481</v>
      </c>
      <c r="M1302" t="s">
        <v>3662</v>
      </c>
    </row>
    <row r="1303" spans="1:13" x14ac:dyDescent="0.45">
      <c r="A1303" t="s">
        <v>13</v>
      </c>
      <c r="B1303">
        <v>1405690</v>
      </c>
      <c r="C1303">
        <v>1406142</v>
      </c>
      <c r="E1303" t="s">
        <v>14</v>
      </c>
      <c r="F1303" t="s">
        <v>1485</v>
      </c>
      <c r="H1303">
        <v>0</v>
      </c>
      <c r="I1303" t="s">
        <v>17</v>
      </c>
      <c r="K1303" t="s">
        <v>3663</v>
      </c>
      <c r="L1303">
        <v>150</v>
      </c>
      <c r="M1303" t="s">
        <v>3664</v>
      </c>
    </row>
    <row r="1304" spans="1:13" x14ac:dyDescent="0.45">
      <c r="A1304" t="s">
        <v>13</v>
      </c>
      <c r="B1304">
        <v>1406555</v>
      </c>
      <c r="C1304">
        <v>1408132</v>
      </c>
      <c r="E1304" t="s">
        <v>14</v>
      </c>
      <c r="F1304" t="s">
        <v>3665</v>
      </c>
      <c r="H1304">
        <v>0</v>
      </c>
      <c r="I1304" t="s">
        <v>17</v>
      </c>
      <c r="K1304" t="s">
        <v>3666</v>
      </c>
      <c r="L1304">
        <v>525</v>
      </c>
      <c r="M1304" t="s">
        <v>3667</v>
      </c>
    </row>
    <row r="1305" spans="1:13" x14ac:dyDescent="0.45">
      <c r="A1305" t="s">
        <v>13</v>
      </c>
      <c r="B1305">
        <v>1408291</v>
      </c>
      <c r="C1305">
        <v>1409043</v>
      </c>
      <c r="E1305" t="s">
        <v>14</v>
      </c>
      <c r="F1305" t="s">
        <v>1462</v>
      </c>
      <c r="H1305">
        <v>0</v>
      </c>
      <c r="I1305" t="s">
        <v>17</v>
      </c>
      <c r="K1305" t="s">
        <v>3668</v>
      </c>
      <c r="L1305">
        <v>250</v>
      </c>
      <c r="M1305" t="s">
        <v>3669</v>
      </c>
    </row>
    <row r="1306" spans="1:13" x14ac:dyDescent="0.45">
      <c r="A1306" t="s">
        <v>13</v>
      </c>
      <c r="B1306">
        <v>1409176</v>
      </c>
      <c r="C1306">
        <v>1410522</v>
      </c>
      <c r="E1306" t="s">
        <v>14</v>
      </c>
      <c r="F1306" t="s">
        <v>2530</v>
      </c>
      <c r="H1306">
        <v>0</v>
      </c>
      <c r="I1306" t="s">
        <v>17</v>
      </c>
      <c r="K1306" t="s">
        <v>3670</v>
      </c>
      <c r="L1306">
        <v>448</v>
      </c>
      <c r="M1306" t="s">
        <v>3671</v>
      </c>
    </row>
    <row r="1307" spans="1:13" x14ac:dyDescent="0.45">
      <c r="A1307" t="s">
        <v>13</v>
      </c>
      <c r="B1307">
        <v>1410634</v>
      </c>
      <c r="C1307">
        <v>1411830</v>
      </c>
      <c r="E1307" t="s">
        <v>96</v>
      </c>
      <c r="F1307" t="s">
        <v>509</v>
      </c>
      <c r="H1307">
        <v>0</v>
      </c>
      <c r="I1307" t="s">
        <v>17</v>
      </c>
      <c r="K1307" t="s">
        <v>3672</v>
      </c>
      <c r="L1307">
        <v>398</v>
      </c>
      <c r="M1307" t="s">
        <v>3673</v>
      </c>
    </row>
    <row r="1308" spans="1:13" x14ac:dyDescent="0.45">
      <c r="A1308" t="s">
        <v>13</v>
      </c>
      <c r="B1308">
        <v>1412215</v>
      </c>
      <c r="C1308">
        <v>1413165</v>
      </c>
      <c r="E1308" t="s">
        <v>14</v>
      </c>
      <c r="F1308" t="s">
        <v>3674</v>
      </c>
      <c r="G1308" t="s">
        <v>3675</v>
      </c>
      <c r="H1308">
        <v>0</v>
      </c>
      <c r="I1308" t="s">
        <v>17</v>
      </c>
      <c r="K1308" t="s">
        <v>3676</v>
      </c>
      <c r="L1308">
        <v>316</v>
      </c>
      <c r="M1308" t="s">
        <v>3677</v>
      </c>
    </row>
    <row r="1309" spans="1:13" x14ac:dyDescent="0.45">
      <c r="A1309" t="s">
        <v>13</v>
      </c>
      <c r="B1309">
        <v>1413326</v>
      </c>
      <c r="C1309">
        <v>1414078</v>
      </c>
      <c r="E1309" t="s">
        <v>14</v>
      </c>
      <c r="F1309" t="s">
        <v>3678</v>
      </c>
      <c r="H1309">
        <v>0</v>
      </c>
      <c r="I1309" t="s">
        <v>17</v>
      </c>
      <c r="K1309" t="s">
        <v>3679</v>
      </c>
      <c r="L1309">
        <v>250</v>
      </c>
      <c r="M1309" t="s">
        <v>3680</v>
      </c>
    </row>
    <row r="1310" spans="1:13" x14ac:dyDescent="0.45">
      <c r="A1310" t="s">
        <v>13</v>
      </c>
      <c r="B1310">
        <v>1414170</v>
      </c>
      <c r="C1310">
        <v>1414946</v>
      </c>
      <c r="E1310" t="s">
        <v>96</v>
      </c>
      <c r="F1310" t="s">
        <v>3681</v>
      </c>
      <c r="H1310">
        <v>0</v>
      </c>
      <c r="I1310" t="s">
        <v>17</v>
      </c>
      <c r="K1310" t="s">
        <v>3682</v>
      </c>
      <c r="L1310">
        <v>258</v>
      </c>
      <c r="M1310" t="s">
        <v>3683</v>
      </c>
    </row>
    <row r="1311" spans="1:13" x14ac:dyDescent="0.45">
      <c r="A1311" t="s">
        <v>13</v>
      </c>
      <c r="B1311">
        <v>1415261</v>
      </c>
      <c r="C1311">
        <v>1417159</v>
      </c>
      <c r="E1311" t="s">
        <v>14</v>
      </c>
      <c r="F1311" t="s">
        <v>3684</v>
      </c>
      <c r="H1311">
        <v>0</v>
      </c>
      <c r="I1311" t="s">
        <v>17</v>
      </c>
      <c r="K1311" t="s">
        <v>3685</v>
      </c>
      <c r="L1311">
        <v>632</v>
      </c>
      <c r="M1311" t="s">
        <v>3686</v>
      </c>
    </row>
    <row r="1312" spans="1:13" x14ac:dyDescent="0.45">
      <c r="A1312" t="s">
        <v>13</v>
      </c>
      <c r="B1312">
        <v>1417287</v>
      </c>
      <c r="C1312">
        <v>1418408</v>
      </c>
      <c r="E1312" t="s">
        <v>96</v>
      </c>
      <c r="F1312" t="s">
        <v>97</v>
      </c>
      <c r="H1312">
        <v>0</v>
      </c>
      <c r="I1312" t="s">
        <v>17</v>
      </c>
      <c r="K1312" t="s">
        <v>3687</v>
      </c>
      <c r="L1312">
        <v>373</v>
      </c>
      <c r="M1312" t="s">
        <v>3688</v>
      </c>
    </row>
    <row r="1313" spans="1:13" x14ac:dyDescent="0.45">
      <c r="A1313" t="s">
        <v>13</v>
      </c>
      <c r="B1313">
        <v>1418607</v>
      </c>
      <c r="C1313">
        <v>1418939</v>
      </c>
      <c r="E1313" t="s">
        <v>14</v>
      </c>
      <c r="F1313" t="s">
        <v>1728</v>
      </c>
      <c r="H1313">
        <v>0</v>
      </c>
      <c r="I1313" t="s">
        <v>17</v>
      </c>
      <c r="K1313" t="s">
        <v>3689</v>
      </c>
      <c r="L1313">
        <v>110</v>
      </c>
      <c r="M1313" t="s">
        <v>3690</v>
      </c>
    </row>
    <row r="1314" spans="1:13" x14ac:dyDescent="0.45">
      <c r="A1314" t="s">
        <v>13</v>
      </c>
      <c r="B1314">
        <v>1418926</v>
      </c>
      <c r="C1314">
        <v>1419984</v>
      </c>
      <c r="E1314" t="s">
        <v>14</v>
      </c>
      <c r="F1314" t="s">
        <v>3691</v>
      </c>
      <c r="H1314">
        <v>0</v>
      </c>
      <c r="I1314" t="s">
        <v>17</v>
      </c>
      <c r="K1314" t="s">
        <v>3692</v>
      </c>
      <c r="L1314">
        <v>352</v>
      </c>
      <c r="M1314" t="s">
        <v>3693</v>
      </c>
    </row>
    <row r="1315" spans="1:13" x14ac:dyDescent="0.45">
      <c r="A1315" t="s">
        <v>13</v>
      </c>
      <c r="B1315">
        <v>1419977</v>
      </c>
      <c r="C1315">
        <v>1421047</v>
      </c>
      <c r="E1315" t="s">
        <v>14</v>
      </c>
      <c r="F1315" t="s">
        <v>1722</v>
      </c>
      <c r="H1315">
        <v>0</v>
      </c>
      <c r="I1315" t="s">
        <v>17</v>
      </c>
      <c r="K1315" t="s">
        <v>3694</v>
      </c>
      <c r="L1315">
        <v>356</v>
      </c>
      <c r="M1315" t="s">
        <v>3695</v>
      </c>
    </row>
    <row r="1316" spans="1:13" x14ac:dyDescent="0.45">
      <c r="A1316" t="s">
        <v>13</v>
      </c>
      <c r="B1316">
        <v>1421149</v>
      </c>
      <c r="C1316">
        <v>1421685</v>
      </c>
      <c r="E1316" t="s">
        <v>14</v>
      </c>
      <c r="F1316" t="s">
        <v>1629</v>
      </c>
      <c r="H1316">
        <v>0</v>
      </c>
      <c r="I1316" t="s">
        <v>17</v>
      </c>
      <c r="K1316" t="s">
        <v>3696</v>
      </c>
      <c r="L1316">
        <v>178</v>
      </c>
      <c r="M1316" t="s">
        <v>3697</v>
      </c>
    </row>
    <row r="1317" spans="1:13" x14ac:dyDescent="0.45">
      <c r="A1317" t="s">
        <v>13</v>
      </c>
      <c r="B1317">
        <v>1421802</v>
      </c>
      <c r="C1317">
        <v>1422509</v>
      </c>
      <c r="E1317" t="s">
        <v>14</v>
      </c>
      <c r="F1317" t="s">
        <v>1498</v>
      </c>
      <c r="H1317">
        <v>0</v>
      </c>
      <c r="I1317" t="s">
        <v>17</v>
      </c>
      <c r="K1317" t="s">
        <v>3698</v>
      </c>
      <c r="L1317">
        <v>235</v>
      </c>
      <c r="M1317" t="s">
        <v>3699</v>
      </c>
    </row>
    <row r="1318" spans="1:13" x14ac:dyDescent="0.45">
      <c r="A1318" t="s">
        <v>13</v>
      </c>
      <c r="B1318">
        <v>1422511</v>
      </c>
      <c r="C1318">
        <v>1423227</v>
      </c>
      <c r="E1318" t="s">
        <v>14</v>
      </c>
      <c r="F1318" t="s">
        <v>1501</v>
      </c>
      <c r="H1318">
        <v>0</v>
      </c>
      <c r="I1318" t="s">
        <v>17</v>
      </c>
      <c r="K1318" t="s">
        <v>3700</v>
      </c>
      <c r="L1318">
        <v>238</v>
      </c>
      <c r="M1318" t="s">
        <v>3701</v>
      </c>
    </row>
    <row r="1319" spans="1:13" x14ac:dyDescent="0.45">
      <c r="A1319" t="s">
        <v>13</v>
      </c>
      <c r="B1319">
        <v>1423229</v>
      </c>
      <c r="C1319">
        <v>1423987</v>
      </c>
      <c r="E1319" t="s">
        <v>14</v>
      </c>
      <c r="F1319" t="s">
        <v>1504</v>
      </c>
      <c r="H1319">
        <v>0</v>
      </c>
      <c r="I1319" t="s">
        <v>17</v>
      </c>
      <c r="K1319" t="s">
        <v>3702</v>
      </c>
      <c r="L1319">
        <v>252</v>
      </c>
      <c r="M1319" t="s">
        <v>3703</v>
      </c>
    </row>
    <row r="1320" spans="1:13" x14ac:dyDescent="0.45">
      <c r="A1320" t="s">
        <v>13</v>
      </c>
      <c r="B1320">
        <v>1424131</v>
      </c>
      <c r="C1320">
        <v>1425519</v>
      </c>
      <c r="E1320" t="s">
        <v>14</v>
      </c>
      <c r="F1320" t="s">
        <v>3704</v>
      </c>
      <c r="H1320">
        <v>0</v>
      </c>
      <c r="I1320" t="s">
        <v>17</v>
      </c>
      <c r="K1320" t="s">
        <v>3705</v>
      </c>
      <c r="L1320">
        <v>462</v>
      </c>
      <c r="M1320" t="s">
        <v>3706</v>
      </c>
    </row>
    <row r="1321" spans="1:13" x14ac:dyDescent="0.45">
      <c r="A1321" t="s">
        <v>13</v>
      </c>
      <c r="B1321">
        <v>1425595</v>
      </c>
      <c r="C1321">
        <v>1426416</v>
      </c>
      <c r="E1321" t="s">
        <v>96</v>
      </c>
      <c r="F1321" t="s">
        <v>3707</v>
      </c>
      <c r="H1321">
        <v>0</v>
      </c>
      <c r="I1321" t="s">
        <v>17</v>
      </c>
      <c r="K1321" t="s">
        <v>3708</v>
      </c>
      <c r="L1321">
        <v>273</v>
      </c>
      <c r="M1321" t="s">
        <v>3709</v>
      </c>
    </row>
    <row r="1322" spans="1:13" x14ac:dyDescent="0.45">
      <c r="A1322" t="s">
        <v>13</v>
      </c>
      <c r="B1322">
        <v>1426667</v>
      </c>
      <c r="C1322">
        <v>1427821</v>
      </c>
      <c r="E1322" t="s">
        <v>14</v>
      </c>
      <c r="F1322" t="s">
        <v>3710</v>
      </c>
      <c r="H1322">
        <v>0</v>
      </c>
      <c r="I1322" t="s">
        <v>17</v>
      </c>
      <c r="K1322" t="s">
        <v>3711</v>
      </c>
      <c r="L1322">
        <v>384</v>
      </c>
      <c r="M1322" t="s">
        <v>3712</v>
      </c>
    </row>
    <row r="1323" spans="1:13" x14ac:dyDescent="0.45">
      <c r="A1323" t="s">
        <v>13</v>
      </c>
      <c r="B1323">
        <v>1428004</v>
      </c>
      <c r="C1323">
        <v>1428204</v>
      </c>
      <c r="E1323" t="s">
        <v>14</v>
      </c>
      <c r="F1323" t="s">
        <v>2616</v>
      </c>
      <c r="H1323">
        <v>0</v>
      </c>
      <c r="I1323" t="s">
        <v>17</v>
      </c>
      <c r="K1323" t="s">
        <v>3713</v>
      </c>
      <c r="L1323">
        <v>66</v>
      </c>
      <c r="M1323" t="s">
        <v>3714</v>
      </c>
    </row>
    <row r="1324" spans="1:13" x14ac:dyDescent="0.45">
      <c r="A1324" t="s">
        <v>13</v>
      </c>
      <c r="B1324">
        <v>1428625</v>
      </c>
      <c r="C1324">
        <v>1429053</v>
      </c>
      <c r="E1324" t="s">
        <v>14</v>
      </c>
      <c r="F1324" t="s">
        <v>3715</v>
      </c>
      <c r="H1324">
        <v>0</v>
      </c>
      <c r="I1324" t="s">
        <v>17</v>
      </c>
      <c r="K1324" t="s">
        <v>3716</v>
      </c>
      <c r="L1324">
        <v>142</v>
      </c>
      <c r="M1324" t="s">
        <v>3717</v>
      </c>
    </row>
    <row r="1325" spans="1:13" x14ac:dyDescent="0.45">
      <c r="A1325" t="s">
        <v>13</v>
      </c>
      <c r="B1325">
        <v>1429196</v>
      </c>
      <c r="C1325">
        <v>1429951</v>
      </c>
      <c r="E1325" t="s">
        <v>96</v>
      </c>
      <c r="F1325" t="s">
        <v>1254</v>
      </c>
      <c r="H1325">
        <v>0</v>
      </c>
      <c r="I1325" t="s">
        <v>17</v>
      </c>
      <c r="K1325" t="s">
        <v>3718</v>
      </c>
      <c r="L1325">
        <v>251</v>
      </c>
      <c r="M1325" t="s">
        <v>3719</v>
      </c>
    </row>
    <row r="1326" spans="1:13" x14ac:dyDescent="0.45">
      <c r="A1326" t="s">
        <v>13</v>
      </c>
      <c r="B1326">
        <v>1430652</v>
      </c>
      <c r="C1326">
        <v>1431158</v>
      </c>
      <c r="E1326" t="s">
        <v>96</v>
      </c>
      <c r="F1326" t="s">
        <v>3720</v>
      </c>
      <c r="H1326">
        <v>0</v>
      </c>
      <c r="I1326" t="s">
        <v>17</v>
      </c>
      <c r="K1326" t="s">
        <v>3721</v>
      </c>
      <c r="L1326">
        <v>168</v>
      </c>
      <c r="M1326" t="s">
        <v>3722</v>
      </c>
    </row>
    <row r="1327" spans="1:13" x14ac:dyDescent="0.45">
      <c r="A1327" t="s">
        <v>13</v>
      </c>
      <c r="B1327">
        <v>1431240</v>
      </c>
      <c r="C1327">
        <v>1431560</v>
      </c>
      <c r="E1327" t="s">
        <v>96</v>
      </c>
      <c r="F1327" t="s">
        <v>3723</v>
      </c>
      <c r="H1327">
        <v>0</v>
      </c>
      <c r="I1327" t="s">
        <v>17</v>
      </c>
      <c r="K1327" t="s">
        <v>3724</v>
      </c>
      <c r="L1327">
        <v>106</v>
      </c>
      <c r="M1327" t="s">
        <v>3725</v>
      </c>
    </row>
    <row r="1328" spans="1:13" x14ac:dyDescent="0.45">
      <c r="A1328" t="s">
        <v>13</v>
      </c>
      <c r="B1328">
        <v>1431729</v>
      </c>
      <c r="C1328">
        <v>1431926</v>
      </c>
      <c r="E1328" t="s">
        <v>14</v>
      </c>
      <c r="F1328" t="s">
        <v>1432</v>
      </c>
      <c r="H1328">
        <v>0</v>
      </c>
      <c r="I1328" t="s">
        <v>17</v>
      </c>
      <c r="K1328" t="s">
        <v>3726</v>
      </c>
      <c r="L1328">
        <v>65</v>
      </c>
      <c r="M1328" t="s">
        <v>3727</v>
      </c>
    </row>
    <row r="1329" spans="1:13" x14ac:dyDescent="0.45">
      <c r="A1329" t="s">
        <v>13</v>
      </c>
      <c r="B1329">
        <v>1432031</v>
      </c>
      <c r="C1329">
        <v>1432471</v>
      </c>
      <c r="E1329" t="s">
        <v>14</v>
      </c>
      <c r="F1329" t="s">
        <v>43</v>
      </c>
      <c r="H1329">
        <v>0</v>
      </c>
      <c r="I1329" t="s">
        <v>17</v>
      </c>
      <c r="K1329" t="s">
        <v>3728</v>
      </c>
      <c r="L1329">
        <v>146</v>
      </c>
      <c r="M1329" t="s">
        <v>3729</v>
      </c>
    </row>
    <row r="1330" spans="1:13" x14ac:dyDescent="0.45">
      <c r="A1330" t="s">
        <v>13</v>
      </c>
      <c r="B1330">
        <v>1432720</v>
      </c>
      <c r="C1330">
        <v>1433163</v>
      </c>
      <c r="E1330" t="s">
        <v>14</v>
      </c>
      <c r="F1330" t="s">
        <v>3730</v>
      </c>
      <c r="H1330">
        <v>0</v>
      </c>
      <c r="I1330" t="s">
        <v>17</v>
      </c>
      <c r="K1330" t="s">
        <v>3731</v>
      </c>
      <c r="L1330">
        <v>147</v>
      </c>
      <c r="M1330" t="s">
        <v>3732</v>
      </c>
    </row>
    <row r="1331" spans="1:13" x14ac:dyDescent="0.45">
      <c r="A1331" t="s">
        <v>13</v>
      </c>
      <c r="B1331">
        <v>1433168</v>
      </c>
      <c r="C1331">
        <v>1434232</v>
      </c>
      <c r="E1331" t="s">
        <v>14</v>
      </c>
      <c r="F1331" t="s">
        <v>3733</v>
      </c>
      <c r="H1331">
        <v>0</v>
      </c>
      <c r="I1331" t="s">
        <v>17</v>
      </c>
      <c r="K1331" t="s">
        <v>3734</v>
      </c>
      <c r="L1331">
        <v>354</v>
      </c>
      <c r="M1331" t="s">
        <v>3735</v>
      </c>
    </row>
    <row r="1332" spans="1:13" x14ac:dyDescent="0.45">
      <c r="A1332" t="s">
        <v>13</v>
      </c>
      <c r="B1332">
        <v>1434246</v>
      </c>
      <c r="C1332">
        <v>1434674</v>
      </c>
      <c r="E1332" t="s">
        <v>14</v>
      </c>
      <c r="F1332" t="s">
        <v>3736</v>
      </c>
      <c r="H1332">
        <v>0</v>
      </c>
      <c r="I1332" t="s">
        <v>17</v>
      </c>
      <c r="K1332" t="s">
        <v>3737</v>
      </c>
      <c r="L1332">
        <v>142</v>
      </c>
      <c r="M1332" t="s">
        <v>3738</v>
      </c>
    </row>
    <row r="1333" spans="1:13" x14ac:dyDescent="0.45">
      <c r="A1333" t="s">
        <v>13</v>
      </c>
      <c r="B1333">
        <v>1434788</v>
      </c>
      <c r="C1333">
        <v>1435234</v>
      </c>
      <c r="E1333" t="s">
        <v>14</v>
      </c>
      <c r="F1333" t="s">
        <v>3739</v>
      </c>
      <c r="H1333">
        <v>0</v>
      </c>
      <c r="I1333" t="s">
        <v>17</v>
      </c>
      <c r="K1333" t="s">
        <v>3740</v>
      </c>
      <c r="L1333">
        <v>148</v>
      </c>
      <c r="M1333" t="s">
        <v>3741</v>
      </c>
    </row>
    <row r="1334" spans="1:13" x14ac:dyDescent="0.45">
      <c r="A1334" t="s">
        <v>13</v>
      </c>
      <c r="B1334">
        <v>1435261</v>
      </c>
      <c r="C1334">
        <v>1435428</v>
      </c>
      <c r="E1334" t="s">
        <v>14</v>
      </c>
      <c r="F1334" t="s">
        <v>43</v>
      </c>
      <c r="H1334">
        <v>0</v>
      </c>
      <c r="I1334" t="s">
        <v>17</v>
      </c>
      <c r="K1334" t="s">
        <v>3742</v>
      </c>
      <c r="L1334">
        <v>55</v>
      </c>
      <c r="M1334" t="s">
        <v>3743</v>
      </c>
    </row>
    <row r="1335" spans="1:13" x14ac:dyDescent="0.45">
      <c r="A1335" t="s">
        <v>13</v>
      </c>
      <c r="B1335">
        <v>1435428</v>
      </c>
      <c r="C1335">
        <v>1437881</v>
      </c>
      <c r="E1335" t="s">
        <v>14</v>
      </c>
      <c r="F1335" t="s">
        <v>43</v>
      </c>
      <c r="H1335">
        <v>0</v>
      </c>
      <c r="I1335" t="s">
        <v>17</v>
      </c>
      <c r="K1335" t="s">
        <v>3744</v>
      </c>
      <c r="L1335">
        <v>817</v>
      </c>
      <c r="M1335" t="s">
        <v>3745</v>
      </c>
    </row>
    <row r="1336" spans="1:13" x14ac:dyDescent="0.45">
      <c r="A1336" t="s">
        <v>13</v>
      </c>
      <c r="B1336">
        <v>1437881</v>
      </c>
      <c r="C1336">
        <v>1438303</v>
      </c>
      <c r="E1336" t="s">
        <v>14</v>
      </c>
      <c r="F1336" t="s">
        <v>3746</v>
      </c>
      <c r="H1336">
        <v>0</v>
      </c>
      <c r="I1336" t="s">
        <v>17</v>
      </c>
      <c r="K1336" t="s">
        <v>3747</v>
      </c>
      <c r="L1336">
        <v>140</v>
      </c>
      <c r="M1336" t="s">
        <v>3748</v>
      </c>
    </row>
    <row r="1337" spans="1:13" x14ac:dyDescent="0.45">
      <c r="A1337" t="s">
        <v>13</v>
      </c>
      <c r="B1337">
        <v>1438585</v>
      </c>
      <c r="C1337">
        <v>1440114</v>
      </c>
      <c r="E1337" t="s">
        <v>14</v>
      </c>
      <c r="F1337" t="s">
        <v>3749</v>
      </c>
      <c r="H1337">
        <v>0</v>
      </c>
      <c r="I1337" t="s">
        <v>17</v>
      </c>
      <c r="K1337" t="s">
        <v>3750</v>
      </c>
      <c r="L1337">
        <v>509</v>
      </c>
      <c r="M1337" t="s">
        <v>3751</v>
      </c>
    </row>
    <row r="1338" spans="1:13" x14ac:dyDescent="0.45">
      <c r="A1338" t="s">
        <v>13</v>
      </c>
      <c r="B1338">
        <v>1440130</v>
      </c>
      <c r="C1338">
        <v>1440456</v>
      </c>
      <c r="E1338" t="s">
        <v>14</v>
      </c>
      <c r="F1338" t="s">
        <v>3752</v>
      </c>
      <c r="H1338">
        <v>0</v>
      </c>
      <c r="I1338" t="s">
        <v>17</v>
      </c>
      <c r="K1338" t="s">
        <v>3753</v>
      </c>
      <c r="L1338">
        <v>108</v>
      </c>
      <c r="M1338" t="s">
        <v>3754</v>
      </c>
    </row>
    <row r="1339" spans="1:13" x14ac:dyDescent="0.45">
      <c r="A1339" t="s">
        <v>13</v>
      </c>
      <c r="B1339">
        <v>1440456</v>
      </c>
      <c r="C1339">
        <v>1440884</v>
      </c>
      <c r="E1339" t="s">
        <v>14</v>
      </c>
      <c r="F1339" t="s">
        <v>3755</v>
      </c>
      <c r="H1339">
        <v>0</v>
      </c>
      <c r="I1339" t="s">
        <v>17</v>
      </c>
      <c r="K1339" t="s">
        <v>3756</v>
      </c>
      <c r="L1339">
        <v>142</v>
      </c>
      <c r="M1339" t="s">
        <v>3757</v>
      </c>
    </row>
    <row r="1340" spans="1:13" x14ac:dyDescent="0.45">
      <c r="A1340" t="s">
        <v>13</v>
      </c>
      <c r="B1340">
        <v>1440877</v>
      </c>
      <c r="C1340">
        <v>1441929</v>
      </c>
      <c r="E1340" t="s">
        <v>14</v>
      </c>
      <c r="F1340" t="s">
        <v>3758</v>
      </c>
      <c r="H1340">
        <v>0</v>
      </c>
      <c r="I1340" t="s">
        <v>17</v>
      </c>
      <c r="K1340" t="s">
        <v>3759</v>
      </c>
      <c r="L1340">
        <v>350</v>
      </c>
      <c r="M1340" t="s">
        <v>3760</v>
      </c>
    </row>
    <row r="1341" spans="1:13" x14ac:dyDescent="0.45">
      <c r="A1341" t="s">
        <v>13</v>
      </c>
      <c r="B1341">
        <v>1441926</v>
      </c>
      <c r="C1341">
        <v>1442624</v>
      </c>
      <c r="E1341" t="s">
        <v>14</v>
      </c>
      <c r="F1341" t="s">
        <v>3761</v>
      </c>
      <c r="H1341">
        <v>0</v>
      </c>
      <c r="I1341" t="s">
        <v>17</v>
      </c>
      <c r="K1341" t="s">
        <v>3762</v>
      </c>
      <c r="L1341">
        <v>232</v>
      </c>
      <c r="M1341" t="s">
        <v>3763</v>
      </c>
    </row>
    <row r="1342" spans="1:13" x14ac:dyDescent="0.45">
      <c r="A1342" t="s">
        <v>13</v>
      </c>
      <c r="B1342">
        <v>1442625</v>
      </c>
      <c r="C1342">
        <v>1443611</v>
      </c>
      <c r="E1342" t="s">
        <v>14</v>
      </c>
      <c r="F1342" t="s">
        <v>3764</v>
      </c>
      <c r="H1342">
        <v>0</v>
      </c>
      <c r="I1342" t="s">
        <v>17</v>
      </c>
      <c r="K1342" t="s">
        <v>3765</v>
      </c>
      <c r="L1342">
        <v>328</v>
      </c>
      <c r="M1342" t="s">
        <v>3766</v>
      </c>
    </row>
    <row r="1343" spans="1:13" x14ac:dyDescent="0.45">
      <c r="A1343" t="s">
        <v>13</v>
      </c>
      <c r="B1343">
        <v>1443633</v>
      </c>
      <c r="C1343">
        <v>1448810</v>
      </c>
      <c r="E1343" t="s">
        <v>14</v>
      </c>
      <c r="F1343" t="s">
        <v>3767</v>
      </c>
      <c r="H1343">
        <v>0</v>
      </c>
      <c r="I1343" t="s">
        <v>17</v>
      </c>
      <c r="K1343" t="s">
        <v>3768</v>
      </c>
      <c r="L1343">
        <v>1725</v>
      </c>
      <c r="M1343" t="s">
        <v>3769</v>
      </c>
    </row>
    <row r="1344" spans="1:13" x14ac:dyDescent="0.45">
      <c r="A1344" t="s">
        <v>13</v>
      </c>
      <c r="B1344">
        <v>1448827</v>
      </c>
      <c r="C1344">
        <v>1449180</v>
      </c>
      <c r="E1344" t="s">
        <v>14</v>
      </c>
      <c r="F1344" t="s">
        <v>3770</v>
      </c>
      <c r="H1344">
        <v>0</v>
      </c>
      <c r="I1344" t="s">
        <v>17</v>
      </c>
      <c r="K1344" t="s">
        <v>3771</v>
      </c>
      <c r="L1344">
        <v>117</v>
      </c>
      <c r="M1344" t="s">
        <v>3772</v>
      </c>
    </row>
    <row r="1345" spans="1:13" x14ac:dyDescent="0.45">
      <c r="A1345" t="s">
        <v>13</v>
      </c>
      <c r="B1345">
        <v>1449443</v>
      </c>
      <c r="C1345">
        <v>1449703</v>
      </c>
      <c r="E1345" t="s">
        <v>14</v>
      </c>
      <c r="F1345" t="s">
        <v>43</v>
      </c>
      <c r="H1345">
        <v>0</v>
      </c>
      <c r="I1345" t="s">
        <v>17</v>
      </c>
      <c r="K1345" t="s">
        <v>3773</v>
      </c>
      <c r="L1345">
        <v>86</v>
      </c>
      <c r="M1345" t="s">
        <v>3774</v>
      </c>
    </row>
    <row r="1346" spans="1:13" x14ac:dyDescent="0.45">
      <c r="A1346" t="s">
        <v>13</v>
      </c>
      <c r="B1346">
        <v>1449928</v>
      </c>
      <c r="C1346">
        <v>1450383</v>
      </c>
      <c r="E1346" t="s">
        <v>96</v>
      </c>
      <c r="F1346" t="s">
        <v>43</v>
      </c>
      <c r="H1346">
        <v>0</v>
      </c>
      <c r="I1346" t="s">
        <v>17</v>
      </c>
      <c r="K1346" t="s">
        <v>3775</v>
      </c>
      <c r="L1346">
        <v>151</v>
      </c>
      <c r="M1346" t="s">
        <v>3776</v>
      </c>
    </row>
    <row r="1347" spans="1:13" x14ac:dyDescent="0.45">
      <c r="A1347" t="s">
        <v>13</v>
      </c>
      <c r="B1347">
        <v>1450611</v>
      </c>
      <c r="C1347">
        <v>1451030</v>
      </c>
      <c r="E1347" t="s">
        <v>96</v>
      </c>
      <c r="F1347" t="s">
        <v>1134</v>
      </c>
      <c r="H1347">
        <v>0</v>
      </c>
      <c r="I1347" t="s">
        <v>17</v>
      </c>
      <c r="K1347" t="s">
        <v>3777</v>
      </c>
      <c r="L1347">
        <v>139</v>
      </c>
      <c r="M1347" t="s">
        <v>3778</v>
      </c>
    </row>
    <row r="1348" spans="1:13" x14ac:dyDescent="0.45">
      <c r="A1348" t="s">
        <v>13</v>
      </c>
      <c r="B1348">
        <v>1451329</v>
      </c>
      <c r="C1348">
        <v>1451538</v>
      </c>
      <c r="E1348" t="s">
        <v>14</v>
      </c>
      <c r="F1348" t="s">
        <v>1432</v>
      </c>
      <c r="H1348">
        <v>0</v>
      </c>
      <c r="I1348" t="s">
        <v>17</v>
      </c>
      <c r="K1348" t="s">
        <v>3779</v>
      </c>
      <c r="L1348">
        <v>69</v>
      </c>
      <c r="M1348" t="s">
        <v>3780</v>
      </c>
    </row>
    <row r="1349" spans="1:13" x14ac:dyDescent="0.45">
      <c r="A1349" t="s">
        <v>13</v>
      </c>
      <c r="B1349">
        <v>1451570</v>
      </c>
      <c r="C1349">
        <v>1451779</v>
      </c>
      <c r="E1349" t="s">
        <v>14</v>
      </c>
      <c r="F1349" t="s">
        <v>43</v>
      </c>
      <c r="H1349">
        <v>0</v>
      </c>
      <c r="I1349" t="s">
        <v>17</v>
      </c>
      <c r="K1349" t="s">
        <v>3781</v>
      </c>
      <c r="L1349">
        <v>69</v>
      </c>
      <c r="M1349" t="s">
        <v>3782</v>
      </c>
    </row>
    <row r="1350" spans="1:13" x14ac:dyDescent="0.45">
      <c r="A1350" t="s">
        <v>13</v>
      </c>
      <c r="B1350">
        <v>1451996</v>
      </c>
      <c r="C1350">
        <v>1452394</v>
      </c>
      <c r="E1350" t="s">
        <v>96</v>
      </c>
      <c r="F1350" t="s">
        <v>1134</v>
      </c>
      <c r="H1350">
        <v>0</v>
      </c>
      <c r="I1350" t="s">
        <v>17</v>
      </c>
      <c r="K1350" t="s">
        <v>3783</v>
      </c>
      <c r="L1350">
        <v>132</v>
      </c>
      <c r="M1350" t="s">
        <v>3784</v>
      </c>
    </row>
    <row r="1351" spans="1:13" x14ac:dyDescent="0.45">
      <c r="A1351" t="s">
        <v>13</v>
      </c>
      <c r="B1351">
        <v>1452815</v>
      </c>
      <c r="C1351">
        <v>1455316</v>
      </c>
      <c r="E1351" t="s">
        <v>96</v>
      </c>
      <c r="F1351" t="s">
        <v>3785</v>
      </c>
      <c r="H1351">
        <v>0</v>
      </c>
      <c r="I1351" t="s">
        <v>17</v>
      </c>
      <c r="K1351" t="s">
        <v>3786</v>
      </c>
      <c r="L1351">
        <v>833</v>
      </c>
      <c r="M1351" t="s">
        <v>3787</v>
      </c>
    </row>
    <row r="1352" spans="1:13" x14ac:dyDescent="0.45">
      <c r="A1352" t="s">
        <v>13</v>
      </c>
      <c r="B1352">
        <v>1455321</v>
      </c>
      <c r="C1352">
        <v>1455863</v>
      </c>
      <c r="E1352" t="s">
        <v>96</v>
      </c>
      <c r="F1352" t="s">
        <v>1178</v>
      </c>
      <c r="H1352">
        <v>0</v>
      </c>
      <c r="I1352" t="s">
        <v>17</v>
      </c>
      <c r="K1352" t="s">
        <v>3788</v>
      </c>
      <c r="L1352">
        <v>180</v>
      </c>
      <c r="M1352" t="s">
        <v>3789</v>
      </c>
    </row>
    <row r="1353" spans="1:13" x14ac:dyDescent="0.45">
      <c r="A1353" t="s">
        <v>13</v>
      </c>
      <c r="B1353">
        <v>1456106</v>
      </c>
      <c r="C1353">
        <v>1457620</v>
      </c>
      <c r="E1353" t="s">
        <v>14</v>
      </c>
      <c r="F1353" t="s">
        <v>2193</v>
      </c>
      <c r="G1353" t="s">
        <v>2194</v>
      </c>
      <c r="H1353">
        <v>0</v>
      </c>
      <c r="I1353" t="s">
        <v>17</v>
      </c>
      <c r="K1353" t="s">
        <v>3790</v>
      </c>
      <c r="L1353">
        <v>504</v>
      </c>
      <c r="M1353" t="s">
        <v>3791</v>
      </c>
    </row>
    <row r="1354" spans="1:13" x14ac:dyDescent="0.45">
      <c r="A1354" t="s">
        <v>13</v>
      </c>
      <c r="B1354">
        <v>1457734</v>
      </c>
      <c r="C1354">
        <v>1458363</v>
      </c>
      <c r="E1354" t="s">
        <v>96</v>
      </c>
      <c r="F1354" t="s">
        <v>3792</v>
      </c>
      <c r="H1354">
        <v>0</v>
      </c>
      <c r="I1354" t="s">
        <v>17</v>
      </c>
      <c r="K1354" t="s">
        <v>3793</v>
      </c>
      <c r="L1354">
        <v>209</v>
      </c>
      <c r="M1354" t="s">
        <v>3794</v>
      </c>
    </row>
    <row r="1355" spans="1:13" x14ac:dyDescent="0.45">
      <c r="A1355" t="s">
        <v>13</v>
      </c>
      <c r="B1355">
        <v>1458952</v>
      </c>
      <c r="C1355">
        <v>1459743</v>
      </c>
      <c r="E1355" t="s">
        <v>14</v>
      </c>
      <c r="F1355" t="s">
        <v>3795</v>
      </c>
      <c r="H1355">
        <v>0</v>
      </c>
      <c r="I1355" t="s">
        <v>17</v>
      </c>
      <c r="K1355" t="s">
        <v>3796</v>
      </c>
      <c r="L1355">
        <v>263</v>
      </c>
      <c r="M1355" t="s">
        <v>3797</v>
      </c>
    </row>
    <row r="1356" spans="1:13" x14ac:dyDescent="0.45">
      <c r="A1356" t="s">
        <v>13</v>
      </c>
      <c r="B1356">
        <v>1459772</v>
      </c>
      <c r="C1356">
        <v>1460992</v>
      </c>
      <c r="E1356" t="s">
        <v>14</v>
      </c>
      <c r="F1356" t="s">
        <v>3798</v>
      </c>
      <c r="H1356">
        <v>0</v>
      </c>
      <c r="I1356" t="s">
        <v>17</v>
      </c>
      <c r="K1356" t="s">
        <v>3799</v>
      </c>
      <c r="L1356">
        <v>406</v>
      </c>
      <c r="M1356" t="s">
        <v>3800</v>
      </c>
    </row>
    <row r="1357" spans="1:13" x14ac:dyDescent="0.45">
      <c r="A1357" t="s">
        <v>13</v>
      </c>
      <c r="B1357">
        <v>1461012</v>
      </c>
      <c r="C1357">
        <v>1461707</v>
      </c>
      <c r="E1357" t="s">
        <v>14</v>
      </c>
      <c r="F1357" t="s">
        <v>3801</v>
      </c>
      <c r="G1357" t="s">
        <v>3802</v>
      </c>
      <c r="H1357">
        <v>0</v>
      </c>
      <c r="I1357" t="s">
        <v>17</v>
      </c>
      <c r="K1357" t="s">
        <v>3803</v>
      </c>
      <c r="L1357">
        <v>231</v>
      </c>
      <c r="M1357" t="s">
        <v>3804</v>
      </c>
    </row>
    <row r="1358" spans="1:13" x14ac:dyDescent="0.45">
      <c r="A1358" t="s">
        <v>13</v>
      </c>
      <c r="B1358">
        <v>1461737</v>
      </c>
      <c r="C1358">
        <v>1462723</v>
      </c>
      <c r="E1358" t="s">
        <v>14</v>
      </c>
      <c r="F1358" t="s">
        <v>3805</v>
      </c>
      <c r="H1358">
        <v>0</v>
      </c>
      <c r="I1358" t="s">
        <v>17</v>
      </c>
      <c r="K1358" t="s">
        <v>3806</v>
      </c>
      <c r="L1358">
        <v>328</v>
      </c>
      <c r="M1358" t="s">
        <v>3807</v>
      </c>
    </row>
    <row r="1359" spans="1:13" x14ac:dyDescent="0.45">
      <c r="A1359" t="s">
        <v>13</v>
      </c>
      <c r="B1359">
        <v>1462942</v>
      </c>
      <c r="C1359">
        <v>1463508</v>
      </c>
      <c r="E1359" t="s">
        <v>96</v>
      </c>
      <c r="F1359" t="s">
        <v>1134</v>
      </c>
      <c r="H1359">
        <v>0</v>
      </c>
      <c r="I1359" t="s">
        <v>17</v>
      </c>
      <c r="K1359" t="s">
        <v>3808</v>
      </c>
      <c r="L1359">
        <v>188</v>
      </c>
      <c r="M1359" t="s">
        <v>3809</v>
      </c>
    </row>
    <row r="1360" spans="1:13" x14ac:dyDescent="0.45">
      <c r="A1360" t="s">
        <v>13</v>
      </c>
      <c r="B1360">
        <v>1463860</v>
      </c>
      <c r="C1360">
        <v>1464927</v>
      </c>
      <c r="E1360" t="s">
        <v>14</v>
      </c>
      <c r="F1360" t="s">
        <v>3810</v>
      </c>
      <c r="H1360">
        <v>0</v>
      </c>
      <c r="I1360" t="s">
        <v>17</v>
      </c>
      <c r="K1360" t="s">
        <v>3811</v>
      </c>
      <c r="L1360">
        <v>355</v>
      </c>
      <c r="M1360" t="s">
        <v>3812</v>
      </c>
    </row>
    <row r="1361" spans="1:13" x14ac:dyDescent="0.45">
      <c r="A1361" t="s">
        <v>13</v>
      </c>
      <c r="B1361">
        <v>1464946</v>
      </c>
      <c r="C1361">
        <v>1466106</v>
      </c>
      <c r="E1361" t="s">
        <v>14</v>
      </c>
      <c r="F1361" t="s">
        <v>3813</v>
      </c>
      <c r="H1361">
        <v>0</v>
      </c>
      <c r="I1361" t="s">
        <v>17</v>
      </c>
      <c r="K1361" t="s">
        <v>3814</v>
      </c>
      <c r="L1361">
        <v>386</v>
      </c>
      <c r="M1361" t="s">
        <v>3815</v>
      </c>
    </row>
    <row r="1362" spans="1:13" x14ac:dyDescent="0.45">
      <c r="A1362" t="s">
        <v>13</v>
      </c>
      <c r="B1362">
        <v>1466119</v>
      </c>
      <c r="C1362">
        <v>1468215</v>
      </c>
      <c r="E1362" t="s">
        <v>14</v>
      </c>
      <c r="F1362" t="s">
        <v>3816</v>
      </c>
      <c r="H1362">
        <v>0</v>
      </c>
      <c r="I1362" t="s">
        <v>17</v>
      </c>
      <c r="K1362" t="s">
        <v>3817</v>
      </c>
      <c r="L1362">
        <v>698</v>
      </c>
      <c r="M1362" t="s">
        <v>3818</v>
      </c>
    </row>
    <row r="1363" spans="1:13" x14ac:dyDescent="0.45">
      <c r="A1363" t="s">
        <v>13</v>
      </c>
      <c r="B1363">
        <v>1468374</v>
      </c>
      <c r="C1363">
        <v>1468718</v>
      </c>
      <c r="E1363" t="s">
        <v>96</v>
      </c>
      <c r="F1363" t="s">
        <v>3819</v>
      </c>
      <c r="H1363">
        <v>0</v>
      </c>
      <c r="I1363" t="s">
        <v>17</v>
      </c>
      <c r="K1363" t="s">
        <v>3820</v>
      </c>
      <c r="L1363">
        <v>114</v>
      </c>
      <c r="M1363" t="s">
        <v>3821</v>
      </c>
    </row>
    <row r="1364" spans="1:13" x14ac:dyDescent="0.45">
      <c r="A1364" t="s">
        <v>13</v>
      </c>
      <c r="B1364">
        <v>1469010</v>
      </c>
      <c r="C1364">
        <v>1469900</v>
      </c>
      <c r="E1364" t="s">
        <v>14</v>
      </c>
      <c r="F1364" t="s">
        <v>3822</v>
      </c>
      <c r="H1364">
        <v>0</v>
      </c>
      <c r="I1364" t="s">
        <v>17</v>
      </c>
      <c r="K1364" t="s">
        <v>3823</v>
      </c>
      <c r="L1364">
        <v>296</v>
      </c>
      <c r="M1364" t="s">
        <v>3824</v>
      </c>
    </row>
    <row r="1365" spans="1:13" x14ac:dyDescent="0.45">
      <c r="A1365" t="s">
        <v>13</v>
      </c>
      <c r="B1365">
        <v>1470118</v>
      </c>
      <c r="C1365">
        <v>1471404</v>
      </c>
      <c r="E1365" t="s">
        <v>14</v>
      </c>
      <c r="F1365" t="s">
        <v>3825</v>
      </c>
      <c r="H1365">
        <v>0</v>
      </c>
      <c r="I1365" t="s">
        <v>17</v>
      </c>
      <c r="K1365" t="s">
        <v>3826</v>
      </c>
      <c r="L1365">
        <v>428</v>
      </c>
      <c r="M1365" t="s">
        <v>3827</v>
      </c>
    </row>
    <row r="1366" spans="1:13" x14ac:dyDescent="0.45">
      <c r="A1366" t="s">
        <v>13</v>
      </c>
      <c r="B1366">
        <v>1471493</v>
      </c>
      <c r="C1366">
        <v>1471936</v>
      </c>
      <c r="E1366" t="s">
        <v>96</v>
      </c>
      <c r="F1366" t="s">
        <v>3828</v>
      </c>
      <c r="H1366">
        <v>0</v>
      </c>
      <c r="I1366" t="s">
        <v>17</v>
      </c>
      <c r="K1366" t="s">
        <v>3829</v>
      </c>
      <c r="L1366">
        <v>147</v>
      </c>
      <c r="M1366" t="s">
        <v>3830</v>
      </c>
    </row>
    <row r="1367" spans="1:13" x14ac:dyDescent="0.45">
      <c r="A1367" t="s">
        <v>13</v>
      </c>
      <c r="B1367">
        <v>1471960</v>
      </c>
      <c r="C1367">
        <v>1472754</v>
      </c>
      <c r="E1367" t="s">
        <v>96</v>
      </c>
      <c r="F1367" t="s">
        <v>3831</v>
      </c>
      <c r="H1367">
        <v>0</v>
      </c>
      <c r="I1367" t="s">
        <v>17</v>
      </c>
      <c r="K1367" t="s">
        <v>3832</v>
      </c>
      <c r="L1367">
        <v>264</v>
      </c>
      <c r="M1367" t="s">
        <v>3833</v>
      </c>
    </row>
    <row r="1368" spans="1:13" x14ac:dyDescent="0.45">
      <c r="A1368" t="s">
        <v>13</v>
      </c>
      <c r="B1368">
        <v>1473320</v>
      </c>
      <c r="C1368">
        <v>1473796</v>
      </c>
      <c r="E1368" t="s">
        <v>96</v>
      </c>
      <c r="F1368" t="s">
        <v>757</v>
      </c>
      <c r="H1368">
        <v>0</v>
      </c>
      <c r="I1368" t="s">
        <v>17</v>
      </c>
      <c r="K1368" t="s">
        <v>3834</v>
      </c>
      <c r="L1368">
        <v>158</v>
      </c>
      <c r="M1368" t="s">
        <v>3835</v>
      </c>
    </row>
    <row r="1369" spans="1:13" x14ac:dyDescent="0.45">
      <c r="A1369" t="s">
        <v>13</v>
      </c>
      <c r="B1369">
        <v>1473897</v>
      </c>
      <c r="C1369">
        <v>1475066</v>
      </c>
      <c r="E1369" t="s">
        <v>96</v>
      </c>
      <c r="F1369" t="s">
        <v>720</v>
      </c>
      <c r="H1369">
        <v>0</v>
      </c>
      <c r="I1369" t="s">
        <v>17</v>
      </c>
      <c r="K1369" t="s">
        <v>3836</v>
      </c>
      <c r="L1369">
        <v>389</v>
      </c>
      <c r="M1369" t="s">
        <v>3837</v>
      </c>
    </row>
    <row r="1370" spans="1:13" x14ac:dyDescent="0.45">
      <c r="A1370" t="s">
        <v>13</v>
      </c>
      <c r="B1370">
        <v>1475229</v>
      </c>
      <c r="C1370">
        <v>1476092</v>
      </c>
      <c r="E1370" t="s">
        <v>14</v>
      </c>
      <c r="F1370" t="s">
        <v>3838</v>
      </c>
      <c r="H1370">
        <v>0</v>
      </c>
      <c r="I1370" t="s">
        <v>17</v>
      </c>
      <c r="K1370" t="s">
        <v>3839</v>
      </c>
      <c r="L1370">
        <v>287</v>
      </c>
      <c r="M1370" t="s">
        <v>3840</v>
      </c>
    </row>
    <row r="1371" spans="1:13" x14ac:dyDescent="0.45">
      <c r="A1371" t="s">
        <v>13</v>
      </c>
      <c r="B1371">
        <v>1476163</v>
      </c>
      <c r="C1371">
        <v>1476756</v>
      </c>
      <c r="E1371" t="s">
        <v>14</v>
      </c>
      <c r="F1371" t="s">
        <v>3841</v>
      </c>
      <c r="H1371">
        <v>0</v>
      </c>
      <c r="I1371" t="s">
        <v>17</v>
      </c>
      <c r="K1371" t="s">
        <v>3842</v>
      </c>
      <c r="L1371">
        <v>197</v>
      </c>
      <c r="M1371" t="s">
        <v>3843</v>
      </c>
    </row>
    <row r="1372" spans="1:13" x14ac:dyDescent="0.45">
      <c r="A1372" t="s">
        <v>13</v>
      </c>
      <c r="B1372">
        <v>1477007</v>
      </c>
      <c r="C1372">
        <v>1477642</v>
      </c>
      <c r="E1372" t="s">
        <v>96</v>
      </c>
      <c r="F1372" t="s">
        <v>3844</v>
      </c>
      <c r="H1372">
        <v>0</v>
      </c>
      <c r="I1372" t="s">
        <v>17</v>
      </c>
      <c r="K1372" t="s">
        <v>3845</v>
      </c>
      <c r="L1372">
        <v>211</v>
      </c>
      <c r="M1372" t="s">
        <v>3846</v>
      </c>
    </row>
    <row r="1373" spans="1:13" x14ac:dyDescent="0.45">
      <c r="A1373" t="s">
        <v>13</v>
      </c>
      <c r="B1373">
        <v>1477722</v>
      </c>
      <c r="C1373">
        <v>1478453</v>
      </c>
      <c r="E1373" t="s">
        <v>96</v>
      </c>
      <c r="F1373" t="s">
        <v>3847</v>
      </c>
      <c r="H1373">
        <v>0</v>
      </c>
      <c r="I1373" t="s">
        <v>17</v>
      </c>
      <c r="K1373" t="s">
        <v>3848</v>
      </c>
      <c r="L1373">
        <v>243</v>
      </c>
      <c r="M1373" t="s">
        <v>3849</v>
      </c>
    </row>
    <row r="1374" spans="1:13" x14ac:dyDescent="0.45">
      <c r="A1374" t="s">
        <v>13</v>
      </c>
      <c r="B1374">
        <v>1478784</v>
      </c>
      <c r="C1374">
        <v>1480973</v>
      </c>
      <c r="E1374" t="s">
        <v>14</v>
      </c>
      <c r="F1374" t="s">
        <v>3850</v>
      </c>
      <c r="H1374">
        <v>0</v>
      </c>
      <c r="I1374" t="s">
        <v>17</v>
      </c>
      <c r="K1374" t="s">
        <v>3851</v>
      </c>
      <c r="L1374">
        <v>729</v>
      </c>
      <c r="M1374" t="s">
        <v>3852</v>
      </c>
    </row>
    <row r="1375" spans="1:13" x14ac:dyDescent="0.45">
      <c r="A1375" t="s">
        <v>13</v>
      </c>
      <c r="B1375">
        <v>1481384</v>
      </c>
      <c r="C1375">
        <v>1483312</v>
      </c>
      <c r="E1375" t="s">
        <v>14</v>
      </c>
      <c r="F1375" t="s">
        <v>3853</v>
      </c>
      <c r="H1375">
        <v>0</v>
      </c>
      <c r="I1375" t="s">
        <v>17</v>
      </c>
      <c r="K1375" t="s">
        <v>3854</v>
      </c>
      <c r="L1375">
        <v>642</v>
      </c>
      <c r="M1375" t="s">
        <v>3855</v>
      </c>
    </row>
    <row r="1376" spans="1:13" x14ac:dyDescent="0.45">
      <c r="A1376" t="s">
        <v>13</v>
      </c>
      <c r="B1376">
        <v>1483299</v>
      </c>
      <c r="C1376">
        <v>1483646</v>
      </c>
      <c r="E1376" t="s">
        <v>14</v>
      </c>
      <c r="F1376" t="s">
        <v>3856</v>
      </c>
      <c r="H1376">
        <v>0</v>
      </c>
      <c r="I1376" t="s">
        <v>17</v>
      </c>
      <c r="K1376" t="s">
        <v>3857</v>
      </c>
      <c r="L1376">
        <v>115</v>
      </c>
      <c r="M1376" t="s">
        <v>3858</v>
      </c>
    </row>
    <row r="1377" spans="1:13" x14ac:dyDescent="0.45">
      <c r="A1377" t="s">
        <v>13</v>
      </c>
      <c r="B1377">
        <v>1483888</v>
      </c>
      <c r="C1377">
        <v>1485807</v>
      </c>
      <c r="E1377" t="s">
        <v>96</v>
      </c>
      <c r="F1377" t="s">
        <v>732</v>
      </c>
      <c r="H1377">
        <v>0</v>
      </c>
      <c r="I1377" t="s">
        <v>17</v>
      </c>
      <c r="K1377" t="s">
        <v>3859</v>
      </c>
      <c r="L1377">
        <v>639</v>
      </c>
      <c r="M1377" t="s">
        <v>3860</v>
      </c>
    </row>
    <row r="1378" spans="1:13" x14ac:dyDescent="0.45">
      <c r="A1378" t="s">
        <v>13</v>
      </c>
      <c r="B1378">
        <v>1485833</v>
      </c>
      <c r="C1378">
        <v>1486615</v>
      </c>
      <c r="E1378" t="s">
        <v>96</v>
      </c>
      <c r="F1378" t="s">
        <v>3861</v>
      </c>
      <c r="H1378">
        <v>0</v>
      </c>
      <c r="I1378" t="s">
        <v>17</v>
      </c>
      <c r="K1378" t="s">
        <v>3862</v>
      </c>
      <c r="L1378">
        <v>260</v>
      </c>
      <c r="M1378" t="s">
        <v>3863</v>
      </c>
    </row>
    <row r="1379" spans="1:13" x14ac:dyDescent="0.45">
      <c r="A1379" t="s">
        <v>13</v>
      </c>
      <c r="B1379">
        <v>1486698</v>
      </c>
      <c r="C1379">
        <v>1488146</v>
      </c>
      <c r="E1379" t="s">
        <v>96</v>
      </c>
      <c r="F1379" t="s">
        <v>3864</v>
      </c>
      <c r="G1379" t="s">
        <v>3865</v>
      </c>
      <c r="H1379">
        <v>0</v>
      </c>
      <c r="I1379" t="s">
        <v>17</v>
      </c>
      <c r="K1379" t="s">
        <v>3866</v>
      </c>
      <c r="L1379">
        <v>482</v>
      </c>
      <c r="M1379" t="s">
        <v>3867</v>
      </c>
    </row>
    <row r="1380" spans="1:13" x14ac:dyDescent="0.45">
      <c r="A1380" t="s">
        <v>13</v>
      </c>
      <c r="B1380">
        <v>1488170</v>
      </c>
      <c r="C1380">
        <v>1489069</v>
      </c>
      <c r="E1380" t="s">
        <v>96</v>
      </c>
      <c r="F1380" t="s">
        <v>3868</v>
      </c>
      <c r="H1380">
        <v>0</v>
      </c>
      <c r="I1380" t="s">
        <v>17</v>
      </c>
      <c r="K1380" t="s">
        <v>3869</v>
      </c>
      <c r="L1380">
        <v>299</v>
      </c>
      <c r="M1380" t="s">
        <v>3870</v>
      </c>
    </row>
    <row r="1381" spans="1:13" x14ac:dyDescent="0.45">
      <c r="A1381" t="s">
        <v>13</v>
      </c>
      <c r="B1381">
        <v>1489327</v>
      </c>
      <c r="C1381">
        <v>1490583</v>
      </c>
      <c r="E1381" t="s">
        <v>14</v>
      </c>
      <c r="F1381" t="s">
        <v>3871</v>
      </c>
      <c r="H1381">
        <v>0</v>
      </c>
      <c r="I1381" t="s">
        <v>17</v>
      </c>
      <c r="K1381" t="s">
        <v>3872</v>
      </c>
      <c r="L1381">
        <v>418</v>
      </c>
      <c r="M1381" t="s">
        <v>3873</v>
      </c>
    </row>
    <row r="1382" spans="1:13" x14ac:dyDescent="0.45">
      <c r="A1382" t="s">
        <v>13</v>
      </c>
      <c r="B1382">
        <v>1490653</v>
      </c>
      <c r="C1382">
        <v>1491432</v>
      </c>
      <c r="E1382" t="s">
        <v>14</v>
      </c>
      <c r="F1382" t="s">
        <v>1467</v>
      </c>
      <c r="H1382">
        <v>0</v>
      </c>
      <c r="I1382" t="s">
        <v>17</v>
      </c>
      <c r="K1382" t="s">
        <v>3874</v>
      </c>
      <c r="L1382">
        <v>259</v>
      </c>
      <c r="M1382" t="s">
        <v>3875</v>
      </c>
    </row>
    <row r="1383" spans="1:13" x14ac:dyDescent="0.45">
      <c r="A1383" t="s">
        <v>13</v>
      </c>
      <c r="B1383">
        <v>1491536</v>
      </c>
      <c r="C1383">
        <v>1492120</v>
      </c>
      <c r="E1383" t="s">
        <v>96</v>
      </c>
      <c r="F1383" t="s">
        <v>3876</v>
      </c>
      <c r="H1383">
        <v>0</v>
      </c>
      <c r="I1383" t="s">
        <v>17</v>
      </c>
      <c r="K1383" t="s">
        <v>3877</v>
      </c>
      <c r="L1383">
        <v>194</v>
      </c>
      <c r="M1383" t="s">
        <v>3878</v>
      </c>
    </row>
    <row r="1384" spans="1:13" x14ac:dyDescent="0.45">
      <c r="A1384" t="s">
        <v>13</v>
      </c>
      <c r="B1384">
        <v>1492320</v>
      </c>
      <c r="C1384">
        <v>1493750</v>
      </c>
      <c r="E1384" t="s">
        <v>96</v>
      </c>
      <c r="F1384" t="s">
        <v>723</v>
      </c>
      <c r="H1384">
        <v>0</v>
      </c>
      <c r="I1384" t="s">
        <v>17</v>
      </c>
      <c r="K1384" t="s">
        <v>3879</v>
      </c>
      <c r="L1384">
        <v>476</v>
      </c>
      <c r="M1384" t="s">
        <v>3880</v>
      </c>
    </row>
    <row r="1385" spans="1:13" x14ac:dyDescent="0.45">
      <c r="A1385" t="s">
        <v>13</v>
      </c>
      <c r="B1385">
        <v>1494066</v>
      </c>
      <c r="C1385">
        <v>1495010</v>
      </c>
      <c r="E1385" t="s">
        <v>14</v>
      </c>
      <c r="F1385" t="s">
        <v>3822</v>
      </c>
      <c r="H1385">
        <v>0</v>
      </c>
      <c r="I1385" t="s">
        <v>17</v>
      </c>
      <c r="K1385" t="s">
        <v>3881</v>
      </c>
      <c r="L1385">
        <v>314</v>
      </c>
      <c r="M1385" t="s">
        <v>3882</v>
      </c>
    </row>
    <row r="1386" spans="1:13" x14ac:dyDescent="0.45">
      <c r="A1386" t="s">
        <v>13</v>
      </c>
      <c r="B1386">
        <v>1495281</v>
      </c>
      <c r="C1386">
        <v>1496216</v>
      </c>
      <c r="E1386" t="s">
        <v>96</v>
      </c>
      <c r="F1386" t="s">
        <v>3883</v>
      </c>
      <c r="H1386">
        <v>0</v>
      </c>
      <c r="I1386" t="s">
        <v>17</v>
      </c>
      <c r="K1386" t="s">
        <v>3884</v>
      </c>
      <c r="L1386">
        <v>311</v>
      </c>
      <c r="M1386" t="s">
        <v>3885</v>
      </c>
    </row>
    <row r="1387" spans="1:13" x14ac:dyDescent="0.45">
      <c r="A1387" t="s">
        <v>13</v>
      </c>
      <c r="B1387">
        <v>1496336</v>
      </c>
      <c r="C1387">
        <v>1496884</v>
      </c>
      <c r="E1387" t="s">
        <v>96</v>
      </c>
      <c r="F1387" t="s">
        <v>3886</v>
      </c>
      <c r="H1387">
        <v>0</v>
      </c>
      <c r="I1387" t="s">
        <v>17</v>
      </c>
      <c r="K1387" t="s">
        <v>3887</v>
      </c>
      <c r="L1387">
        <v>182</v>
      </c>
      <c r="M1387" t="s">
        <v>3888</v>
      </c>
    </row>
    <row r="1388" spans="1:13" x14ac:dyDescent="0.45">
      <c r="A1388" t="s">
        <v>13</v>
      </c>
      <c r="B1388">
        <v>1497036</v>
      </c>
      <c r="C1388">
        <v>1497464</v>
      </c>
      <c r="E1388" t="s">
        <v>14</v>
      </c>
      <c r="F1388" t="s">
        <v>3822</v>
      </c>
      <c r="H1388">
        <v>0</v>
      </c>
      <c r="I1388" t="s">
        <v>17</v>
      </c>
      <c r="K1388" t="s">
        <v>3889</v>
      </c>
      <c r="L1388">
        <v>142</v>
      </c>
      <c r="M1388" t="s">
        <v>3890</v>
      </c>
    </row>
    <row r="1389" spans="1:13" x14ac:dyDescent="0.45">
      <c r="A1389" t="s">
        <v>13</v>
      </c>
      <c r="B1389">
        <v>1497531</v>
      </c>
      <c r="C1389">
        <v>1498199</v>
      </c>
      <c r="E1389" t="s">
        <v>14</v>
      </c>
      <c r="F1389" t="s">
        <v>3891</v>
      </c>
      <c r="H1389">
        <v>0</v>
      </c>
      <c r="I1389" t="s">
        <v>17</v>
      </c>
      <c r="K1389" t="s">
        <v>3892</v>
      </c>
      <c r="L1389">
        <v>222</v>
      </c>
      <c r="M1389" t="s">
        <v>3893</v>
      </c>
    </row>
    <row r="1390" spans="1:13" x14ac:dyDescent="0.45">
      <c r="A1390" t="s">
        <v>13</v>
      </c>
      <c r="B1390">
        <v>1498317</v>
      </c>
      <c r="C1390">
        <v>1499672</v>
      </c>
      <c r="E1390" t="s">
        <v>96</v>
      </c>
      <c r="F1390" t="s">
        <v>729</v>
      </c>
      <c r="H1390">
        <v>0</v>
      </c>
      <c r="I1390" t="s">
        <v>17</v>
      </c>
      <c r="K1390" t="s">
        <v>3894</v>
      </c>
      <c r="L1390">
        <v>451</v>
      </c>
      <c r="M1390" t="s">
        <v>3895</v>
      </c>
    </row>
    <row r="1391" spans="1:13" x14ac:dyDescent="0.45">
      <c r="A1391" t="s">
        <v>13</v>
      </c>
      <c r="B1391">
        <v>1500414</v>
      </c>
      <c r="C1391">
        <v>1500773</v>
      </c>
      <c r="E1391" t="s">
        <v>96</v>
      </c>
      <c r="F1391" t="s">
        <v>3896</v>
      </c>
      <c r="H1391">
        <v>0</v>
      </c>
      <c r="I1391" t="s">
        <v>17</v>
      </c>
      <c r="K1391" t="s">
        <v>3897</v>
      </c>
      <c r="L1391">
        <v>119</v>
      </c>
      <c r="M1391" t="s">
        <v>3898</v>
      </c>
    </row>
    <row r="1392" spans="1:13" x14ac:dyDescent="0.45">
      <c r="A1392" t="s">
        <v>13</v>
      </c>
      <c r="B1392">
        <v>1500803</v>
      </c>
      <c r="C1392">
        <v>1501159</v>
      </c>
      <c r="E1392" t="s">
        <v>14</v>
      </c>
      <c r="F1392" t="s">
        <v>1390</v>
      </c>
      <c r="H1392">
        <v>0</v>
      </c>
      <c r="I1392" t="s">
        <v>17</v>
      </c>
      <c r="K1392" t="s">
        <v>3899</v>
      </c>
      <c r="L1392">
        <v>118</v>
      </c>
      <c r="M1392" t="s">
        <v>3900</v>
      </c>
    </row>
    <row r="1393" spans="1:13" x14ac:dyDescent="0.45">
      <c r="A1393" t="s">
        <v>13</v>
      </c>
      <c r="B1393">
        <v>1502768</v>
      </c>
      <c r="C1393">
        <v>1504501</v>
      </c>
      <c r="E1393" t="s">
        <v>96</v>
      </c>
      <c r="F1393" t="s">
        <v>2750</v>
      </c>
      <c r="H1393">
        <v>0</v>
      </c>
      <c r="I1393" t="s">
        <v>17</v>
      </c>
      <c r="K1393" t="s">
        <v>3901</v>
      </c>
      <c r="L1393">
        <v>577</v>
      </c>
      <c r="M1393" t="s">
        <v>3902</v>
      </c>
    </row>
    <row r="1394" spans="1:13" x14ac:dyDescent="0.45">
      <c r="A1394" t="s">
        <v>13</v>
      </c>
      <c r="B1394">
        <v>1504741</v>
      </c>
      <c r="C1394">
        <v>1505586</v>
      </c>
      <c r="E1394" t="s">
        <v>96</v>
      </c>
      <c r="F1394" t="s">
        <v>3903</v>
      </c>
      <c r="G1394" t="s">
        <v>3904</v>
      </c>
      <c r="H1394">
        <v>0</v>
      </c>
      <c r="I1394" t="s">
        <v>17</v>
      </c>
      <c r="K1394" t="s">
        <v>3905</v>
      </c>
      <c r="L1394">
        <v>281</v>
      </c>
      <c r="M1394" t="s">
        <v>3906</v>
      </c>
    </row>
    <row r="1395" spans="1:13" x14ac:dyDescent="0.45">
      <c r="A1395" t="s">
        <v>13</v>
      </c>
      <c r="B1395">
        <v>1505617</v>
      </c>
      <c r="C1395">
        <v>1507851</v>
      </c>
      <c r="E1395" t="s">
        <v>96</v>
      </c>
      <c r="F1395" t="s">
        <v>1748</v>
      </c>
      <c r="H1395">
        <v>0</v>
      </c>
      <c r="I1395" t="s">
        <v>17</v>
      </c>
      <c r="K1395" t="s">
        <v>3907</v>
      </c>
      <c r="L1395">
        <v>744</v>
      </c>
      <c r="M1395" t="s">
        <v>3908</v>
      </c>
    </row>
    <row r="1396" spans="1:13" x14ac:dyDescent="0.45">
      <c r="A1396" t="s">
        <v>13</v>
      </c>
      <c r="B1396">
        <v>1508621</v>
      </c>
      <c r="C1396">
        <v>1509430</v>
      </c>
      <c r="E1396" t="s">
        <v>14</v>
      </c>
      <c r="F1396" t="s">
        <v>1827</v>
      </c>
      <c r="H1396">
        <v>0</v>
      </c>
      <c r="I1396" t="s">
        <v>17</v>
      </c>
      <c r="K1396" t="s">
        <v>3909</v>
      </c>
      <c r="L1396">
        <v>269</v>
      </c>
      <c r="M1396" t="s">
        <v>3910</v>
      </c>
    </row>
    <row r="1397" spans="1:13" x14ac:dyDescent="0.45">
      <c r="A1397" t="s">
        <v>13</v>
      </c>
      <c r="B1397">
        <v>1509575</v>
      </c>
      <c r="C1397">
        <v>1509814</v>
      </c>
      <c r="E1397" t="s">
        <v>14</v>
      </c>
      <c r="F1397" t="s">
        <v>43</v>
      </c>
      <c r="H1397">
        <v>0</v>
      </c>
      <c r="I1397" t="s">
        <v>17</v>
      </c>
      <c r="K1397" t="s">
        <v>3911</v>
      </c>
      <c r="L1397">
        <v>79</v>
      </c>
      <c r="M1397" t="s">
        <v>3912</v>
      </c>
    </row>
    <row r="1398" spans="1:13" x14ac:dyDescent="0.45">
      <c r="A1398" t="s">
        <v>13</v>
      </c>
      <c r="B1398">
        <v>1510002</v>
      </c>
      <c r="C1398">
        <v>1510178</v>
      </c>
      <c r="E1398" t="s">
        <v>96</v>
      </c>
      <c r="F1398" t="s">
        <v>43</v>
      </c>
      <c r="H1398">
        <v>0</v>
      </c>
      <c r="I1398" t="s">
        <v>17</v>
      </c>
      <c r="K1398" t="s">
        <v>3913</v>
      </c>
      <c r="L1398">
        <v>58</v>
      </c>
      <c r="M1398" t="s">
        <v>3914</v>
      </c>
    </row>
    <row r="1399" spans="1:13" x14ac:dyDescent="0.45">
      <c r="A1399" t="s">
        <v>13</v>
      </c>
      <c r="B1399">
        <v>1510683</v>
      </c>
      <c r="C1399">
        <v>1511357</v>
      </c>
      <c r="E1399" t="s">
        <v>96</v>
      </c>
      <c r="F1399" t="s">
        <v>3915</v>
      </c>
      <c r="H1399">
        <v>0</v>
      </c>
      <c r="I1399" t="s">
        <v>17</v>
      </c>
      <c r="K1399" t="s">
        <v>3916</v>
      </c>
      <c r="L1399">
        <v>224</v>
      </c>
      <c r="M1399" t="s">
        <v>3917</v>
      </c>
    </row>
    <row r="1400" spans="1:13" x14ac:dyDescent="0.45">
      <c r="A1400" t="s">
        <v>13</v>
      </c>
      <c r="B1400">
        <v>1511577</v>
      </c>
      <c r="C1400">
        <v>1512131</v>
      </c>
      <c r="E1400" t="s">
        <v>96</v>
      </c>
      <c r="F1400" t="s">
        <v>3918</v>
      </c>
      <c r="H1400">
        <v>0</v>
      </c>
      <c r="I1400" t="s">
        <v>17</v>
      </c>
      <c r="K1400" t="s">
        <v>3919</v>
      </c>
      <c r="L1400">
        <v>184</v>
      </c>
      <c r="M1400" t="s">
        <v>3920</v>
      </c>
    </row>
    <row r="1401" spans="1:13" x14ac:dyDescent="0.45">
      <c r="A1401" t="s">
        <v>13</v>
      </c>
      <c r="B1401">
        <v>1512209</v>
      </c>
      <c r="C1401">
        <v>1512574</v>
      </c>
      <c r="E1401" t="s">
        <v>96</v>
      </c>
      <c r="F1401" t="s">
        <v>1096</v>
      </c>
      <c r="H1401">
        <v>0</v>
      </c>
      <c r="I1401" t="s">
        <v>17</v>
      </c>
      <c r="K1401" t="s">
        <v>3921</v>
      </c>
      <c r="L1401">
        <v>121</v>
      </c>
      <c r="M1401" t="s">
        <v>3922</v>
      </c>
    </row>
    <row r="1402" spans="1:13" x14ac:dyDescent="0.45">
      <c r="A1402" t="s">
        <v>13</v>
      </c>
      <c r="B1402">
        <v>1512805</v>
      </c>
      <c r="C1402">
        <v>1512939</v>
      </c>
      <c r="E1402" t="s">
        <v>14</v>
      </c>
      <c r="F1402" t="s">
        <v>43</v>
      </c>
      <c r="H1402">
        <v>0</v>
      </c>
      <c r="I1402" t="s">
        <v>17</v>
      </c>
      <c r="K1402" t="s">
        <v>3923</v>
      </c>
      <c r="L1402">
        <v>44</v>
      </c>
      <c r="M1402" t="s">
        <v>3924</v>
      </c>
    </row>
    <row r="1403" spans="1:13" x14ac:dyDescent="0.45">
      <c r="A1403" t="s">
        <v>13</v>
      </c>
      <c r="B1403">
        <v>1513039</v>
      </c>
      <c r="C1403">
        <v>1513824</v>
      </c>
      <c r="E1403" t="s">
        <v>14</v>
      </c>
      <c r="F1403" t="s">
        <v>1183</v>
      </c>
      <c r="H1403">
        <v>0</v>
      </c>
      <c r="I1403" t="s">
        <v>17</v>
      </c>
      <c r="K1403" t="s">
        <v>3925</v>
      </c>
      <c r="L1403">
        <v>261</v>
      </c>
      <c r="M1403" t="s">
        <v>3926</v>
      </c>
    </row>
    <row r="1404" spans="1:13" x14ac:dyDescent="0.45">
      <c r="A1404" t="s">
        <v>13</v>
      </c>
      <c r="B1404">
        <v>1514195</v>
      </c>
      <c r="C1404">
        <v>1515379</v>
      </c>
      <c r="E1404" t="s">
        <v>96</v>
      </c>
      <c r="F1404" t="s">
        <v>1876</v>
      </c>
      <c r="H1404">
        <v>0</v>
      </c>
      <c r="I1404" t="s">
        <v>17</v>
      </c>
      <c r="K1404" t="s">
        <v>3927</v>
      </c>
      <c r="L1404">
        <v>394</v>
      </c>
      <c r="M1404" t="s">
        <v>3928</v>
      </c>
    </row>
    <row r="1405" spans="1:13" x14ac:dyDescent="0.45">
      <c r="A1405" t="s">
        <v>13</v>
      </c>
      <c r="B1405">
        <v>1515476</v>
      </c>
      <c r="C1405">
        <v>1516240</v>
      </c>
      <c r="E1405" t="s">
        <v>96</v>
      </c>
      <c r="F1405" t="s">
        <v>1134</v>
      </c>
      <c r="H1405">
        <v>0</v>
      </c>
      <c r="I1405" t="s">
        <v>17</v>
      </c>
      <c r="K1405" t="s">
        <v>3929</v>
      </c>
      <c r="L1405">
        <v>254</v>
      </c>
      <c r="M1405" t="s">
        <v>3930</v>
      </c>
    </row>
    <row r="1406" spans="1:13" x14ac:dyDescent="0.45">
      <c r="A1406" t="s">
        <v>13</v>
      </c>
      <c r="B1406">
        <v>1516429</v>
      </c>
      <c r="C1406">
        <v>1517253</v>
      </c>
      <c r="E1406" t="s">
        <v>96</v>
      </c>
      <c r="F1406" t="s">
        <v>3931</v>
      </c>
      <c r="G1406" t="s">
        <v>3932</v>
      </c>
      <c r="H1406">
        <v>0</v>
      </c>
      <c r="I1406" t="s">
        <v>17</v>
      </c>
      <c r="K1406" t="s">
        <v>3933</v>
      </c>
      <c r="L1406">
        <v>274</v>
      </c>
      <c r="M1406" t="s">
        <v>3934</v>
      </c>
    </row>
    <row r="1407" spans="1:13" x14ac:dyDescent="0.45">
      <c r="A1407" t="s">
        <v>13</v>
      </c>
      <c r="B1407">
        <v>1517474</v>
      </c>
      <c r="C1407">
        <v>1520593</v>
      </c>
      <c r="E1407" t="s">
        <v>14</v>
      </c>
      <c r="F1407" t="s">
        <v>3935</v>
      </c>
      <c r="H1407">
        <v>0</v>
      </c>
      <c r="I1407" t="s">
        <v>17</v>
      </c>
      <c r="K1407" t="s">
        <v>3936</v>
      </c>
      <c r="L1407">
        <v>1039</v>
      </c>
      <c r="M1407" t="s">
        <v>3937</v>
      </c>
    </row>
    <row r="1408" spans="1:13" x14ac:dyDescent="0.45">
      <c r="A1408" t="s">
        <v>13</v>
      </c>
      <c r="B1408">
        <v>1520611</v>
      </c>
      <c r="C1408">
        <v>1521210</v>
      </c>
      <c r="E1408" t="s">
        <v>14</v>
      </c>
      <c r="F1408" t="s">
        <v>3938</v>
      </c>
      <c r="H1408">
        <v>0</v>
      </c>
      <c r="I1408" t="s">
        <v>17</v>
      </c>
      <c r="K1408" t="s">
        <v>3939</v>
      </c>
      <c r="L1408">
        <v>199</v>
      </c>
      <c r="M1408" t="s">
        <v>3940</v>
      </c>
    </row>
    <row r="1409" spans="1:13" x14ac:dyDescent="0.45">
      <c r="A1409" t="s">
        <v>13</v>
      </c>
      <c r="B1409">
        <v>1521467</v>
      </c>
      <c r="C1409">
        <v>1523596</v>
      </c>
      <c r="E1409" t="s">
        <v>96</v>
      </c>
      <c r="F1409" t="s">
        <v>3941</v>
      </c>
      <c r="H1409">
        <v>0</v>
      </c>
      <c r="I1409" t="s">
        <v>17</v>
      </c>
      <c r="K1409" t="s">
        <v>3942</v>
      </c>
      <c r="L1409">
        <v>709</v>
      </c>
      <c r="M1409" t="s">
        <v>3943</v>
      </c>
    </row>
    <row r="1410" spans="1:13" x14ac:dyDescent="0.45">
      <c r="A1410" t="s">
        <v>13</v>
      </c>
      <c r="B1410">
        <v>1523862</v>
      </c>
      <c r="C1410">
        <v>1524110</v>
      </c>
      <c r="E1410" t="s">
        <v>14</v>
      </c>
      <c r="F1410" t="s">
        <v>43</v>
      </c>
      <c r="H1410">
        <v>0</v>
      </c>
      <c r="I1410" t="s">
        <v>17</v>
      </c>
      <c r="K1410" t="s">
        <v>3944</v>
      </c>
      <c r="L1410">
        <v>82</v>
      </c>
      <c r="M1410" t="s">
        <v>3945</v>
      </c>
    </row>
    <row r="1411" spans="1:13" x14ac:dyDescent="0.45">
      <c r="A1411" t="s">
        <v>13</v>
      </c>
      <c r="B1411">
        <v>1524276</v>
      </c>
      <c r="C1411">
        <v>1525667</v>
      </c>
      <c r="E1411" t="s">
        <v>14</v>
      </c>
      <c r="F1411" t="s">
        <v>43</v>
      </c>
      <c r="H1411">
        <v>0</v>
      </c>
      <c r="I1411" t="s">
        <v>17</v>
      </c>
      <c r="K1411" t="s">
        <v>3946</v>
      </c>
      <c r="L1411">
        <v>463</v>
      </c>
      <c r="M1411" t="s">
        <v>3947</v>
      </c>
    </row>
    <row r="1412" spans="1:13" x14ac:dyDescent="0.45">
      <c r="A1412" t="s">
        <v>13</v>
      </c>
      <c r="B1412">
        <v>1525782</v>
      </c>
      <c r="C1412">
        <v>1527251</v>
      </c>
      <c r="E1412" t="s">
        <v>14</v>
      </c>
      <c r="F1412" t="s">
        <v>3948</v>
      </c>
      <c r="H1412">
        <v>0</v>
      </c>
      <c r="I1412" t="s">
        <v>17</v>
      </c>
      <c r="K1412" t="s">
        <v>3949</v>
      </c>
      <c r="L1412">
        <v>489</v>
      </c>
      <c r="M1412" t="s">
        <v>3950</v>
      </c>
    </row>
    <row r="1413" spans="1:13" x14ac:dyDescent="0.45">
      <c r="A1413" t="s">
        <v>13</v>
      </c>
      <c r="B1413">
        <v>1527316</v>
      </c>
      <c r="C1413">
        <v>1527909</v>
      </c>
      <c r="E1413" t="s">
        <v>14</v>
      </c>
      <c r="F1413" t="s">
        <v>3951</v>
      </c>
      <c r="H1413">
        <v>0</v>
      </c>
      <c r="I1413" t="s">
        <v>17</v>
      </c>
      <c r="K1413" t="s">
        <v>3952</v>
      </c>
      <c r="L1413">
        <v>197</v>
      </c>
      <c r="M1413" t="s">
        <v>3953</v>
      </c>
    </row>
    <row r="1414" spans="1:13" x14ac:dyDescent="0.45">
      <c r="A1414" t="s">
        <v>13</v>
      </c>
      <c r="B1414">
        <v>1528040</v>
      </c>
      <c r="C1414">
        <v>1529437</v>
      </c>
      <c r="E1414" t="s">
        <v>14</v>
      </c>
      <c r="F1414" t="s">
        <v>1077</v>
      </c>
      <c r="H1414">
        <v>0</v>
      </c>
      <c r="I1414" t="s">
        <v>17</v>
      </c>
      <c r="K1414" t="s">
        <v>3954</v>
      </c>
      <c r="L1414">
        <v>465</v>
      </c>
      <c r="M1414" t="s">
        <v>3955</v>
      </c>
    </row>
    <row r="1415" spans="1:13" x14ac:dyDescent="0.45">
      <c r="A1415" t="s">
        <v>13</v>
      </c>
      <c r="B1415">
        <v>1529619</v>
      </c>
      <c r="C1415">
        <v>1529990</v>
      </c>
      <c r="E1415" t="s">
        <v>14</v>
      </c>
      <c r="F1415" t="s">
        <v>3956</v>
      </c>
      <c r="H1415">
        <v>0</v>
      </c>
      <c r="I1415" t="s">
        <v>17</v>
      </c>
      <c r="K1415" t="s">
        <v>3957</v>
      </c>
      <c r="L1415">
        <v>123</v>
      </c>
      <c r="M1415" t="s">
        <v>3958</v>
      </c>
    </row>
    <row r="1416" spans="1:13" x14ac:dyDescent="0.45">
      <c r="A1416" t="s">
        <v>13</v>
      </c>
      <c r="B1416">
        <v>1529983</v>
      </c>
      <c r="C1416">
        <v>1530672</v>
      </c>
      <c r="E1416" t="s">
        <v>14</v>
      </c>
      <c r="F1416" t="s">
        <v>3959</v>
      </c>
      <c r="H1416">
        <v>0</v>
      </c>
      <c r="I1416" t="s">
        <v>17</v>
      </c>
      <c r="K1416" t="s">
        <v>3960</v>
      </c>
      <c r="L1416">
        <v>229</v>
      </c>
      <c r="M1416" t="s">
        <v>3961</v>
      </c>
    </row>
    <row r="1417" spans="1:13" x14ac:dyDescent="0.45">
      <c r="A1417" t="s">
        <v>13</v>
      </c>
      <c r="B1417">
        <v>1531192</v>
      </c>
      <c r="C1417">
        <v>1532058</v>
      </c>
      <c r="E1417" t="s">
        <v>14</v>
      </c>
      <c r="F1417" t="s">
        <v>3962</v>
      </c>
      <c r="H1417">
        <v>0</v>
      </c>
      <c r="I1417" t="s">
        <v>17</v>
      </c>
      <c r="K1417" t="s">
        <v>3963</v>
      </c>
      <c r="L1417">
        <v>288</v>
      </c>
      <c r="M1417" t="s">
        <v>3964</v>
      </c>
    </row>
    <row r="1418" spans="1:13" x14ac:dyDescent="0.45">
      <c r="A1418" t="s">
        <v>13</v>
      </c>
      <c r="B1418">
        <v>1532300</v>
      </c>
      <c r="C1418">
        <v>1533109</v>
      </c>
      <c r="E1418" t="s">
        <v>14</v>
      </c>
      <c r="F1418" t="s">
        <v>3965</v>
      </c>
      <c r="H1418">
        <v>0</v>
      </c>
      <c r="I1418" t="s">
        <v>17</v>
      </c>
      <c r="K1418" t="s">
        <v>3966</v>
      </c>
      <c r="L1418">
        <v>269</v>
      </c>
      <c r="M1418" t="s">
        <v>3967</v>
      </c>
    </row>
    <row r="1419" spans="1:13" x14ac:dyDescent="0.45">
      <c r="A1419" t="s">
        <v>13</v>
      </c>
      <c r="B1419">
        <v>1533252</v>
      </c>
      <c r="C1419">
        <v>1534316</v>
      </c>
      <c r="E1419" t="s">
        <v>14</v>
      </c>
      <c r="F1419" t="s">
        <v>3968</v>
      </c>
      <c r="H1419">
        <v>0</v>
      </c>
      <c r="I1419" t="s">
        <v>17</v>
      </c>
      <c r="K1419" t="s">
        <v>3969</v>
      </c>
      <c r="L1419">
        <v>354</v>
      </c>
      <c r="M1419" t="s">
        <v>3970</v>
      </c>
    </row>
    <row r="1420" spans="1:13" x14ac:dyDescent="0.45">
      <c r="A1420" t="s">
        <v>13</v>
      </c>
      <c r="B1420">
        <v>1534344</v>
      </c>
      <c r="C1420">
        <v>1535063</v>
      </c>
      <c r="E1420" t="s">
        <v>14</v>
      </c>
      <c r="F1420" t="s">
        <v>3610</v>
      </c>
      <c r="H1420">
        <v>0</v>
      </c>
      <c r="I1420" t="s">
        <v>17</v>
      </c>
      <c r="K1420" t="s">
        <v>3971</v>
      </c>
      <c r="L1420">
        <v>239</v>
      </c>
      <c r="M1420" t="s">
        <v>3972</v>
      </c>
    </row>
    <row r="1421" spans="1:13" x14ac:dyDescent="0.45">
      <c r="A1421" t="s">
        <v>13</v>
      </c>
      <c r="B1421">
        <v>1535087</v>
      </c>
      <c r="C1421">
        <v>1535671</v>
      </c>
      <c r="E1421" t="s">
        <v>14</v>
      </c>
      <c r="F1421" t="s">
        <v>3973</v>
      </c>
      <c r="H1421">
        <v>0</v>
      </c>
      <c r="I1421" t="s">
        <v>17</v>
      </c>
      <c r="K1421" t="s">
        <v>3974</v>
      </c>
      <c r="L1421">
        <v>194</v>
      </c>
      <c r="M1421" t="s">
        <v>3975</v>
      </c>
    </row>
    <row r="1422" spans="1:13" x14ac:dyDescent="0.45">
      <c r="A1422" t="s">
        <v>13</v>
      </c>
      <c r="B1422">
        <v>1535673</v>
      </c>
      <c r="C1422">
        <v>1537022</v>
      </c>
      <c r="E1422" t="s">
        <v>14</v>
      </c>
      <c r="F1422" t="s">
        <v>3976</v>
      </c>
      <c r="G1422" t="s">
        <v>3977</v>
      </c>
      <c r="H1422">
        <v>0</v>
      </c>
      <c r="I1422" t="s">
        <v>17</v>
      </c>
      <c r="K1422" t="s">
        <v>3978</v>
      </c>
      <c r="L1422">
        <v>449</v>
      </c>
      <c r="M1422" t="s">
        <v>3979</v>
      </c>
    </row>
    <row r="1423" spans="1:13" x14ac:dyDescent="0.45">
      <c r="A1423" t="s">
        <v>13</v>
      </c>
      <c r="B1423">
        <v>1537012</v>
      </c>
      <c r="C1423">
        <v>1537755</v>
      </c>
      <c r="E1423" t="s">
        <v>14</v>
      </c>
      <c r="F1423" t="s">
        <v>3980</v>
      </c>
      <c r="H1423">
        <v>0</v>
      </c>
      <c r="I1423" t="s">
        <v>17</v>
      </c>
      <c r="K1423" t="s">
        <v>3981</v>
      </c>
      <c r="L1423">
        <v>247</v>
      </c>
      <c r="M1423" t="s">
        <v>3982</v>
      </c>
    </row>
    <row r="1424" spans="1:13" x14ac:dyDescent="0.45">
      <c r="A1424" t="s">
        <v>13</v>
      </c>
      <c r="B1424">
        <v>1537789</v>
      </c>
      <c r="C1424">
        <v>1538490</v>
      </c>
      <c r="E1424" t="s">
        <v>14</v>
      </c>
      <c r="F1424" t="s">
        <v>43</v>
      </c>
      <c r="H1424">
        <v>0</v>
      </c>
      <c r="I1424" t="s">
        <v>17</v>
      </c>
      <c r="K1424" t="s">
        <v>3983</v>
      </c>
      <c r="L1424">
        <v>233</v>
      </c>
      <c r="M1424" t="s">
        <v>3984</v>
      </c>
    </row>
    <row r="1425" spans="1:13" x14ac:dyDescent="0.45">
      <c r="A1425" t="s">
        <v>13</v>
      </c>
      <c r="B1425">
        <v>1538516</v>
      </c>
      <c r="C1425">
        <v>1539088</v>
      </c>
      <c r="E1425" t="s">
        <v>14</v>
      </c>
      <c r="F1425" t="s">
        <v>3985</v>
      </c>
      <c r="G1425" t="s">
        <v>3986</v>
      </c>
      <c r="H1425">
        <v>0</v>
      </c>
      <c r="I1425" t="s">
        <v>17</v>
      </c>
      <c r="K1425" t="s">
        <v>3987</v>
      </c>
      <c r="L1425">
        <v>190</v>
      </c>
      <c r="M1425" t="s">
        <v>3988</v>
      </c>
    </row>
    <row r="1426" spans="1:13" x14ac:dyDescent="0.45">
      <c r="A1426" t="s">
        <v>13</v>
      </c>
      <c r="B1426">
        <v>1539154</v>
      </c>
      <c r="C1426">
        <v>1539945</v>
      </c>
      <c r="E1426" t="s">
        <v>14</v>
      </c>
      <c r="F1426" t="s">
        <v>3989</v>
      </c>
      <c r="G1426" t="s">
        <v>3990</v>
      </c>
      <c r="H1426">
        <v>0</v>
      </c>
      <c r="I1426" t="s">
        <v>17</v>
      </c>
      <c r="K1426" t="s">
        <v>3991</v>
      </c>
      <c r="L1426">
        <v>263</v>
      </c>
      <c r="M1426" t="s">
        <v>3992</v>
      </c>
    </row>
    <row r="1427" spans="1:13" x14ac:dyDescent="0.45">
      <c r="A1427" t="s">
        <v>13</v>
      </c>
      <c r="B1427">
        <v>1539956</v>
      </c>
      <c r="C1427">
        <v>1540321</v>
      </c>
      <c r="E1427" t="s">
        <v>14</v>
      </c>
      <c r="F1427" t="s">
        <v>3993</v>
      </c>
      <c r="G1427" t="s">
        <v>3994</v>
      </c>
      <c r="H1427">
        <v>0</v>
      </c>
      <c r="I1427" t="s">
        <v>17</v>
      </c>
      <c r="K1427" t="s">
        <v>3995</v>
      </c>
      <c r="L1427">
        <v>121</v>
      </c>
      <c r="M1427" t="s">
        <v>3996</v>
      </c>
    </row>
    <row r="1428" spans="1:13" x14ac:dyDescent="0.45">
      <c r="A1428" t="s">
        <v>13</v>
      </c>
      <c r="B1428">
        <v>1540314</v>
      </c>
      <c r="C1428">
        <v>1540820</v>
      </c>
      <c r="E1428" t="s">
        <v>14</v>
      </c>
      <c r="F1428" t="s">
        <v>3997</v>
      </c>
      <c r="G1428" t="s">
        <v>3998</v>
      </c>
      <c r="H1428">
        <v>0</v>
      </c>
      <c r="I1428" t="s">
        <v>17</v>
      </c>
      <c r="K1428" t="s">
        <v>3999</v>
      </c>
      <c r="L1428">
        <v>168</v>
      </c>
      <c r="M1428" t="s">
        <v>4000</v>
      </c>
    </row>
    <row r="1429" spans="1:13" x14ac:dyDescent="0.45">
      <c r="A1429" t="s">
        <v>13</v>
      </c>
      <c r="B1429">
        <v>1540801</v>
      </c>
      <c r="C1429">
        <v>1541586</v>
      </c>
      <c r="E1429" t="s">
        <v>14</v>
      </c>
      <c r="F1429" t="s">
        <v>4001</v>
      </c>
      <c r="G1429" t="s">
        <v>4002</v>
      </c>
      <c r="H1429">
        <v>0</v>
      </c>
      <c r="I1429" t="s">
        <v>17</v>
      </c>
      <c r="K1429" t="s">
        <v>4003</v>
      </c>
      <c r="L1429">
        <v>261</v>
      </c>
      <c r="M1429" t="s">
        <v>4004</v>
      </c>
    </row>
    <row r="1430" spans="1:13" x14ac:dyDescent="0.45">
      <c r="A1430" t="s">
        <v>13</v>
      </c>
      <c r="B1430">
        <v>1541805</v>
      </c>
      <c r="C1430">
        <v>1543631</v>
      </c>
      <c r="E1430" t="s">
        <v>14</v>
      </c>
      <c r="F1430" t="s">
        <v>4005</v>
      </c>
      <c r="G1430" t="s">
        <v>4006</v>
      </c>
      <c r="H1430">
        <v>0</v>
      </c>
      <c r="I1430" t="s">
        <v>17</v>
      </c>
      <c r="K1430" t="s">
        <v>4007</v>
      </c>
      <c r="L1430">
        <v>608</v>
      </c>
      <c r="M1430" t="s">
        <v>4008</v>
      </c>
    </row>
    <row r="1431" spans="1:13" x14ac:dyDescent="0.45">
      <c r="A1431" t="s">
        <v>13</v>
      </c>
      <c r="B1431">
        <v>1543649</v>
      </c>
      <c r="C1431">
        <v>1544815</v>
      </c>
      <c r="E1431" t="s">
        <v>14</v>
      </c>
      <c r="F1431" t="s">
        <v>4009</v>
      </c>
      <c r="G1431" t="s">
        <v>4010</v>
      </c>
      <c r="H1431">
        <v>0</v>
      </c>
      <c r="I1431" t="s">
        <v>17</v>
      </c>
      <c r="K1431" t="s">
        <v>4011</v>
      </c>
      <c r="L1431">
        <v>388</v>
      </c>
      <c r="M1431" t="s">
        <v>4012</v>
      </c>
    </row>
    <row r="1432" spans="1:13" x14ac:dyDescent="0.45">
      <c r="A1432" t="s">
        <v>13</v>
      </c>
      <c r="B1432">
        <v>1544980</v>
      </c>
      <c r="C1432">
        <v>1545669</v>
      </c>
      <c r="E1432" t="s">
        <v>14</v>
      </c>
      <c r="F1432" t="s">
        <v>4013</v>
      </c>
      <c r="H1432">
        <v>0</v>
      </c>
      <c r="I1432" t="s">
        <v>17</v>
      </c>
      <c r="K1432" t="s">
        <v>4014</v>
      </c>
      <c r="L1432">
        <v>229</v>
      </c>
      <c r="M1432" t="s">
        <v>4015</v>
      </c>
    </row>
    <row r="1433" spans="1:13" x14ac:dyDescent="0.45">
      <c r="A1433" t="s">
        <v>13</v>
      </c>
      <c r="B1433">
        <v>1545683</v>
      </c>
      <c r="C1433">
        <v>1546780</v>
      </c>
      <c r="E1433" t="s">
        <v>14</v>
      </c>
      <c r="F1433" t="s">
        <v>1982</v>
      </c>
      <c r="H1433">
        <v>0</v>
      </c>
      <c r="I1433" t="s">
        <v>17</v>
      </c>
      <c r="K1433" t="s">
        <v>4016</v>
      </c>
      <c r="L1433">
        <v>365</v>
      </c>
      <c r="M1433" t="s">
        <v>4017</v>
      </c>
    </row>
    <row r="1434" spans="1:13" x14ac:dyDescent="0.45">
      <c r="A1434" t="s">
        <v>13</v>
      </c>
      <c r="B1434">
        <v>1546842</v>
      </c>
      <c r="C1434">
        <v>1547414</v>
      </c>
      <c r="E1434" t="s">
        <v>14</v>
      </c>
      <c r="F1434" t="s">
        <v>1482</v>
      </c>
      <c r="H1434">
        <v>0</v>
      </c>
      <c r="I1434" t="s">
        <v>17</v>
      </c>
      <c r="K1434" t="s">
        <v>4018</v>
      </c>
      <c r="L1434">
        <v>190</v>
      </c>
      <c r="M1434" t="s">
        <v>4019</v>
      </c>
    </row>
    <row r="1435" spans="1:13" x14ac:dyDescent="0.45">
      <c r="A1435" t="s">
        <v>13</v>
      </c>
      <c r="B1435">
        <v>1547474</v>
      </c>
      <c r="C1435">
        <v>1547941</v>
      </c>
      <c r="E1435" t="s">
        <v>96</v>
      </c>
      <c r="F1435" t="s">
        <v>4020</v>
      </c>
      <c r="H1435">
        <v>0</v>
      </c>
      <c r="I1435" t="s">
        <v>17</v>
      </c>
      <c r="K1435" t="s">
        <v>4021</v>
      </c>
      <c r="L1435">
        <v>155</v>
      </c>
      <c r="M1435" t="s">
        <v>4022</v>
      </c>
    </row>
    <row r="1436" spans="1:13" x14ac:dyDescent="0.45">
      <c r="A1436" t="s">
        <v>13</v>
      </c>
      <c r="B1436">
        <v>1548327</v>
      </c>
      <c r="C1436">
        <v>1548803</v>
      </c>
      <c r="E1436" t="s">
        <v>96</v>
      </c>
      <c r="F1436" t="s">
        <v>2081</v>
      </c>
      <c r="H1436">
        <v>0</v>
      </c>
      <c r="I1436" t="s">
        <v>17</v>
      </c>
      <c r="K1436" t="s">
        <v>4023</v>
      </c>
      <c r="L1436">
        <v>158</v>
      </c>
      <c r="M1436" t="s">
        <v>4024</v>
      </c>
    </row>
    <row r="1437" spans="1:13" x14ac:dyDescent="0.45">
      <c r="A1437" t="s">
        <v>13</v>
      </c>
      <c r="B1437">
        <v>1548923</v>
      </c>
      <c r="C1437">
        <v>1550014</v>
      </c>
      <c r="E1437" t="s">
        <v>96</v>
      </c>
      <c r="F1437" t="s">
        <v>4025</v>
      </c>
      <c r="H1437">
        <v>0</v>
      </c>
      <c r="I1437" t="s">
        <v>17</v>
      </c>
      <c r="K1437" t="s">
        <v>4026</v>
      </c>
      <c r="L1437">
        <v>363</v>
      </c>
      <c r="M1437" t="s">
        <v>4027</v>
      </c>
    </row>
    <row r="1438" spans="1:13" x14ac:dyDescent="0.45">
      <c r="A1438" t="s">
        <v>13</v>
      </c>
      <c r="B1438">
        <v>1550007</v>
      </c>
      <c r="C1438">
        <v>1550396</v>
      </c>
      <c r="E1438" t="s">
        <v>96</v>
      </c>
      <c r="F1438" t="s">
        <v>1909</v>
      </c>
      <c r="H1438">
        <v>0</v>
      </c>
      <c r="I1438" t="s">
        <v>17</v>
      </c>
      <c r="K1438" t="s">
        <v>4028</v>
      </c>
      <c r="L1438">
        <v>129</v>
      </c>
      <c r="M1438" t="s">
        <v>4029</v>
      </c>
    </row>
    <row r="1439" spans="1:13" x14ac:dyDescent="0.45">
      <c r="A1439" t="s">
        <v>13</v>
      </c>
      <c r="B1439">
        <v>1550588</v>
      </c>
      <c r="C1439">
        <v>1551034</v>
      </c>
      <c r="E1439" t="s">
        <v>14</v>
      </c>
      <c r="F1439" t="s">
        <v>43</v>
      </c>
      <c r="H1439">
        <v>0</v>
      </c>
      <c r="I1439" t="s">
        <v>17</v>
      </c>
      <c r="K1439" t="s">
        <v>4030</v>
      </c>
      <c r="L1439">
        <v>148</v>
      </c>
      <c r="M1439" t="s">
        <v>4031</v>
      </c>
    </row>
    <row r="1440" spans="1:13" x14ac:dyDescent="0.45">
      <c r="A1440" t="s">
        <v>13</v>
      </c>
      <c r="B1440">
        <v>1551298</v>
      </c>
      <c r="C1440">
        <v>1552023</v>
      </c>
      <c r="E1440" t="s">
        <v>14</v>
      </c>
      <c r="F1440" t="s">
        <v>1222</v>
      </c>
      <c r="H1440">
        <v>0</v>
      </c>
      <c r="I1440" t="s">
        <v>17</v>
      </c>
      <c r="K1440" t="s">
        <v>4032</v>
      </c>
      <c r="L1440">
        <v>241</v>
      </c>
      <c r="M1440" t="s">
        <v>4033</v>
      </c>
    </row>
    <row r="1441" spans="1:13" x14ac:dyDescent="0.45">
      <c r="A1441" t="s">
        <v>13</v>
      </c>
      <c r="B1441">
        <v>1552001</v>
      </c>
      <c r="C1441">
        <v>1553254</v>
      </c>
      <c r="E1441" t="s">
        <v>14</v>
      </c>
      <c r="F1441" t="s">
        <v>1219</v>
      </c>
      <c r="H1441">
        <v>0</v>
      </c>
      <c r="I1441" t="s">
        <v>17</v>
      </c>
      <c r="K1441" t="s">
        <v>4034</v>
      </c>
      <c r="L1441">
        <v>417</v>
      </c>
      <c r="M1441" t="s">
        <v>4035</v>
      </c>
    </row>
    <row r="1442" spans="1:13" x14ac:dyDescent="0.45">
      <c r="A1442" t="s">
        <v>13</v>
      </c>
      <c r="B1442">
        <v>1553334</v>
      </c>
      <c r="C1442">
        <v>1554011</v>
      </c>
      <c r="E1442" t="s">
        <v>14</v>
      </c>
      <c r="F1442" t="s">
        <v>1140</v>
      </c>
      <c r="H1442">
        <v>0</v>
      </c>
      <c r="I1442" t="s">
        <v>17</v>
      </c>
      <c r="K1442" t="s">
        <v>4036</v>
      </c>
      <c r="L1442">
        <v>225</v>
      </c>
      <c r="M1442" t="s">
        <v>4037</v>
      </c>
    </row>
    <row r="1443" spans="1:13" x14ac:dyDescent="0.45">
      <c r="A1443" t="s">
        <v>13</v>
      </c>
      <c r="B1443">
        <v>1554012</v>
      </c>
      <c r="C1443">
        <v>1556573</v>
      </c>
      <c r="E1443" t="s">
        <v>14</v>
      </c>
      <c r="F1443" t="s">
        <v>1143</v>
      </c>
      <c r="H1443">
        <v>0</v>
      </c>
      <c r="I1443" t="s">
        <v>17</v>
      </c>
      <c r="K1443" t="s">
        <v>4038</v>
      </c>
      <c r="L1443">
        <v>853</v>
      </c>
      <c r="M1443" t="s">
        <v>4039</v>
      </c>
    </row>
    <row r="1444" spans="1:13" x14ac:dyDescent="0.45">
      <c r="A1444" t="s">
        <v>13</v>
      </c>
      <c r="B1444">
        <v>1556794</v>
      </c>
      <c r="C1444">
        <v>1558068</v>
      </c>
      <c r="E1444" t="s">
        <v>14</v>
      </c>
      <c r="F1444" t="s">
        <v>4040</v>
      </c>
      <c r="H1444">
        <v>0</v>
      </c>
      <c r="I1444" t="s">
        <v>17</v>
      </c>
      <c r="K1444" t="s">
        <v>4041</v>
      </c>
      <c r="L1444">
        <v>424</v>
      </c>
      <c r="M1444" t="s">
        <v>4042</v>
      </c>
    </row>
    <row r="1445" spans="1:13" x14ac:dyDescent="0.45">
      <c r="A1445" t="s">
        <v>13</v>
      </c>
      <c r="B1445">
        <v>1558229</v>
      </c>
      <c r="C1445">
        <v>1561270</v>
      </c>
      <c r="E1445" t="s">
        <v>96</v>
      </c>
      <c r="F1445" t="s">
        <v>4043</v>
      </c>
      <c r="H1445">
        <v>0</v>
      </c>
      <c r="I1445" t="s">
        <v>17</v>
      </c>
      <c r="K1445" t="s">
        <v>4044</v>
      </c>
      <c r="L1445">
        <v>1013</v>
      </c>
      <c r="M1445" t="s">
        <v>4045</v>
      </c>
    </row>
    <row r="1446" spans="1:13" x14ac:dyDescent="0.45">
      <c r="A1446" t="s">
        <v>13</v>
      </c>
      <c r="B1446">
        <v>1561477</v>
      </c>
      <c r="C1446">
        <v>1561776</v>
      </c>
      <c r="E1446" t="s">
        <v>14</v>
      </c>
      <c r="F1446" t="s">
        <v>568</v>
      </c>
      <c r="H1446">
        <v>0</v>
      </c>
      <c r="I1446" t="s">
        <v>17</v>
      </c>
      <c r="K1446" t="s">
        <v>4046</v>
      </c>
      <c r="L1446">
        <v>99</v>
      </c>
      <c r="M1446" t="s">
        <v>4047</v>
      </c>
    </row>
    <row r="1447" spans="1:13" x14ac:dyDescent="0.45">
      <c r="A1447" t="s">
        <v>13</v>
      </c>
      <c r="B1447">
        <v>1562014</v>
      </c>
      <c r="C1447">
        <v>1564242</v>
      </c>
      <c r="E1447" t="s">
        <v>96</v>
      </c>
      <c r="F1447" t="s">
        <v>4048</v>
      </c>
      <c r="H1447">
        <v>0</v>
      </c>
      <c r="I1447" t="s">
        <v>17</v>
      </c>
      <c r="K1447" t="s">
        <v>4049</v>
      </c>
      <c r="L1447">
        <v>742</v>
      </c>
      <c r="M1447" t="s">
        <v>4050</v>
      </c>
    </row>
    <row r="1448" spans="1:13" x14ac:dyDescent="0.45">
      <c r="A1448" t="s">
        <v>13</v>
      </c>
      <c r="B1448">
        <v>1564536</v>
      </c>
      <c r="C1448">
        <v>1566311</v>
      </c>
      <c r="E1448" t="s">
        <v>14</v>
      </c>
      <c r="F1448" t="s">
        <v>1140</v>
      </c>
      <c r="H1448">
        <v>0</v>
      </c>
      <c r="I1448" t="s">
        <v>17</v>
      </c>
      <c r="K1448" t="s">
        <v>4051</v>
      </c>
      <c r="L1448">
        <v>591</v>
      </c>
      <c r="M1448" t="s">
        <v>4052</v>
      </c>
    </row>
    <row r="1449" spans="1:13" x14ac:dyDescent="0.45">
      <c r="A1449" t="s">
        <v>13</v>
      </c>
      <c r="B1449">
        <v>1566324</v>
      </c>
      <c r="C1449">
        <v>1568147</v>
      </c>
      <c r="E1449" t="s">
        <v>14</v>
      </c>
      <c r="F1449" t="s">
        <v>1140</v>
      </c>
      <c r="H1449">
        <v>0</v>
      </c>
      <c r="I1449" t="s">
        <v>17</v>
      </c>
      <c r="K1449" t="s">
        <v>4053</v>
      </c>
      <c r="L1449">
        <v>607</v>
      </c>
      <c r="M1449" t="s">
        <v>4054</v>
      </c>
    </row>
    <row r="1450" spans="1:13" x14ac:dyDescent="0.45">
      <c r="A1450" t="s">
        <v>13</v>
      </c>
      <c r="B1450">
        <v>1568265</v>
      </c>
      <c r="C1450">
        <v>1568810</v>
      </c>
      <c r="E1450" t="s">
        <v>14</v>
      </c>
      <c r="F1450" t="s">
        <v>4055</v>
      </c>
      <c r="H1450">
        <v>0</v>
      </c>
      <c r="I1450" t="s">
        <v>17</v>
      </c>
      <c r="K1450" t="s">
        <v>4056</v>
      </c>
      <c r="L1450">
        <v>181</v>
      </c>
      <c r="M1450" t="s">
        <v>4057</v>
      </c>
    </row>
    <row r="1451" spans="1:13" x14ac:dyDescent="0.45">
      <c r="A1451" t="s">
        <v>13</v>
      </c>
      <c r="B1451">
        <v>1569084</v>
      </c>
      <c r="C1451">
        <v>1569344</v>
      </c>
      <c r="E1451" t="s">
        <v>14</v>
      </c>
      <c r="F1451" t="s">
        <v>43</v>
      </c>
      <c r="H1451">
        <v>0</v>
      </c>
      <c r="I1451" t="s">
        <v>17</v>
      </c>
      <c r="K1451" t="s">
        <v>4058</v>
      </c>
      <c r="L1451">
        <v>86</v>
      </c>
      <c r="M1451" t="s">
        <v>4059</v>
      </c>
    </row>
    <row r="1452" spans="1:13" x14ac:dyDescent="0.45">
      <c r="A1452" t="s">
        <v>13</v>
      </c>
      <c r="B1452">
        <v>1569363</v>
      </c>
      <c r="C1452">
        <v>1569791</v>
      </c>
      <c r="E1452" t="s">
        <v>14</v>
      </c>
      <c r="F1452" t="s">
        <v>689</v>
      </c>
      <c r="H1452">
        <v>0</v>
      </c>
      <c r="I1452" t="s">
        <v>17</v>
      </c>
      <c r="K1452" t="s">
        <v>4060</v>
      </c>
      <c r="L1452">
        <v>142</v>
      </c>
      <c r="M1452" t="s">
        <v>4061</v>
      </c>
    </row>
    <row r="1453" spans="1:13" x14ac:dyDescent="0.45">
      <c r="A1453" t="s">
        <v>13</v>
      </c>
      <c r="B1453">
        <v>1569911</v>
      </c>
      <c r="C1453">
        <v>1570519</v>
      </c>
      <c r="E1453" t="s">
        <v>14</v>
      </c>
      <c r="F1453" t="s">
        <v>4062</v>
      </c>
      <c r="H1453">
        <v>0</v>
      </c>
      <c r="I1453" t="s">
        <v>17</v>
      </c>
      <c r="K1453" t="s">
        <v>4063</v>
      </c>
      <c r="L1453">
        <v>202</v>
      </c>
      <c r="M1453" t="s">
        <v>4064</v>
      </c>
    </row>
    <row r="1454" spans="1:13" x14ac:dyDescent="0.45">
      <c r="A1454" t="s">
        <v>13</v>
      </c>
      <c r="B1454">
        <v>1571043</v>
      </c>
      <c r="C1454">
        <v>1571255</v>
      </c>
      <c r="E1454" t="s">
        <v>14</v>
      </c>
      <c r="F1454" t="s">
        <v>4065</v>
      </c>
      <c r="H1454">
        <v>0</v>
      </c>
      <c r="I1454" t="s">
        <v>17</v>
      </c>
      <c r="K1454" t="s">
        <v>4066</v>
      </c>
      <c r="L1454">
        <v>70</v>
      </c>
      <c r="M1454" t="s">
        <v>4067</v>
      </c>
    </row>
    <row r="1455" spans="1:13" x14ac:dyDescent="0.45">
      <c r="A1455" t="s">
        <v>13</v>
      </c>
      <c r="B1455">
        <v>1571268</v>
      </c>
      <c r="C1455">
        <v>1571489</v>
      </c>
      <c r="E1455" t="s">
        <v>14</v>
      </c>
      <c r="F1455" t="s">
        <v>4065</v>
      </c>
      <c r="H1455">
        <v>0</v>
      </c>
      <c r="I1455" t="s">
        <v>17</v>
      </c>
      <c r="K1455" t="s">
        <v>4068</v>
      </c>
      <c r="L1455">
        <v>73</v>
      </c>
      <c r="M1455" t="s">
        <v>4069</v>
      </c>
    </row>
    <row r="1456" spans="1:13" x14ac:dyDescent="0.45">
      <c r="A1456" t="s">
        <v>13</v>
      </c>
      <c r="B1456">
        <v>1571589</v>
      </c>
      <c r="C1456">
        <v>1573745</v>
      </c>
      <c r="E1456" t="s">
        <v>14</v>
      </c>
      <c r="F1456" t="s">
        <v>4070</v>
      </c>
      <c r="G1456" t="s">
        <v>4071</v>
      </c>
      <c r="H1456">
        <v>0</v>
      </c>
      <c r="I1456" t="s">
        <v>17</v>
      </c>
      <c r="K1456" t="s">
        <v>4072</v>
      </c>
      <c r="L1456">
        <v>718</v>
      </c>
      <c r="M1456" t="s">
        <v>4073</v>
      </c>
    </row>
    <row r="1457" spans="1:13" x14ac:dyDescent="0.45">
      <c r="A1457" t="s">
        <v>13</v>
      </c>
      <c r="B1457">
        <v>1573771</v>
      </c>
      <c r="C1457">
        <v>1573923</v>
      </c>
      <c r="E1457" t="s">
        <v>14</v>
      </c>
      <c r="F1457" t="s">
        <v>4074</v>
      </c>
      <c r="H1457">
        <v>0</v>
      </c>
      <c r="I1457" t="s">
        <v>17</v>
      </c>
      <c r="K1457" t="s">
        <v>4075</v>
      </c>
      <c r="L1457">
        <v>50</v>
      </c>
      <c r="M1457" t="s">
        <v>4076</v>
      </c>
    </row>
    <row r="1458" spans="1:13" x14ac:dyDescent="0.45">
      <c r="A1458" t="s">
        <v>13</v>
      </c>
      <c r="B1458">
        <v>1574103</v>
      </c>
      <c r="C1458">
        <v>1574813</v>
      </c>
      <c r="E1458" t="s">
        <v>14</v>
      </c>
      <c r="F1458" t="s">
        <v>4077</v>
      </c>
      <c r="H1458">
        <v>0</v>
      </c>
      <c r="I1458" t="s">
        <v>17</v>
      </c>
      <c r="K1458" t="s">
        <v>4078</v>
      </c>
      <c r="L1458">
        <v>236</v>
      </c>
      <c r="M1458" t="s">
        <v>4079</v>
      </c>
    </row>
    <row r="1459" spans="1:13" x14ac:dyDescent="0.45">
      <c r="A1459" t="s">
        <v>13</v>
      </c>
      <c r="B1459">
        <v>1574898</v>
      </c>
      <c r="C1459">
        <v>1575668</v>
      </c>
      <c r="E1459" t="s">
        <v>14</v>
      </c>
      <c r="F1459" t="s">
        <v>1143</v>
      </c>
      <c r="H1459">
        <v>0</v>
      </c>
      <c r="I1459" t="s">
        <v>17</v>
      </c>
      <c r="K1459" t="s">
        <v>4080</v>
      </c>
      <c r="L1459">
        <v>256</v>
      </c>
      <c r="M1459" t="s">
        <v>4081</v>
      </c>
    </row>
    <row r="1460" spans="1:13" x14ac:dyDescent="0.45">
      <c r="A1460" t="s">
        <v>13</v>
      </c>
      <c r="B1460">
        <v>1575661</v>
      </c>
      <c r="C1460">
        <v>1576392</v>
      </c>
      <c r="E1460" t="s">
        <v>14</v>
      </c>
      <c r="F1460" t="s">
        <v>1140</v>
      </c>
      <c r="H1460">
        <v>0</v>
      </c>
      <c r="I1460" t="s">
        <v>17</v>
      </c>
      <c r="K1460" t="s">
        <v>4082</v>
      </c>
      <c r="L1460">
        <v>243</v>
      </c>
      <c r="M1460" t="s">
        <v>4083</v>
      </c>
    </row>
    <row r="1461" spans="1:13" x14ac:dyDescent="0.45">
      <c r="A1461" t="s">
        <v>13</v>
      </c>
      <c r="B1461">
        <v>1576426</v>
      </c>
      <c r="C1461">
        <v>1577385</v>
      </c>
      <c r="E1461" t="s">
        <v>14</v>
      </c>
      <c r="F1461" t="s">
        <v>4084</v>
      </c>
      <c r="H1461">
        <v>0</v>
      </c>
      <c r="I1461" t="s">
        <v>17</v>
      </c>
      <c r="K1461" t="s">
        <v>4085</v>
      </c>
      <c r="L1461">
        <v>319</v>
      </c>
      <c r="M1461" t="s">
        <v>4086</v>
      </c>
    </row>
    <row r="1462" spans="1:13" x14ac:dyDescent="0.45">
      <c r="A1462" t="s">
        <v>13</v>
      </c>
      <c r="B1462">
        <v>1577483</v>
      </c>
      <c r="C1462">
        <v>1578079</v>
      </c>
      <c r="E1462" t="s">
        <v>96</v>
      </c>
      <c r="F1462" t="s">
        <v>4087</v>
      </c>
      <c r="H1462">
        <v>0</v>
      </c>
      <c r="I1462" t="s">
        <v>17</v>
      </c>
      <c r="K1462" t="s">
        <v>4088</v>
      </c>
      <c r="L1462">
        <v>198</v>
      </c>
      <c r="M1462" t="s">
        <v>4089</v>
      </c>
    </row>
    <row r="1463" spans="1:13" x14ac:dyDescent="0.45">
      <c r="A1463" t="s">
        <v>13</v>
      </c>
      <c r="B1463">
        <v>1578325</v>
      </c>
      <c r="C1463">
        <v>1578924</v>
      </c>
      <c r="E1463" t="s">
        <v>14</v>
      </c>
      <c r="F1463" t="s">
        <v>43</v>
      </c>
      <c r="H1463">
        <v>0</v>
      </c>
      <c r="I1463" t="s">
        <v>17</v>
      </c>
      <c r="K1463" t="s">
        <v>4090</v>
      </c>
      <c r="L1463">
        <v>199</v>
      </c>
      <c r="M1463" t="s">
        <v>4091</v>
      </c>
    </row>
    <row r="1464" spans="1:13" x14ac:dyDescent="0.45">
      <c r="A1464" t="s">
        <v>13</v>
      </c>
      <c r="B1464">
        <v>1579092</v>
      </c>
      <c r="C1464">
        <v>1579559</v>
      </c>
      <c r="E1464" t="s">
        <v>96</v>
      </c>
      <c r="F1464" t="s">
        <v>4092</v>
      </c>
      <c r="H1464">
        <v>0</v>
      </c>
      <c r="I1464" t="s">
        <v>17</v>
      </c>
      <c r="K1464" t="s">
        <v>4093</v>
      </c>
      <c r="L1464">
        <v>155</v>
      </c>
      <c r="M1464" t="s">
        <v>4094</v>
      </c>
    </row>
    <row r="1465" spans="1:13" x14ac:dyDescent="0.45">
      <c r="A1465" t="s">
        <v>13</v>
      </c>
      <c r="B1465">
        <v>1579670</v>
      </c>
      <c r="C1465">
        <v>1580581</v>
      </c>
      <c r="E1465" t="s">
        <v>14</v>
      </c>
      <c r="F1465" t="s">
        <v>1432</v>
      </c>
      <c r="H1465">
        <v>0</v>
      </c>
      <c r="I1465" t="s">
        <v>17</v>
      </c>
      <c r="K1465" t="s">
        <v>4095</v>
      </c>
      <c r="L1465">
        <v>303</v>
      </c>
      <c r="M1465" t="s">
        <v>4096</v>
      </c>
    </row>
    <row r="1466" spans="1:13" x14ac:dyDescent="0.45">
      <c r="A1466" t="s">
        <v>13</v>
      </c>
      <c r="B1466">
        <v>1581220</v>
      </c>
      <c r="C1466">
        <v>1582338</v>
      </c>
      <c r="E1466" t="s">
        <v>14</v>
      </c>
      <c r="F1466" t="s">
        <v>1370</v>
      </c>
      <c r="G1466" t="s">
        <v>1371</v>
      </c>
      <c r="H1466">
        <v>0</v>
      </c>
      <c r="I1466" t="s">
        <v>17</v>
      </c>
      <c r="K1466" t="s">
        <v>4097</v>
      </c>
      <c r="L1466">
        <v>372</v>
      </c>
      <c r="M1466" t="s">
        <v>4098</v>
      </c>
    </row>
    <row r="1467" spans="1:13" x14ac:dyDescent="0.45">
      <c r="A1467" t="s">
        <v>13</v>
      </c>
      <c r="B1467">
        <v>1583000</v>
      </c>
      <c r="C1467">
        <v>1583965</v>
      </c>
      <c r="E1467" t="s">
        <v>14</v>
      </c>
      <c r="F1467" t="s">
        <v>4099</v>
      </c>
      <c r="H1467">
        <v>0</v>
      </c>
      <c r="I1467" t="s">
        <v>17</v>
      </c>
      <c r="K1467" t="s">
        <v>4100</v>
      </c>
      <c r="L1467">
        <v>321</v>
      </c>
      <c r="M1467" t="s">
        <v>4101</v>
      </c>
    </row>
    <row r="1468" spans="1:13" x14ac:dyDescent="0.45">
      <c r="A1468" t="s">
        <v>13</v>
      </c>
      <c r="B1468">
        <v>1583958</v>
      </c>
      <c r="C1468">
        <v>1584614</v>
      </c>
      <c r="E1468" t="s">
        <v>14</v>
      </c>
      <c r="F1468" t="s">
        <v>4102</v>
      </c>
      <c r="H1468">
        <v>0</v>
      </c>
      <c r="I1468" t="s">
        <v>17</v>
      </c>
      <c r="K1468" t="s">
        <v>4103</v>
      </c>
      <c r="L1468">
        <v>218</v>
      </c>
      <c r="M1468" t="s">
        <v>4104</v>
      </c>
    </row>
    <row r="1469" spans="1:13" x14ac:dyDescent="0.45">
      <c r="A1469" t="s">
        <v>13</v>
      </c>
      <c r="B1469">
        <v>1584650</v>
      </c>
      <c r="C1469">
        <v>1585441</v>
      </c>
      <c r="E1469" t="s">
        <v>14</v>
      </c>
      <c r="F1469" t="s">
        <v>4105</v>
      </c>
      <c r="H1469">
        <v>0</v>
      </c>
      <c r="I1469" t="s">
        <v>17</v>
      </c>
      <c r="K1469" t="s">
        <v>4106</v>
      </c>
      <c r="L1469">
        <v>263</v>
      </c>
      <c r="M1469" t="s">
        <v>4107</v>
      </c>
    </row>
    <row r="1470" spans="1:13" x14ac:dyDescent="0.45">
      <c r="A1470" t="s">
        <v>13</v>
      </c>
      <c r="B1470">
        <v>1585589</v>
      </c>
      <c r="C1470">
        <v>1588327</v>
      </c>
      <c r="E1470" t="s">
        <v>14</v>
      </c>
      <c r="F1470" t="s">
        <v>1219</v>
      </c>
      <c r="H1470">
        <v>0</v>
      </c>
      <c r="I1470" t="s">
        <v>17</v>
      </c>
      <c r="K1470" t="s">
        <v>4108</v>
      </c>
      <c r="L1470">
        <v>912</v>
      </c>
      <c r="M1470" t="s">
        <v>4109</v>
      </c>
    </row>
    <row r="1471" spans="1:13" x14ac:dyDescent="0.45">
      <c r="A1471" t="s">
        <v>13</v>
      </c>
      <c r="B1471">
        <v>1588436</v>
      </c>
      <c r="C1471">
        <v>1589044</v>
      </c>
      <c r="E1471" t="s">
        <v>14</v>
      </c>
      <c r="F1471" t="s">
        <v>4110</v>
      </c>
      <c r="H1471">
        <v>0</v>
      </c>
      <c r="I1471" t="s">
        <v>17</v>
      </c>
      <c r="K1471" t="s">
        <v>4111</v>
      </c>
      <c r="L1471">
        <v>202</v>
      </c>
      <c r="M1471" t="s">
        <v>4112</v>
      </c>
    </row>
    <row r="1472" spans="1:13" x14ac:dyDescent="0.45">
      <c r="A1472" t="s">
        <v>13</v>
      </c>
      <c r="B1472">
        <v>1589924</v>
      </c>
      <c r="C1472">
        <v>1590514</v>
      </c>
      <c r="E1472" t="s">
        <v>14</v>
      </c>
      <c r="F1472" t="s">
        <v>1134</v>
      </c>
      <c r="H1472">
        <v>0</v>
      </c>
      <c r="I1472" t="s">
        <v>17</v>
      </c>
      <c r="K1472" t="s">
        <v>4113</v>
      </c>
      <c r="L1472">
        <v>196</v>
      </c>
      <c r="M1472" t="s">
        <v>4114</v>
      </c>
    </row>
    <row r="1473" spans="1:13" x14ac:dyDescent="0.45">
      <c r="A1473" t="s">
        <v>13</v>
      </c>
      <c r="B1473">
        <v>1590554</v>
      </c>
      <c r="C1473">
        <v>1591357</v>
      </c>
      <c r="E1473" t="s">
        <v>14</v>
      </c>
      <c r="F1473" t="s">
        <v>4115</v>
      </c>
      <c r="G1473" t="s">
        <v>4116</v>
      </c>
      <c r="H1473">
        <v>0</v>
      </c>
      <c r="I1473" t="s">
        <v>17</v>
      </c>
      <c r="K1473" t="s">
        <v>4117</v>
      </c>
      <c r="L1473">
        <v>267</v>
      </c>
      <c r="M1473" t="s">
        <v>4118</v>
      </c>
    </row>
    <row r="1474" spans="1:13" x14ac:dyDescent="0.45">
      <c r="A1474" t="s">
        <v>13</v>
      </c>
      <c r="B1474">
        <v>1591438</v>
      </c>
      <c r="C1474">
        <v>1592613</v>
      </c>
      <c r="E1474" t="s">
        <v>96</v>
      </c>
      <c r="F1474" t="s">
        <v>4119</v>
      </c>
      <c r="H1474">
        <v>0</v>
      </c>
      <c r="I1474" t="s">
        <v>17</v>
      </c>
      <c r="K1474" t="s">
        <v>4120</v>
      </c>
      <c r="L1474">
        <v>391</v>
      </c>
      <c r="M1474" t="s">
        <v>4121</v>
      </c>
    </row>
    <row r="1475" spans="1:13" x14ac:dyDescent="0.45">
      <c r="A1475" t="s">
        <v>13</v>
      </c>
      <c r="B1475">
        <v>1592880</v>
      </c>
      <c r="C1475">
        <v>1593356</v>
      </c>
      <c r="E1475" t="s">
        <v>14</v>
      </c>
      <c r="F1475" t="s">
        <v>4122</v>
      </c>
      <c r="H1475">
        <v>0</v>
      </c>
      <c r="I1475" t="s">
        <v>17</v>
      </c>
      <c r="K1475" t="s">
        <v>4123</v>
      </c>
      <c r="L1475">
        <v>158</v>
      </c>
      <c r="M1475" t="s">
        <v>4124</v>
      </c>
    </row>
    <row r="1476" spans="1:13" x14ac:dyDescent="0.45">
      <c r="A1476" t="s">
        <v>13</v>
      </c>
      <c r="B1476">
        <v>1593647</v>
      </c>
      <c r="C1476">
        <v>1594531</v>
      </c>
      <c r="E1476" t="s">
        <v>14</v>
      </c>
      <c r="F1476" t="s">
        <v>1060</v>
      </c>
      <c r="H1476">
        <v>0</v>
      </c>
      <c r="I1476" t="s">
        <v>17</v>
      </c>
      <c r="K1476" t="s">
        <v>4125</v>
      </c>
      <c r="L1476">
        <v>294</v>
      </c>
      <c r="M1476" t="s">
        <v>4126</v>
      </c>
    </row>
    <row r="1477" spans="1:13" x14ac:dyDescent="0.45">
      <c r="A1477" t="s">
        <v>13</v>
      </c>
      <c r="B1477">
        <v>1595005</v>
      </c>
      <c r="C1477">
        <v>1596549</v>
      </c>
      <c r="E1477" t="s">
        <v>14</v>
      </c>
      <c r="F1477" t="s">
        <v>4127</v>
      </c>
      <c r="G1477" t="s">
        <v>4128</v>
      </c>
      <c r="H1477">
        <v>0</v>
      </c>
      <c r="I1477" t="s">
        <v>17</v>
      </c>
      <c r="K1477" t="s">
        <v>4129</v>
      </c>
      <c r="L1477">
        <v>514</v>
      </c>
      <c r="M1477" t="s">
        <v>4130</v>
      </c>
    </row>
    <row r="1478" spans="1:13" x14ac:dyDescent="0.45">
      <c r="A1478" t="s">
        <v>13</v>
      </c>
      <c r="B1478">
        <v>1596585</v>
      </c>
      <c r="C1478">
        <v>1597244</v>
      </c>
      <c r="E1478" t="s">
        <v>14</v>
      </c>
      <c r="F1478" t="s">
        <v>4131</v>
      </c>
      <c r="G1478" t="s">
        <v>4132</v>
      </c>
      <c r="H1478">
        <v>0</v>
      </c>
      <c r="I1478" t="s">
        <v>17</v>
      </c>
      <c r="K1478" t="s">
        <v>4133</v>
      </c>
      <c r="L1478">
        <v>219</v>
      </c>
      <c r="M1478" t="s">
        <v>4134</v>
      </c>
    </row>
    <row r="1479" spans="1:13" x14ac:dyDescent="0.45">
      <c r="A1479" t="s">
        <v>13</v>
      </c>
      <c r="B1479">
        <v>1597427</v>
      </c>
      <c r="C1479">
        <v>1597795</v>
      </c>
      <c r="E1479" t="s">
        <v>14</v>
      </c>
      <c r="F1479" t="s">
        <v>1909</v>
      </c>
      <c r="H1479">
        <v>0</v>
      </c>
      <c r="I1479" t="s">
        <v>17</v>
      </c>
      <c r="K1479" t="s">
        <v>4135</v>
      </c>
      <c r="L1479">
        <v>122</v>
      </c>
      <c r="M1479" t="s">
        <v>4136</v>
      </c>
    </row>
    <row r="1480" spans="1:13" x14ac:dyDescent="0.45">
      <c r="A1480" t="s">
        <v>13</v>
      </c>
      <c r="B1480">
        <v>1597799</v>
      </c>
      <c r="C1480">
        <v>1598674</v>
      </c>
      <c r="E1480" t="s">
        <v>14</v>
      </c>
      <c r="F1480" t="s">
        <v>700</v>
      </c>
      <c r="H1480">
        <v>0</v>
      </c>
      <c r="I1480" t="s">
        <v>17</v>
      </c>
      <c r="K1480" t="s">
        <v>4137</v>
      </c>
      <c r="L1480">
        <v>291</v>
      </c>
      <c r="M1480" t="s">
        <v>4138</v>
      </c>
    </row>
    <row r="1481" spans="1:13" x14ac:dyDescent="0.45">
      <c r="A1481" t="s">
        <v>13</v>
      </c>
      <c r="B1481">
        <v>1598675</v>
      </c>
      <c r="C1481">
        <v>1599469</v>
      </c>
      <c r="E1481" t="s">
        <v>14</v>
      </c>
      <c r="F1481" t="s">
        <v>1143</v>
      </c>
      <c r="H1481">
        <v>0</v>
      </c>
      <c r="I1481" t="s">
        <v>17</v>
      </c>
      <c r="K1481" t="s">
        <v>4139</v>
      </c>
      <c r="L1481">
        <v>264</v>
      </c>
      <c r="M1481" t="s">
        <v>4140</v>
      </c>
    </row>
    <row r="1482" spans="1:13" x14ac:dyDescent="0.45">
      <c r="A1482" t="s">
        <v>13</v>
      </c>
      <c r="B1482">
        <v>1599564</v>
      </c>
      <c r="C1482">
        <v>1600889</v>
      </c>
      <c r="E1482" t="s">
        <v>96</v>
      </c>
      <c r="F1482" t="s">
        <v>4141</v>
      </c>
      <c r="G1482" t="s">
        <v>4142</v>
      </c>
      <c r="H1482">
        <v>0</v>
      </c>
      <c r="I1482" t="s">
        <v>17</v>
      </c>
      <c r="K1482" t="s">
        <v>4143</v>
      </c>
      <c r="L1482">
        <v>441</v>
      </c>
      <c r="M1482" t="s">
        <v>4144</v>
      </c>
    </row>
    <row r="1483" spans="1:13" x14ac:dyDescent="0.45">
      <c r="A1483" t="s">
        <v>13</v>
      </c>
      <c r="B1483">
        <v>1601310</v>
      </c>
      <c r="C1483">
        <v>1601894</v>
      </c>
      <c r="E1483" t="s">
        <v>14</v>
      </c>
      <c r="F1483" t="s">
        <v>4145</v>
      </c>
      <c r="H1483">
        <v>0</v>
      </c>
      <c r="I1483" t="s">
        <v>17</v>
      </c>
      <c r="K1483" t="s">
        <v>4146</v>
      </c>
      <c r="L1483">
        <v>194</v>
      </c>
      <c r="M1483" t="s">
        <v>4147</v>
      </c>
    </row>
    <row r="1484" spans="1:13" x14ac:dyDescent="0.45">
      <c r="A1484" t="s">
        <v>13</v>
      </c>
      <c r="B1484">
        <v>1601887</v>
      </c>
      <c r="C1484">
        <v>1602036</v>
      </c>
      <c r="E1484" t="s">
        <v>14</v>
      </c>
      <c r="F1484" t="s">
        <v>4148</v>
      </c>
      <c r="H1484">
        <v>0</v>
      </c>
      <c r="I1484" t="s">
        <v>17</v>
      </c>
      <c r="K1484" t="s">
        <v>4149</v>
      </c>
      <c r="L1484">
        <v>49</v>
      </c>
      <c r="M1484" t="s">
        <v>4150</v>
      </c>
    </row>
    <row r="1485" spans="1:13" x14ac:dyDescent="0.45">
      <c r="A1485" t="s">
        <v>13</v>
      </c>
      <c r="B1485">
        <v>1602047</v>
      </c>
      <c r="C1485">
        <v>1602946</v>
      </c>
      <c r="E1485" t="s">
        <v>14</v>
      </c>
      <c r="F1485" t="s">
        <v>548</v>
      </c>
      <c r="H1485">
        <v>0</v>
      </c>
      <c r="I1485" t="s">
        <v>17</v>
      </c>
      <c r="K1485" t="s">
        <v>4151</v>
      </c>
      <c r="L1485">
        <v>299</v>
      </c>
      <c r="M1485" t="s">
        <v>4152</v>
      </c>
    </row>
    <row r="1486" spans="1:13" x14ac:dyDescent="0.45">
      <c r="A1486" t="s">
        <v>13</v>
      </c>
      <c r="B1486">
        <v>1602951</v>
      </c>
      <c r="C1486">
        <v>1603520</v>
      </c>
      <c r="E1486" t="s">
        <v>14</v>
      </c>
      <c r="F1486" t="s">
        <v>43</v>
      </c>
      <c r="H1486">
        <v>0</v>
      </c>
      <c r="I1486" t="s">
        <v>17</v>
      </c>
      <c r="K1486" t="s">
        <v>4153</v>
      </c>
      <c r="L1486">
        <v>189</v>
      </c>
      <c r="M1486" t="s">
        <v>4154</v>
      </c>
    </row>
    <row r="1487" spans="1:13" x14ac:dyDescent="0.45">
      <c r="A1487" t="s">
        <v>13</v>
      </c>
      <c r="B1487">
        <v>1603687</v>
      </c>
      <c r="C1487">
        <v>1604334</v>
      </c>
      <c r="E1487" t="s">
        <v>96</v>
      </c>
      <c r="F1487" t="s">
        <v>4155</v>
      </c>
      <c r="H1487">
        <v>0</v>
      </c>
      <c r="I1487" t="s">
        <v>17</v>
      </c>
      <c r="K1487" t="s">
        <v>4156</v>
      </c>
      <c r="L1487">
        <v>215</v>
      </c>
      <c r="M1487" t="s">
        <v>4157</v>
      </c>
    </row>
    <row r="1488" spans="1:13" x14ac:dyDescent="0.45">
      <c r="A1488" t="s">
        <v>13</v>
      </c>
      <c r="B1488">
        <v>1604724</v>
      </c>
      <c r="C1488">
        <v>1605638</v>
      </c>
      <c r="E1488" t="s">
        <v>96</v>
      </c>
      <c r="F1488" t="s">
        <v>4158</v>
      </c>
      <c r="H1488">
        <v>0</v>
      </c>
      <c r="I1488" t="s">
        <v>17</v>
      </c>
      <c r="K1488" t="s">
        <v>4159</v>
      </c>
      <c r="L1488">
        <v>304</v>
      </c>
      <c r="M1488" t="s">
        <v>4160</v>
      </c>
    </row>
    <row r="1489" spans="1:13" x14ac:dyDescent="0.45">
      <c r="A1489" t="s">
        <v>13</v>
      </c>
      <c r="B1489">
        <v>1606470</v>
      </c>
      <c r="C1489">
        <v>1606652</v>
      </c>
      <c r="E1489" t="s">
        <v>96</v>
      </c>
      <c r="F1489" t="s">
        <v>43</v>
      </c>
      <c r="H1489">
        <v>0</v>
      </c>
      <c r="I1489" t="s">
        <v>17</v>
      </c>
      <c r="K1489" t="s">
        <v>4161</v>
      </c>
      <c r="L1489">
        <v>60</v>
      </c>
      <c r="M1489" t="s">
        <v>4162</v>
      </c>
    </row>
    <row r="1490" spans="1:13" x14ac:dyDescent="0.45">
      <c r="A1490" t="s">
        <v>13</v>
      </c>
      <c r="B1490">
        <v>1607063</v>
      </c>
      <c r="C1490">
        <v>1607911</v>
      </c>
      <c r="E1490" t="s">
        <v>96</v>
      </c>
      <c r="F1490" t="s">
        <v>4163</v>
      </c>
      <c r="G1490" t="s">
        <v>4164</v>
      </c>
      <c r="H1490">
        <v>0</v>
      </c>
      <c r="I1490" t="s">
        <v>17</v>
      </c>
      <c r="K1490" t="s">
        <v>4165</v>
      </c>
      <c r="L1490">
        <v>282</v>
      </c>
      <c r="M1490" t="s">
        <v>4166</v>
      </c>
    </row>
    <row r="1491" spans="1:13" x14ac:dyDescent="0.45">
      <c r="A1491" t="s">
        <v>13</v>
      </c>
      <c r="B1491">
        <v>1607930</v>
      </c>
      <c r="C1491">
        <v>1608757</v>
      </c>
      <c r="E1491" t="s">
        <v>96</v>
      </c>
      <c r="F1491" t="s">
        <v>4167</v>
      </c>
      <c r="G1491" t="s">
        <v>4168</v>
      </c>
      <c r="H1491">
        <v>0</v>
      </c>
      <c r="I1491" t="s">
        <v>17</v>
      </c>
      <c r="K1491" t="s">
        <v>4169</v>
      </c>
      <c r="L1491">
        <v>275</v>
      </c>
      <c r="M1491" t="s">
        <v>4170</v>
      </c>
    </row>
    <row r="1492" spans="1:13" x14ac:dyDescent="0.45">
      <c r="A1492" t="s">
        <v>13</v>
      </c>
      <c r="B1492">
        <v>1608732</v>
      </c>
      <c r="C1492">
        <v>1609628</v>
      </c>
      <c r="E1492" t="s">
        <v>96</v>
      </c>
      <c r="F1492" t="s">
        <v>4171</v>
      </c>
      <c r="H1492">
        <v>0</v>
      </c>
      <c r="I1492" t="s">
        <v>17</v>
      </c>
      <c r="K1492" t="s">
        <v>4172</v>
      </c>
      <c r="L1492">
        <v>298</v>
      </c>
      <c r="M1492" t="s">
        <v>4173</v>
      </c>
    </row>
    <row r="1493" spans="1:13" x14ac:dyDescent="0.45">
      <c r="A1493" t="s">
        <v>13</v>
      </c>
      <c r="B1493">
        <v>1610308</v>
      </c>
      <c r="C1493">
        <v>1612401</v>
      </c>
      <c r="E1493" t="s">
        <v>14</v>
      </c>
      <c r="F1493" t="s">
        <v>4174</v>
      </c>
      <c r="G1493" t="s">
        <v>4175</v>
      </c>
      <c r="H1493">
        <v>0</v>
      </c>
      <c r="I1493" t="s">
        <v>17</v>
      </c>
      <c r="K1493" t="s">
        <v>4176</v>
      </c>
      <c r="L1493">
        <v>697</v>
      </c>
      <c r="M1493" t="s">
        <v>4177</v>
      </c>
    </row>
    <row r="1494" spans="1:13" x14ac:dyDescent="0.45">
      <c r="A1494" t="s">
        <v>13</v>
      </c>
      <c r="B1494">
        <v>1613523</v>
      </c>
      <c r="C1494">
        <v>1613807</v>
      </c>
      <c r="E1494" t="s">
        <v>96</v>
      </c>
      <c r="F1494" t="s">
        <v>43</v>
      </c>
      <c r="H1494">
        <v>0</v>
      </c>
      <c r="I1494" t="s">
        <v>17</v>
      </c>
      <c r="K1494" t="s">
        <v>4178</v>
      </c>
      <c r="L1494">
        <v>94</v>
      </c>
      <c r="M1494" t="s">
        <v>4179</v>
      </c>
    </row>
    <row r="1495" spans="1:13" x14ac:dyDescent="0.45">
      <c r="A1495" t="s">
        <v>13</v>
      </c>
      <c r="B1495">
        <v>1614014</v>
      </c>
      <c r="C1495">
        <v>1614832</v>
      </c>
      <c r="E1495" t="s">
        <v>14</v>
      </c>
      <c r="F1495" t="s">
        <v>1827</v>
      </c>
      <c r="H1495">
        <v>0</v>
      </c>
      <c r="I1495" t="s">
        <v>17</v>
      </c>
      <c r="K1495" t="s">
        <v>4180</v>
      </c>
      <c r="L1495">
        <v>272</v>
      </c>
      <c r="M1495" t="s">
        <v>4181</v>
      </c>
    </row>
    <row r="1496" spans="1:13" x14ac:dyDescent="0.45">
      <c r="A1496" t="s">
        <v>13</v>
      </c>
      <c r="B1496">
        <v>1614965</v>
      </c>
      <c r="C1496">
        <v>1617085</v>
      </c>
      <c r="E1496" t="s">
        <v>96</v>
      </c>
      <c r="F1496" t="s">
        <v>4070</v>
      </c>
      <c r="G1496" t="s">
        <v>4071</v>
      </c>
      <c r="H1496">
        <v>0</v>
      </c>
      <c r="I1496" t="s">
        <v>17</v>
      </c>
      <c r="K1496" t="s">
        <v>4182</v>
      </c>
      <c r="L1496">
        <v>706</v>
      </c>
      <c r="M1496" t="s">
        <v>4183</v>
      </c>
    </row>
    <row r="1497" spans="1:13" x14ac:dyDescent="0.45">
      <c r="A1497" t="s">
        <v>13</v>
      </c>
      <c r="B1497">
        <v>1617111</v>
      </c>
      <c r="C1497">
        <v>1617338</v>
      </c>
      <c r="E1497" t="s">
        <v>96</v>
      </c>
      <c r="F1497" t="s">
        <v>4065</v>
      </c>
      <c r="H1497">
        <v>0</v>
      </c>
      <c r="I1497" t="s">
        <v>17</v>
      </c>
      <c r="K1497" t="s">
        <v>4184</v>
      </c>
      <c r="L1497">
        <v>75</v>
      </c>
      <c r="M1497" t="s">
        <v>4185</v>
      </c>
    </row>
    <row r="1498" spans="1:13" x14ac:dyDescent="0.45">
      <c r="A1498" t="s">
        <v>13</v>
      </c>
      <c r="B1498">
        <v>1617665</v>
      </c>
      <c r="C1498">
        <v>1618105</v>
      </c>
      <c r="E1498" t="s">
        <v>96</v>
      </c>
      <c r="F1498" t="s">
        <v>1183</v>
      </c>
      <c r="H1498">
        <v>0</v>
      </c>
      <c r="I1498" t="s">
        <v>17</v>
      </c>
      <c r="K1498" t="s">
        <v>4186</v>
      </c>
      <c r="L1498">
        <v>146</v>
      </c>
      <c r="M1498" t="s">
        <v>4187</v>
      </c>
    </row>
    <row r="1499" spans="1:13" x14ac:dyDescent="0.45">
      <c r="A1499" t="s">
        <v>13</v>
      </c>
      <c r="B1499">
        <v>1618278</v>
      </c>
      <c r="C1499">
        <v>1619246</v>
      </c>
      <c r="E1499" t="s">
        <v>14</v>
      </c>
      <c r="F1499" t="s">
        <v>4188</v>
      </c>
      <c r="H1499">
        <v>0</v>
      </c>
      <c r="I1499" t="s">
        <v>17</v>
      </c>
      <c r="K1499" t="s">
        <v>4189</v>
      </c>
      <c r="L1499">
        <v>322</v>
      </c>
      <c r="M1499" t="s">
        <v>4190</v>
      </c>
    </row>
    <row r="1500" spans="1:13" x14ac:dyDescent="0.45">
      <c r="A1500" t="s">
        <v>13</v>
      </c>
      <c r="B1500">
        <v>1619722</v>
      </c>
      <c r="C1500">
        <v>1620930</v>
      </c>
      <c r="E1500" t="s">
        <v>14</v>
      </c>
      <c r="F1500" t="s">
        <v>4191</v>
      </c>
      <c r="G1500" t="s">
        <v>4192</v>
      </c>
      <c r="H1500">
        <v>0</v>
      </c>
      <c r="I1500" t="s">
        <v>17</v>
      </c>
      <c r="K1500" t="s">
        <v>4193</v>
      </c>
      <c r="L1500">
        <v>402</v>
      </c>
      <c r="M1500" t="s">
        <v>4194</v>
      </c>
    </row>
    <row r="1501" spans="1:13" x14ac:dyDescent="0.45">
      <c r="A1501" t="s">
        <v>13</v>
      </c>
      <c r="B1501">
        <v>1620991</v>
      </c>
      <c r="C1501">
        <v>1621872</v>
      </c>
      <c r="E1501" t="s">
        <v>96</v>
      </c>
      <c r="F1501" t="s">
        <v>3610</v>
      </c>
      <c r="H1501">
        <v>0</v>
      </c>
      <c r="I1501" t="s">
        <v>17</v>
      </c>
      <c r="K1501" t="s">
        <v>4195</v>
      </c>
      <c r="L1501">
        <v>293</v>
      </c>
      <c r="M1501" t="s">
        <v>4196</v>
      </c>
    </row>
    <row r="1502" spans="1:13" x14ac:dyDescent="0.45">
      <c r="A1502" t="s">
        <v>13</v>
      </c>
      <c r="B1502">
        <v>1622258</v>
      </c>
      <c r="C1502">
        <v>1623202</v>
      </c>
      <c r="E1502" t="s">
        <v>14</v>
      </c>
      <c r="F1502" t="s">
        <v>3822</v>
      </c>
      <c r="H1502">
        <v>0</v>
      </c>
      <c r="I1502" t="s">
        <v>17</v>
      </c>
      <c r="K1502" t="s">
        <v>4197</v>
      </c>
      <c r="L1502">
        <v>314</v>
      </c>
      <c r="M1502" t="s">
        <v>4198</v>
      </c>
    </row>
    <row r="1503" spans="1:13" x14ac:dyDescent="0.45">
      <c r="A1503" t="s">
        <v>13</v>
      </c>
      <c r="B1503">
        <v>1623425</v>
      </c>
      <c r="C1503">
        <v>1623970</v>
      </c>
      <c r="E1503" t="s">
        <v>14</v>
      </c>
      <c r="F1503" t="s">
        <v>4055</v>
      </c>
      <c r="H1503">
        <v>0</v>
      </c>
      <c r="I1503" t="s">
        <v>17</v>
      </c>
      <c r="K1503" t="s">
        <v>4199</v>
      </c>
      <c r="L1503">
        <v>181</v>
      </c>
      <c r="M1503" t="s">
        <v>4200</v>
      </c>
    </row>
    <row r="1504" spans="1:13" x14ac:dyDescent="0.45">
      <c r="A1504" t="s">
        <v>13</v>
      </c>
      <c r="B1504">
        <v>1624061</v>
      </c>
      <c r="C1504">
        <v>1625209</v>
      </c>
      <c r="E1504" t="s">
        <v>14</v>
      </c>
      <c r="F1504" t="s">
        <v>741</v>
      </c>
      <c r="H1504">
        <v>0</v>
      </c>
      <c r="I1504" t="s">
        <v>17</v>
      </c>
      <c r="K1504" t="s">
        <v>4201</v>
      </c>
      <c r="L1504">
        <v>382</v>
      </c>
      <c r="M1504" t="s">
        <v>4202</v>
      </c>
    </row>
    <row r="1505" spans="1:13" x14ac:dyDescent="0.45">
      <c r="A1505" t="s">
        <v>13</v>
      </c>
      <c r="B1505">
        <v>1625262</v>
      </c>
      <c r="C1505">
        <v>1626527</v>
      </c>
      <c r="E1505" t="s">
        <v>14</v>
      </c>
      <c r="F1505" t="s">
        <v>4203</v>
      </c>
      <c r="H1505">
        <v>0</v>
      </c>
      <c r="I1505" t="s">
        <v>17</v>
      </c>
      <c r="K1505" t="s">
        <v>4204</v>
      </c>
      <c r="L1505">
        <v>421</v>
      </c>
      <c r="M1505" t="s">
        <v>4205</v>
      </c>
    </row>
    <row r="1506" spans="1:13" x14ac:dyDescent="0.45">
      <c r="A1506" t="s">
        <v>13</v>
      </c>
      <c r="B1506">
        <v>1626813</v>
      </c>
      <c r="C1506">
        <v>1628045</v>
      </c>
      <c r="E1506" t="s">
        <v>96</v>
      </c>
      <c r="F1506" t="s">
        <v>1143</v>
      </c>
      <c r="H1506">
        <v>0</v>
      </c>
      <c r="I1506" t="s">
        <v>17</v>
      </c>
      <c r="K1506" t="s">
        <v>4206</v>
      </c>
      <c r="L1506">
        <v>410</v>
      </c>
      <c r="M1506" t="s">
        <v>4207</v>
      </c>
    </row>
    <row r="1507" spans="1:13" x14ac:dyDescent="0.45">
      <c r="A1507" t="s">
        <v>13</v>
      </c>
      <c r="B1507">
        <v>1628048</v>
      </c>
      <c r="C1507">
        <v>1628722</v>
      </c>
      <c r="E1507" t="s">
        <v>96</v>
      </c>
      <c r="F1507" t="s">
        <v>1140</v>
      </c>
      <c r="H1507">
        <v>0</v>
      </c>
      <c r="I1507" t="s">
        <v>17</v>
      </c>
      <c r="K1507" t="s">
        <v>4208</v>
      </c>
      <c r="L1507">
        <v>224</v>
      </c>
      <c r="M1507" t="s">
        <v>4209</v>
      </c>
    </row>
    <row r="1508" spans="1:13" x14ac:dyDescent="0.45">
      <c r="A1508" t="s">
        <v>13</v>
      </c>
      <c r="B1508">
        <v>1628730</v>
      </c>
      <c r="C1508">
        <v>1629959</v>
      </c>
      <c r="E1508" t="s">
        <v>96</v>
      </c>
      <c r="F1508" t="s">
        <v>4210</v>
      </c>
      <c r="H1508">
        <v>0</v>
      </c>
      <c r="I1508" t="s">
        <v>17</v>
      </c>
      <c r="K1508" t="s">
        <v>4211</v>
      </c>
      <c r="L1508">
        <v>409</v>
      </c>
      <c r="M1508" t="s">
        <v>4212</v>
      </c>
    </row>
    <row r="1509" spans="1:13" x14ac:dyDescent="0.45">
      <c r="A1509" t="s">
        <v>13</v>
      </c>
      <c r="B1509">
        <v>1630071</v>
      </c>
      <c r="C1509">
        <v>1631075</v>
      </c>
      <c r="E1509" t="s">
        <v>96</v>
      </c>
      <c r="F1509" t="s">
        <v>1509</v>
      </c>
      <c r="H1509">
        <v>0</v>
      </c>
      <c r="I1509" t="s">
        <v>17</v>
      </c>
      <c r="K1509" t="s">
        <v>4213</v>
      </c>
      <c r="L1509">
        <v>334</v>
      </c>
      <c r="M1509" t="s">
        <v>4214</v>
      </c>
    </row>
    <row r="1510" spans="1:13" x14ac:dyDescent="0.45">
      <c r="A1510" t="s">
        <v>13</v>
      </c>
      <c r="B1510">
        <v>1631099</v>
      </c>
      <c r="C1510">
        <v>1631773</v>
      </c>
      <c r="E1510" t="s">
        <v>96</v>
      </c>
      <c r="F1510" t="s">
        <v>1222</v>
      </c>
      <c r="H1510">
        <v>0</v>
      </c>
      <c r="I1510" t="s">
        <v>17</v>
      </c>
      <c r="K1510" t="s">
        <v>4215</v>
      </c>
      <c r="L1510">
        <v>224</v>
      </c>
      <c r="M1510" t="s">
        <v>4216</v>
      </c>
    </row>
    <row r="1511" spans="1:13" x14ac:dyDescent="0.45">
      <c r="A1511" t="s">
        <v>13</v>
      </c>
      <c r="B1511">
        <v>1632061</v>
      </c>
      <c r="C1511">
        <v>1632828</v>
      </c>
      <c r="E1511" t="s">
        <v>14</v>
      </c>
      <c r="F1511" t="s">
        <v>1140</v>
      </c>
      <c r="H1511">
        <v>0</v>
      </c>
      <c r="I1511" t="s">
        <v>17</v>
      </c>
      <c r="K1511" t="s">
        <v>4217</v>
      </c>
      <c r="L1511">
        <v>255</v>
      </c>
      <c r="M1511" t="s">
        <v>4218</v>
      </c>
    </row>
    <row r="1512" spans="1:13" x14ac:dyDescent="0.45">
      <c r="A1512" t="s">
        <v>13</v>
      </c>
      <c r="B1512">
        <v>1632815</v>
      </c>
      <c r="C1512">
        <v>1634752</v>
      </c>
      <c r="E1512" t="s">
        <v>14</v>
      </c>
      <c r="F1512" t="s">
        <v>1143</v>
      </c>
      <c r="H1512">
        <v>0</v>
      </c>
      <c r="I1512" t="s">
        <v>17</v>
      </c>
      <c r="K1512" t="s">
        <v>4219</v>
      </c>
      <c r="L1512">
        <v>645</v>
      </c>
      <c r="M1512" t="s">
        <v>4220</v>
      </c>
    </row>
    <row r="1513" spans="1:13" x14ac:dyDescent="0.45">
      <c r="A1513" t="s">
        <v>13</v>
      </c>
      <c r="B1513">
        <v>1634977</v>
      </c>
      <c r="C1513">
        <v>1636590</v>
      </c>
      <c r="E1513" t="s">
        <v>14</v>
      </c>
      <c r="F1513" t="s">
        <v>4221</v>
      </c>
      <c r="G1513" t="s">
        <v>4222</v>
      </c>
      <c r="H1513">
        <v>0</v>
      </c>
      <c r="I1513" t="s">
        <v>17</v>
      </c>
      <c r="K1513" t="s">
        <v>4223</v>
      </c>
      <c r="L1513">
        <v>537</v>
      </c>
      <c r="M1513" t="s">
        <v>4224</v>
      </c>
    </row>
    <row r="1514" spans="1:13" x14ac:dyDescent="0.45">
      <c r="A1514" t="s">
        <v>13</v>
      </c>
      <c r="B1514">
        <v>1636723</v>
      </c>
      <c r="C1514">
        <v>1637574</v>
      </c>
      <c r="E1514" t="s">
        <v>96</v>
      </c>
      <c r="F1514" t="s">
        <v>4225</v>
      </c>
      <c r="H1514">
        <v>0</v>
      </c>
      <c r="I1514" t="s">
        <v>17</v>
      </c>
      <c r="K1514" t="s">
        <v>4226</v>
      </c>
      <c r="L1514">
        <v>283</v>
      </c>
      <c r="M1514" t="s">
        <v>4227</v>
      </c>
    </row>
    <row r="1515" spans="1:13" x14ac:dyDescent="0.45">
      <c r="A1515" t="s">
        <v>13</v>
      </c>
      <c r="B1515">
        <v>1638200</v>
      </c>
      <c r="C1515">
        <v>1639093</v>
      </c>
      <c r="E1515" t="s">
        <v>14</v>
      </c>
      <c r="F1515" t="s">
        <v>4228</v>
      </c>
      <c r="H1515">
        <v>0</v>
      </c>
      <c r="I1515" t="s">
        <v>17</v>
      </c>
      <c r="K1515" t="s">
        <v>4229</v>
      </c>
      <c r="L1515">
        <v>297</v>
      </c>
      <c r="M1515" t="s">
        <v>4230</v>
      </c>
    </row>
    <row r="1516" spans="1:13" x14ac:dyDescent="0.45">
      <c r="A1516" t="s">
        <v>13</v>
      </c>
      <c r="B1516">
        <v>1639093</v>
      </c>
      <c r="C1516">
        <v>1640487</v>
      </c>
      <c r="E1516" t="s">
        <v>14</v>
      </c>
      <c r="F1516" t="s">
        <v>4231</v>
      </c>
      <c r="G1516" t="s">
        <v>4232</v>
      </c>
      <c r="H1516">
        <v>0</v>
      </c>
      <c r="I1516" t="s">
        <v>17</v>
      </c>
      <c r="K1516" t="s">
        <v>4233</v>
      </c>
      <c r="L1516">
        <v>464</v>
      </c>
      <c r="M1516" t="s">
        <v>4234</v>
      </c>
    </row>
    <row r="1517" spans="1:13" x14ac:dyDescent="0.45">
      <c r="A1517" t="s">
        <v>13</v>
      </c>
      <c r="B1517">
        <v>1640853</v>
      </c>
      <c r="C1517">
        <v>1643072</v>
      </c>
      <c r="E1517" t="s">
        <v>14</v>
      </c>
      <c r="F1517" t="s">
        <v>1748</v>
      </c>
      <c r="H1517">
        <v>0</v>
      </c>
      <c r="I1517" t="s">
        <v>17</v>
      </c>
      <c r="K1517" t="s">
        <v>4235</v>
      </c>
      <c r="L1517">
        <v>739</v>
      </c>
      <c r="M1517" t="s">
        <v>4236</v>
      </c>
    </row>
    <row r="1518" spans="1:13" x14ac:dyDescent="0.45">
      <c r="A1518" t="s">
        <v>13</v>
      </c>
      <c r="B1518">
        <v>1643219</v>
      </c>
      <c r="C1518">
        <v>1643965</v>
      </c>
      <c r="E1518" t="s">
        <v>14</v>
      </c>
      <c r="F1518" t="s">
        <v>1140</v>
      </c>
      <c r="H1518">
        <v>0</v>
      </c>
      <c r="I1518" t="s">
        <v>17</v>
      </c>
      <c r="K1518" t="s">
        <v>4237</v>
      </c>
      <c r="L1518">
        <v>248</v>
      </c>
      <c r="M1518" t="s">
        <v>4238</v>
      </c>
    </row>
    <row r="1519" spans="1:13" x14ac:dyDescent="0.45">
      <c r="A1519" t="s">
        <v>13</v>
      </c>
      <c r="B1519">
        <v>1643965</v>
      </c>
      <c r="C1519">
        <v>1645845</v>
      </c>
      <c r="E1519" t="s">
        <v>14</v>
      </c>
      <c r="F1519" t="s">
        <v>1818</v>
      </c>
      <c r="H1519">
        <v>0</v>
      </c>
      <c r="I1519" t="s">
        <v>17</v>
      </c>
      <c r="K1519" t="s">
        <v>4239</v>
      </c>
      <c r="L1519">
        <v>626</v>
      </c>
      <c r="M1519" t="s">
        <v>4240</v>
      </c>
    </row>
    <row r="1520" spans="1:13" x14ac:dyDescent="0.45">
      <c r="A1520" t="s">
        <v>13</v>
      </c>
      <c r="B1520">
        <v>1645964</v>
      </c>
      <c r="C1520">
        <v>1647355</v>
      </c>
      <c r="E1520" t="s">
        <v>14</v>
      </c>
      <c r="F1520" t="s">
        <v>729</v>
      </c>
      <c r="H1520">
        <v>0</v>
      </c>
      <c r="I1520" t="s">
        <v>17</v>
      </c>
      <c r="K1520" t="s">
        <v>4241</v>
      </c>
      <c r="L1520">
        <v>463</v>
      </c>
      <c r="M1520" t="s">
        <v>4242</v>
      </c>
    </row>
    <row r="1521" spans="1:13" x14ac:dyDescent="0.45">
      <c r="A1521" t="s">
        <v>13</v>
      </c>
      <c r="B1521">
        <v>1647462</v>
      </c>
      <c r="C1521">
        <v>1648502</v>
      </c>
      <c r="E1521" t="s">
        <v>14</v>
      </c>
      <c r="F1521" t="s">
        <v>1906</v>
      </c>
      <c r="H1521">
        <v>0</v>
      </c>
      <c r="I1521" t="s">
        <v>17</v>
      </c>
      <c r="K1521" t="s">
        <v>4243</v>
      </c>
      <c r="L1521">
        <v>346</v>
      </c>
      <c r="M1521" t="s">
        <v>4244</v>
      </c>
    </row>
    <row r="1522" spans="1:13" x14ac:dyDescent="0.45">
      <c r="A1522" t="s">
        <v>13</v>
      </c>
      <c r="B1522">
        <v>1648991</v>
      </c>
      <c r="C1522">
        <v>1649644</v>
      </c>
      <c r="E1522" t="s">
        <v>14</v>
      </c>
      <c r="F1522" t="s">
        <v>4245</v>
      </c>
      <c r="H1522">
        <v>0</v>
      </c>
      <c r="I1522" t="s">
        <v>17</v>
      </c>
      <c r="K1522" t="s">
        <v>4246</v>
      </c>
      <c r="L1522">
        <v>217</v>
      </c>
      <c r="M1522" t="s">
        <v>4247</v>
      </c>
    </row>
    <row r="1523" spans="1:13" x14ac:dyDescent="0.45">
      <c r="A1523" t="s">
        <v>13</v>
      </c>
      <c r="B1523">
        <v>1649720</v>
      </c>
      <c r="C1523">
        <v>1649929</v>
      </c>
      <c r="E1523" t="s">
        <v>14</v>
      </c>
      <c r="F1523" t="s">
        <v>43</v>
      </c>
      <c r="H1523">
        <v>0</v>
      </c>
      <c r="I1523" t="s">
        <v>17</v>
      </c>
      <c r="K1523" t="s">
        <v>4248</v>
      </c>
      <c r="L1523">
        <v>69</v>
      </c>
      <c r="M1523" t="s">
        <v>4249</v>
      </c>
    </row>
    <row r="1524" spans="1:13" x14ac:dyDescent="0.45">
      <c r="A1524" t="s">
        <v>13</v>
      </c>
      <c r="B1524">
        <v>1650069</v>
      </c>
      <c r="C1524">
        <v>1650635</v>
      </c>
      <c r="E1524" t="s">
        <v>96</v>
      </c>
      <c r="F1524" t="s">
        <v>4250</v>
      </c>
      <c r="H1524">
        <v>0</v>
      </c>
      <c r="I1524" t="s">
        <v>17</v>
      </c>
      <c r="K1524" t="s">
        <v>4251</v>
      </c>
      <c r="L1524">
        <v>188</v>
      </c>
      <c r="M1524" t="s">
        <v>4252</v>
      </c>
    </row>
    <row r="1525" spans="1:13" x14ac:dyDescent="0.45">
      <c r="A1525" t="s">
        <v>13</v>
      </c>
      <c r="B1525">
        <v>1650796</v>
      </c>
      <c r="C1525">
        <v>1651449</v>
      </c>
      <c r="E1525" t="s">
        <v>14</v>
      </c>
      <c r="F1525" t="s">
        <v>4253</v>
      </c>
      <c r="G1525" t="s">
        <v>4254</v>
      </c>
      <c r="H1525">
        <v>0</v>
      </c>
      <c r="I1525" t="s">
        <v>17</v>
      </c>
      <c r="K1525" t="s">
        <v>4255</v>
      </c>
      <c r="L1525">
        <v>217</v>
      </c>
      <c r="M1525" t="s">
        <v>4256</v>
      </c>
    </row>
    <row r="1526" spans="1:13" x14ac:dyDescent="0.45">
      <c r="A1526" t="s">
        <v>13</v>
      </c>
      <c r="B1526">
        <v>1651607</v>
      </c>
      <c r="C1526">
        <v>1651783</v>
      </c>
      <c r="E1526" t="s">
        <v>96</v>
      </c>
      <c r="F1526" t="s">
        <v>43</v>
      </c>
      <c r="H1526">
        <v>0</v>
      </c>
      <c r="I1526" t="s">
        <v>17</v>
      </c>
      <c r="K1526" t="s">
        <v>4257</v>
      </c>
      <c r="L1526">
        <v>58</v>
      </c>
      <c r="M1526" t="s">
        <v>4258</v>
      </c>
    </row>
    <row r="1527" spans="1:13" x14ac:dyDescent="0.45">
      <c r="A1527" t="s">
        <v>13</v>
      </c>
      <c r="B1527">
        <v>1652311</v>
      </c>
      <c r="C1527">
        <v>1653255</v>
      </c>
      <c r="E1527" t="s">
        <v>14</v>
      </c>
      <c r="F1527" t="s">
        <v>4259</v>
      </c>
      <c r="H1527">
        <v>0</v>
      </c>
      <c r="I1527" t="s">
        <v>17</v>
      </c>
      <c r="K1527" t="s">
        <v>4260</v>
      </c>
      <c r="L1527">
        <v>314</v>
      </c>
      <c r="M1527" t="s">
        <v>4261</v>
      </c>
    </row>
    <row r="1528" spans="1:13" x14ac:dyDescent="0.45">
      <c r="A1528" t="s">
        <v>13</v>
      </c>
      <c r="B1528">
        <v>1653277</v>
      </c>
      <c r="C1528">
        <v>1653903</v>
      </c>
      <c r="E1528" t="s">
        <v>14</v>
      </c>
      <c r="F1528" t="s">
        <v>4262</v>
      </c>
      <c r="G1528" t="s">
        <v>4263</v>
      </c>
      <c r="H1528">
        <v>0</v>
      </c>
      <c r="I1528" t="s">
        <v>17</v>
      </c>
      <c r="K1528" t="s">
        <v>4264</v>
      </c>
      <c r="L1528">
        <v>208</v>
      </c>
      <c r="M1528" t="s">
        <v>4265</v>
      </c>
    </row>
    <row r="1529" spans="1:13" x14ac:dyDescent="0.45">
      <c r="A1529" t="s">
        <v>13</v>
      </c>
      <c r="B1529">
        <v>1653937</v>
      </c>
      <c r="C1529">
        <v>1654986</v>
      </c>
      <c r="E1529" t="s">
        <v>14</v>
      </c>
      <c r="F1529" t="s">
        <v>4266</v>
      </c>
      <c r="G1529" t="s">
        <v>4267</v>
      </c>
      <c r="H1529">
        <v>0</v>
      </c>
      <c r="I1529" t="s">
        <v>17</v>
      </c>
      <c r="K1529" t="s">
        <v>4268</v>
      </c>
      <c r="L1529">
        <v>349</v>
      </c>
      <c r="M1529" t="s">
        <v>4269</v>
      </c>
    </row>
    <row r="1530" spans="1:13" x14ac:dyDescent="0.45">
      <c r="A1530" t="s">
        <v>13</v>
      </c>
      <c r="B1530">
        <v>1654983</v>
      </c>
      <c r="C1530">
        <v>1655567</v>
      </c>
      <c r="E1530" t="s">
        <v>14</v>
      </c>
      <c r="F1530" t="s">
        <v>4270</v>
      </c>
      <c r="G1530" t="s">
        <v>4271</v>
      </c>
      <c r="H1530">
        <v>0</v>
      </c>
      <c r="I1530" t="s">
        <v>17</v>
      </c>
      <c r="K1530" t="s">
        <v>4272</v>
      </c>
      <c r="L1530">
        <v>194</v>
      </c>
      <c r="M1530" t="s">
        <v>4273</v>
      </c>
    </row>
    <row r="1531" spans="1:13" x14ac:dyDescent="0.45">
      <c r="A1531" t="s">
        <v>13</v>
      </c>
      <c r="B1531">
        <v>1655569</v>
      </c>
      <c r="C1531">
        <v>1656174</v>
      </c>
      <c r="E1531" t="s">
        <v>14</v>
      </c>
      <c r="F1531" t="s">
        <v>4274</v>
      </c>
      <c r="G1531" t="s">
        <v>4275</v>
      </c>
      <c r="H1531">
        <v>0</v>
      </c>
      <c r="I1531" t="s">
        <v>17</v>
      </c>
      <c r="K1531" t="s">
        <v>4276</v>
      </c>
      <c r="L1531">
        <v>201</v>
      </c>
      <c r="M1531" t="s">
        <v>4277</v>
      </c>
    </row>
    <row r="1532" spans="1:13" x14ac:dyDescent="0.45">
      <c r="A1532" t="s">
        <v>13</v>
      </c>
      <c r="B1532">
        <v>1656171</v>
      </c>
      <c r="C1532">
        <v>1656893</v>
      </c>
      <c r="E1532" t="s">
        <v>14</v>
      </c>
      <c r="F1532" t="s">
        <v>4278</v>
      </c>
      <c r="G1532" t="s">
        <v>4279</v>
      </c>
      <c r="H1532">
        <v>0</v>
      </c>
      <c r="I1532" t="s">
        <v>17</v>
      </c>
      <c r="K1532" t="s">
        <v>4280</v>
      </c>
      <c r="L1532">
        <v>240</v>
      </c>
      <c r="M1532" t="s">
        <v>4281</v>
      </c>
    </row>
    <row r="1533" spans="1:13" x14ac:dyDescent="0.45">
      <c r="A1533" t="s">
        <v>13</v>
      </c>
      <c r="B1533">
        <v>1656875</v>
      </c>
      <c r="C1533">
        <v>1657633</v>
      </c>
      <c r="E1533" t="s">
        <v>14</v>
      </c>
      <c r="F1533" t="s">
        <v>4282</v>
      </c>
      <c r="G1533" t="s">
        <v>4283</v>
      </c>
      <c r="H1533">
        <v>0</v>
      </c>
      <c r="I1533" t="s">
        <v>17</v>
      </c>
      <c r="K1533" t="s">
        <v>4284</v>
      </c>
      <c r="L1533">
        <v>252</v>
      </c>
      <c r="M1533" t="s">
        <v>4285</v>
      </c>
    </row>
    <row r="1534" spans="1:13" x14ac:dyDescent="0.45">
      <c r="A1534" t="s">
        <v>13</v>
      </c>
      <c r="B1534">
        <v>1657661</v>
      </c>
      <c r="C1534">
        <v>1658329</v>
      </c>
      <c r="E1534" t="s">
        <v>14</v>
      </c>
      <c r="F1534" t="s">
        <v>4286</v>
      </c>
      <c r="G1534" t="s">
        <v>4287</v>
      </c>
      <c r="H1534">
        <v>0</v>
      </c>
      <c r="I1534" t="s">
        <v>17</v>
      </c>
      <c r="K1534" t="s">
        <v>4288</v>
      </c>
      <c r="L1534">
        <v>222</v>
      </c>
      <c r="M1534" t="s">
        <v>4289</v>
      </c>
    </row>
    <row r="1535" spans="1:13" x14ac:dyDescent="0.45">
      <c r="A1535" t="s">
        <v>13</v>
      </c>
      <c r="B1535">
        <v>1659130</v>
      </c>
      <c r="C1535">
        <v>1660458</v>
      </c>
      <c r="E1535" t="s">
        <v>14</v>
      </c>
      <c r="F1535" t="s">
        <v>717</v>
      </c>
      <c r="H1535">
        <v>0</v>
      </c>
      <c r="I1535" t="s">
        <v>17</v>
      </c>
      <c r="K1535" t="s">
        <v>4290</v>
      </c>
      <c r="L1535">
        <v>442</v>
      </c>
      <c r="M1535" t="s">
        <v>4291</v>
      </c>
    </row>
    <row r="1536" spans="1:13" x14ac:dyDescent="0.45">
      <c r="A1536" t="s">
        <v>13</v>
      </c>
      <c r="B1536">
        <v>1661213</v>
      </c>
      <c r="C1536">
        <v>1662046</v>
      </c>
      <c r="E1536" t="s">
        <v>14</v>
      </c>
      <c r="F1536" t="s">
        <v>3610</v>
      </c>
      <c r="H1536">
        <v>0</v>
      </c>
      <c r="I1536" t="s">
        <v>17</v>
      </c>
      <c r="K1536" t="s">
        <v>4292</v>
      </c>
      <c r="L1536">
        <v>277</v>
      </c>
      <c r="M1536" t="s">
        <v>4293</v>
      </c>
    </row>
    <row r="1537" spans="1:13" x14ac:dyDescent="0.45">
      <c r="A1537" t="s">
        <v>13</v>
      </c>
      <c r="B1537">
        <v>1662115</v>
      </c>
      <c r="C1537">
        <v>1663071</v>
      </c>
      <c r="E1537" t="s">
        <v>14</v>
      </c>
      <c r="F1537" t="s">
        <v>1254</v>
      </c>
      <c r="H1537">
        <v>0</v>
      </c>
      <c r="I1537" t="s">
        <v>17</v>
      </c>
      <c r="K1537" t="s">
        <v>4294</v>
      </c>
      <c r="L1537">
        <v>318</v>
      </c>
      <c r="M1537" t="s">
        <v>4295</v>
      </c>
    </row>
    <row r="1538" spans="1:13" x14ac:dyDescent="0.45">
      <c r="A1538" t="s">
        <v>13</v>
      </c>
      <c r="B1538">
        <v>1663123</v>
      </c>
      <c r="C1538">
        <v>1663605</v>
      </c>
      <c r="E1538" t="s">
        <v>14</v>
      </c>
      <c r="F1538" t="s">
        <v>1991</v>
      </c>
      <c r="H1538">
        <v>0</v>
      </c>
      <c r="I1538" t="s">
        <v>17</v>
      </c>
      <c r="K1538" t="s">
        <v>4296</v>
      </c>
      <c r="L1538">
        <v>160</v>
      </c>
      <c r="M1538" t="s">
        <v>4297</v>
      </c>
    </row>
    <row r="1539" spans="1:13" x14ac:dyDescent="0.45">
      <c r="A1539" t="s">
        <v>13</v>
      </c>
      <c r="B1539">
        <v>1663617</v>
      </c>
      <c r="C1539">
        <v>1664486</v>
      </c>
      <c r="E1539" t="s">
        <v>14</v>
      </c>
      <c r="F1539" t="s">
        <v>4298</v>
      </c>
      <c r="H1539">
        <v>0</v>
      </c>
      <c r="I1539" t="s">
        <v>17</v>
      </c>
      <c r="K1539" t="s">
        <v>4299</v>
      </c>
      <c r="L1539">
        <v>289</v>
      </c>
      <c r="M1539" t="s">
        <v>4300</v>
      </c>
    </row>
    <row r="1540" spans="1:13" x14ac:dyDescent="0.45">
      <c r="A1540" t="s">
        <v>13</v>
      </c>
      <c r="B1540">
        <v>1664529</v>
      </c>
      <c r="C1540">
        <v>1665284</v>
      </c>
      <c r="E1540" t="s">
        <v>14</v>
      </c>
      <c r="F1540" t="s">
        <v>1623</v>
      </c>
      <c r="H1540">
        <v>0</v>
      </c>
      <c r="I1540" t="s">
        <v>17</v>
      </c>
      <c r="K1540" t="s">
        <v>4301</v>
      </c>
      <c r="L1540">
        <v>251</v>
      </c>
      <c r="M1540" t="s">
        <v>4302</v>
      </c>
    </row>
    <row r="1541" spans="1:13" x14ac:dyDescent="0.45">
      <c r="A1541" t="s">
        <v>13</v>
      </c>
      <c r="B1541">
        <v>1665326</v>
      </c>
      <c r="C1541">
        <v>1666147</v>
      </c>
      <c r="E1541" t="s">
        <v>14</v>
      </c>
      <c r="F1541" t="s">
        <v>4303</v>
      </c>
      <c r="H1541">
        <v>0</v>
      </c>
      <c r="I1541" t="s">
        <v>17</v>
      </c>
      <c r="K1541" t="s">
        <v>4304</v>
      </c>
      <c r="L1541">
        <v>273</v>
      </c>
      <c r="M1541" t="s">
        <v>4305</v>
      </c>
    </row>
    <row r="1542" spans="1:13" x14ac:dyDescent="0.45">
      <c r="A1542" t="s">
        <v>13</v>
      </c>
      <c r="B1542">
        <v>1666152</v>
      </c>
      <c r="C1542">
        <v>1666913</v>
      </c>
      <c r="E1542" t="s">
        <v>14</v>
      </c>
      <c r="F1542" t="s">
        <v>4306</v>
      </c>
      <c r="H1542">
        <v>0</v>
      </c>
      <c r="I1542" t="s">
        <v>17</v>
      </c>
      <c r="K1542" t="s">
        <v>4307</v>
      </c>
      <c r="L1542">
        <v>253</v>
      </c>
      <c r="M1542" t="s">
        <v>4308</v>
      </c>
    </row>
    <row r="1543" spans="1:13" x14ac:dyDescent="0.45">
      <c r="A1543" t="s">
        <v>13</v>
      </c>
      <c r="B1543">
        <v>1667444</v>
      </c>
      <c r="C1543">
        <v>1667683</v>
      </c>
      <c r="E1543" t="s">
        <v>14</v>
      </c>
      <c r="F1543" t="s">
        <v>4309</v>
      </c>
      <c r="H1543">
        <v>0</v>
      </c>
      <c r="I1543" t="s">
        <v>17</v>
      </c>
      <c r="K1543" t="s">
        <v>4310</v>
      </c>
      <c r="L1543">
        <v>79</v>
      </c>
      <c r="M1543" t="s">
        <v>4311</v>
      </c>
    </row>
    <row r="1544" spans="1:13" x14ac:dyDescent="0.45">
      <c r="A1544" t="s">
        <v>13</v>
      </c>
      <c r="B1544">
        <v>1667902</v>
      </c>
      <c r="C1544">
        <v>1668948</v>
      </c>
      <c r="E1544" t="s">
        <v>14</v>
      </c>
      <c r="F1544" t="s">
        <v>4312</v>
      </c>
      <c r="G1544" t="s">
        <v>4313</v>
      </c>
      <c r="H1544">
        <v>0</v>
      </c>
      <c r="I1544" t="s">
        <v>17</v>
      </c>
      <c r="K1544" t="s">
        <v>4314</v>
      </c>
      <c r="L1544">
        <v>348</v>
      </c>
      <c r="M1544" t="s">
        <v>4315</v>
      </c>
    </row>
    <row r="1545" spans="1:13" x14ac:dyDescent="0.45">
      <c r="A1545" t="s">
        <v>13</v>
      </c>
      <c r="B1545">
        <v>1669001</v>
      </c>
      <c r="C1545">
        <v>1670689</v>
      </c>
      <c r="E1545" t="s">
        <v>14</v>
      </c>
      <c r="F1545" t="s">
        <v>4316</v>
      </c>
      <c r="G1545" t="s">
        <v>4317</v>
      </c>
      <c r="H1545">
        <v>0</v>
      </c>
      <c r="I1545" t="s">
        <v>17</v>
      </c>
      <c r="K1545" t="s">
        <v>4318</v>
      </c>
      <c r="L1545">
        <v>562</v>
      </c>
      <c r="M1545" t="s">
        <v>4319</v>
      </c>
    </row>
    <row r="1546" spans="1:13" x14ac:dyDescent="0.45">
      <c r="A1546" t="s">
        <v>13</v>
      </c>
      <c r="B1546">
        <v>1671047</v>
      </c>
      <c r="C1546">
        <v>1672177</v>
      </c>
      <c r="E1546" t="s">
        <v>96</v>
      </c>
      <c r="F1546" t="s">
        <v>3896</v>
      </c>
      <c r="H1546">
        <v>0</v>
      </c>
      <c r="I1546" t="s">
        <v>17</v>
      </c>
      <c r="K1546" t="s">
        <v>4320</v>
      </c>
      <c r="L1546">
        <v>376</v>
      </c>
      <c r="M1546" t="s">
        <v>4321</v>
      </c>
    </row>
    <row r="1547" spans="1:13" x14ac:dyDescent="0.45">
      <c r="A1547" t="s">
        <v>13</v>
      </c>
      <c r="B1547">
        <v>1672256</v>
      </c>
      <c r="C1547">
        <v>1672963</v>
      </c>
      <c r="E1547" t="s">
        <v>96</v>
      </c>
      <c r="F1547" t="s">
        <v>4322</v>
      </c>
      <c r="H1547">
        <v>0</v>
      </c>
      <c r="I1547" t="s">
        <v>17</v>
      </c>
      <c r="K1547" t="s">
        <v>4323</v>
      </c>
      <c r="L1547">
        <v>235</v>
      </c>
      <c r="M1547" t="s">
        <v>4324</v>
      </c>
    </row>
    <row r="1548" spans="1:13" x14ac:dyDescent="0.45">
      <c r="A1548" t="s">
        <v>13</v>
      </c>
      <c r="B1548">
        <v>1672976</v>
      </c>
      <c r="C1548">
        <v>1673845</v>
      </c>
      <c r="E1548" t="s">
        <v>96</v>
      </c>
      <c r="F1548" t="s">
        <v>4325</v>
      </c>
      <c r="H1548">
        <v>0</v>
      </c>
      <c r="I1548" t="s">
        <v>17</v>
      </c>
      <c r="K1548" t="s">
        <v>4326</v>
      </c>
      <c r="L1548">
        <v>289</v>
      </c>
      <c r="M1548" t="s">
        <v>4327</v>
      </c>
    </row>
    <row r="1549" spans="1:13" x14ac:dyDescent="0.45">
      <c r="A1549" t="s">
        <v>13</v>
      </c>
      <c r="B1549">
        <v>1674465</v>
      </c>
      <c r="C1549">
        <v>1674971</v>
      </c>
      <c r="E1549" t="s">
        <v>96</v>
      </c>
      <c r="F1549" t="s">
        <v>3720</v>
      </c>
      <c r="H1549">
        <v>0</v>
      </c>
      <c r="I1549" t="s">
        <v>17</v>
      </c>
      <c r="K1549" t="s">
        <v>4328</v>
      </c>
      <c r="L1549">
        <v>168</v>
      </c>
      <c r="M1549" t="s">
        <v>4329</v>
      </c>
    </row>
    <row r="1550" spans="1:13" x14ac:dyDescent="0.45">
      <c r="A1550" t="s">
        <v>13</v>
      </c>
      <c r="B1550">
        <v>1675047</v>
      </c>
      <c r="C1550">
        <v>1675595</v>
      </c>
      <c r="E1550" t="s">
        <v>96</v>
      </c>
      <c r="F1550" t="s">
        <v>1134</v>
      </c>
      <c r="H1550">
        <v>0</v>
      </c>
      <c r="I1550" t="s">
        <v>17</v>
      </c>
      <c r="K1550" t="s">
        <v>4330</v>
      </c>
      <c r="L1550">
        <v>182</v>
      </c>
      <c r="M1550" t="s">
        <v>4331</v>
      </c>
    </row>
    <row r="1551" spans="1:13" x14ac:dyDescent="0.45">
      <c r="A1551" t="s">
        <v>13</v>
      </c>
      <c r="B1551">
        <v>1675607</v>
      </c>
      <c r="C1551">
        <v>1675948</v>
      </c>
      <c r="E1551" t="s">
        <v>96</v>
      </c>
      <c r="F1551" t="s">
        <v>3723</v>
      </c>
      <c r="H1551">
        <v>0</v>
      </c>
      <c r="I1551" t="s">
        <v>17</v>
      </c>
      <c r="K1551" t="s">
        <v>4332</v>
      </c>
      <c r="L1551">
        <v>113</v>
      </c>
      <c r="M1551" t="s">
        <v>4333</v>
      </c>
    </row>
    <row r="1552" spans="1:13" x14ac:dyDescent="0.45">
      <c r="A1552" t="s">
        <v>13</v>
      </c>
      <c r="B1552">
        <v>1676125</v>
      </c>
      <c r="C1552">
        <v>1676328</v>
      </c>
      <c r="E1552" t="s">
        <v>14</v>
      </c>
      <c r="F1552" t="s">
        <v>1432</v>
      </c>
      <c r="H1552">
        <v>0</v>
      </c>
      <c r="I1552" t="s">
        <v>17</v>
      </c>
      <c r="K1552" t="s">
        <v>4334</v>
      </c>
      <c r="L1552">
        <v>67</v>
      </c>
      <c r="M1552" t="s">
        <v>4335</v>
      </c>
    </row>
    <row r="1553" spans="1:13" x14ac:dyDescent="0.45">
      <c r="A1553" t="s">
        <v>13</v>
      </c>
      <c r="B1553">
        <v>1676376</v>
      </c>
      <c r="C1553">
        <v>1677185</v>
      </c>
      <c r="E1553" t="s">
        <v>14</v>
      </c>
      <c r="F1553" t="s">
        <v>4336</v>
      </c>
      <c r="H1553">
        <v>0</v>
      </c>
      <c r="I1553" t="s">
        <v>17</v>
      </c>
      <c r="K1553" t="s">
        <v>4337</v>
      </c>
      <c r="L1553">
        <v>269</v>
      </c>
      <c r="M1553" t="s">
        <v>4338</v>
      </c>
    </row>
    <row r="1554" spans="1:13" x14ac:dyDescent="0.45">
      <c r="A1554" t="s">
        <v>13</v>
      </c>
      <c r="B1554">
        <v>1677232</v>
      </c>
      <c r="C1554">
        <v>1677441</v>
      </c>
      <c r="E1554" t="s">
        <v>14</v>
      </c>
      <c r="F1554" t="s">
        <v>43</v>
      </c>
      <c r="H1554">
        <v>0</v>
      </c>
      <c r="I1554" t="s">
        <v>17</v>
      </c>
      <c r="K1554" t="s">
        <v>4339</v>
      </c>
      <c r="L1554">
        <v>69</v>
      </c>
      <c r="M1554" t="s">
        <v>4340</v>
      </c>
    </row>
    <row r="1555" spans="1:13" x14ac:dyDescent="0.45">
      <c r="A1555" t="s">
        <v>13</v>
      </c>
      <c r="B1555">
        <v>1677451</v>
      </c>
      <c r="C1555">
        <v>1677825</v>
      </c>
      <c r="E1555" t="s">
        <v>96</v>
      </c>
      <c r="F1555" t="s">
        <v>4341</v>
      </c>
      <c r="H1555">
        <v>0</v>
      </c>
      <c r="I1555" t="s">
        <v>17</v>
      </c>
      <c r="K1555" t="s">
        <v>4342</v>
      </c>
      <c r="L1555">
        <v>124</v>
      </c>
      <c r="M1555" t="s">
        <v>4343</v>
      </c>
    </row>
    <row r="1556" spans="1:13" x14ac:dyDescent="0.45">
      <c r="A1556" t="s">
        <v>13</v>
      </c>
      <c r="B1556">
        <v>1677928</v>
      </c>
      <c r="C1556">
        <v>1678098</v>
      </c>
      <c r="E1556" t="s">
        <v>14</v>
      </c>
      <c r="F1556" t="s">
        <v>1134</v>
      </c>
      <c r="H1556">
        <v>0</v>
      </c>
      <c r="I1556" t="s">
        <v>17</v>
      </c>
      <c r="K1556" t="s">
        <v>4344</v>
      </c>
      <c r="L1556">
        <v>56</v>
      </c>
      <c r="M1556" t="s">
        <v>4345</v>
      </c>
    </row>
    <row r="1557" spans="1:13" x14ac:dyDescent="0.45">
      <c r="A1557" t="s">
        <v>13</v>
      </c>
      <c r="B1557">
        <v>1678129</v>
      </c>
      <c r="C1557">
        <v>1678521</v>
      </c>
      <c r="E1557" t="s">
        <v>14</v>
      </c>
      <c r="F1557" t="s">
        <v>1134</v>
      </c>
      <c r="H1557">
        <v>0</v>
      </c>
      <c r="I1557" t="s">
        <v>17</v>
      </c>
      <c r="K1557" t="s">
        <v>4346</v>
      </c>
      <c r="L1557">
        <v>130</v>
      </c>
      <c r="M1557" t="s">
        <v>4347</v>
      </c>
    </row>
    <row r="1558" spans="1:13" x14ac:dyDescent="0.45">
      <c r="A1558" t="s">
        <v>13</v>
      </c>
      <c r="B1558">
        <v>1678502</v>
      </c>
      <c r="C1558">
        <v>1678651</v>
      </c>
      <c r="E1558" t="s">
        <v>14</v>
      </c>
      <c r="F1558" t="s">
        <v>43</v>
      </c>
      <c r="H1558">
        <v>0</v>
      </c>
      <c r="I1558" t="s">
        <v>17</v>
      </c>
      <c r="K1558" t="s">
        <v>4348</v>
      </c>
      <c r="L1558">
        <v>49</v>
      </c>
      <c r="M1558" t="s">
        <v>4349</v>
      </c>
    </row>
    <row r="1559" spans="1:13" x14ac:dyDescent="0.45">
      <c r="A1559" t="s">
        <v>13</v>
      </c>
      <c r="B1559">
        <v>1678722</v>
      </c>
      <c r="C1559">
        <v>1679159</v>
      </c>
      <c r="E1559" t="s">
        <v>14</v>
      </c>
      <c r="F1559" t="s">
        <v>43</v>
      </c>
      <c r="H1559">
        <v>0</v>
      </c>
      <c r="I1559" t="s">
        <v>17</v>
      </c>
      <c r="K1559" t="s">
        <v>4350</v>
      </c>
      <c r="L1559">
        <v>145</v>
      </c>
      <c r="M1559" t="s">
        <v>4351</v>
      </c>
    </row>
    <row r="1560" spans="1:13" x14ac:dyDescent="0.45">
      <c r="A1560" t="s">
        <v>13</v>
      </c>
      <c r="B1560">
        <v>1679171</v>
      </c>
      <c r="C1560">
        <v>1680337</v>
      </c>
      <c r="E1560" t="s">
        <v>14</v>
      </c>
      <c r="F1560" t="s">
        <v>4352</v>
      </c>
      <c r="H1560">
        <v>0</v>
      </c>
      <c r="I1560" t="s">
        <v>17</v>
      </c>
      <c r="K1560" t="s">
        <v>4353</v>
      </c>
      <c r="L1560">
        <v>388</v>
      </c>
      <c r="M1560" t="s">
        <v>4354</v>
      </c>
    </row>
    <row r="1561" spans="1:13" x14ac:dyDescent="0.45">
      <c r="A1561" t="s">
        <v>13</v>
      </c>
      <c r="B1561">
        <v>1680352</v>
      </c>
      <c r="C1561">
        <v>1680687</v>
      </c>
      <c r="E1561" t="s">
        <v>14</v>
      </c>
      <c r="F1561" t="s">
        <v>43</v>
      </c>
      <c r="H1561">
        <v>0</v>
      </c>
      <c r="I1561" t="s">
        <v>17</v>
      </c>
      <c r="K1561" t="s">
        <v>4355</v>
      </c>
      <c r="L1561">
        <v>111</v>
      </c>
      <c r="M1561" t="s">
        <v>4356</v>
      </c>
    </row>
    <row r="1562" spans="1:13" x14ac:dyDescent="0.45">
      <c r="A1562" t="s">
        <v>13</v>
      </c>
      <c r="B1562">
        <v>1680740</v>
      </c>
      <c r="C1562">
        <v>1681312</v>
      </c>
      <c r="E1562" t="s">
        <v>14</v>
      </c>
      <c r="F1562" t="s">
        <v>4357</v>
      </c>
      <c r="H1562">
        <v>0</v>
      </c>
      <c r="I1562" t="s">
        <v>17</v>
      </c>
      <c r="K1562" t="s">
        <v>4358</v>
      </c>
      <c r="L1562">
        <v>190</v>
      </c>
      <c r="M1562" t="s">
        <v>4359</v>
      </c>
    </row>
    <row r="1563" spans="1:13" x14ac:dyDescent="0.45">
      <c r="A1563" t="s">
        <v>13</v>
      </c>
      <c r="B1563">
        <v>1681335</v>
      </c>
      <c r="C1563">
        <v>1681907</v>
      </c>
      <c r="E1563" t="s">
        <v>14</v>
      </c>
      <c r="F1563" t="s">
        <v>4360</v>
      </c>
      <c r="H1563">
        <v>0</v>
      </c>
      <c r="I1563" t="s">
        <v>17</v>
      </c>
      <c r="K1563" t="s">
        <v>4361</v>
      </c>
      <c r="L1563">
        <v>190</v>
      </c>
      <c r="M1563" t="s">
        <v>4362</v>
      </c>
    </row>
    <row r="1564" spans="1:13" x14ac:dyDescent="0.45">
      <c r="A1564" t="s">
        <v>13</v>
      </c>
      <c r="B1564">
        <v>1681907</v>
      </c>
      <c r="C1564">
        <v>1683865</v>
      </c>
      <c r="E1564" t="s">
        <v>14</v>
      </c>
      <c r="F1564" t="s">
        <v>4363</v>
      </c>
      <c r="H1564">
        <v>0</v>
      </c>
      <c r="I1564" t="s">
        <v>17</v>
      </c>
      <c r="K1564" t="s">
        <v>4364</v>
      </c>
      <c r="L1564">
        <v>652</v>
      </c>
      <c r="M1564" t="s">
        <v>4365</v>
      </c>
    </row>
    <row r="1565" spans="1:13" x14ac:dyDescent="0.45">
      <c r="A1565" t="s">
        <v>13</v>
      </c>
      <c r="B1565">
        <v>1683877</v>
      </c>
      <c r="C1565">
        <v>1686294</v>
      </c>
      <c r="E1565" t="s">
        <v>14</v>
      </c>
      <c r="F1565" t="s">
        <v>4366</v>
      </c>
      <c r="H1565">
        <v>0</v>
      </c>
      <c r="I1565" t="s">
        <v>17</v>
      </c>
      <c r="K1565" t="s">
        <v>4367</v>
      </c>
      <c r="L1565">
        <v>805</v>
      </c>
      <c r="M1565" t="s">
        <v>4368</v>
      </c>
    </row>
    <row r="1566" spans="1:13" x14ac:dyDescent="0.45">
      <c r="A1566" t="s">
        <v>13</v>
      </c>
      <c r="B1566">
        <v>1686576</v>
      </c>
      <c r="C1566">
        <v>1686902</v>
      </c>
      <c r="E1566" t="s">
        <v>14</v>
      </c>
      <c r="F1566" t="s">
        <v>4369</v>
      </c>
      <c r="H1566">
        <v>0</v>
      </c>
      <c r="I1566" t="s">
        <v>17</v>
      </c>
      <c r="K1566" t="s">
        <v>4370</v>
      </c>
      <c r="L1566">
        <v>108</v>
      </c>
      <c r="M1566" t="s">
        <v>4371</v>
      </c>
    </row>
    <row r="1567" spans="1:13" x14ac:dyDescent="0.45">
      <c r="A1567" t="s">
        <v>13</v>
      </c>
      <c r="B1567">
        <v>1686851</v>
      </c>
      <c r="C1567">
        <v>1688221</v>
      </c>
      <c r="E1567" t="s">
        <v>14</v>
      </c>
      <c r="F1567" t="s">
        <v>2257</v>
      </c>
      <c r="H1567">
        <v>0</v>
      </c>
      <c r="I1567" t="s">
        <v>17</v>
      </c>
      <c r="K1567" t="s">
        <v>4372</v>
      </c>
      <c r="L1567">
        <v>456</v>
      </c>
      <c r="M1567" t="s">
        <v>4373</v>
      </c>
    </row>
    <row r="1568" spans="1:13" x14ac:dyDescent="0.45">
      <c r="A1568" t="s">
        <v>13</v>
      </c>
      <c r="B1568">
        <v>1688245</v>
      </c>
      <c r="C1568">
        <v>1688382</v>
      </c>
      <c r="E1568" t="s">
        <v>14</v>
      </c>
      <c r="F1568" t="s">
        <v>43</v>
      </c>
      <c r="H1568">
        <v>0</v>
      </c>
      <c r="I1568" t="s">
        <v>17</v>
      </c>
      <c r="K1568" t="s">
        <v>4374</v>
      </c>
      <c r="L1568">
        <v>45</v>
      </c>
      <c r="M1568" t="s">
        <v>4375</v>
      </c>
    </row>
    <row r="1569" spans="1:13" x14ac:dyDescent="0.45">
      <c r="A1569" t="s">
        <v>13</v>
      </c>
      <c r="B1569">
        <v>1688375</v>
      </c>
      <c r="C1569">
        <v>1688854</v>
      </c>
      <c r="E1569" t="s">
        <v>14</v>
      </c>
      <c r="F1569" t="s">
        <v>4376</v>
      </c>
      <c r="H1569">
        <v>0</v>
      </c>
      <c r="I1569" t="s">
        <v>17</v>
      </c>
      <c r="K1569" t="s">
        <v>4377</v>
      </c>
      <c r="L1569">
        <v>159</v>
      </c>
      <c r="M1569" t="s">
        <v>4378</v>
      </c>
    </row>
    <row r="1570" spans="1:13" x14ac:dyDescent="0.45">
      <c r="A1570" t="s">
        <v>13</v>
      </c>
      <c r="B1570">
        <v>1689137</v>
      </c>
      <c r="C1570">
        <v>1689589</v>
      </c>
      <c r="E1570" t="s">
        <v>14</v>
      </c>
      <c r="F1570" t="s">
        <v>4336</v>
      </c>
      <c r="H1570">
        <v>0</v>
      </c>
      <c r="I1570" t="s">
        <v>17</v>
      </c>
      <c r="K1570" t="s">
        <v>4379</v>
      </c>
      <c r="L1570">
        <v>150</v>
      </c>
      <c r="M1570" t="s">
        <v>4380</v>
      </c>
    </row>
    <row r="1571" spans="1:13" x14ac:dyDescent="0.45">
      <c r="A1571" t="s">
        <v>13</v>
      </c>
      <c r="B1571">
        <v>1689881</v>
      </c>
      <c r="C1571">
        <v>1690855</v>
      </c>
      <c r="E1571" t="s">
        <v>14</v>
      </c>
      <c r="F1571" t="s">
        <v>43</v>
      </c>
      <c r="H1571">
        <v>0</v>
      </c>
      <c r="I1571" t="s">
        <v>17</v>
      </c>
      <c r="K1571" t="s">
        <v>4381</v>
      </c>
      <c r="L1571">
        <v>324</v>
      </c>
      <c r="M1571" t="s">
        <v>4382</v>
      </c>
    </row>
    <row r="1572" spans="1:13" x14ac:dyDescent="0.45">
      <c r="A1572" t="s">
        <v>13</v>
      </c>
      <c r="B1572">
        <v>1690876</v>
      </c>
      <c r="C1572">
        <v>1691385</v>
      </c>
      <c r="E1572" t="s">
        <v>14</v>
      </c>
      <c r="F1572" t="s">
        <v>43</v>
      </c>
      <c r="H1572">
        <v>0</v>
      </c>
      <c r="I1572" t="s">
        <v>17</v>
      </c>
      <c r="K1572" t="s">
        <v>4383</v>
      </c>
      <c r="L1572">
        <v>169</v>
      </c>
      <c r="M1572" t="s">
        <v>4384</v>
      </c>
    </row>
    <row r="1573" spans="1:13" x14ac:dyDescent="0.45">
      <c r="A1573" t="s">
        <v>13</v>
      </c>
      <c r="B1573">
        <v>1691455</v>
      </c>
      <c r="C1573">
        <v>1692147</v>
      </c>
      <c r="E1573" t="s">
        <v>14</v>
      </c>
      <c r="F1573" t="s">
        <v>4385</v>
      </c>
      <c r="G1573" t="s">
        <v>4386</v>
      </c>
      <c r="H1573">
        <v>0</v>
      </c>
      <c r="I1573" t="s">
        <v>17</v>
      </c>
      <c r="K1573" t="s">
        <v>4387</v>
      </c>
      <c r="L1573">
        <v>230</v>
      </c>
      <c r="M1573" t="s">
        <v>4388</v>
      </c>
    </row>
    <row r="1574" spans="1:13" x14ac:dyDescent="0.45">
      <c r="A1574" t="s">
        <v>13</v>
      </c>
      <c r="B1574">
        <v>1692125</v>
      </c>
      <c r="C1574">
        <v>1693378</v>
      </c>
      <c r="E1574" t="s">
        <v>14</v>
      </c>
      <c r="F1574" t="s">
        <v>4389</v>
      </c>
      <c r="H1574">
        <v>0</v>
      </c>
      <c r="I1574" t="s">
        <v>17</v>
      </c>
      <c r="K1574" t="s">
        <v>4390</v>
      </c>
      <c r="L1574">
        <v>417</v>
      </c>
      <c r="M1574" t="s">
        <v>4391</v>
      </c>
    </row>
    <row r="1575" spans="1:13" x14ac:dyDescent="0.45">
      <c r="A1575" t="s">
        <v>13</v>
      </c>
      <c r="B1575">
        <v>1693384</v>
      </c>
      <c r="C1575">
        <v>1694826</v>
      </c>
      <c r="E1575" t="s">
        <v>14</v>
      </c>
      <c r="F1575" t="s">
        <v>4392</v>
      </c>
      <c r="H1575">
        <v>0</v>
      </c>
      <c r="I1575" t="s">
        <v>17</v>
      </c>
      <c r="K1575" t="s">
        <v>4393</v>
      </c>
      <c r="L1575">
        <v>480</v>
      </c>
      <c r="M1575" t="s">
        <v>4394</v>
      </c>
    </row>
    <row r="1576" spans="1:13" x14ac:dyDescent="0.45">
      <c r="A1576" t="s">
        <v>13</v>
      </c>
      <c r="B1576">
        <v>1694816</v>
      </c>
      <c r="C1576">
        <v>1696351</v>
      </c>
      <c r="E1576" t="s">
        <v>14</v>
      </c>
      <c r="F1576" t="s">
        <v>4395</v>
      </c>
      <c r="H1576">
        <v>0</v>
      </c>
      <c r="I1576" t="s">
        <v>17</v>
      </c>
      <c r="K1576" t="s">
        <v>4396</v>
      </c>
      <c r="L1576">
        <v>511</v>
      </c>
      <c r="M1576" t="s">
        <v>4397</v>
      </c>
    </row>
    <row r="1577" spans="1:13" x14ac:dyDescent="0.45">
      <c r="A1577" t="s">
        <v>13</v>
      </c>
      <c r="B1577">
        <v>1696353</v>
      </c>
      <c r="C1577">
        <v>1696601</v>
      </c>
      <c r="E1577" t="s">
        <v>14</v>
      </c>
      <c r="F1577" t="s">
        <v>43</v>
      </c>
      <c r="H1577">
        <v>0</v>
      </c>
      <c r="I1577" t="s">
        <v>17</v>
      </c>
      <c r="K1577" t="s">
        <v>4398</v>
      </c>
      <c r="L1577">
        <v>82</v>
      </c>
      <c r="M1577" t="s">
        <v>4399</v>
      </c>
    </row>
    <row r="1578" spans="1:13" x14ac:dyDescent="0.45">
      <c r="A1578" t="s">
        <v>13</v>
      </c>
      <c r="B1578">
        <v>1696669</v>
      </c>
      <c r="C1578">
        <v>1697232</v>
      </c>
      <c r="E1578" t="s">
        <v>14</v>
      </c>
      <c r="F1578" t="s">
        <v>4400</v>
      </c>
      <c r="H1578">
        <v>0</v>
      </c>
      <c r="I1578" t="s">
        <v>17</v>
      </c>
      <c r="K1578" t="s">
        <v>4401</v>
      </c>
      <c r="L1578">
        <v>187</v>
      </c>
      <c r="M1578" t="s">
        <v>4402</v>
      </c>
    </row>
    <row r="1579" spans="1:13" x14ac:dyDescent="0.45">
      <c r="A1579" t="s">
        <v>13</v>
      </c>
      <c r="B1579">
        <v>1697244</v>
      </c>
      <c r="C1579">
        <v>1698134</v>
      </c>
      <c r="E1579" t="s">
        <v>14</v>
      </c>
      <c r="F1579" t="s">
        <v>43</v>
      </c>
      <c r="H1579">
        <v>0</v>
      </c>
      <c r="I1579" t="s">
        <v>17</v>
      </c>
      <c r="K1579" t="s">
        <v>4403</v>
      </c>
      <c r="L1579">
        <v>296</v>
      </c>
      <c r="M1579" t="s">
        <v>4404</v>
      </c>
    </row>
    <row r="1580" spans="1:13" x14ac:dyDescent="0.45">
      <c r="A1580" t="s">
        <v>13</v>
      </c>
      <c r="B1580">
        <v>1698153</v>
      </c>
      <c r="C1580">
        <v>1698386</v>
      </c>
      <c r="E1580" t="s">
        <v>14</v>
      </c>
      <c r="F1580" t="s">
        <v>43</v>
      </c>
      <c r="H1580">
        <v>0</v>
      </c>
      <c r="I1580" t="s">
        <v>17</v>
      </c>
      <c r="K1580" t="s">
        <v>4405</v>
      </c>
      <c r="L1580">
        <v>77</v>
      </c>
      <c r="M1580" t="s">
        <v>4406</v>
      </c>
    </row>
    <row r="1581" spans="1:13" x14ac:dyDescent="0.45">
      <c r="A1581" t="s">
        <v>13</v>
      </c>
      <c r="B1581">
        <v>1698396</v>
      </c>
      <c r="C1581">
        <v>1698797</v>
      </c>
      <c r="E1581" t="s">
        <v>14</v>
      </c>
      <c r="F1581" t="s">
        <v>43</v>
      </c>
      <c r="H1581">
        <v>0</v>
      </c>
      <c r="I1581" t="s">
        <v>17</v>
      </c>
      <c r="K1581" t="s">
        <v>4407</v>
      </c>
      <c r="L1581">
        <v>133</v>
      </c>
      <c r="M1581" t="s">
        <v>4408</v>
      </c>
    </row>
    <row r="1582" spans="1:13" x14ac:dyDescent="0.45">
      <c r="A1582" t="s">
        <v>13</v>
      </c>
      <c r="B1582">
        <v>1698791</v>
      </c>
      <c r="C1582">
        <v>1699138</v>
      </c>
      <c r="E1582" t="s">
        <v>14</v>
      </c>
      <c r="F1582" t="s">
        <v>43</v>
      </c>
      <c r="H1582">
        <v>0</v>
      </c>
      <c r="I1582" t="s">
        <v>17</v>
      </c>
      <c r="K1582" t="s">
        <v>4409</v>
      </c>
      <c r="L1582">
        <v>115</v>
      </c>
      <c r="M1582" t="s">
        <v>4410</v>
      </c>
    </row>
    <row r="1583" spans="1:13" x14ac:dyDescent="0.45">
      <c r="A1583" t="s">
        <v>13</v>
      </c>
      <c r="B1583">
        <v>1699138</v>
      </c>
      <c r="C1583">
        <v>1699428</v>
      </c>
      <c r="E1583" t="s">
        <v>14</v>
      </c>
      <c r="F1583" t="s">
        <v>4411</v>
      </c>
      <c r="H1583">
        <v>0</v>
      </c>
      <c r="I1583" t="s">
        <v>17</v>
      </c>
      <c r="K1583" t="s">
        <v>4412</v>
      </c>
      <c r="L1583">
        <v>96</v>
      </c>
      <c r="M1583" t="s">
        <v>4413</v>
      </c>
    </row>
    <row r="1584" spans="1:13" x14ac:dyDescent="0.45">
      <c r="A1584" t="s">
        <v>13</v>
      </c>
      <c r="B1584">
        <v>1699538</v>
      </c>
      <c r="C1584">
        <v>1700344</v>
      </c>
      <c r="E1584" t="s">
        <v>14</v>
      </c>
      <c r="F1584" t="s">
        <v>43</v>
      </c>
      <c r="H1584">
        <v>0</v>
      </c>
      <c r="I1584" t="s">
        <v>17</v>
      </c>
      <c r="K1584" t="s">
        <v>4414</v>
      </c>
      <c r="L1584">
        <v>268</v>
      </c>
      <c r="M1584" t="s">
        <v>4415</v>
      </c>
    </row>
    <row r="1585" spans="1:13" x14ac:dyDescent="0.45">
      <c r="A1585" t="s">
        <v>13</v>
      </c>
      <c r="B1585">
        <v>1700693</v>
      </c>
      <c r="C1585">
        <v>1701130</v>
      </c>
      <c r="E1585" t="s">
        <v>14</v>
      </c>
      <c r="F1585" t="s">
        <v>3730</v>
      </c>
      <c r="H1585">
        <v>0</v>
      </c>
      <c r="I1585" t="s">
        <v>17</v>
      </c>
      <c r="K1585" t="s">
        <v>4416</v>
      </c>
      <c r="L1585">
        <v>145</v>
      </c>
      <c r="M1585" t="s">
        <v>4417</v>
      </c>
    </row>
    <row r="1586" spans="1:13" x14ac:dyDescent="0.45">
      <c r="A1586" t="s">
        <v>13</v>
      </c>
      <c r="B1586">
        <v>1701114</v>
      </c>
      <c r="C1586">
        <v>1701299</v>
      </c>
      <c r="E1586" t="s">
        <v>14</v>
      </c>
      <c r="F1586" t="s">
        <v>43</v>
      </c>
      <c r="H1586">
        <v>0</v>
      </c>
      <c r="I1586" t="s">
        <v>17</v>
      </c>
      <c r="K1586" t="s">
        <v>4418</v>
      </c>
      <c r="L1586">
        <v>61</v>
      </c>
      <c r="M1586" t="s">
        <v>4419</v>
      </c>
    </row>
    <row r="1587" spans="1:13" x14ac:dyDescent="0.45">
      <c r="A1587" t="s">
        <v>13</v>
      </c>
      <c r="B1587">
        <v>1701300</v>
      </c>
      <c r="C1587">
        <v>1702610</v>
      </c>
      <c r="E1587" t="s">
        <v>14</v>
      </c>
      <c r="F1587" t="s">
        <v>4420</v>
      </c>
      <c r="H1587">
        <v>0</v>
      </c>
      <c r="I1587" t="s">
        <v>17</v>
      </c>
      <c r="K1587" t="s">
        <v>4421</v>
      </c>
      <c r="L1587">
        <v>436</v>
      </c>
      <c r="M1587" t="s">
        <v>4422</v>
      </c>
    </row>
    <row r="1588" spans="1:13" x14ac:dyDescent="0.45">
      <c r="A1588" t="s">
        <v>13</v>
      </c>
      <c r="B1588">
        <v>1702627</v>
      </c>
      <c r="C1588">
        <v>1703097</v>
      </c>
      <c r="E1588" t="s">
        <v>14</v>
      </c>
      <c r="F1588" t="s">
        <v>3736</v>
      </c>
      <c r="H1588">
        <v>0</v>
      </c>
      <c r="I1588" t="s">
        <v>17</v>
      </c>
      <c r="K1588" t="s">
        <v>4423</v>
      </c>
      <c r="L1588">
        <v>156</v>
      </c>
      <c r="M1588" t="s">
        <v>4424</v>
      </c>
    </row>
    <row r="1589" spans="1:13" x14ac:dyDescent="0.45">
      <c r="A1589" t="s">
        <v>13</v>
      </c>
      <c r="B1589">
        <v>1703156</v>
      </c>
      <c r="C1589">
        <v>1703983</v>
      </c>
      <c r="E1589" t="s">
        <v>14</v>
      </c>
      <c r="F1589" t="s">
        <v>43</v>
      </c>
      <c r="H1589">
        <v>0</v>
      </c>
      <c r="I1589" t="s">
        <v>17</v>
      </c>
      <c r="K1589" t="s">
        <v>4425</v>
      </c>
      <c r="L1589">
        <v>275</v>
      </c>
      <c r="M1589" t="s">
        <v>4426</v>
      </c>
    </row>
    <row r="1590" spans="1:13" x14ac:dyDescent="0.45">
      <c r="A1590" t="s">
        <v>13</v>
      </c>
      <c r="B1590">
        <v>1704055</v>
      </c>
      <c r="C1590">
        <v>1704495</v>
      </c>
      <c r="E1590" t="s">
        <v>14</v>
      </c>
      <c r="F1590" t="s">
        <v>3739</v>
      </c>
      <c r="H1590">
        <v>0</v>
      </c>
      <c r="I1590" t="s">
        <v>17</v>
      </c>
      <c r="K1590" t="s">
        <v>4427</v>
      </c>
      <c r="L1590">
        <v>146</v>
      </c>
      <c r="M1590" t="s">
        <v>4428</v>
      </c>
    </row>
    <row r="1591" spans="1:13" x14ac:dyDescent="0.45">
      <c r="A1591" t="s">
        <v>13</v>
      </c>
      <c r="B1591">
        <v>1704836</v>
      </c>
      <c r="C1591">
        <v>1704997</v>
      </c>
      <c r="E1591" t="s">
        <v>14</v>
      </c>
      <c r="F1591" t="s">
        <v>4429</v>
      </c>
      <c r="H1591">
        <v>0</v>
      </c>
      <c r="I1591" t="s">
        <v>17</v>
      </c>
      <c r="K1591" t="s">
        <v>4430</v>
      </c>
      <c r="L1591">
        <v>53</v>
      </c>
      <c r="M1591" t="s">
        <v>4431</v>
      </c>
    </row>
    <row r="1592" spans="1:13" x14ac:dyDescent="0.45">
      <c r="A1592" t="s">
        <v>13</v>
      </c>
      <c r="B1592">
        <v>1706334</v>
      </c>
      <c r="C1592">
        <v>1706522</v>
      </c>
      <c r="E1592" t="s">
        <v>14</v>
      </c>
      <c r="F1592" t="s">
        <v>43</v>
      </c>
      <c r="H1592">
        <v>0</v>
      </c>
      <c r="I1592" t="s">
        <v>17</v>
      </c>
      <c r="K1592" t="s">
        <v>4432</v>
      </c>
      <c r="L1592">
        <v>62</v>
      </c>
      <c r="M1592" t="s">
        <v>4433</v>
      </c>
    </row>
    <row r="1593" spans="1:13" x14ac:dyDescent="0.45">
      <c r="A1593" t="s">
        <v>13</v>
      </c>
      <c r="B1593">
        <v>1706641</v>
      </c>
      <c r="C1593">
        <v>1707507</v>
      </c>
      <c r="E1593" t="s">
        <v>14</v>
      </c>
      <c r="F1593" t="s">
        <v>4434</v>
      </c>
      <c r="H1593">
        <v>0</v>
      </c>
      <c r="I1593" t="s">
        <v>17</v>
      </c>
      <c r="K1593" t="s">
        <v>4435</v>
      </c>
      <c r="L1593">
        <v>288</v>
      </c>
      <c r="M1593" t="s">
        <v>4436</v>
      </c>
    </row>
    <row r="1594" spans="1:13" x14ac:dyDescent="0.45">
      <c r="A1594" t="s">
        <v>13</v>
      </c>
      <c r="B1594">
        <v>1707560</v>
      </c>
      <c r="C1594">
        <v>1707694</v>
      </c>
      <c r="E1594" t="s">
        <v>14</v>
      </c>
      <c r="F1594" t="s">
        <v>43</v>
      </c>
      <c r="H1594">
        <v>0</v>
      </c>
      <c r="I1594" t="s">
        <v>17</v>
      </c>
      <c r="K1594" t="s">
        <v>4437</v>
      </c>
      <c r="L1594">
        <v>44</v>
      </c>
      <c r="M1594" t="s">
        <v>4438</v>
      </c>
    </row>
    <row r="1595" spans="1:13" x14ac:dyDescent="0.45">
      <c r="A1595" t="s">
        <v>13</v>
      </c>
      <c r="B1595">
        <v>1708372</v>
      </c>
      <c r="C1595">
        <v>1708899</v>
      </c>
      <c r="E1595" t="s">
        <v>14</v>
      </c>
      <c r="F1595" t="s">
        <v>4439</v>
      </c>
      <c r="H1595">
        <v>0</v>
      </c>
      <c r="I1595" t="s">
        <v>17</v>
      </c>
      <c r="K1595" t="s">
        <v>4440</v>
      </c>
      <c r="L1595">
        <v>175</v>
      </c>
      <c r="M1595" t="s">
        <v>4441</v>
      </c>
    </row>
    <row r="1596" spans="1:13" x14ac:dyDescent="0.45">
      <c r="A1596" t="s">
        <v>13</v>
      </c>
      <c r="B1596">
        <v>1709037</v>
      </c>
      <c r="C1596">
        <v>1709804</v>
      </c>
      <c r="E1596" t="s">
        <v>14</v>
      </c>
      <c r="F1596" t="s">
        <v>4442</v>
      </c>
      <c r="H1596">
        <v>0</v>
      </c>
      <c r="I1596" t="s">
        <v>17</v>
      </c>
      <c r="K1596" t="s">
        <v>4443</v>
      </c>
      <c r="L1596">
        <v>255</v>
      </c>
      <c r="M1596" t="s">
        <v>4444</v>
      </c>
    </row>
    <row r="1597" spans="1:13" x14ac:dyDescent="0.45">
      <c r="A1597" t="s">
        <v>13</v>
      </c>
      <c r="B1597">
        <v>1709870</v>
      </c>
      <c r="C1597">
        <v>1712242</v>
      </c>
      <c r="E1597" t="s">
        <v>14</v>
      </c>
      <c r="F1597" t="s">
        <v>4445</v>
      </c>
      <c r="H1597">
        <v>0</v>
      </c>
      <c r="I1597" t="s">
        <v>17</v>
      </c>
      <c r="K1597" t="s">
        <v>4446</v>
      </c>
      <c r="L1597">
        <v>790</v>
      </c>
      <c r="M1597" t="s">
        <v>4447</v>
      </c>
    </row>
    <row r="1598" spans="1:13" x14ac:dyDescent="0.45">
      <c r="A1598" t="s">
        <v>13</v>
      </c>
      <c r="B1598">
        <v>1712259</v>
      </c>
      <c r="C1598">
        <v>1712948</v>
      </c>
      <c r="E1598" t="s">
        <v>14</v>
      </c>
      <c r="F1598" t="s">
        <v>4448</v>
      </c>
      <c r="H1598">
        <v>0</v>
      </c>
      <c r="I1598" t="s">
        <v>17</v>
      </c>
      <c r="K1598" t="s">
        <v>4449</v>
      </c>
      <c r="L1598">
        <v>229</v>
      </c>
      <c r="M1598" t="s">
        <v>4450</v>
      </c>
    </row>
    <row r="1599" spans="1:13" x14ac:dyDescent="0.45">
      <c r="A1599" t="s">
        <v>13</v>
      </c>
      <c r="B1599">
        <v>1712941</v>
      </c>
      <c r="C1599">
        <v>1714833</v>
      </c>
      <c r="E1599" t="s">
        <v>14</v>
      </c>
      <c r="F1599" t="s">
        <v>4451</v>
      </c>
      <c r="H1599">
        <v>0</v>
      </c>
      <c r="I1599" t="s">
        <v>17</v>
      </c>
      <c r="K1599" t="s">
        <v>4452</v>
      </c>
      <c r="L1599">
        <v>630</v>
      </c>
      <c r="M1599" t="s">
        <v>4453</v>
      </c>
    </row>
    <row r="1600" spans="1:13" x14ac:dyDescent="0.45">
      <c r="A1600" t="s">
        <v>13</v>
      </c>
      <c r="B1600">
        <v>1714847</v>
      </c>
      <c r="C1600">
        <v>1715107</v>
      </c>
      <c r="E1600" t="s">
        <v>14</v>
      </c>
      <c r="F1600" t="s">
        <v>3752</v>
      </c>
      <c r="H1600">
        <v>0</v>
      </c>
      <c r="I1600" t="s">
        <v>17</v>
      </c>
      <c r="K1600" t="s">
        <v>4454</v>
      </c>
      <c r="L1600">
        <v>86</v>
      </c>
      <c r="M1600" t="s">
        <v>4455</v>
      </c>
    </row>
    <row r="1601" spans="1:13" x14ac:dyDescent="0.45">
      <c r="A1601" t="s">
        <v>13</v>
      </c>
      <c r="B1601">
        <v>1715112</v>
      </c>
      <c r="C1601">
        <v>1715531</v>
      </c>
      <c r="E1601" t="s">
        <v>14</v>
      </c>
      <c r="F1601" t="s">
        <v>3755</v>
      </c>
      <c r="H1601">
        <v>0</v>
      </c>
      <c r="I1601" t="s">
        <v>17</v>
      </c>
      <c r="K1601" t="s">
        <v>4456</v>
      </c>
      <c r="L1601">
        <v>139</v>
      </c>
      <c r="M1601" t="s">
        <v>4457</v>
      </c>
    </row>
    <row r="1602" spans="1:13" x14ac:dyDescent="0.45">
      <c r="A1602" t="s">
        <v>13</v>
      </c>
      <c r="B1602">
        <v>1715532</v>
      </c>
      <c r="C1602">
        <v>1716581</v>
      </c>
      <c r="E1602" t="s">
        <v>14</v>
      </c>
      <c r="F1602" t="s">
        <v>3758</v>
      </c>
      <c r="H1602">
        <v>0</v>
      </c>
      <c r="I1602" t="s">
        <v>17</v>
      </c>
      <c r="K1602" t="s">
        <v>4458</v>
      </c>
      <c r="L1602">
        <v>349</v>
      </c>
      <c r="M1602" t="s">
        <v>4459</v>
      </c>
    </row>
    <row r="1603" spans="1:13" x14ac:dyDescent="0.45">
      <c r="A1603" t="s">
        <v>13</v>
      </c>
      <c r="B1603">
        <v>1716574</v>
      </c>
      <c r="C1603">
        <v>1717191</v>
      </c>
      <c r="E1603" t="s">
        <v>14</v>
      </c>
      <c r="F1603" t="s">
        <v>4460</v>
      </c>
      <c r="H1603">
        <v>0</v>
      </c>
      <c r="I1603" t="s">
        <v>17</v>
      </c>
      <c r="K1603" t="s">
        <v>4461</v>
      </c>
      <c r="L1603">
        <v>205</v>
      </c>
      <c r="M1603" t="s">
        <v>4462</v>
      </c>
    </row>
    <row r="1604" spans="1:13" x14ac:dyDescent="0.45">
      <c r="A1604" t="s">
        <v>13</v>
      </c>
      <c r="B1604">
        <v>1717203</v>
      </c>
      <c r="C1604">
        <v>1718228</v>
      </c>
      <c r="E1604" t="s">
        <v>14</v>
      </c>
      <c r="F1604" t="s">
        <v>3764</v>
      </c>
      <c r="H1604">
        <v>0</v>
      </c>
      <c r="I1604" t="s">
        <v>17</v>
      </c>
      <c r="K1604" t="s">
        <v>4463</v>
      </c>
      <c r="L1604">
        <v>341</v>
      </c>
      <c r="M1604" t="s">
        <v>4464</v>
      </c>
    </row>
    <row r="1605" spans="1:13" x14ac:dyDescent="0.45">
      <c r="A1605" t="s">
        <v>13</v>
      </c>
      <c r="B1605">
        <v>1718245</v>
      </c>
      <c r="C1605">
        <v>1719771</v>
      </c>
      <c r="E1605" t="s">
        <v>14</v>
      </c>
      <c r="F1605" t="s">
        <v>43</v>
      </c>
      <c r="H1605">
        <v>0</v>
      </c>
      <c r="I1605" t="s">
        <v>17</v>
      </c>
      <c r="K1605" t="s">
        <v>4465</v>
      </c>
      <c r="L1605">
        <v>508</v>
      </c>
      <c r="M1605" t="s">
        <v>4466</v>
      </c>
    </row>
    <row r="1606" spans="1:13" x14ac:dyDescent="0.45">
      <c r="A1606" t="s">
        <v>13</v>
      </c>
      <c r="B1606">
        <v>1719786</v>
      </c>
      <c r="C1606">
        <v>1720079</v>
      </c>
      <c r="E1606" t="s">
        <v>14</v>
      </c>
      <c r="F1606" t="s">
        <v>43</v>
      </c>
      <c r="H1606">
        <v>0</v>
      </c>
      <c r="I1606" t="s">
        <v>17</v>
      </c>
      <c r="K1606" t="s">
        <v>4467</v>
      </c>
      <c r="L1606">
        <v>97</v>
      </c>
      <c r="M1606" t="s">
        <v>4468</v>
      </c>
    </row>
    <row r="1607" spans="1:13" x14ac:dyDescent="0.45">
      <c r="A1607" t="s">
        <v>13</v>
      </c>
      <c r="B1607">
        <v>1720079</v>
      </c>
      <c r="C1607">
        <v>1720261</v>
      </c>
      <c r="E1607" t="s">
        <v>14</v>
      </c>
      <c r="F1607" t="s">
        <v>43</v>
      </c>
      <c r="H1607">
        <v>0</v>
      </c>
      <c r="I1607" t="s">
        <v>17</v>
      </c>
      <c r="K1607" t="s">
        <v>4469</v>
      </c>
      <c r="L1607">
        <v>60</v>
      </c>
      <c r="M1607" t="s">
        <v>4470</v>
      </c>
    </row>
    <row r="1608" spans="1:13" x14ac:dyDescent="0.45">
      <c r="A1608" t="s">
        <v>13</v>
      </c>
      <c r="B1608">
        <v>1720295</v>
      </c>
      <c r="C1608">
        <v>1720861</v>
      </c>
      <c r="E1608" t="s">
        <v>14</v>
      </c>
      <c r="F1608" t="s">
        <v>43</v>
      </c>
      <c r="H1608">
        <v>0</v>
      </c>
      <c r="I1608" t="s">
        <v>17</v>
      </c>
      <c r="K1608" t="s">
        <v>4471</v>
      </c>
      <c r="L1608">
        <v>188</v>
      </c>
      <c r="M1608" t="s">
        <v>4472</v>
      </c>
    </row>
    <row r="1609" spans="1:13" x14ac:dyDescent="0.45">
      <c r="A1609" t="s">
        <v>13</v>
      </c>
      <c r="B1609">
        <v>1720892</v>
      </c>
      <c r="C1609">
        <v>1721182</v>
      </c>
      <c r="E1609" t="s">
        <v>14</v>
      </c>
      <c r="F1609" t="s">
        <v>43</v>
      </c>
      <c r="H1609">
        <v>0</v>
      </c>
      <c r="I1609" t="s">
        <v>17</v>
      </c>
      <c r="K1609" t="s">
        <v>4473</v>
      </c>
      <c r="L1609">
        <v>96</v>
      </c>
      <c r="M1609" t="s">
        <v>4474</v>
      </c>
    </row>
    <row r="1610" spans="1:13" x14ac:dyDescent="0.45">
      <c r="A1610" t="s">
        <v>13</v>
      </c>
      <c r="B1610">
        <v>1721186</v>
      </c>
      <c r="C1610">
        <v>1721443</v>
      </c>
      <c r="E1610" t="s">
        <v>14</v>
      </c>
      <c r="F1610" t="s">
        <v>4475</v>
      </c>
      <c r="H1610">
        <v>0</v>
      </c>
      <c r="I1610" t="s">
        <v>17</v>
      </c>
      <c r="K1610" t="s">
        <v>4476</v>
      </c>
      <c r="L1610">
        <v>85</v>
      </c>
      <c r="M1610" t="s">
        <v>4477</v>
      </c>
    </row>
    <row r="1611" spans="1:13" x14ac:dyDescent="0.45">
      <c r="A1611" t="s">
        <v>13</v>
      </c>
      <c r="B1611">
        <v>1721704</v>
      </c>
      <c r="C1611">
        <v>1722567</v>
      </c>
      <c r="E1611" t="s">
        <v>14</v>
      </c>
      <c r="F1611" t="s">
        <v>4478</v>
      </c>
      <c r="H1611">
        <v>0</v>
      </c>
      <c r="I1611" t="s">
        <v>17</v>
      </c>
      <c r="K1611" t="s">
        <v>4479</v>
      </c>
      <c r="L1611">
        <v>287</v>
      </c>
      <c r="M1611" t="s">
        <v>4480</v>
      </c>
    </row>
    <row r="1612" spans="1:13" x14ac:dyDescent="0.45">
      <c r="A1612" t="s">
        <v>13</v>
      </c>
      <c r="B1612">
        <v>1722646</v>
      </c>
      <c r="C1612">
        <v>1723458</v>
      </c>
      <c r="E1612" t="s">
        <v>14</v>
      </c>
      <c r="F1612" t="s">
        <v>2331</v>
      </c>
      <c r="H1612">
        <v>0</v>
      </c>
      <c r="I1612" t="s">
        <v>17</v>
      </c>
      <c r="K1612" t="s">
        <v>4481</v>
      </c>
      <c r="L1612">
        <v>270</v>
      </c>
      <c r="M1612" t="s">
        <v>4482</v>
      </c>
    </row>
    <row r="1613" spans="1:13" x14ac:dyDescent="0.45">
      <c r="A1613" t="s">
        <v>13</v>
      </c>
      <c r="B1613">
        <v>1723552</v>
      </c>
      <c r="C1613">
        <v>1725951</v>
      </c>
      <c r="E1613" t="s">
        <v>14</v>
      </c>
      <c r="F1613" t="s">
        <v>4483</v>
      </c>
      <c r="H1613">
        <v>0</v>
      </c>
      <c r="I1613" t="s">
        <v>17</v>
      </c>
      <c r="K1613" t="s">
        <v>4484</v>
      </c>
      <c r="L1613">
        <v>799</v>
      </c>
      <c r="M1613" t="s">
        <v>4485</v>
      </c>
    </row>
    <row r="1614" spans="1:13" x14ac:dyDescent="0.45">
      <c r="A1614" t="s">
        <v>13</v>
      </c>
      <c r="B1614">
        <v>1725992</v>
      </c>
      <c r="C1614">
        <v>1726177</v>
      </c>
      <c r="E1614" t="s">
        <v>96</v>
      </c>
      <c r="F1614" t="s">
        <v>43</v>
      </c>
      <c r="H1614">
        <v>0</v>
      </c>
      <c r="I1614" t="s">
        <v>17</v>
      </c>
      <c r="K1614" t="s">
        <v>4486</v>
      </c>
      <c r="L1614">
        <v>61</v>
      </c>
      <c r="M1614" t="s">
        <v>4487</v>
      </c>
    </row>
    <row r="1615" spans="1:13" x14ac:dyDescent="0.45">
      <c r="A1615" t="s">
        <v>13</v>
      </c>
      <c r="B1615">
        <v>1726406</v>
      </c>
      <c r="C1615">
        <v>1726534</v>
      </c>
      <c r="E1615" t="s">
        <v>96</v>
      </c>
      <c r="F1615" t="s">
        <v>43</v>
      </c>
      <c r="H1615">
        <v>0</v>
      </c>
      <c r="I1615" t="s">
        <v>17</v>
      </c>
      <c r="K1615" t="s">
        <v>4488</v>
      </c>
      <c r="L1615">
        <v>42</v>
      </c>
      <c r="M1615" t="s">
        <v>4489</v>
      </c>
    </row>
    <row r="1616" spans="1:13" x14ac:dyDescent="0.45">
      <c r="A1616" t="s">
        <v>13</v>
      </c>
      <c r="B1616">
        <v>1726872</v>
      </c>
      <c r="C1616">
        <v>1727549</v>
      </c>
      <c r="E1616" t="s">
        <v>14</v>
      </c>
      <c r="F1616" t="s">
        <v>1786</v>
      </c>
      <c r="H1616">
        <v>0</v>
      </c>
      <c r="I1616" t="s">
        <v>17</v>
      </c>
      <c r="K1616" t="s">
        <v>4490</v>
      </c>
      <c r="L1616">
        <v>225</v>
      </c>
      <c r="M1616" t="s">
        <v>4491</v>
      </c>
    </row>
    <row r="1617" spans="1:13" x14ac:dyDescent="0.45">
      <c r="A1617" t="s">
        <v>13</v>
      </c>
      <c r="B1617">
        <v>1727723</v>
      </c>
      <c r="C1617">
        <v>1729759</v>
      </c>
      <c r="E1617" t="s">
        <v>14</v>
      </c>
      <c r="F1617" t="s">
        <v>4492</v>
      </c>
      <c r="H1617">
        <v>0</v>
      </c>
      <c r="I1617" t="s">
        <v>17</v>
      </c>
      <c r="K1617" t="s">
        <v>4493</v>
      </c>
      <c r="L1617">
        <v>678</v>
      </c>
      <c r="M1617" t="s">
        <v>4494</v>
      </c>
    </row>
    <row r="1618" spans="1:13" x14ac:dyDescent="0.45">
      <c r="A1618" t="s">
        <v>13</v>
      </c>
      <c r="B1618">
        <v>1729950</v>
      </c>
      <c r="C1618">
        <v>1730516</v>
      </c>
      <c r="E1618" t="s">
        <v>96</v>
      </c>
      <c r="F1618" t="s">
        <v>1485</v>
      </c>
      <c r="H1618">
        <v>0</v>
      </c>
      <c r="I1618" t="s">
        <v>17</v>
      </c>
      <c r="K1618" t="s">
        <v>4495</v>
      </c>
      <c r="L1618">
        <v>188</v>
      </c>
      <c r="M1618" t="s">
        <v>4496</v>
      </c>
    </row>
    <row r="1619" spans="1:13" x14ac:dyDescent="0.45">
      <c r="A1619" t="s">
        <v>13</v>
      </c>
      <c r="B1619">
        <v>1730800</v>
      </c>
      <c r="C1619">
        <v>1731336</v>
      </c>
      <c r="E1619" t="s">
        <v>14</v>
      </c>
      <c r="F1619" t="s">
        <v>1876</v>
      </c>
      <c r="H1619">
        <v>0</v>
      </c>
      <c r="I1619" t="s">
        <v>17</v>
      </c>
      <c r="K1619" t="s">
        <v>4497</v>
      </c>
      <c r="L1619">
        <v>178</v>
      </c>
      <c r="M1619" t="s">
        <v>4498</v>
      </c>
    </row>
    <row r="1620" spans="1:13" x14ac:dyDescent="0.45">
      <c r="A1620" t="s">
        <v>13</v>
      </c>
      <c r="B1620">
        <v>1731968</v>
      </c>
      <c r="C1620">
        <v>1732066</v>
      </c>
      <c r="E1620" t="s">
        <v>14</v>
      </c>
      <c r="F1620" t="s">
        <v>271</v>
      </c>
      <c r="H1620">
        <v>0</v>
      </c>
      <c r="I1620" t="s">
        <v>272</v>
      </c>
      <c r="M1620" t="s">
        <v>4499</v>
      </c>
    </row>
    <row r="1621" spans="1:13" x14ac:dyDescent="0.45">
      <c r="A1621" t="s">
        <v>13</v>
      </c>
      <c r="B1621">
        <v>1732068</v>
      </c>
      <c r="C1621">
        <v>1733185</v>
      </c>
      <c r="E1621" t="s">
        <v>14</v>
      </c>
      <c r="F1621" t="s">
        <v>271</v>
      </c>
      <c r="G1621" t="s">
        <v>1371</v>
      </c>
      <c r="H1621">
        <v>0</v>
      </c>
      <c r="I1621" t="s">
        <v>272</v>
      </c>
      <c r="M1621" t="s">
        <v>4500</v>
      </c>
    </row>
    <row r="1622" spans="1:13" x14ac:dyDescent="0.45">
      <c r="A1622" t="s">
        <v>13</v>
      </c>
      <c r="B1622">
        <v>1733304</v>
      </c>
      <c r="C1622">
        <v>1733711</v>
      </c>
      <c r="E1622" t="s">
        <v>14</v>
      </c>
      <c r="F1622" t="s">
        <v>271</v>
      </c>
      <c r="H1622">
        <v>0</v>
      </c>
      <c r="I1622" t="s">
        <v>272</v>
      </c>
      <c r="M1622" t="s">
        <v>4501</v>
      </c>
    </row>
    <row r="1623" spans="1:13" x14ac:dyDescent="0.45">
      <c r="A1623" t="s">
        <v>13</v>
      </c>
      <c r="B1623">
        <v>1734176</v>
      </c>
      <c r="C1623">
        <v>1735390</v>
      </c>
      <c r="E1623" t="s">
        <v>14</v>
      </c>
      <c r="F1623" t="s">
        <v>1432</v>
      </c>
      <c r="H1623">
        <v>0</v>
      </c>
      <c r="I1623" t="s">
        <v>17</v>
      </c>
      <c r="K1623" t="s">
        <v>4502</v>
      </c>
      <c r="L1623">
        <v>404</v>
      </c>
      <c r="M1623" t="s">
        <v>4503</v>
      </c>
    </row>
    <row r="1624" spans="1:13" x14ac:dyDescent="0.45">
      <c r="A1624" t="s">
        <v>13</v>
      </c>
      <c r="B1624">
        <v>1735810</v>
      </c>
      <c r="C1624">
        <v>1736331</v>
      </c>
      <c r="E1624" t="s">
        <v>96</v>
      </c>
      <c r="F1624" t="s">
        <v>1183</v>
      </c>
      <c r="H1624">
        <v>0</v>
      </c>
      <c r="I1624" t="s">
        <v>17</v>
      </c>
      <c r="K1624" t="s">
        <v>4504</v>
      </c>
      <c r="L1624">
        <v>173</v>
      </c>
      <c r="M1624" t="s">
        <v>4505</v>
      </c>
    </row>
    <row r="1625" spans="1:13" x14ac:dyDescent="0.45">
      <c r="A1625" t="s">
        <v>13</v>
      </c>
      <c r="B1625">
        <v>1736687</v>
      </c>
      <c r="C1625">
        <v>1737484</v>
      </c>
      <c r="E1625" t="s">
        <v>14</v>
      </c>
      <c r="F1625" t="s">
        <v>4506</v>
      </c>
      <c r="H1625">
        <v>0</v>
      </c>
      <c r="I1625" t="s">
        <v>17</v>
      </c>
      <c r="K1625" t="s">
        <v>4507</v>
      </c>
      <c r="L1625">
        <v>265</v>
      </c>
      <c r="M1625" t="s">
        <v>4508</v>
      </c>
    </row>
    <row r="1626" spans="1:13" x14ac:dyDescent="0.45">
      <c r="A1626" t="s">
        <v>13</v>
      </c>
      <c r="B1626">
        <v>1737594</v>
      </c>
      <c r="C1626">
        <v>1738184</v>
      </c>
      <c r="E1626" t="s">
        <v>14</v>
      </c>
      <c r="F1626" t="s">
        <v>4509</v>
      </c>
      <c r="H1626">
        <v>0</v>
      </c>
      <c r="I1626" t="s">
        <v>17</v>
      </c>
      <c r="K1626" t="s">
        <v>4510</v>
      </c>
      <c r="L1626">
        <v>196</v>
      </c>
      <c r="M1626" t="s">
        <v>4511</v>
      </c>
    </row>
    <row r="1627" spans="1:13" x14ac:dyDescent="0.45">
      <c r="A1627" t="s">
        <v>13</v>
      </c>
      <c r="B1627">
        <v>1738250</v>
      </c>
      <c r="C1627">
        <v>1739947</v>
      </c>
      <c r="E1627" t="s">
        <v>14</v>
      </c>
      <c r="F1627" t="s">
        <v>4512</v>
      </c>
      <c r="H1627">
        <v>0</v>
      </c>
      <c r="I1627" t="s">
        <v>17</v>
      </c>
      <c r="K1627" t="s">
        <v>4513</v>
      </c>
      <c r="L1627">
        <v>565</v>
      </c>
      <c r="M1627" t="s">
        <v>4514</v>
      </c>
    </row>
    <row r="1628" spans="1:13" x14ac:dyDescent="0.45">
      <c r="A1628" t="s">
        <v>13</v>
      </c>
      <c r="B1628">
        <v>1740161</v>
      </c>
      <c r="C1628">
        <v>1741000</v>
      </c>
      <c r="E1628" t="s">
        <v>14</v>
      </c>
      <c r="F1628" t="s">
        <v>4515</v>
      </c>
      <c r="H1628">
        <v>0</v>
      </c>
      <c r="I1628" t="s">
        <v>17</v>
      </c>
      <c r="K1628" t="s">
        <v>4516</v>
      </c>
      <c r="L1628">
        <v>279</v>
      </c>
      <c r="M1628" t="s">
        <v>4517</v>
      </c>
    </row>
    <row r="1629" spans="1:13" x14ac:dyDescent="0.45">
      <c r="A1629" t="s">
        <v>13</v>
      </c>
      <c r="B1629">
        <v>1741517</v>
      </c>
      <c r="C1629">
        <v>1743373</v>
      </c>
      <c r="E1629" t="s">
        <v>14</v>
      </c>
      <c r="F1629" t="s">
        <v>4518</v>
      </c>
      <c r="H1629">
        <v>0</v>
      </c>
      <c r="I1629" t="s">
        <v>17</v>
      </c>
      <c r="K1629" t="s">
        <v>4519</v>
      </c>
      <c r="L1629">
        <v>618</v>
      </c>
      <c r="M1629" t="s">
        <v>4520</v>
      </c>
    </row>
    <row r="1630" spans="1:13" x14ac:dyDescent="0.45">
      <c r="A1630" t="s">
        <v>13</v>
      </c>
      <c r="B1630">
        <v>1744082</v>
      </c>
      <c r="C1630">
        <v>1745299</v>
      </c>
      <c r="E1630" t="s">
        <v>14</v>
      </c>
      <c r="F1630" t="s">
        <v>3127</v>
      </c>
      <c r="H1630">
        <v>0</v>
      </c>
      <c r="I1630" t="s">
        <v>17</v>
      </c>
      <c r="K1630" t="s">
        <v>4521</v>
      </c>
      <c r="L1630">
        <v>405</v>
      </c>
      <c r="M1630" t="s">
        <v>4522</v>
      </c>
    </row>
    <row r="1631" spans="1:13" x14ac:dyDescent="0.45">
      <c r="A1631" t="s">
        <v>13</v>
      </c>
      <c r="B1631">
        <v>1745413</v>
      </c>
      <c r="C1631">
        <v>1745907</v>
      </c>
      <c r="E1631" t="s">
        <v>14</v>
      </c>
      <c r="F1631" t="s">
        <v>4523</v>
      </c>
      <c r="G1631" t="s">
        <v>4524</v>
      </c>
      <c r="H1631">
        <v>0</v>
      </c>
      <c r="I1631" t="s">
        <v>17</v>
      </c>
      <c r="K1631" t="s">
        <v>4525</v>
      </c>
      <c r="L1631">
        <v>164</v>
      </c>
      <c r="M1631" t="s">
        <v>4526</v>
      </c>
    </row>
    <row r="1632" spans="1:13" x14ac:dyDescent="0.45">
      <c r="A1632" t="s">
        <v>13</v>
      </c>
      <c r="B1632">
        <v>1746172</v>
      </c>
      <c r="C1632">
        <v>1747437</v>
      </c>
      <c r="E1632" t="s">
        <v>14</v>
      </c>
      <c r="F1632" t="s">
        <v>4527</v>
      </c>
      <c r="G1632" t="s">
        <v>4528</v>
      </c>
      <c r="H1632">
        <v>0</v>
      </c>
      <c r="I1632" t="s">
        <v>17</v>
      </c>
      <c r="K1632" t="s">
        <v>4529</v>
      </c>
      <c r="L1632">
        <v>421</v>
      </c>
      <c r="M1632" t="s">
        <v>4530</v>
      </c>
    </row>
    <row r="1633" spans="1:13" x14ac:dyDescent="0.45">
      <c r="A1633" t="s">
        <v>13</v>
      </c>
      <c r="B1633">
        <v>1747640</v>
      </c>
      <c r="C1633">
        <v>1748392</v>
      </c>
      <c r="E1633" t="s">
        <v>96</v>
      </c>
      <c r="F1633" t="s">
        <v>1876</v>
      </c>
      <c r="H1633">
        <v>0</v>
      </c>
      <c r="I1633" t="s">
        <v>17</v>
      </c>
      <c r="K1633" t="s">
        <v>4531</v>
      </c>
      <c r="L1633">
        <v>250</v>
      </c>
      <c r="M1633" t="s">
        <v>4532</v>
      </c>
    </row>
    <row r="1634" spans="1:13" x14ac:dyDescent="0.45">
      <c r="A1634" t="s">
        <v>13</v>
      </c>
      <c r="B1634">
        <v>1748510</v>
      </c>
      <c r="C1634">
        <v>1748779</v>
      </c>
      <c r="E1634" t="s">
        <v>96</v>
      </c>
      <c r="F1634" t="s">
        <v>4533</v>
      </c>
      <c r="H1634">
        <v>0</v>
      </c>
      <c r="I1634" t="s">
        <v>17</v>
      </c>
      <c r="K1634" t="s">
        <v>4534</v>
      </c>
      <c r="L1634">
        <v>89</v>
      </c>
      <c r="M1634" t="s">
        <v>4535</v>
      </c>
    </row>
    <row r="1635" spans="1:13" x14ac:dyDescent="0.45">
      <c r="A1635" t="s">
        <v>13</v>
      </c>
      <c r="B1635">
        <v>1749254</v>
      </c>
      <c r="C1635">
        <v>1750348</v>
      </c>
      <c r="E1635" t="s">
        <v>14</v>
      </c>
      <c r="F1635" t="s">
        <v>4536</v>
      </c>
      <c r="H1635">
        <v>0</v>
      </c>
      <c r="I1635" t="s">
        <v>17</v>
      </c>
      <c r="K1635" t="s">
        <v>4537</v>
      </c>
      <c r="L1635">
        <v>364</v>
      </c>
      <c r="M1635" t="s">
        <v>4538</v>
      </c>
    </row>
    <row r="1636" spans="1:13" x14ac:dyDescent="0.45">
      <c r="A1636" t="s">
        <v>13</v>
      </c>
      <c r="B1636">
        <v>1750350</v>
      </c>
      <c r="C1636">
        <v>1751300</v>
      </c>
      <c r="E1636" t="s">
        <v>14</v>
      </c>
      <c r="F1636" t="s">
        <v>4539</v>
      </c>
      <c r="H1636">
        <v>0</v>
      </c>
      <c r="I1636" t="s">
        <v>17</v>
      </c>
      <c r="K1636" t="s">
        <v>4540</v>
      </c>
      <c r="L1636">
        <v>316</v>
      </c>
      <c r="M1636" t="s">
        <v>4541</v>
      </c>
    </row>
    <row r="1637" spans="1:13" x14ac:dyDescent="0.45">
      <c r="A1637" t="s">
        <v>13</v>
      </c>
      <c r="B1637">
        <v>1751293</v>
      </c>
      <c r="C1637">
        <v>1752477</v>
      </c>
      <c r="E1637" t="s">
        <v>14</v>
      </c>
      <c r="F1637" t="s">
        <v>43</v>
      </c>
      <c r="H1637">
        <v>0</v>
      </c>
      <c r="I1637" t="s">
        <v>17</v>
      </c>
      <c r="K1637" t="s">
        <v>4542</v>
      </c>
      <c r="L1637">
        <v>394</v>
      </c>
      <c r="M1637" t="s">
        <v>4543</v>
      </c>
    </row>
    <row r="1638" spans="1:13" x14ac:dyDescent="0.45">
      <c r="A1638" t="s">
        <v>13</v>
      </c>
      <c r="B1638">
        <v>1752490</v>
      </c>
      <c r="C1638">
        <v>1753986</v>
      </c>
      <c r="E1638" t="s">
        <v>14</v>
      </c>
      <c r="F1638" t="s">
        <v>1164</v>
      </c>
      <c r="H1638">
        <v>0</v>
      </c>
      <c r="I1638" t="s">
        <v>17</v>
      </c>
      <c r="K1638" t="s">
        <v>4544</v>
      </c>
      <c r="L1638">
        <v>498</v>
      </c>
      <c r="M1638" t="s">
        <v>4545</v>
      </c>
    </row>
    <row r="1639" spans="1:13" x14ac:dyDescent="0.45">
      <c r="A1639" t="s">
        <v>13</v>
      </c>
      <c r="B1639">
        <v>1754009</v>
      </c>
      <c r="C1639">
        <v>1754959</v>
      </c>
      <c r="E1639" t="s">
        <v>14</v>
      </c>
      <c r="F1639" t="s">
        <v>1143</v>
      </c>
      <c r="H1639">
        <v>0</v>
      </c>
      <c r="I1639" t="s">
        <v>17</v>
      </c>
      <c r="K1639" t="s">
        <v>4546</v>
      </c>
      <c r="L1639">
        <v>316</v>
      </c>
      <c r="M1639" t="s">
        <v>4547</v>
      </c>
    </row>
    <row r="1640" spans="1:13" x14ac:dyDescent="0.45">
      <c r="A1640" t="s">
        <v>13</v>
      </c>
      <c r="B1640">
        <v>1754980</v>
      </c>
      <c r="C1640">
        <v>1755942</v>
      </c>
      <c r="E1640" t="s">
        <v>14</v>
      </c>
      <c r="F1640" t="s">
        <v>4548</v>
      </c>
      <c r="H1640">
        <v>0</v>
      </c>
      <c r="I1640" t="s">
        <v>17</v>
      </c>
      <c r="K1640" t="s">
        <v>4549</v>
      </c>
      <c r="L1640">
        <v>320</v>
      </c>
      <c r="M1640" t="s">
        <v>4550</v>
      </c>
    </row>
    <row r="1641" spans="1:13" x14ac:dyDescent="0.45">
      <c r="A1641" t="s">
        <v>13</v>
      </c>
      <c r="B1641">
        <v>1756314</v>
      </c>
      <c r="C1641">
        <v>1756946</v>
      </c>
      <c r="E1641" t="s">
        <v>14</v>
      </c>
      <c r="F1641" t="s">
        <v>3962</v>
      </c>
      <c r="H1641">
        <v>0</v>
      </c>
      <c r="I1641" t="s">
        <v>17</v>
      </c>
      <c r="K1641" t="s">
        <v>4551</v>
      </c>
      <c r="L1641">
        <v>210</v>
      </c>
      <c r="M1641" t="s">
        <v>4552</v>
      </c>
    </row>
    <row r="1642" spans="1:13" x14ac:dyDescent="0.45">
      <c r="A1642" t="s">
        <v>13</v>
      </c>
      <c r="B1642">
        <v>1757399</v>
      </c>
      <c r="C1642">
        <v>1757449</v>
      </c>
      <c r="E1642" t="s">
        <v>14</v>
      </c>
      <c r="F1642" t="s">
        <v>4553</v>
      </c>
      <c r="G1642" t="s">
        <v>4554</v>
      </c>
      <c r="H1642">
        <v>0</v>
      </c>
      <c r="I1642" t="s">
        <v>17</v>
      </c>
      <c r="K1642" t="s">
        <v>4555</v>
      </c>
      <c r="L1642">
        <v>16</v>
      </c>
      <c r="M1642" t="s">
        <v>4556</v>
      </c>
    </row>
    <row r="1643" spans="1:13" x14ac:dyDescent="0.45">
      <c r="A1643" t="s">
        <v>13</v>
      </c>
      <c r="B1643">
        <v>1757496</v>
      </c>
      <c r="C1643">
        <v>1759172</v>
      </c>
      <c r="E1643" t="s">
        <v>14</v>
      </c>
      <c r="F1643" t="s">
        <v>4557</v>
      </c>
      <c r="G1643" t="s">
        <v>4558</v>
      </c>
      <c r="H1643">
        <v>0</v>
      </c>
      <c r="I1643" t="s">
        <v>17</v>
      </c>
      <c r="K1643" t="s">
        <v>4559</v>
      </c>
      <c r="L1643">
        <v>558</v>
      </c>
      <c r="M1643" t="s">
        <v>4560</v>
      </c>
    </row>
    <row r="1644" spans="1:13" x14ac:dyDescent="0.45">
      <c r="A1644" t="s">
        <v>13</v>
      </c>
      <c r="B1644">
        <v>1759197</v>
      </c>
      <c r="C1644">
        <v>1761254</v>
      </c>
      <c r="E1644" t="s">
        <v>14</v>
      </c>
      <c r="F1644" t="s">
        <v>4561</v>
      </c>
      <c r="G1644" t="s">
        <v>4562</v>
      </c>
      <c r="H1644">
        <v>0</v>
      </c>
      <c r="I1644" t="s">
        <v>17</v>
      </c>
      <c r="K1644" t="s">
        <v>4563</v>
      </c>
      <c r="L1644">
        <v>685</v>
      </c>
      <c r="M1644" t="s">
        <v>4564</v>
      </c>
    </row>
    <row r="1645" spans="1:13" x14ac:dyDescent="0.45">
      <c r="A1645" t="s">
        <v>13</v>
      </c>
      <c r="B1645">
        <v>1761273</v>
      </c>
      <c r="C1645">
        <v>1761899</v>
      </c>
      <c r="E1645" t="s">
        <v>14</v>
      </c>
      <c r="F1645" t="s">
        <v>4565</v>
      </c>
      <c r="H1645">
        <v>0</v>
      </c>
      <c r="I1645" t="s">
        <v>17</v>
      </c>
      <c r="K1645" t="s">
        <v>4566</v>
      </c>
      <c r="L1645">
        <v>208</v>
      </c>
      <c r="M1645" t="s">
        <v>4567</v>
      </c>
    </row>
    <row r="1646" spans="1:13" x14ac:dyDescent="0.45">
      <c r="A1646" t="s">
        <v>13</v>
      </c>
      <c r="B1646">
        <v>1762136</v>
      </c>
      <c r="C1646">
        <v>1763044</v>
      </c>
      <c r="E1646" t="s">
        <v>14</v>
      </c>
      <c r="F1646" t="s">
        <v>4568</v>
      </c>
      <c r="G1646" t="s">
        <v>4569</v>
      </c>
      <c r="H1646">
        <v>0</v>
      </c>
      <c r="I1646" t="s">
        <v>17</v>
      </c>
      <c r="K1646" t="s">
        <v>4570</v>
      </c>
      <c r="L1646">
        <v>302</v>
      </c>
      <c r="M1646" t="s">
        <v>4571</v>
      </c>
    </row>
    <row r="1647" spans="1:13" x14ac:dyDescent="0.45">
      <c r="A1647" t="s">
        <v>13</v>
      </c>
      <c r="B1647">
        <v>1763071</v>
      </c>
      <c r="C1647">
        <v>1763661</v>
      </c>
      <c r="E1647" t="s">
        <v>14</v>
      </c>
      <c r="F1647" t="s">
        <v>4572</v>
      </c>
      <c r="G1647" t="s">
        <v>4573</v>
      </c>
      <c r="H1647">
        <v>0</v>
      </c>
      <c r="I1647" t="s">
        <v>17</v>
      </c>
      <c r="K1647" t="s">
        <v>4574</v>
      </c>
      <c r="L1647">
        <v>196</v>
      </c>
      <c r="M1647" t="s">
        <v>4575</v>
      </c>
    </row>
    <row r="1648" spans="1:13" x14ac:dyDescent="0.45">
      <c r="A1648" t="s">
        <v>13</v>
      </c>
      <c r="B1648">
        <v>1763821</v>
      </c>
      <c r="C1648">
        <v>1764009</v>
      </c>
      <c r="E1648" t="s">
        <v>14</v>
      </c>
      <c r="F1648" t="s">
        <v>4576</v>
      </c>
      <c r="H1648">
        <v>0</v>
      </c>
      <c r="I1648" t="s">
        <v>17</v>
      </c>
      <c r="K1648" t="s">
        <v>4577</v>
      </c>
      <c r="L1648">
        <v>62</v>
      </c>
      <c r="M1648" t="s">
        <v>4578</v>
      </c>
    </row>
    <row r="1649" spans="1:13" x14ac:dyDescent="0.45">
      <c r="A1649" t="s">
        <v>13</v>
      </c>
      <c r="B1649">
        <v>1764063</v>
      </c>
      <c r="C1649">
        <v>1764932</v>
      </c>
      <c r="E1649" t="s">
        <v>96</v>
      </c>
      <c r="F1649" t="s">
        <v>4579</v>
      </c>
      <c r="H1649">
        <v>0</v>
      </c>
      <c r="I1649" t="s">
        <v>17</v>
      </c>
      <c r="K1649" t="s">
        <v>4580</v>
      </c>
      <c r="L1649">
        <v>289</v>
      </c>
      <c r="M1649" t="s">
        <v>4581</v>
      </c>
    </row>
    <row r="1650" spans="1:13" x14ac:dyDescent="0.45">
      <c r="A1650" t="s">
        <v>13</v>
      </c>
      <c r="B1650">
        <v>1765129</v>
      </c>
      <c r="C1650">
        <v>1766373</v>
      </c>
      <c r="E1650" t="s">
        <v>96</v>
      </c>
      <c r="F1650" t="s">
        <v>4582</v>
      </c>
      <c r="H1650">
        <v>0</v>
      </c>
      <c r="I1650" t="s">
        <v>17</v>
      </c>
      <c r="K1650" t="s">
        <v>4583</v>
      </c>
      <c r="L1650">
        <v>414</v>
      </c>
      <c r="M1650" t="s">
        <v>4584</v>
      </c>
    </row>
    <row r="1651" spans="1:13" x14ac:dyDescent="0.45">
      <c r="A1651" t="s">
        <v>13</v>
      </c>
      <c r="B1651">
        <v>1766664</v>
      </c>
      <c r="C1651">
        <v>1766975</v>
      </c>
      <c r="E1651" t="s">
        <v>14</v>
      </c>
      <c r="F1651" t="s">
        <v>2485</v>
      </c>
      <c r="H1651">
        <v>0</v>
      </c>
      <c r="I1651" t="s">
        <v>17</v>
      </c>
      <c r="K1651" t="s">
        <v>4585</v>
      </c>
      <c r="L1651">
        <v>103</v>
      </c>
      <c r="M1651" t="s">
        <v>4586</v>
      </c>
    </row>
    <row r="1652" spans="1:13" x14ac:dyDescent="0.45">
      <c r="A1652" t="s">
        <v>13</v>
      </c>
      <c r="B1652">
        <v>1767260</v>
      </c>
      <c r="C1652">
        <v>1768054</v>
      </c>
      <c r="E1652" t="s">
        <v>14</v>
      </c>
      <c r="F1652" t="s">
        <v>4587</v>
      </c>
      <c r="G1652" t="s">
        <v>4588</v>
      </c>
      <c r="H1652">
        <v>0</v>
      </c>
      <c r="I1652" t="s">
        <v>17</v>
      </c>
      <c r="K1652" t="s">
        <v>4589</v>
      </c>
      <c r="L1652">
        <v>264</v>
      </c>
      <c r="M1652" t="s">
        <v>4590</v>
      </c>
    </row>
    <row r="1653" spans="1:13" x14ac:dyDescent="0.45">
      <c r="A1653" t="s">
        <v>13</v>
      </c>
      <c r="B1653">
        <v>1768078</v>
      </c>
      <c r="C1653">
        <v>1768866</v>
      </c>
      <c r="E1653" t="s">
        <v>14</v>
      </c>
      <c r="F1653" t="s">
        <v>4591</v>
      </c>
      <c r="G1653" t="s">
        <v>4592</v>
      </c>
      <c r="H1653">
        <v>0</v>
      </c>
      <c r="I1653" t="s">
        <v>17</v>
      </c>
      <c r="K1653" t="s">
        <v>4593</v>
      </c>
      <c r="L1653">
        <v>262</v>
      </c>
      <c r="M1653" t="s">
        <v>4594</v>
      </c>
    </row>
    <row r="1654" spans="1:13" x14ac:dyDescent="0.45">
      <c r="A1654" t="s">
        <v>13</v>
      </c>
      <c r="B1654">
        <v>1768889</v>
      </c>
      <c r="C1654">
        <v>1769521</v>
      </c>
      <c r="E1654" t="s">
        <v>14</v>
      </c>
      <c r="F1654" t="s">
        <v>4595</v>
      </c>
      <c r="G1654" t="s">
        <v>4596</v>
      </c>
      <c r="H1654">
        <v>0</v>
      </c>
      <c r="I1654" t="s">
        <v>17</v>
      </c>
      <c r="K1654" t="s">
        <v>4597</v>
      </c>
      <c r="L1654">
        <v>210</v>
      </c>
      <c r="M1654" t="s">
        <v>4598</v>
      </c>
    </row>
    <row r="1655" spans="1:13" x14ac:dyDescent="0.45">
      <c r="A1655" t="s">
        <v>13</v>
      </c>
      <c r="B1655">
        <v>1769660</v>
      </c>
      <c r="C1655">
        <v>1769962</v>
      </c>
      <c r="E1655" t="s">
        <v>14</v>
      </c>
      <c r="F1655" t="s">
        <v>230</v>
      </c>
      <c r="H1655">
        <v>0</v>
      </c>
      <c r="I1655" t="s">
        <v>17</v>
      </c>
      <c r="K1655" t="s">
        <v>4599</v>
      </c>
      <c r="L1655">
        <v>100</v>
      </c>
      <c r="M1655" t="s">
        <v>4600</v>
      </c>
    </row>
    <row r="1656" spans="1:13" x14ac:dyDescent="0.45">
      <c r="A1656" t="s">
        <v>13</v>
      </c>
      <c r="B1656">
        <v>1770028</v>
      </c>
      <c r="C1656">
        <v>1770777</v>
      </c>
      <c r="E1656" t="s">
        <v>96</v>
      </c>
      <c r="F1656" t="s">
        <v>1143</v>
      </c>
      <c r="H1656">
        <v>0</v>
      </c>
      <c r="I1656" t="s">
        <v>17</v>
      </c>
      <c r="K1656" t="s">
        <v>4601</v>
      </c>
      <c r="L1656">
        <v>249</v>
      </c>
      <c r="M1656" t="s">
        <v>4602</v>
      </c>
    </row>
    <row r="1657" spans="1:13" x14ac:dyDescent="0.45">
      <c r="A1657" t="s">
        <v>13</v>
      </c>
      <c r="B1657">
        <v>1770771</v>
      </c>
      <c r="C1657">
        <v>1771733</v>
      </c>
      <c r="E1657" t="s">
        <v>96</v>
      </c>
      <c r="F1657" t="s">
        <v>1140</v>
      </c>
      <c r="H1657">
        <v>0</v>
      </c>
      <c r="I1657" t="s">
        <v>17</v>
      </c>
      <c r="K1657" t="s">
        <v>4603</v>
      </c>
      <c r="L1657">
        <v>320</v>
      </c>
      <c r="M1657" t="s">
        <v>4604</v>
      </c>
    </row>
    <row r="1658" spans="1:13" x14ac:dyDescent="0.45">
      <c r="A1658" t="s">
        <v>13</v>
      </c>
      <c r="B1658">
        <v>1771737</v>
      </c>
      <c r="C1658">
        <v>1772195</v>
      </c>
      <c r="E1658" t="s">
        <v>96</v>
      </c>
      <c r="F1658" t="s">
        <v>1427</v>
      </c>
      <c r="H1658">
        <v>0</v>
      </c>
      <c r="I1658" t="s">
        <v>17</v>
      </c>
      <c r="K1658" t="s">
        <v>4605</v>
      </c>
      <c r="L1658">
        <v>152</v>
      </c>
      <c r="M1658" t="s">
        <v>4606</v>
      </c>
    </row>
    <row r="1659" spans="1:13" x14ac:dyDescent="0.45">
      <c r="A1659" t="s">
        <v>13</v>
      </c>
      <c r="B1659">
        <v>1772551</v>
      </c>
      <c r="C1659">
        <v>1772907</v>
      </c>
      <c r="E1659" t="s">
        <v>14</v>
      </c>
      <c r="F1659" t="s">
        <v>1909</v>
      </c>
      <c r="H1659">
        <v>0</v>
      </c>
      <c r="I1659" t="s">
        <v>17</v>
      </c>
      <c r="K1659" t="s">
        <v>4607</v>
      </c>
      <c r="L1659">
        <v>118</v>
      </c>
      <c r="M1659" t="s">
        <v>4608</v>
      </c>
    </row>
    <row r="1660" spans="1:13" x14ac:dyDescent="0.45">
      <c r="A1660" t="s">
        <v>13</v>
      </c>
      <c r="B1660">
        <v>1772979</v>
      </c>
      <c r="C1660">
        <v>1773695</v>
      </c>
      <c r="E1660" t="s">
        <v>14</v>
      </c>
      <c r="F1660" t="s">
        <v>1140</v>
      </c>
      <c r="H1660">
        <v>0</v>
      </c>
      <c r="I1660" t="s">
        <v>17</v>
      </c>
      <c r="K1660" t="s">
        <v>4609</v>
      </c>
      <c r="L1660">
        <v>238</v>
      </c>
      <c r="M1660" t="s">
        <v>4610</v>
      </c>
    </row>
    <row r="1661" spans="1:13" x14ac:dyDescent="0.45">
      <c r="A1661" t="s">
        <v>13</v>
      </c>
      <c r="B1661">
        <v>1773688</v>
      </c>
      <c r="C1661">
        <v>1774512</v>
      </c>
      <c r="E1661" t="s">
        <v>14</v>
      </c>
      <c r="F1661" t="s">
        <v>43</v>
      </c>
      <c r="H1661">
        <v>0</v>
      </c>
      <c r="I1661" t="s">
        <v>17</v>
      </c>
      <c r="K1661" t="s">
        <v>4611</v>
      </c>
      <c r="L1661">
        <v>274</v>
      </c>
      <c r="M1661" t="s">
        <v>4612</v>
      </c>
    </row>
    <row r="1662" spans="1:13" x14ac:dyDescent="0.45">
      <c r="A1662" t="s">
        <v>13</v>
      </c>
      <c r="B1662">
        <v>1774524</v>
      </c>
      <c r="C1662">
        <v>1775723</v>
      </c>
      <c r="E1662" t="s">
        <v>14</v>
      </c>
      <c r="F1662" t="s">
        <v>43</v>
      </c>
      <c r="H1662">
        <v>0</v>
      </c>
      <c r="I1662" t="s">
        <v>17</v>
      </c>
      <c r="K1662" t="s">
        <v>4613</v>
      </c>
      <c r="L1662">
        <v>399</v>
      </c>
      <c r="M1662" t="s">
        <v>4614</v>
      </c>
    </row>
    <row r="1663" spans="1:13" x14ac:dyDescent="0.45">
      <c r="A1663" t="s">
        <v>13</v>
      </c>
      <c r="B1663">
        <v>1775732</v>
      </c>
      <c r="C1663">
        <v>1776544</v>
      </c>
      <c r="E1663" t="s">
        <v>14</v>
      </c>
      <c r="F1663" t="s">
        <v>43</v>
      </c>
      <c r="H1663">
        <v>0</v>
      </c>
      <c r="I1663" t="s">
        <v>17</v>
      </c>
      <c r="K1663" t="s">
        <v>4615</v>
      </c>
      <c r="L1663">
        <v>270</v>
      </c>
      <c r="M1663" t="s">
        <v>4616</v>
      </c>
    </row>
    <row r="1664" spans="1:13" x14ac:dyDescent="0.45">
      <c r="A1664" t="s">
        <v>13</v>
      </c>
      <c r="B1664">
        <v>1776555</v>
      </c>
      <c r="C1664">
        <v>1777823</v>
      </c>
      <c r="E1664" t="s">
        <v>14</v>
      </c>
      <c r="F1664" t="s">
        <v>43</v>
      </c>
      <c r="H1664">
        <v>0</v>
      </c>
      <c r="I1664" t="s">
        <v>17</v>
      </c>
      <c r="K1664" t="s">
        <v>4617</v>
      </c>
      <c r="L1664">
        <v>422</v>
      </c>
      <c r="M1664" t="s">
        <v>4618</v>
      </c>
    </row>
    <row r="1665" spans="1:13" x14ac:dyDescent="0.45">
      <c r="A1665" t="s">
        <v>13</v>
      </c>
      <c r="B1665">
        <v>1778189</v>
      </c>
      <c r="C1665">
        <v>1779370</v>
      </c>
      <c r="E1665" t="s">
        <v>14</v>
      </c>
      <c r="F1665" t="s">
        <v>4619</v>
      </c>
      <c r="H1665">
        <v>0</v>
      </c>
      <c r="I1665" t="s">
        <v>17</v>
      </c>
      <c r="K1665" t="s">
        <v>4620</v>
      </c>
      <c r="L1665">
        <v>393</v>
      </c>
      <c r="M1665" t="s">
        <v>4621</v>
      </c>
    </row>
    <row r="1666" spans="1:13" x14ac:dyDescent="0.45">
      <c r="A1666" t="s">
        <v>13</v>
      </c>
      <c r="B1666">
        <v>1779512</v>
      </c>
      <c r="C1666">
        <v>1780429</v>
      </c>
      <c r="E1666" t="s">
        <v>96</v>
      </c>
      <c r="F1666" t="s">
        <v>4622</v>
      </c>
      <c r="H1666">
        <v>0</v>
      </c>
      <c r="I1666" t="s">
        <v>17</v>
      </c>
      <c r="K1666" t="s">
        <v>4623</v>
      </c>
      <c r="L1666">
        <v>305</v>
      </c>
      <c r="M1666" t="s">
        <v>4624</v>
      </c>
    </row>
    <row r="1667" spans="1:13" x14ac:dyDescent="0.45">
      <c r="A1667" t="s">
        <v>13</v>
      </c>
      <c r="B1667">
        <v>1780682</v>
      </c>
      <c r="C1667">
        <v>1781476</v>
      </c>
      <c r="E1667" t="s">
        <v>14</v>
      </c>
      <c r="F1667" t="s">
        <v>1140</v>
      </c>
      <c r="H1667">
        <v>0</v>
      </c>
      <c r="I1667" t="s">
        <v>17</v>
      </c>
      <c r="K1667" t="s">
        <v>4625</v>
      </c>
      <c r="L1667">
        <v>264</v>
      </c>
      <c r="M1667" t="s">
        <v>4626</v>
      </c>
    </row>
    <row r="1668" spans="1:13" x14ac:dyDescent="0.45">
      <c r="A1668" t="s">
        <v>13</v>
      </c>
      <c r="B1668">
        <v>1781477</v>
      </c>
      <c r="C1668">
        <v>1783537</v>
      </c>
      <c r="E1668" t="s">
        <v>14</v>
      </c>
      <c r="F1668" t="s">
        <v>4627</v>
      </c>
      <c r="H1668">
        <v>0</v>
      </c>
      <c r="I1668" t="s">
        <v>17</v>
      </c>
      <c r="K1668" t="s">
        <v>4628</v>
      </c>
      <c r="L1668">
        <v>686</v>
      </c>
      <c r="M1668" t="s">
        <v>4629</v>
      </c>
    </row>
    <row r="1669" spans="1:13" x14ac:dyDescent="0.45">
      <c r="A1669" t="s">
        <v>13</v>
      </c>
      <c r="B1669">
        <v>1784219</v>
      </c>
      <c r="C1669">
        <v>1785763</v>
      </c>
      <c r="E1669" t="s">
        <v>14</v>
      </c>
      <c r="F1669" t="s">
        <v>4630</v>
      </c>
      <c r="H1669">
        <v>0</v>
      </c>
      <c r="I1669" t="s">
        <v>17</v>
      </c>
      <c r="K1669" t="s">
        <v>4631</v>
      </c>
      <c r="L1669">
        <v>514</v>
      </c>
      <c r="M1669" t="s">
        <v>4632</v>
      </c>
    </row>
    <row r="1670" spans="1:13" x14ac:dyDescent="0.45">
      <c r="A1670" t="s">
        <v>13</v>
      </c>
      <c r="B1670">
        <v>1785939</v>
      </c>
      <c r="C1670">
        <v>1786307</v>
      </c>
      <c r="E1670" t="s">
        <v>14</v>
      </c>
      <c r="F1670" t="s">
        <v>1909</v>
      </c>
      <c r="H1670">
        <v>0</v>
      </c>
      <c r="I1670" t="s">
        <v>17</v>
      </c>
      <c r="K1670" t="s">
        <v>4633</v>
      </c>
      <c r="L1670">
        <v>122</v>
      </c>
      <c r="M1670" t="s">
        <v>4634</v>
      </c>
    </row>
    <row r="1671" spans="1:13" x14ac:dyDescent="0.45">
      <c r="A1671" t="s">
        <v>13</v>
      </c>
      <c r="B1671">
        <v>1786309</v>
      </c>
      <c r="C1671">
        <v>1787034</v>
      </c>
      <c r="E1671" t="s">
        <v>14</v>
      </c>
      <c r="F1671" t="s">
        <v>1140</v>
      </c>
      <c r="H1671">
        <v>0</v>
      </c>
      <c r="I1671" t="s">
        <v>17</v>
      </c>
      <c r="K1671" t="s">
        <v>4635</v>
      </c>
      <c r="L1671">
        <v>241</v>
      </c>
      <c r="M1671" t="s">
        <v>4636</v>
      </c>
    </row>
    <row r="1672" spans="1:13" x14ac:dyDescent="0.45">
      <c r="A1672" t="s">
        <v>13</v>
      </c>
      <c r="B1672">
        <v>1787028</v>
      </c>
      <c r="C1672">
        <v>1787792</v>
      </c>
      <c r="E1672" t="s">
        <v>14</v>
      </c>
      <c r="F1672" t="s">
        <v>1143</v>
      </c>
      <c r="H1672">
        <v>0</v>
      </c>
      <c r="I1672" t="s">
        <v>17</v>
      </c>
      <c r="K1672" t="s">
        <v>4637</v>
      </c>
      <c r="L1672">
        <v>254</v>
      </c>
      <c r="M1672" t="s">
        <v>4638</v>
      </c>
    </row>
    <row r="1673" spans="1:13" x14ac:dyDescent="0.45">
      <c r="A1673" t="s">
        <v>13</v>
      </c>
      <c r="B1673">
        <v>1788014</v>
      </c>
      <c r="C1673">
        <v>1789264</v>
      </c>
      <c r="E1673" t="s">
        <v>14</v>
      </c>
      <c r="F1673" t="s">
        <v>205</v>
      </c>
      <c r="H1673">
        <v>0</v>
      </c>
      <c r="I1673" t="s">
        <v>17</v>
      </c>
      <c r="K1673" t="s">
        <v>4639</v>
      </c>
      <c r="L1673">
        <v>416</v>
      </c>
      <c r="M1673" t="s">
        <v>4640</v>
      </c>
    </row>
    <row r="1674" spans="1:13" x14ac:dyDescent="0.45">
      <c r="A1674" t="s">
        <v>13</v>
      </c>
      <c r="B1674">
        <v>1789455</v>
      </c>
      <c r="C1674">
        <v>1790339</v>
      </c>
      <c r="E1674" t="s">
        <v>14</v>
      </c>
      <c r="F1674" t="s">
        <v>66</v>
      </c>
      <c r="H1674">
        <v>0</v>
      </c>
      <c r="I1674" t="s">
        <v>17</v>
      </c>
      <c r="K1674" t="s">
        <v>4641</v>
      </c>
      <c r="L1674">
        <v>294</v>
      </c>
      <c r="M1674" t="s">
        <v>4642</v>
      </c>
    </row>
    <row r="1675" spans="1:13" x14ac:dyDescent="0.45">
      <c r="A1675" t="s">
        <v>13</v>
      </c>
      <c r="B1675">
        <v>1790701</v>
      </c>
      <c r="C1675">
        <v>1791318</v>
      </c>
      <c r="E1675" t="s">
        <v>14</v>
      </c>
      <c r="F1675" t="s">
        <v>4643</v>
      </c>
      <c r="H1675">
        <v>0</v>
      </c>
      <c r="I1675" t="s">
        <v>17</v>
      </c>
      <c r="K1675" t="s">
        <v>4644</v>
      </c>
      <c r="L1675">
        <v>205</v>
      </c>
      <c r="M1675" t="s">
        <v>4645</v>
      </c>
    </row>
    <row r="1676" spans="1:13" x14ac:dyDescent="0.45">
      <c r="A1676" t="s">
        <v>13</v>
      </c>
      <c r="B1676">
        <v>1791426</v>
      </c>
      <c r="C1676">
        <v>1793957</v>
      </c>
      <c r="E1676" t="s">
        <v>14</v>
      </c>
      <c r="F1676" t="s">
        <v>4646</v>
      </c>
      <c r="H1676">
        <v>0</v>
      </c>
      <c r="I1676" t="s">
        <v>17</v>
      </c>
      <c r="K1676" t="s">
        <v>4647</v>
      </c>
      <c r="L1676">
        <v>843</v>
      </c>
      <c r="M1676" t="s">
        <v>4648</v>
      </c>
    </row>
    <row r="1677" spans="1:13" x14ac:dyDescent="0.45">
      <c r="A1677" t="s">
        <v>13</v>
      </c>
      <c r="B1677">
        <v>1794391</v>
      </c>
      <c r="C1677">
        <v>1795092</v>
      </c>
      <c r="E1677" t="s">
        <v>14</v>
      </c>
      <c r="F1677" t="s">
        <v>4649</v>
      </c>
      <c r="G1677" t="s">
        <v>4650</v>
      </c>
      <c r="H1677">
        <v>0</v>
      </c>
      <c r="I1677" t="s">
        <v>17</v>
      </c>
      <c r="K1677" t="s">
        <v>4651</v>
      </c>
      <c r="L1677">
        <v>233</v>
      </c>
      <c r="M1677" t="s">
        <v>4652</v>
      </c>
    </row>
    <row r="1678" spans="1:13" x14ac:dyDescent="0.45">
      <c r="A1678" t="s">
        <v>13</v>
      </c>
      <c r="B1678">
        <v>1795142</v>
      </c>
      <c r="C1678">
        <v>1796224</v>
      </c>
      <c r="E1678" t="s">
        <v>14</v>
      </c>
      <c r="F1678" t="s">
        <v>4653</v>
      </c>
      <c r="G1678" t="s">
        <v>4654</v>
      </c>
      <c r="H1678">
        <v>0</v>
      </c>
      <c r="I1678" t="s">
        <v>17</v>
      </c>
      <c r="K1678" t="s">
        <v>4655</v>
      </c>
      <c r="L1678">
        <v>360</v>
      </c>
      <c r="M1678" t="s">
        <v>4656</v>
      </c>
    </row>
    <row r="1679" spans="1:13" x14ac:dyDescent="0.45">
      <c r="A1679" t="s">
        <v>13</v>
      </c>
      <c r="B1679">
        <v>1796485</v>
      </c>
      <c r="C1679">
        <v>1797585</v>
      </c>
      <c r="E1679" t="s">
        <v>14</v>
      </c>
      <c r="F1679" t="s">
        <v>4657</v>
      </c>
      <c r="G1679" t="s">
        <v>4658</v>
      </c>
      <c r="H1679">
        <v>0</v>
      </c>
      <c r="I1679" t="s">
        <v>17</v>
      </c>
      <c r="K1679" t="s">
        <v>4659</v>
      </c>
      <c r="L1679">
        <v>366</v>
      </c>
      <c r="M1679" t="s">
        <v>4660</v>
      </c>
    </row>
    <row r="1680" spans="1:13" x14ac:dyDescent="0.45">
      <c r="A1680" t="s">
        <v>13</v>
      </c>
      <c r="B1680">
        <v>1797582</v>
      </c>
      <c r="C1680">
        <v>1798388</v>
      </c>
      <c r="E1680" t="s">
        <v>14</v>
      </c>
      <c r="F1680" t="s">
        <v>3861</v>
      </c>
      <c r="H1680">
        <v>0</v>
      </c>
      <c r="I1680" t="s">
        <v>17</v>
      </c>
      <c r="K1680" t="s">
        <v>4661</v>
      </c>
      <c r="L1680">
        <v>268</v>
      </c>
      <c r="M1680" t="s">
        <v>4662</v>
      </c>
    </row>
    <row r="1681" spans="1:13" x14ac:dyDescent="0.45">
      <c r="A1681" t="s">
        <v>13</v>
      </c>
      <c r="B1681">
        <v>1798406</v>
      </c>
      <c r="C1681">
        <v>1800544</v>
      </c>
      <c r="E1681" t="s">
        <v>14</v>
      </c>
      <c r="F1681" t="s">
        <v>4663</v>
      </c>
      <c r="G1681" t="s">
        <v>4664</v>
      </c>
      <c r="H1681">
        <v>0</v>
      </c>
      <c r="I1681" t="s">
        <v>17</v>
      </c>
      <c r="K1681" t="s">
        <v>4665</v>
      </c>
      <c r="L1681">
        <v>712</v>
      </c>
      <c r="M1681" t="s">
        <v>4666</v>
      </c>
    </row>
    <row r="1682" spans="1:13" x14ac:dyDescent="0.45">
      <c r="A1682" t="s">
        <v>13</v>
      </c>
      <c r="B1682">
        <v>1800858</v>
      </c>
      <c r="C1682">
        <v>1801478</v>
      </c>
      <c r="E1682" t="s">
        <v>14</v>
      </c>
      <c r="F1682" t="s">
        <v>4667</v>
      </c>
      <c r="H1682">
        <v>0</v>
      </c>
      <c r="I1682" t="s">
        <v>17</v>
      </c>
      <c r="K1682" t="s">
        <v>4668</v>
      </c>
      <c r="L1682">
        <v>206</v>
      </c>
      <c r="M1682" t="s">
        <v>4669</v>
      </c>
    </row>
    <row r="1683" spans="1:13" x14ac:dyDescent="0.45">
      <c r="A1683" t="s">
        <v>13</v>
      </c>
      <c r="B1683">
        <v>1801644</v>
      </c>
      <c r="C1683">
        <v>1802180</v>
      </c>
      <c r="E1683" t="s">
        <v>96</v>
      </c>
      <c r="F1683" t="s">
        <v>3512</v>
      </c>
      <c r="H1683">
        <v>0</v>
      </c>
      <c r="I1683" t="s">
        <v>17</v>
      </c>
      <c r="K1683" t="s">
        <v>4670</v>
      </c>
      <c r="L1683">
        <v>178</v>
      </c>
      <c r="M1683" t="s">
        <v>4671</v>
      </c>
    </row>
    <row r="1684" spans="1:13" x14ac:dyDescent="0.45">
      <c r="A1684" t="s">
        <v>13</v>
      </c>
      <c r="B1684">
        <v>1802293</v>
      </c>
      <c r="C1684">
        <v>1802997</v>
      </c>
      <c r="E1684" t="s">
        <v>96</v>
      </c>
      <c r="F1684" t="s">
        <v>4672</v>
      </c>
      <c r="H1684">
        <v>0</v>
      </c>
      <c r="I1684" t="s">
        <v>17</v>
      </c>
      <c r="K1684" t="s">
        <v>4673</v>
      </c>
      <c r="L1684">
        <v>234</v>
      </c>
      <c r="M1684" t="s">
        <v>4674</v>
      </c>
    </row>
    <row r="1685" spans="1:13" x14ac:dyDescent="0.45">
      <c r="A1685" t="s">
        <v>13</v>
      </c>
      <c r="B1685">
        <v>1803170</v>
      </c>
      <c r="C1685">
        <v>1805044</v>
      </c>
      <c r="E1685" t="s">
        <v>14</v>
      </c>
      <c r="F1685" t="s">
        <v>1320</v>
      </c>
      <c r="G1685" t="s">
        <v>1321</v>
      </c>
      <c r="H1685">
        <v>0</v>
      </c>
      <c r="I1685" t="s">
        <v>17</v>
      </c>
      <c r="K1685" t="s">
        <v>4675</v>
      </c>
      <c r="L1685">
        <v>624</v>
      </c>
      <c r="M1685" t="s">
        <v>4676</v>
      </c>
    </row>
    <row r="1686" spans="1:13" x14ac:dyDescent="0.45">
      <c r="A1686" t="s">
        <v>13</v>
      </c>
      <c r="B1686">
        <v>1805136</v>
      </c>
      <c r="C1686">
        <v>1806572</v>
      </c>
      <c r="E1686" t="s">
        <v>96</v>
      </c>
      <c r="F1686" t="s">
        <v>4677</v>
      </c>
      <c r="H1686">
        <v>0</v>
      </c>
      <c r="I1686" t="s">
        <v>17</v>
      </c>
      <c r="K1686" t="s">
        <v>4678</v>
      </c>
      <c r="L1686">
        <v>478</v>
      </c>
      <c r="M1686" t="s">
        <v>4679</v>
      </c>
    </row>
    <row r="1687" spans="1:13" x14ac:dyDescent="0.45">
      <c r="A1687" t="s">
        <v>13</v>
      </c>
      <c r="B1687">
        <v>1806901</v>
      </c>
      <c r="C1687">
        <v>1807479</v>
      </c>
      <c r="E1687" t="s">
        <v>14</v>
      </c>
      <c r="F1687" t="s">
        <v>4680</v>
      </c>
      <c r="H1687">
        <v>0</v>
      </c>
      <c r="I1687" t="s">
        <v>17</v>
      </c>
      <c r="K1687" t="s">
        <v>4681</v>
      </c>
      <c r="L1687">
        <v>192</v>
      </c>
      <c r="M1687" t="s">
        <v>4682</v>
      </c>
    </row>
    <row r="1688" spans="1:13" x14ac:dyDescent="0.45">
      <c r="A1688" t="s">
        <v>13</v>
      </c>
      <c r="B1688">
        <v>1807518</v>
      </c>
      <c r="C1688">
        <v>1808096</v>
      </c>
      <c r="E1688" t="s">
        <v>14</v>
      </c>
      <c r="F1688" t="s">
        <v>4680</v>
      </c>
      <c r="H1688">
        <v>0</v>
      </c>
      <c r="I1688" t="s">
        <v>17</v>
      </c>
      <c r="K1688" t="s">
        <v>4683</v>
      </c>
      <c r="L1688">
        <v>192</v>
      </c>
      <c r="M1688" t="s">
        <v>4684</v>
      </c>
    </row>
    <row r="1689" spans="1:13" x14ac:dyDescent="0.45">
      <c r="A1689" t="s">
        <v>13</v>
      </c>
      <c r="B1689">
        <v>1808182</v>
      </c>
      <c r="C1689">
        <v>1808811</v>
      </c>
      <c r="E1689" t="s">
        <v>14</v>
      </c>
      <c r="F1689" t="s">
        <v>4680</v>
      </c>
      <c r="H1689">
        <v>0</v>
      </c>
      <c r="I1689" t="s">
        <v>17</v>
      </c>
      <c r="K1689" t="s">
        <v>4685</v>
      </c>
      <c r="L1689">
        <v>209</v>
      </c>
      <c r="M1689" t="s">
        <v>4686</v>
      </c>
    </row>
    <row r="1690" spans="1:13" x14ac:dyDescent="0.45">
      <c r="A1690" t="s">
        <v>13</v>
      </c>
      <c r="B1690">
        <v>1808801</v>
      </c>
      <c r="C1690">
        <v>1811560</v>
      </c>
      <c r="E1690" t="s">
        <v>14</v>
      </c>
      <c r="F1690" t="s">
        <v>4687</v>
      </c>
      <c r="H1690">
        <v>0</v>
      </c>
      <c r="I1690" t="s">
        <v>17</v>
      </c>
      <c r="K1690" t="s">
        <v>4688</v>
      </c>
      <c r="L1690">
        <v>919</v>
      </c>
      <c r="M1690" t="s">
        <v>4689</v>
      </c>
    </row>
    <row r="1691" spans="1:13" x14ac:dyDescent="0.45">
      <c r="A1691" t="s">
        <v>13</v>
      </c>
      <c r="B1691">
        <v>1811647</v>
      </c>
      <c r="C1691">
        <v>1813209</v>
      </c>
      <c r="E1691" t="s">
        <v>14</v>
      </c>
      <c r="F1691" t="s">
        <v>4690</v>
      </c>
      <c r="H1691">
        <v>0</v>
      </c>
      <c r="I1691" t="s">
        <v>17</v>
      </c>
      <c r="K1691" t="s">
        <v>4691</v>
      </c>
      <c r="L1691">
        <v>520</v>
      </c>
      <c r="M1691" t="s">
        <v>4692</v>
      </c>
    </row>
    <row r="1692" spans="1:13" x14ac:dyDescent="0.45">
      <c r="A1692" t="s">
        <v>13</v>
      </c>
      <c r="B1692">
        <v>1813210</v>
      </c>
      <c r="C1692">
        <v>1814346</v>
      </c>
      <c r="E1692" t="s">
        <v>14</v>
      </c>
      <c r="F1692" t="s">
        <v>4693</v>
      </c>
      <c r="H1692">
        <v>0</v>
      </c>
      <c r="I1692" t="s">
        <v>17</v>
      </c>
      <c r="K1692" t="s">
        <v>4694</v>
      </c>
      <c r="L1692">
        <v>378</v>
      </c>
      <c r="M1692" t="s">
        <v>4695</v>
      </c>
    </row>
    <row r="1693" spans="1:13" x14ac:dyDescent="0.45">
      <c r="A1693" t="s">
        <v>13</v>
      </c>
      <c r="B1693">
        <v>1814410</v>
      </c>
      <c r="C1693">
        <v>1815486</v>
      </c>
      <c r="E1693" t="s">
        <v>14</v>
      </c>
      <c r="F1693" t="s">
        <v>4696</v>
      </c>
      <c r="H1693">
        <v>0</v>
      </c>
      <c r="I1693" t="s">
        <v>17</v>
      </c>
      <c r="K1693" t="s">
        <v>4697</v>
      </c>
      <c r="L1693">
        <v>358</v>
      </c>
      <c r="M1693" t="s">
        <v>4698</v>
      </c>
    </row>
    <row r="1694" spans="1:13" x14ac:dyDescent="0.45">
      <c r="A1694" t="s">
        <v>13</v>
      </c>
      <c r="B1694">
        <v>1815464</v>
      </c>
      <c r="C1694">
        <v>1816702</v>
      </c>
      <c r="E1694" t="s">
        <v>14</v>
      </c>
      <c r="F1694" t="s">
        <v>4699</v>
      </c>
      <c r="H1694">
        <v>0</v>
      </c>
      <c r="I1694" t="s">
        <v>17</v>
      </c>
      <c r="K1694" t="s">
        <v>4700</v>
      </c>
      <c r="L1694">
        <v>412</v>
      </c>
      <c r="M1694" t="s">
        <v>4701</v>
      </c>
    </row>
    <row r="1695" spans="1:13" x14ac:dyDescent="0.45">
      <c r="A1695" t="s">
        <v>13</v>
      </c>
      <c r="B1695">
        <v>1816756</v>
      </c>
      <c r="C1695">
        <v>1817844</v>
      </c>
      <c r="E1695" t="s">
        <v>14</v>
      </c>
      <c r="F1695" t="s">
        <v>4702</v>
      </c>
      <c r="H1695">
        <v>0</v>
      </c>
      <c r="I1695" t="s">
        <v>17</v>
      </c>
      <c r="K1695" t="s">
        <v>4703</v>
      </c>
      <c r="L1695">
        <v>362</v>
      </c>
      <c r="M1695" t="s">
        <v>4704</v>
      </c>
    </row>
    <row r="1696" spans="1:13" x14ac:dyDescent="0.45">
      <c r="A1696" t="s">
        <v>13</v>
      </c>
      <c r="B1696">
        <v>1817872</v>
      </c>
      <c r="C1696">
        <v>1818663</v>
      </c>
      <c r="E1696" t="s">
        <v>14</v>
      </c>
      <c r="F1696" t="s">
        <v>854</v>
      </c>
      <c r="H1696">
        <v>0</v>
      </c>
      <c r="I1696" t="s">
        <v>17</v>
      </c>
      <c r="K1696" t="s">
        <v>4705</v>
      </c>
      <c r="L1696">
        <v>263</v>
      </c>
      <c r="M1696" t="s">
        <v>4706</v>
      </c>
    </row>
    <row r="1697" spans="1:13" x14ac:dyDescent="0.45">
      <c r="A1697" t="s">
        <v>13</v>
      </c>
      <c r="B1697">
        <v>1818778</v>
      </c>
      <c r="C1697">
        <v>1819332</v>
      </c>
      <c r="E1697" t="s">
        <v>96</v>
      </c>
      <c r="F1697" t="s">
        <v>4707</v>
      </c>
      <c r="H1697">
        <v>0</v>
      </c>
      <c r="I1697" t="s">
        <v>17</v>
      </c>
      <c r="K1697" t="s">
        <v>4708</v>
      </c>
      <c r="L1697">
        <v>184</v>
      </c>
      <c r="M1697" t="s">
        <v>4709</v>
      </c>
    </row>
    <row r="1698" spans="1:13" x14ac:dyDescent="0.45">
      <c r="A1698" t="s">
        <v>13</v>
      </c>
      <c r="B1698">
        <v>1819527</v>
      </c>
      <c r="C1698">
        <v>1820729</v>
      </c>
      <c r="E1698" t="s">
        <v>14</v>
      </c>
      <c r="F1698" t="s">
        <v>3813</v>
      </c>
      <c r="H1698">
        <v>0</v>
      </c>
      <c r="I1698" t="s">
        <v>17</v>
      </c>
      <c r="K1698" t="s">
        <v>4710</v>
      </c>
      <c r="L1698">
        <v>400</v>
      </c>
      <c r="M1698" t="s">
        <v>4711</v>
      </c>
    </row>
    <row r="1699" spans="1:13" x14ac:dyDescent="0.45">
      <c r="A1699" t="s">
        <v>13</v>
      </c>
      <c r="B1699">
        <v>1820786</v>
      </c>
      <c r="C1699">
        <v>1821766</v>
      </c>
      <c r="E1699" t="s">
        <v>14</v>
      </c>
      <c r="F1699" t="s">
        <v>4712</v>
      </c>
      <c r="H1699">
        <v>0</v>
      </c>
      <c r="I1699" t="s">
        <v>17</v>
      </c>
      <c r="K1699" t="s">
        <v>4713</v>
      </c>
      <c r="L1699">
        <v>326</v>
      </c>
      <c r="M1699" t="s">
        <v>4714</v>
      </c>
    </row>
    <row r="1700" spans="1:13" x14ac:dyDescent="0.45">
      <c r="A1700" t="s">
        <v>13</v>
      </c>
      <c r="B1700">
        <v>1822013</v>
      </c>
      <c r="C1700">
        <v>1822966</v>
      </c>
      <c r="E1700" t="s">
        <v>14</v>
      </c>
      <c r="F1700" t="s">
        <v>1143</v>
      </c>
      <c r="H1700">
        <v>0</v>
      </c>
      <c r="I1700" t="s">
        <v>17</v>
      </c>
      <c r="K1700" t="s">
        <v>4715</v>
      </c>
      <c r="L1700">
        <v>317</v>
      </c>
      <c r="M1700" t="s">
        <v>4716</v>
      </c>
    </row>
    <row r="1701" spans="1:13" x14ac:dyDescent="0.45">
      <c r="A1701" t="s">
        <v>13</v>
      </c>
      <c r="B1701">
        <v>1822956</v>
      </c>
      <c r="C1701">
        <v>1823912</v>
      </c>
      <c r="E1701" t="s">
        <v>14</v>
      </c>
      <c r="F1701" t="s">
        <v>4717</v>
      </c>
      <c r="H1701">
        <v>0</v>
      </c>
      <c r="I1701" t="s">
        <v>17</v>
      </c>
      <c r="K1701" t="s">
        <v>4718</v>
      </c>
      <c r="L1701">
        <v>318</v>
      </c>
      <c r="M1701" t="s">
        <v>4719</v>
      </c>
    </row>
    <row r="1702" spans="1:13" x14ac:dyDescent="0.45">
      <c r="A1702" t="s">
        <v>13</v>
      </c>
      <c r="B1702">
        <v>1823909</v>
      </c>
      <c r="C1702">
        <v>1824664</v>
      </c>
      <c r="E1702" t="s">
        <v>14</v>
      </c>
      <c r="F1702" t="s">
        <v>1140</v>
      </c>
      <c r="H1702">
        <v>0</v>
      </c>
      <c r="I1702" t="s">
        <v>17</v>
      </c>
      <c r="K1702" t="s">
        <v>4720</v>
      </c>
      <c r="L1702">
        <v>251</v>
      </c>
      <c r="M1702" t="s">
        <v>4721</v>
      </c>
    </row>
    <row r="1703" spans="1:13" x14ac:dyDescent="0.45">
      <c r="A1703" t="s">
        <v>13</v>
      </c>
      <c r="B1703">
        <v>1824756</v>
      </c>
      <c r="C1703">
        <v>1825721</v>
      </c>
      <c r="E1703" t="s">
        <v>14</v>
      </c>
      <c r="F1703" t="s">
        <v>4722</v>
      </c>
      <c r="H1703">
        <v>0</v>
      </c>
      <c r="I1703" t="s">
        <v>17</v>
      </c>
      <c r="K1703" t="s">
        <v>4723</v>
      </c>
      <c r="L1703">
        <v>321</v>
      </c>
      <c r="M1703" t="s">
        <v>4724</v>
      </c>
    </row>
    <row r="1704" spans="1:13" x14ac:dyDescent="0.45">
      <c r="A1704" t="s">
        <v>13</v>
      </c>
      <c r="B1704">
        <v>1826202</v>
      </c>
      <c r="C1704">
        <v>1828061</v>
      </c>
      <c r="E1704" t="s">
        <v>14</v>
      </c>
      <c r="F1704" t="s">
        <v>4630</v>
      </c>
      <c r="H1704">
        <v>0</v>
      </c>
      <c r="I1704" t="s">
        <v>17</v>
      </c>
      <c r="K1704" t="s">
        <v>4725</v>
      </c>
      <c r="L1704">
        <v>619</v>
      </c>
      <c r="M1704" t="s">
        <v>4726</v>
      </c>
    </row>
    <row r="1705" spans="1:13" x14ac:dyDescent="0.45">
      <c r="A1705" t="s">
        <v>13</v>
      </c>
      <c r="B1705">
        <v>1828353</v>
      </c>
      <c r="C1705">
        <v>1828952</v>
      </c>
      <c r="E1705" t="s">
        <v>96</v>
      </c>
      <c r="F1705" t="s">
        <v>4680</v>
      </c>
      <c r="H1705">
        <v>0</v>
      </c>
      <c r="I1705" t="s">
        <v>17</v>
      </c>
      <c r="K1705" t="s">
        <v>4727</v>
      </c>
      <c r="L1705">
        <v>199</v>
      </c>
      <c r="M1705" t="s">
        <v>4728</v>
      </c>
    </row>
    <row r="1706" spans="1:13" x14ac:dyDescent="0.45">
      <c r="A1706" t="s">
        <v>13</v>
      </c>
      <c r="B1706">
        <v>1829055</v>
      </c>
      <c r="C1706">
        <v>1829852</v>
      </c>
      <c r="E1706" t="s">
        <v>96</v>
      </c>
      <c r="F1706" t="s">
        <v>4105</v>
      </c>
      <c r="H1706">
        <v>0</v>
      </c>
      <c r="I1706" t="s">
        <v>17</v>
      </c>
      <c r="K1706" t="s">
        <v>4729</v>
      </c>
      <c r="L1706">
        <v>265</v>
      </c>
      <c r="M1706" t="s">
        <v>4730</v>
      </c>
    </row>
    <row r="1707" spans="1:13" x14ac:dyDescent="0.45">
      <c r="A1707" t="s">
        <v>13</v>
      </c>
      <c r="B1707">
        <v>1830162</v>
      </c>
      <c r="C1707">
        <v>1831148</v>
      </c>
      <c r="E1707" t="s">
        <v>96</v>
      </c>
      <c r="F1707" t="s">
        <v>4731</v>
      </c>
      <c r="H1707">
        <v>0</v>
      </c>
      <c r="I1707" t="s">
        <v>17</v>
      </c>
      <c r="K1707" t="s">
        <v>4732</v>
      </c>
      <c r="L1707">
        <v>328</v>
      </c>
      <c r="M1707" t="s">
        <v>4733</v>
      </c>
    </row>
    <row r="1708" spans="1:13" x14ac:dyDescent="0.45">
      <c r="A1708" t="s">
        <v>13</v>
      </c>
      <c r="B1708">
        <v>1831632</v>
      </c>
      <c r="C1708">
        <v>1833362</v>
      </c>
      <c r="E1708" t="s">
        <v>14</v>
      </c>
      <c r="F1708" t="s">
        <v>4734</v>
      </c>
      <c r="H1708">
        <v>0</v>
      </c>
      <c r="I1708" t="s">
        <v>17</v>
      </c>
      <c r="K1708" t="s">
        <v>4735</v>
      </c>
      <c r="L1708">
        <v>576</v>
      </c>
      <c r="M1708" t="s">
        <v>4736</v>
      </c>
    </row>
    <row r="1709" spans="1:13" x14ac:dyDescent="0.45">
      <c r="A1709" t="s">
        <v>13</v>
      </c>
      <c r="B1709">
        <v>1833472</v>
      </c>
      <c r="C1709">
        <v>1833552</v>
      </c>
      <c r="E1709" t="s">
        <v>14</v>
      </c>
      <c r="F1709" t="s">
        <v>105</v>
      </c>
      <c r="H1709">
        <v>0</v>
      </c>
      <c r="I1709" t="s">
        <v>77</v>
      </c>
      <c r="M1709" t="s">
        <v>4737</v>
      </c>
    </row>
    <row r="1710" spans="1:13" x14ac:dyDescent="0.45">
      <c r="A1710" t="s">
        <v>13</v>
      </c>
      <c r="B1710">
        <v>1834763</v>
      </c>
      <c r="C1710">
        <v>1837237</v>
      </c>
      <c r="E1710" t="s">
        <v>14</v>
      </c>
      <c r="F1710" t="s">
        <v>4738</v>
      </c>
      <c r="G1710" t="s">
        <v>4739</v>
      </c>
      <c r="H1710">
        <v>0</v>
      </c>
      <c r="I1710" t="s">
        <v>17</v>
      </c>
      <c r="K1710" t="s">
        <v>4740</v>
      </c>
      <c r="L1710">
        <v>824</v>
      </c>
      <c r="M1710" t="s">
        <v>4741</v>
      </c>
    </row>
    <row r="1711" spans="1:13" x14ac:dyDescent="0.45">
      <c r="A1711" t="s">
        <v>13</v>
      </c>
      <c r="B1711">
        <v>1837237</v>
      </c>
      <c r="C1711">
        <v>1838694</v>
      </c>
      <c r="E1711" t="s">
        <v>14</v>
      </c>
      <c r="F1711" t="s">
        <v>4742</v>
      </c>
      <c r="G1711" t="s">
        <v>4743</v>
      </c>
      <c r="H1711">
        <v>0</v>
      </c>
      <c r="I1711" t="s">
        <v>17</v>
      </c>
      <c r="K1711" t="s">
        <v>4744</v>
      </c>
      <c r="L1711">
        <v>485</v>
      </c>
      <c r="M1711" t="s">
        <v>4745</v>
      </c>
    </row>
    <row r="1712" spans="1:13" x14ac:dyDescent="0.45">
      <c r="A1712" t="s">
        <v>13</v>
      </c>
      <c r="B1712">
        <v>1839117</v>
      </c>
      <c r="C1712">
        <v>1841474</v>
      </c>
      <c r="E1712" t="s">
        <v>14</v>
      </c>
      <c r="F1712" t="s">
        <v>4746</v>
      </c>
      <c r="H1712">
        <v>0</v>
      </c>
      <c r="I1712" t="s">
        <v>17</v>
      </c>
      <c r="K1712" t="s">
        <v>4747</v>
      </c>
      <c r="L1712">
        <v>785</v>
      </c>
      <c r="M1712" t="s">
        <v>4748</v>
      </c>
    </row>
    <row r="1713" spans="1:13" x14ac:dyDescent="0.45">
      <c r="A1713" t="s">
        <v>13</v>
      </c>
      <c r="B1713">
        <v>1841560</v>
      </c>
      <c r="C1713">
        <v>1841877</v>
      </c>
      <c r="E1713" t="s">
        <v>96</v>
      </c>
      <c r="F1713" t="s">
        <v>4749</v>
      </c>
      <c r="H1713">
        <v>0</v>
      </c>
      <c r="I1713" t="s">
        <v>17</v>
      </c>
      <c r="K1713" t="s">
        <v>4750</v>
      </c>
      <c r="L1713">
        <v>105</v>
      </c>
      <c r="M1713" t="s">
        <v>4751</v>
      </c>
    </row>
    <row r="1714" spans="1:13" x14ac:dyDescent="0.45">
      <c r="A1714" t="s">
        <v>13</v>
      </c>
      <c r="B1714">
        <v>1842216</v>
      </c>
      <c r="C1714">
        <v>1842971</v>
      </c>
      <c r="E1714" t="s">
        <v>14</v>
      </c>
      <c r="F1714" t="s">
        <v>4752</v>
      </c>
      <c r="H1714">
        <v>0</v>
      </c>
      <c r="I1714" t="s">
        <v>17</v>
      </c>
      <c r="K1714" t="s">
        <v>4753</v>
      </c>
      <c r="L1714">
        <v>251</v>
      </c>
      <c r="M1714" t="s">
        <v>4754</v>
      </c>
    </row>
    <row r="1715" spans="1:13" x14ac:dyDescent="0.45">
      <c r="A1715" t="s">
        <v>13</v>
      </c>
      <c r="B1715">
        <v>1843610</v>
      </c>
      <c r="C1715">
        <v>1844881</v>
      </c>
      <c r="E1715" t="s">
        <v>96</v>
      </c>
      <c r="F1715" t="s">
        <v>4755</v>
      </c>
      <c r="H1715">
        <v>0</v>
      </c>
      <c r="I1715" t="s">
        <v>17</v>
      </c>
      <c r="K1715" t="s">
        <v>4756</v>
      </c>
      <c r="L1715">
        <v>423</v>
      </c>
      <c r="M1715" t="s">
        <v>4757</v>
      </c>
    </row>
    <row r="1716" spans="1:13" x14ac:dyDescent="0.45">
      <c r="A1716" t="s">
        <v>13</v>
      </c>
      <c r="B1716">
        <v>1845093</v>
      </c>
      <c r="C1716">
        <v>1845332</v>
      </c>
      <c r="E1716" t="s">
        <v>14</v>
      </c>
      <c r="F1716" t="s">
        <v>43</v>
      </c>
      <c r="H1716">
        <v>0</v>
      </c>
      <c r="I1716" t="s">
        <v>17</v>
      </c>
      <c r="K1716" t="s">
        <v>4758</v>
      </c>
      <c r="L1716">
        <v>79</v>
      </c>
      <c r="M1716" t="s">
        <v>4759</v>
      </c>
    </row>
    <row r="1717" spans="1:13" x14ac:dyDescent="0.45">
      <c r="A1717" t="s">
        <v>13</v>
      </c>
      <c r="B1717">
        <v>1846891</v>
      </c>
      <c r="C1717">
        <v>1847178</v>
      </c>
      <c r="E1717" t="s">
        <v>14</v>
      </c>
      <c r="F1717" t="s">
        <v>43</v>
      </c>
      <c r="H1717">
        <v>0</v>
      </c>
      <c r="I1717" t="s">
        <v>17</v>
      </c>
      <c r="K1717" t="s">
        <v>4760</v>
      </c>
      <c r="L1717">
        <v>95</v>
      </c>
      <c r="M1717" t="s">
        <v>4761</v>
      </c>
    </row>
    <row r="1718" spans="1:13" x14ac:dyDescent="0.45">
      <c r="A1718" t="s">
        <v>13</v>
      </c>
      <c r="B1718">
        <v>1847716</v>
      </c>
      <c r="C1718">
        <v>1848267</v>
      </c>
      <c r="E1718" t="s">
        <v>96</v>
      </c>
      <c r="F1718" t="s">
        <v>1134</v>
      </c>
      <c r="H1718">
        <v>0</v>
      </c>
      <c r="I1718" t="s">
        <v>17</v>
      </c>
      <c r="K1718" t="s">
        <v>4762</v>
      </c>
      <c r="L1718">
        <v>183</v>
      </c>
      <c r="M1718" t="s">
        <v>4763</v>
      </c>
    </row>
    <row r="1719" spans="1:13" x14ac:dyDescent="0.45">
      <c r="A1719" t="s">
        <v>13</v>
      </c>
      <c r="B1719">
        <v>1848458</v>
      </c>
      <c r="C1719">
        <v>1849420</v>
      </c>
      <c r="E1719" t="s">
        <v>14</v>
      </c>
      <c r="F1719" t="s">
        <v>4764</v>
      </c>
      <c r="H1719">
        <v>0</v>
      </c>
      <c r="I1719" t="s">
        <v>17</v>
      </c>
      <c r="K1719" t="s">
        <v>4765</v>
      </c>
      <c r="L1719">
        <v>320</v>
      </c>
      <c r="M1719" t="s">
        <v>4766</v>
      </c>
    </row>
    <row r="1720" spans="1:13" x14ac:dyDescent="0.45">
      <c r="A1720" t="s">
        <v>13</v>
      </c>
      <c r="B1720">
        <v>1849715</v>
      </c>
      <c r="C1720">
        <v>1851559</v>
      </c>
      <c r="E1720" t="s">
        <v>14</v>
      </c>
      <c r="F1720" t="s">
        <v>3847</v>
      </c>
      <c r="H1720">
        <v>0</v>
      </c>
      <c r="I1720" t="s">
        <v>17</v>
      </c>
      <c r="K1720" t="s">
        <v>4767</v>
      </c>
      <c r="L1720">
        <v>614</v>
      </c>
      <c r="M1720" t="s">
        <v>4768</v>
      </c>
    </row>
    <row r="1721" spans="1:13" x14ac:dyDescent="0.45">
      <c r="A1721" t="s">
        <v>13</v>
      </c>
      <c r="B1721">
        <v>1851881</v>
      </c>
      <c r="C1721">
        <v>1852465</v>
      </c>
      <c r="E1721" t="s">
        <v>14</v>
      </c>
      <c r="F1721" t="s">
        <v>2554</v>
      </c>
      <c r="H1721">
        <v>0</v>
      </c>
      <c r="I1721" t="s">
        <v>17</v>
      </c>
      <c r="K1721" t="s">
        <v>4769</v>
      </c>
      <c r="L1721">
        <v>194</v>
      </c>
      <c r="M1721" t="s">
        <v>4770</v>
      </c>
    </row>
    <row r="1722" spans="1:13" x14ac:dyDescent="0.45">
      <c r="A1722" t="s">
        <v>13</v>
      </c>
      <c r="B1722">
        <v>1853566</v>
      </c>
      <c r="C1722">
        <v>1853742</v>
      </c>
      <c r="E1722" t="s">
        <v>96</v>
      </c>
      <c r="F1722" t="s">
        <v>43</v>
      </c>
      <c r="H1722">
        <v>0</v>
      </c>
      <c r="I1722" t="s">
        <v>17</v>
      </c>
      <c r="K1722" t="s">
        <v>4771</v>
      </c>
      <c r="L1722">
        <v>58</v>
      </c>
      <c r="M1722" t="s">
        <v>4772</v>
      </c>
    </row>
    <row r="1723" spans="1:13" x14ac:dyDescent="0.45">
      <c r="A1723" t="s">
        <v>13</v>
      </c>
      <c r="B1723">
        <v>1854317</v>
      </c>
      <c r="C1723">
        <v>1855339</v>
      </c>
      <c r="E1723" t="s">
        <v>14</v>
      </c>
      <c r="F1723" t="s">
        <v>604</v>
      </c>
      <c r="H1723">
        <v>0</v>
      </c>
      <c r="I1723" t="s">
        <v>17</v>
      </c>
      <c r="K1723" t="s">
        <v>4773</v>
      </c>
      <c r="L1723">
        <v>340</v>
      </c>
      <c r="M1723" t="s">
        <v>4774</v>
      </c>
    </row>
    <row r="1724" spans="1:13" x14ac:dyDescent="0.45">
      <c r="A1724" t="s">
        <v>13</v>
      </c>
      <c r="B1724">
        <v>1855353</v>
      </c>
      <c r="C1724">
        <v>1856240</v>
      </c>
      <c r="E1724" t="s">
        <v>14</v>
      </c>
      <c r="F1724" t="s">
        <v>1140</v>
      </c>
      <c r="H1724">
        <v>0</v>
      </c>
      <c r="I1724" t="s">
        <v>17</v>
      </c>
      <c r="K1724" t="s">
        <v>4775</v>
      </c>
      <c r="L1724">
        <v>295</v>
      </c>
      <c r="M1724" t="s">
        <v>4776</v>
      </c>
    </row>
    <row r="1725" spans="1:13" x14ac:dyDescent="0.45">
      <c r="A1725" t="s">
        <v>13</v>
      </c>
      <c r="B1725">
        <v>1856246</v>
      </c>
      <c r="C1725">
        <v>1857019</v>
      </c>
      <c r="E1725" t="s">
        <v>14</v>
      </c>
      <c r="F1725" t="s">
        <v>1143</v>
      </c>
      <c r="H1725">
        <v>0</v>
      </c>
      <c r="I1725" t="s">
        <v>17</v>
      </c>
      <c r="K1725" t="s">
        <v>4777</v>
      </c>
      <c r="L1725">
        <v>257</v>
      </c>
      <c r="M1725" t="s">
        <v>4778</v>
      </c>
    </row>
    <row r="1726" spans="1:13" x14ac:dyDescent="0.45">
      <c r="A1726" t="s">
        <v>13</v>
      </c>
      <c r="B1726">
        <v>1857131</v>
      </c>
      <c r="C1726">
        <v>1857856</v>
      </c>
      <c r="E1726" t="s">
        <v>14</v>
      </c>
      <c r="F1726" t="s">
        <v>1222</v>
      </c>
      <c r="H1726">
        <v>0</v>
      </c>
      <c r="I1726" t="s">
        <v>17</v>
      </c>
      <c r="K1726" t="s">
        <v>4779</v>
      </c>
      <c r="L1726">
        <v>241</v>
      </c>
      <c r="M1726" t="s">
        <v>4780</v>
      </c>
    </row>
    <row r="1727" spans="1:13" x14ac:dyDescent="0.45">
      <c r="A1727" t="s">
        <v>13</v>
      </c>
      <c r="B1727">
        <v>1857860</v>
      </c>
      <c r="C1727">
        <v>1859263</v>
      </c>
      <c r="E1727" t="s">
        <v>14</v>
      </c>
      <c r="F1727" t="s">
        <v>4781</v>
      </c>
      <c r="H1727">
        <v>0</v>
      </c>
      <c r="I1727" t="s">
        <v>17</v>
      </c>
      <c r="K1727" t="s">
        <v>4782</v>
      </c>
      <c r="L1727">
        <v>467</v>
      </c>
      <c r="M1727" t="s">
        <v>4783</v>
      </c>
    </row>
    <row r="1728" spans="1:13" x14ac:dyDescent="0.45">
      <c r="A1728" t="s">
        <v>13</v>
      </c>
      <c r="B1728">
        <v>1859274</v>
      </c>
      <c r="C1728">
        <v>1860098</v>
      </c>
      <c r="E1728" t="s">
        <v>14</v>
      </c>
      <c r="F1728" t="s">
        <v>4784</v>
      </c>
      <c r="H1728">
        <v>0</v>
      </c>
      <c r="I1728" t="s">
        <v>17</v>
      </c>
      <c r="K1728" t="s">
        <v>4785</v>
      </c>
      <c r="L1728">
        <v>274</v>
      </c>
      <c r="M1728" t="s">
        <v>4786</v>
      </c>
    </row>
    <row r="1729" spans="1:13" x14ac:dyDescent="0.45">
      <c r="A1729" t="s">
        <v>13</v>
      </c>
      <c r="B1729">
        <v>1860423</v>
      </c>
      <c r="C1729">
        <v>1861043</v>
      </c>
      <c r="E1729" t="s">
        <v>96</v>
      </c>
      <c r="F1729" t="s">
        <v>1482</v>
      </c>
      <c r="H1729">
        <v>0</v>
      </c>
      <c r="I1729" t="s">
        <v>17</v>
      </c>
      <c r="K1729" t="s">
        <v>4787</v>
      </c>
      <c r="L1729">
        <v>206</v>
      </c>
      <c r="M1729" t="s">
        <v>4788</v>
      </c>
    </row>
    <row r="1730" spans="1:13" x14ac:dyDescent="0.45">
      <c r="A1730" t="s">
        <v>13</v>
      </c>
      <c r="B1730">
        <v>1861309</v>
      </c>
      <c r="C1730">
        <v>1861641</v>
      </c>
      <c r="E1730" t="s">
        <v>14</v>
      </c>
      <c r="F1730" t="s">
        <v>1096</v>
      </c>
      <c r="H1730">
        <v>0</v>
      </c>
      <c r="I1730" t="s">
        <v>17</v>
      </c>
      <c r="K1730" t="s">
        <v>4789</v>
      </c>
      <c r="L1730">
        <v>110</v>
      </c>
      <c r="M1730" t="s">
        <v>4790</v>
      </c>
    </row>
    <row r="1731" spans="1:13" x14ac:dyDescent="0.45">
      <c r="A1731" t="s">
        <v>13</v>
      </c>
      <c r="B1731">
        <v>1861760</v>
      </c>
      <c r="C1731">
        <v>1862401</v>
      </c>
      <c r="E1731" t="s">
        <v>96</v>
      </c>
      <c r="F1731" t="s">
        <v>4791</v>
      </c>
      <c r="G1731" t="s">
        <v>4792</v>
      </c>
      <c r="H1731">
        <v>0</v>
      </c>
      <c r="I1731" t="s">
        <v>17</v>
      </c>
      <c r="K1731" t="s">
        <v>4793</v>
      </c>
      <c r="L1731">
        <v>213</v>
      </c>
      <c r="M1731" t="s">
        <v>4794</v>
      </c>
    </row>
    <row r="1732" spans="1:13" x14ac:dyDescent="0.45">
      <c r="A1732" t="s">
        <v>13</v>
      </c>
      <c r="B1732">
        <v>1862422</v>
      </c>
      <c r="C1732">
        <v>1863354</v>
      </c>
      <c r="E1732" t="s">
        <v>96</v>
      </c>
      <c r="F1732" t="s">
        <v>4795</v>
      </c>
      <c r="H1732">
        <v>0</v>
      </c>
      <c r="I1732" t="s">
        <v>17</v>
      </c>
      <c r="K1732" t="s">
        <v>4796</v>
      </c>
      <c r="L1732">
        <v>310</v>
      </c>
      <c r="M1732" t="s">
        <v>4797</v>
      </c>
    </row>
    <row r="1733" spans="1:13" x14ac:dyDescent="0.45">
      <c r="A1733" t="s">
        <v>13</v>
      </c>
      <c r="B1733">
        <v>1863376</v>
      </c>
      <c r="C1733">
        <v>1864041</v>
      </c>
      <c r="E1733" t="s">
        <v>96</v>
      </c>
      <c r="F1733" t="s">
        <v>4798</v>
      </c>
      <c r="H1733">
        <v>0</v>
      </c>
      <c r="I1733" t="s">
        <v>17</v>
      </c>
      <c r="K1733" t="s">
        <v>4799</v>
      </c>
      <c r="L1733">
        <v>221</v>
      </c>
      <c r="M1733" t="s">
        <v>4800</v>
      </c>
    </row>
    <row r="1734" spans="1:13" x14ac:dyDescent="0.45">
      <c r="A1734" t="s">
        <v>13</v>
      </c>
      <c r="B1734">
        <v>1864587</v>
      </c>
      <c r="C1734">
        <v>1865060</v>
      </c>
      <c r="E1734" t="s">
        <v>96</v>
      </c>
      <c r="F1734" t="s">
        <v>4801</v>
      </c>
      <c r="H1734">
        <v>0</v>
      </c>
      <c r="I1734" t="s">
        <v>17</v>
      </c>
      <c r="K1734" t="s">
        <v>4802</v>
      </c>
      <c r="L1734">
        <v>157</v>
      </c>
      <c r="M1734" t="s">
        <v>4803</v>
      </c>
    </row>
    <row r="1735" spans="1:13" x14ac:dyDescent="0.45">
      <c r="A1735" t="s">
        <v>13</v>
      </c>
      <c r="B1735">
        <v>1865063</v>
      </c>
      <c r="C1735">
        <v>1865467</v>
      </c>
      <c r="E1735" t="s">
        <v>96</v>
      </c>
      <c r="F1735" t="s">
        <v>4804</v>
      </c>
      <c r="H1735">
        <v>0</v>
      </c>
      <c r="I1735" t="s">
        <v>17</v>
      </c>
      <c r="K1735" t="s">
        <v>4805</v>
      </c>
      <c r="L1735">
        <v>134</v>
      </c>
      <c r="M1735" t="s">
        <v>4806</v>
      </c>
    </row>
    <row r="1736" spans="1:13" x14ac:dyDescent="0.45">
      <c r="A1736" t="s">
        <v>13</v>
      </c>
      <c r="B1736">
        <v>1865442</v>
      </c>
      <c r="C1736">
        <v>1866071</v>
      </c>
      <c r="E1736" t="s">
        <v>96</v>
      </c>
      <c r="F1736" t="s">
        <v>1178</v>
      </c>
      <c r="H1736">
        <v>0</v>
      </c>
      <c r="I1736" t="s">
        <v>17</v>
      </c>
      <c r="K1736" t="s">
        <v>4807</v>
      </c>
      <c r="L1736">
        <v>209</v>
      </c>
      <c r="M1736" t="s">
        <v>4808</v>
      </c>
    </row>
    <row r="1737" spans="1:13" x14ac:dyDescent="0.45">
      <c r="A1737" t="s">
        <v>13</v>
      </c>
      <c r="B1737">
        <v>1866580</v>
      </c>
      <c r="C1737">
        <v>1867548</v>
      </c>
      <c r="E1737" t="s">
        <v>14</v>
      </c>
      <c r="F1737" t="s">
        <v>4809</v>
      </c>
      <c r="H1737">
        <v>0</v>
      </c>
      <c r="I1737" t="s">
        <v>17</v>
      </c>
      <c r="K1737" t="s">
        <v>4810</v>
      </c>
      <c r="L1737">
        <v>322</v>
      </c>
      <c r="M1737" t="s">
        <v>4811</v>
      </c>
    </row>
    <row r="1738" spans="1:13" x14ac:dyDescent="0.45">
      <c r="A1738" t="s">
        <v>13</v>
      </c>
      <c r="B1738">
        <v>1867550</v>
      </c>
      <c r="C1738">
        <v>1868113</v>
      </c>
      <c r="E1738" t="s">
        <v>14</v>
      </c>
      <c r="F1738" t="s">
        <v>604</v>
      </c>
      <c r="H1738">
        <v>0</v>
      </c>
      <c r="I1738" t="s">
        <v>17</v>
      </c>
      <c r="K1738" t="s">
        <v>4812</v>
      </c>
      <c r="L1738">
        <v>187</v>
      </c>
      <c r="M1738" t="s">
        <v>4813</v>
      </c>
    </row>
    <row r="1739" spans="1:13" x14ac:dyDescent="0.45">
      <c r="A1739" t="s">
        <v>13</v>
      </c>
      <c r="B1739">
        <v>1868121</v>
      </c>
      <c r="C1739">
        <v>1868810</v>
      </c>
      <c r="E1739" t="s">
        <v>14</v>
      </c>
      <c r="F1739" t="s">
        <v>2166</v>
      </c>
      <c r="H1739">
        <v>0</v>
      </c>
      <c r="I1739" t="s">
        <v>17</v>
      </c>
      <c r="K1739" t="s">
        <v>4814</v>
      </c>
      <c r="L1739">
        <v>229</v>
      </c>
      <c r="M1739" t="s">
        <v>4815</v>
      </c>
    </row>
    <row r="1740" spans="1:13" x14ac:dyDescent="0.45">
      <c r="A1740" t="s">
        <v>13</v>
      </c>
      <c r="B1740">
        <v>1868937</v>
      </c>
      <c r="C1740">
        <v>1869665</v>
      </c>
      <c r="E1740" t="s">
        <v>14</v>
      </c>
      <c r="F1740" t="s">
        <v>1870</v>
      </c>
      <c r="H1740">
        <v>0</v>
      </c>
      <c r="I1740" t="s">
        <v>17</v>
      </c>
      <c r="K1740" t="s">
        <v>4816</v>
      </c>
      <c r="L1740">
        <v>242</v>
      </c>
      <c r="M1740" t="s">
        <v>4817</v>
      </c>
    </row>
    <row r="1741" spans="1:13" x14ac:dyDescent="0.45">
      <c r="A1741" t="s">
        <v>13</v>
      </c>
      <c r="B1741">
        <v>1869679</v>
      </c>
      <c r="C1741">
        <v>1870353</v>
      </c>
      <c r="E1741" t="s">
        <v>14</v>
      </c>
      <c r="F1741" t="s">
        <v>4818</v>
      </c>
      <c r="H1741">
        <v>0</v>
      </c>
      <c r="I1741" t="s">
        <v>17</v>
      </c>
      <c r="K1741" t="s">
        <v>4819</v>
      </c>
      <c r="L1741">
        <v>224</v>
      </c>
      <c r="M1741" t="s">
        <v>4820</v>
      </c>
    </row>
    <row r="1742" spans="1:13" x14ac:dyDescent="0.45">
      <c r="A1742" t="s">
        <v>13</v>
      </c>
      <c r="B1742">
        <v>1870379</v>
      </c>
      <c r="C1742">
        <v>1871215</v>
      </c>
      <c r="E1742" t="s">
        <v>14</v>
      </c>
      <c r="F1742" t="s">
        <v>43</v>
      </c>
      <c r="H1742">
        <v>0</v>
      </c>
      <c r="I1742" t="s">
        <v>17</v>
      </c>
      <c r="K1742" t="s">
        <v>4821</v>
      </c>
      <c r="L1742">
        <v>278</v>
      </c>
      <c r="M1742" t="s">
        <v>4822</v>
      </c>
    </row>
    <row r="1743" spans="1:13" x14ac:dyDescent="0.45">
      <c r="A1743" t="s">
        <v>13</v>
      </c>
      <c r="B1743">
        <v>1871231</v>
      </c>
      <c r="C1743">
        <v>1871902</v>
      </c>
      <c r="E1743" t="s">
        <v>14</v>
      </c>
      <c r="F1743" t="s">
        <v>1222</v>
      </c>
      <c r="H1743">
        <v>0</v>
      </c>
      <c r="I1743" t="s">
        <v>17</v>
      </c>
      <c r="K1743" t="s">
        <v>4823</v>
      </c>
      <c r="L1743">
        <v>223</v>
      </c>
      <c r="M1743" t="s">
        <v>4824</v>
      </c>
    </row>
    <row r="1744" spans="1:13" x14ac:dyDescent="0.45">
      <c r="A1744" t="s">
        <v>13</v>
      </c>
      <c r="B1744">
        <v>1871892</v>
      </c>
      <c r="C1744">
        <v>1873124</v>
      </c>
      <c r="E1744" t="s">
        <v>14</v>
      </c>
      <c r="F1744" t="s">
        <v>1219</v>
      </c>
      <c r="H1744">
        <v>0</v>
      </c>
      <c r="I1744" t="s">
        <v>17</v>
      </c>
      <c r="K1744" t="s">
        <v>4825</v>
      </c>
      <c r="L1744">
        <v>410</v>
      </c>
      <c r="M1744" t="s">
        <v>4826</v>
      </c>
    </row>
    <row r="1745" spans="1:13" x14ac:dyDescent="0.45">
      <c r="A1745" t="s">
        <v>13</v>
      </c>
      <c r="B1745">
        <v>1873274</v>
      </c>
      <c r="C1745">
        <v>1873591</v>
      </c>
      <c r="E1745" t="s">
        <v>14</v>
      </c>
      <c r="F1745" t="s">
        <v>4827</v>
      </c>
      <c r="G1745" t="s">
        <v>4828</v>
      </c>
      <c r="H1745">
        <v>0</v>
      </c>
      <c r="I1745" t="s">
        <v>17</v>
      </c>
      <c r="K1745" t="s">
        <v>4829</v>
      </c>
      <c r="L1745">
        <v>105</v>
      </c>
      <c r="M1745" t="s">
        <v>4830</v>
      </c>
    </row>
    <row r="1746" spans="1:13" x14ac:dyDescent="0.45">
      <c r="A1746" t="s">
        <v>13</v>
      </c>
      <c r="B1746">
        <v>1873608</v>
      </c>
      <c r="C1746">
        <v>1874486</v>
      </c>
      <c r="E1746" t="s">
        <v>14</v>
      </c>
      <c r="F1746" t="s">
        <v>754</v>
      </c>
      <c r="H1746">
        <v>0</v>
      </c>
      <c r="I1746" t="s">
        <v>17</v>
      </c>
      <c r="K1746" t="s">
        <v>4831</v>
      </c>
      <c r="L1746">
        <v>292</v>
      </c>
      <c r="M1746" t="s">
        <v>4832</v>
      </c>
    </row>
    <row r="1747" spans="1:13" x14ac:dyDescent="0.45">
      <c r="A1747" t="s">
        <v>13</v>
      </c>
      <c r="B1747">
        <v>1874756</v>
      </c>
      <c r="C1747">
        <v>1875124</v>
      </c>
      <c r="E1747" t="s">
        <v>14</v>
      </c>
      <c r="F1747" t="s">
        <v>1201</v>
      </c>
      <c r="H1747">
        <v>0</v>
      </c>
      <c r="I1747" t="s">
        <v>17</v>
      </c>
      <c r="K1747" t="s">
        <v>4833</v>
      </c>
      <c r="L1747">
        <v>122</v>
      </c>
      <c r="M1747" t="s">
        <v>4834</v>
      </c>
    </row>
    <row r="1748" spans="1:13" x14ac:dyDescent="0.45">
      <c r="A1748" t="s">
        <v>13</v>
      </c>
      <c r="B1748">
        <v>1875127</v>
      </c>
      <c r="C1748">
        <v>1875498</v>
      </c>
      <c r="E1748" t="s">
        <v>14</v>
      </c>
      <c r="F1748" t="s">
        <v>4835</v>
      </c>
      <c r="H1748">
        <v>0</v>
      </c>
      <c r="I1748" t="s">
        <v>17</v>
      </c>
      <c r="K1748" t="s">
        <v>4836</v>
      </c>
      <c r="L1748">
        <v>123</v>
      </c>
      <c r="M1748" t="s">
        <v>4837</v>
      </c>
    </row>
    <row r="1749" spans="1:13" x14ac:dyDescent="0.45">
      <c r="A1749" t="s">
        <v>13</v>
      </c>
      <c r="B1749">
        <v>1875642</v>
      </c>
      <c r="C1749">
        <v>1876097</v>
      </c>
      <c r="E1749" t="s">
        <v>96</v>
      </c>
      <c r="F1749" t="s">
        <v>43</v>
      </c>
      <c r="H1749">
        <v>0</v>
      </c>
      <c r="I1749" t="s">
        <v>17</v>
      </c>
      <c r="K1749" t="s">
        <v>4838</v>
      </c>
      <c r="L1749">
        <v>151</v>
      </c>
      <c r="M1749" t="s">
        <v>4839</v>
      </c>
    </row>
    <row r="1750" spans="1:13" x14ac:dyDescent="0.45">
      <c r="A1750" t="s">
        <v>13</v>
      </c>
      <c r="B1750">
        <v>1876136</v>
      </c>
      <c r="C1750">
        <v>1877401</v>
      </c>
      <c r="E1750" t="s">
        <v>96</v>
      </c>
      <c r="F1750" t="s">
        <v>4840</v>
      </c>
      <c r="H1750">
        <v>0</v>
      </c>
      <c r="I1750" t="s">
        <v>17</v>
      </c>
      <c r="K1750" t="s">
        <v>4841</v>
      </c>
      <c r="L1750">
        <v>421</v>
      </c>
      <c r="M1750" t="s">
        <v>4842</v>
      </c>
    </row>
    <row r="1751" spans="1:13" x14ac:dyDescent="0.45">
      <c r="A1751" t="s">
        <v>13</v>
      </c>
      <c r="B1751">
        <v>1877871</v>
      </c>
      <c r="C1751">
        <v>1879322</v>
      </c>
      <c r="E1751" t="s">
        <v>14</v>
      </c>
      <c r="F1751" t="s">
        <v>4843</v>
      </c>
      <c r="H1751">
        <v>0</v>
      </c>
      <c r="I1751" t="s">
        <v>17</v>
      </c>
      <c r="K1751" t="s">
        <v>4844</v>
      </c>
      <c r="L1751">
        <v>483</v>
      </c>
      <c r="M1751" t="s">
        <v>4845</v>
      </c>
    </row>
    <row r="1752" spans="1:13" x14ac:dyDescent="0.45">
      <c r="A1752" t="s">
        <v>13</v>
      </c>
      <c r="B1752">
        <v>1879542</v>
      </c>
      <c r="C1752">
        <v>1880003</v>
      </c>
      <c r="E1752" t="s">
        <v>96</v>
      </c>
      <c r="F1752" t="s">
        <v>4846</v>
      </c>
      <c r="G1752" t="s">
        <v>4847</v>
      </c>
      <c r="H1752">
        <v>0</v>
      </c>
      <c r="I1752" t="s">
        <v>17</v>
      </c>
      <c r="K1752" t="s">
        <v>4848</v>
      </c>
      <c r="L1752">
        <v>153</v>
      </c>
      <c r="M1752" t="s">
        <v>4849</v>
      </c>
    </row>
    <row r="1753" spans="1:13" x14ac:dyDescent="0.45">
      <c r="A1753" t="s">
        <v>13</v>
      </c>
      <c r="B1753">
        <v>1880109</v>
      </c>
      <c r="C1753">
        <v>1881302</v>
      </c>
      <c r="E1753" t="s">
        <v>96</v>
      </c>
      <c r="F1753" t="s">
        <v>4850</v>
      </c>
      <c r="H1753">
        <v>0</v>
      </c>
      <c r="I1753" t="s">
        <v>17</v>
      </c>
      <c r="K1753" t="s">
        <v>4851</v>
      </c>
      <c r="L1753">
        <v>397</v>
      </c>
      <c r="M1753" t="s">
        <v>4852</v>
      </c>
    </row>
    <row r="1754" spans="1:13" x14ac:dyDescent="0.45">
      <c r="A1754" t="s">
        <v>13</v>
      </c>
      <c r="B1754">
        <v>1881325</v>
      </c>
      <c r="C1754">
        <v>1881990</v>
      </c>
      <c r="E1754" t="s">
        <v>96</v>
      </c>
      <c r="F1754" t="s">
        <v>4853</v>
      </c>
      <c r="H1754">
        <v>0</v>
      </c>
      <c r="I1754" t="s">
        <v>17</v>
      </c>
      <c r="K1754" t="s">
        <v>4854</v>
      </c>
      <c r="L1754">
        <v>221</v>
      </c>
      <c r="M1754" t="s">
        <v>4855</v>
      </c>
    </row>
    <row r="1755" spans="1:13" x14ac:dyDescent="0.45">
      <c r="A1755" t="s">
        <v>13</v>
      </c>
      <c r="B1755">
        <v>1882024</v>
      </c>
      <c r="C1755">
        <v>1883127</v>
      </c>
      <c r="E1755" t="s">
        <v>96</v>
      </c>
      <c r="F1755" t="s">
        <v>4856</v>
      </c>
      <c r="G1755" t="s">
        <v>4857</v>
      </c>
      <c r="H1755">
        <v>0</v>
      </c>
      <c r="I1755" t="s">
        <v>17</v>
      </c>
      <c r="K1755" t="s">
        <v>4858</v>
      </c>
      <c r="L1755">
        <v>367</v>
      </c>
      <c r="M1755" t="s">
        <v>4859</v>
      </c>
    </row>
    <row r="1756" spans="1:13" x14ac:dyDescent="0.45">
      <c r="A1756" t="s">
        <v>13</v>
      </c>
      <c r="B1756">
        <v>1883569</v>
      </c>
      <c r="C1756">
        <v>1886052</v>
      </c>
      <c r="E1756" t="s">
        <v>14</v>
      </c>
      <c r="F1756" t="s">
        <v>4860</v>
      </c>
      <c r="G1756" t="s">
        <v>4861</v>
      </c>
      <c r="H1756">
        <v>0</v>
      </c>
      <c r="I1756" t="s">
        <v>17</v>
      </c>
      <c r="K1756" t="s">
        <v>4862</v>
      </c>
      <c r="L1756">
        <v>827</v>
      </c>
      <c r="M1756" t="s">
        <v>4863</v>
      </c>
    </row>
    <row r="1757" spans="1:13" x14ac:dyDescent="0.45">
      <c r="A1757" t="s">
        <v>13</v>
      </c>
      <c r="B1757">
        <v>1886393</v>
      </c>
      <c r="C1757">
        <v>1887694</v>
      </c>
      <c r="E1757" t="s">
        <v>14</v>
      </c>
      <c r="F1757" t="s">
        <v>284</v>
      </c>
      <c r="G1757" t="s">
        <v>4864</v>
      </c>
      <c r="H1757">
        <v>0</v>
      </c>
      <c r="I1757" t="s">
        <v>17</v>
      </c>
      <c r="K1757" t="s">
        <v>4865</v>
      </c>
      <c r="L1757">
        <v>433</v>
      </c>
      <c r="M1757" t="s">
        <v>4866</v>
      </c>
    </row>
    <row r="1758" spans="1:13" x14ac:dyDescent="0.45">
      <c r="A1758" t="s">
        <v>13</v>
      </c>
      <c r="B1758">
        <v>1887748</v>
      </c>
      <c r="C1758">
        <v>1887942</v>
      </c>
      <c r="E1758" t="s">
        <v>14</v>
      </c>
      <c r="F1758" t="s">
        <v>4867</v>
      </c>
      <c r="G1758" t="s">
        <v>4868</v>
      </c>
      <c r="H1758">
        <v>0</v>
      </c>
      <c r="I1758" t="s">
        <v>17</v>
      </c>
      <c r="K1758" t="s">
        <v>4869</v>
      </c>
      <c r="L1758">
        <v>64</v>
      </c>
      <c r="M1758" t="s">
        <v>4870</v>
      </c>
    </row>
    <row r="1759" spans="1:13" x14ac:dyDescent="0.45">
      <c r="A1759" t="s">
        <v>13</v>
      </c>
      <c r="B1759">
        <v>1887935</v>
      </c>
      <c r="C1759">
        <v>1888738</v>
      </c>
      <c r="E1759" t="s">
        <v>14</v>
      </c>
      <c r="F1759" t="s">
        <v>4871</v>
      </c>
      <c r="G1759" t="s">
        <v>4872</v>
      </c>
      <c r="H1759">
        <v>0</v>
      </c>
      <c r="I1759" t="s">
        <v>17</v>
      </c>
      <c r="K1759" t="s">
        <v>4873</v>
      </c>
      <c r="L1759">
        <v>267</v>
      </c>
      <c r="M1759" t="s">
        <v>4874</v>
      </c>
    </row>
    <row r="1760" spans="1:13" x14ac:dyDescent="0.45">
      <c r="A1760" t="s">
        <v>13</v>
      </c>
      <c r="B1760">
        <v>1888801</v>
      </c>
      <c r="C1760">
        <v>1889571</v>
      </c>
      <c r="E1760" t="s">
        <v>14</v>
      </c>
      <c r="F1760" t="s">
        <v>4875</v>
      </c>
      <c r="H1760">
        <v>0</v>
      </c>
      <c r="I1760" t="s">
        <v>17</v>
      </c>
      <c r="K1760" t="s">
        <v>4876</v>
      </c>
      <c r="L1760">
        <v>256</v>
      </c>
      <c r="M1760" t="s">
        <v>4877</v>
      </c>
    </row>
    <row r="1761" spans="1:13" x14ac:dyDescent="0.45">
      <c r="A1761" t="s">
        <v>13</v>
      </c>
      <c r="B1761">
        <v>1889588</v>
      </c>
      <c r="C1761">
        <v>1890691</v>
      </c>
      <c r="E1761" t="s">
        <v>14</v>
      </c>
      <c r="F1761" t="s">
        <v>4878</v>
      </c>
      <c r="G1761" t="s">
        <v>4879</v>
      </c>
      <c r="H1761">
        <v>0</v>
      </c>
      <c r="I1761" t="s">
        <v>17</v>
      </c>
      <c r="K1761" t="s">
        <v>4880</v>
      </c>
      <c r="L1761">
        <v>367</v>
      </c>
      <c r="M1761" t="s">
        <v>4881</v>
      </c>
    </row>
    <row r="1762" spans="1:13" x14ac:dyDescent="0.45">
      <c r="A1762" t="s">
        <v>13</v>
      </c>
      <c r="B1762">
        <v>1890692</v>
      </c>
      <c r="C1762">
        <v>1891381</v>
      </c>
      <c r="E1762" t="s">
        <v>14</v>
      </c>
      <c r="F1762" t="s">
        <v>4595</v>
      </c>
      <c r="H1762">
        <v>0</v>
      </c>
      <c r="I1762" t="s">
        <v>17</v>
      </c>
      <c r="K1762" t="s">
        <v>4882</v>
      </c>
      <c r="L1762">
        <v>229</v>
      </c>
      <c r="M1762" t="s">
        <v>4883</v>
      </c>
    </row>
    <row r="1763" spans="1:13" x14ac:dyDescent="0.45">
      <c r="A1763" t="s">
        <v>13</v>
      </c>
      <c r="B1763">
        <v>1891569</v>
      </c>
      <c r="C1763">
        <v>1892963</v>
      </c>
      <c r="E1763" t="s">
        <v>14</v>
      </c>
      <c r="F1763" t="s">
        <v>4884</v>
      </c>
      <c r="H1763">
        <v>0</v>
      </c>
      <c r="I1763" t="s">
        <v>17</v>
      </c>
      <c r="K1763" t="s">
        <v>4885</v>
      </c>
      <c r="L1763">
        <v>464</v>
      </c>
      <c r="M1763" t="s">
        <v>4886</v>
      </c>
    </row>
    <row r="1764" spans="1:13" x14ac:dyDescent="0.45">
      <c r="A1764" t="s">
        <v>13</v>
      </c>
      <c r="B1764">
        <v>1893480</v>
      </c>
      <c r="C1764">
        <v>1894847</v>
      </c>
      <c r="E1764" t="s">
        <v>14</v>
      </c>
      <c r="F1764" t="s">
        <v>1288</v>
      </c>
      <c r="H1764">
        <v>0</v>
      </c>
      <c r="I1764" t="s">
        <v>17</v>
      </c>
      <c r="K1764" t="s">
        <v>4887</v>
      </c>
      <c r="L1764">
        <v>455</v>
      </c>
      <c r="M1764" t="s">
        <v>4888</v>
      </c>
    </row>
    <row r="1765" spans="1:13" x14ac:dyDescent="0.45">
      <c r="A1765" t="s">
        <v>13</v>
      </c>
      <c r="B1765">
        <v>1894953</v>
      </c>
      <c r="C1765">
        <v>1895480</v>
      </c>
      <c r="E1765" t="s">
        <v>14</v>
      </c>
      <c r="F1765" t="s">
        <v>4889</v>
      </c>
      <c r="H1765">
        <v>0</v>
      </c>
      <c r="I1765" t="s">
        <v>17</v>
      </c>
      <c r="K1765" t="s">
        <v>4890</v>
      </c>
      <c r="L1765">
        <v>175</v>
      </c>
      <c r="M1765" t="s">
        <v>4891</v>
      </c>
    </row>
    <row r="1766" spans="1:13" x14ac:dyDescent="0.45">
      <c r="A1766" t="s">
        <v>13</v>
      </c>
      <c r="B1766">
        <v>1895528</v>
      </c>
      <c r="C1766">
        <v>1895899</v>
      </c>
      <c r="E1766" t="s">
        <v>14</v>
      </c>
      <c r="F1766" t="s">
        <v>4892</v>
      </c>
      <c r="H1766">
        <v>0</v>
      </c>
      <c r="I1766" t="s">
        <v>17</v>
      </c>
      <c r="K1766" t="s">
        <v>4893</v>
      </c>
      <c r="L1766">
        <v>123</v>
      </c>
      <c r="M1766" t="s">
        <v>4894</v>
      </c>
    </row>
    <row r="1767" spans="1:13" x14ac:dyDescent="0.45">
      <c r="A1767" t="s">
        <v>13</v>
      </c>
      <c r="B1767">
        <v>1896078</v>
      </c>
      <c r="C1767">
        <v>1896416</v>
      </c>
      <c r="E1767" t="s">
        <v>14</v>
      </c>
      <c r="F1767" t="s">
        <v>4895</v>
      </c>
      <c r="H1767">
        <v>0</v>
      </c>
      <c r="I1767" t="s">
        <v>17</v>
      </c>
      <c r="K1767" t="s">
        <v>4896</v>
      </c>
      <c r="L1767">
        <v>112</v>
      </c>
      <c r="M1767" t="s">
        <v>4897</v>
      </c>
    </row>
    <row r="1768" spans="1:13" x14ac:dyDescent="0.45">
      <c r="A1768" t="s">
        <v>13</v>
      </c>
      <c r="B1768">
        <v>1896883</v>
      </c>
      <c r="C1768">
        <v>1897386</v>
      </c>
      <c r="E1768" t="s">
        <v>14</v>
      </c>
      <c r="F1768" t="s">
        <v>4898</v>
      </c>
      <c r="H1768">
        <v>0</v>
      </c>
      <c r="I1768" t="s">
        <v>17</v>
      </c>
      <c r="K1768" t="s">
        <v>4899</v>
      </c>
      <c r="L1768">
        <v>167</v>
      </c>
      <c r="M1768" t="s">
        <v>4900</v>
      </c>
    </row>
    <row r="1769" spans="1:13" x14ac:dyDescent="0.45">
      <c r="A1769" t="s">
        <v>13</v>
      </c>
      <c r="B1769">
        <v>1897433</v>
      </c>
      <c r="C1769">
        <v>1898392</v>
      </c>
      <c r="E1769" t="s">
        <v>14</v>
      </c>
      <c r="F1769" t="s">
        <v>4901</v>
      </c>
      <c r="G1769" t="s">
        <v>4902</v>
      </c>
      <c r="H1769">
        <v>0</v>
      </c>
      <c r="I1769" t="s">
        <v>17</v>
      </c>
      <c r="K1769" t="s">
        <v>4903</v>
      </c>
      <c r="L1769">
        <v>319</v>
      </c>
      <c r="M1769" t="s">
        <v>4904</v>
      </c>
    </row>
    <row r="1770" spans="1:13" x14ac:dyDescent="0.45">
      <c r="A1770" t="s">
        <v>13</v>
      </c>
      <c r="B1770">
        <v>1898396</v>
      </c>
      <c r="C1770">
        <v>1898866</v>
      </c>
      <c r="E1770" t="s">
        <v>14</v>
      </c>
      <c r="F1770" t="s">
        <v>4905</v>
      </c>
      <c r="G1770" t="s">
        <v>4906</v>
      </c>
      <c r="H1770">
        <v>0</v>
      </c>
      <c r="I1770" t="s">
        <v>17</v>
      </c>
      <c r="K1770" t="s">
        <v>4907</v>
      </c>
      <c r="L1770">
        <v>156</v>
      </c>
      <c r="M1770" t="s">
        <v>4908</v>
      </c>
    </row>
    <row r="1771" spans="1:13" x14ac:dyDescent="0.45">
      <c r="A1771" t="s">
        <v>13</v>
      </c>
      <c r="B1771">
        <v>1898902</v>
      </c>
      <c r="C1771">
        <v>1899333</v>
      </c>
      <c r="E1771" t="s">
        <v>14</v>
      </c>
      <c r="F1771" t="s">
        <v>4909</v>
      </c>
      <c r="H1771">
        <v>0</v>
      </c>
      <c r="I1771" t="s">
        <v>17</v>
      </c>
      <c r="K1771" t="s">
        <v>4910</v>
      </c>
      <c r="L1771">
        <v>143</v>
      </c>
      <c r="M1771" t="s">
        <v>4911</v>
      </c>
    </row>
    <row r="1772" spans="1:13" x14ac:dyDescent="0.45">
      <c r="A1772" t="s">
        <v>13</v>
      </c>
      <c r="B1772">
        <v>1900139</v>
      </c>
      <c r="C1772">
        <v>1901428</v>
      </c>
      <c r="E1772" t="s">
        <v>14</v>
      </c>
      <c r="F1772" t="s">
        <v>4912</v>
      </c>
      <c r="H1772">
        <v>0</v>
      </c>
      <c r="I1772" t="s">
        <v>17</v>
      </c>
      <c r="K1772" t="s">
        <v>4913</v>
      </c>
      <c r="L1772">
        <v>429</v>
      </c>
      <c r="M1772" t="s">
        <v>4914</v>
      </c>
    </row>
    <row r="1773" spans="1:13" x14ac:dyDescent="0.45">
      <c r="A1773" t="s">
        <v>13</v>
      </c>
      <c r="B1773">
        <v>1901482</v>
      </c>
      <c r="C1773">
        <v>1902561</v>
      </c>
      <c r="E1773" t="s">
        <v>14</v>
      </c>
      <c r="F1773" t="s">
        <v>4915</v>
      </c>
      <c r="H1773">
        <v>0</v>
      </c>
      <c r="I1773" t="s">
        <v>17</v>
      </c>
      <c r="K1773" t="s">
        <v>4916</v>
      </c>
      <c r="L1773">
        <v>359</v>
      </c>
      <c r="M1773" t="s">
        <v>4917</v>
      </c>
    </row>
    <row r="1774" spans="1:13" x14ac:dyDescent="0.45">
      <c r="A1774" t="s">
        <v>13</v>
      </c>
      <c r="B1774">
        <v>1902582</v>
      </c>
      <c r="C1774">
        <v>1904126</v>
      </c>
      <c r="E1774" t="s">
        <v>14</v>
      </c>
      <c r="F1774" t="s">
        <v>4918</v>
      </c>
      <c r="H1774">
        <v>0</v>
      </c>
      <c r="I1774" t="s">
        <v>17</v>
      </c>
      <c r="K1774" t="s">
        <v>4919</v>
      </c>
      <c r="L1774">
        <v>514</v>
      </c>
      <c r="M1774" t="s">
        <v>4920</v>
      </c>
    </row>
    <row r="1775" spans="1:13" x14ac:dyDescent="0.45">
      <c r="A1775" t="s">
        <v>13</v>
      </c>
      <c r="B1775">
        <v>1904289</v>
      </c>
      <c r="C1775">
        <v>1904831</v>
      </c>
      <c r="E1775" t="s">
        <v>96</v>
      </c>
      <c r="F1775" t="s">
        <v>4921</v>
      </c>
      <c r="H1775">
        <v>0</v>
      </c>
      <c r="I1775" t="s">
        <v>17</v>
      </c>
      <c r="K1775" t="s">
        <v>4922</v>
      </c>
      <c r="L1775">
        <v>180</v>
      </c>
      <c r="M1775" t="s">
        <v>4923</v>
      </c>
    </row>
    <row r="1776" spans="1:13" x14ac:dyDescent="0.45">
      <c r="A1776" t="s">
        <v>13</v>
      </c>
      <c r="B1776">
        <v>1904979</v>
      </c>
      <c r="C1776">
        <v>1905263</v>
      </c>
      <c r="E1776" t="s">
        <v>96</v>
      </c>
      <c r="F1776" t="s">
        <v>1573</v>
      </c>
      <c r="H1776">
        <v>0</v>
      </c>
      <c r="I1776" t="s">
        <v>17</v>
      </c>
      <c r="K1776" t="s">
        <v>4924</v>
      </c>
      <c r="L1776">
        <v>94</v>
      </c>
      <c r="M1776" t="s">
        <v>4925</v>
      </c>
    </row>
    <row r="1777" spans="1:13" x14ac:dyDescent="0.45">
      <c r="A1777" t="s">
        <v>13</v>
      </c>
      <c r="B1777">
        <v>1905326</v>
      </c>
      <c r="C1777">
        <v>1906090</v>
      </c>
      <c r="E1777" t="s">
        <v>96</v>
      </c>
      <c r="F1777" t="s">
        <v>4926</v>
      </c>
      <c r="H1777">
        <v>0</v>
      </c>
      <c r="I1777" t="s">
        <v>17</v>
      </c>
      <c r="K1777" t="s">
        <v>4927</v>
      </c>
      <c r="L1777">
        <v>254</v>
      </c>
      <c r="M1777" t="s">
        <v>4928</v>
      </c>
    </row>
    <row r="1778" spans="1:13" x14ac:dyDescent="0.45">
      <c r="A1778" t="s">
        <v>13</v>
      </c>
      <c r="B1778">
        <v>1906372</v>
      </c>
      <c r="C1778">
        <v>1906638</v>
      </c>
      <c r="E1778" t="s">
        <v>96</v>
      </c>
      <c r="F1778" t="s">
        <v>1797</v>
      </c>
      <c r="H1778">
        <v>0</v>
      </c>
      <c r="I1778" t="s">
        <v>17</v>
      </c>
      <c r="K1778" t="s">
        <v>4929</v>
      </c>
      <c r="L1778">
        <v>88</v>
      </c>
      <c r="M1778" t="s">
        <v>4930</v>
      </c>
    </row>
    <row r="1779" spans="1:13" x14ac:dyDescent="0.45">
      <c r="A1779" t="s">
        <v>13</v>
      </c>
      <c r="B1779">
        <v>1906681</v>
      </c>
      <c r="C1779">
        <v>1907490</v>
      </c>
      <c r="E1779" t="s">
        <v>96</v>
      </c>
      <c r="F1779" t="s">
        <v>1222</v>
      </c>
      <c r="H1779">
        <v>0</v>
      </c>
      <c r="I1779" t="s">
        <v>17</v>
      </c>
      <c r="K1779" t="s">
        <v>4931</v>
      </c>
      <c r="L1779">
        <v>269</v>
      </c>
      <c r="M1779" t="s">
        <v>4932</v>
      </c>
    </row>
    <row r="1780" spans="1:13" x14ac:dyDescent="0.45">
      <c r="A1780" t="s">
        <v>13</v>
      </c>
      <c r="B1780">
        <v>1907803</v>
      </c>
      <c r="C1780">
        <v>1908084</v>
      </c>
      <c r="E1780" t="s">
        <v>14</v>
      </c>
      <c r="F1780" t="s">
        <v>43</v>
      </c>
      <c r="H1780">
        <v>0</v>
      </c>
      <c r="I1780" t="s">
        <v>17</v>
      </c>
      <c r="K1780" t="s">
        <v>4933</v>
      </c>
      <c r="L1780">
        <v>93</v>
      </c>
      <c r="M1780" t="s">
        <v>4934</v>
      </c>
    </row>
    <row r="1781" spans="1:13" x14ac:dyDescent="0.45">
      <c r="A1781" t="s">
        <v>13</v>
      </c>
      <c r="B1781">
        <v>1908348</v>
      </c>
      <c r="C1781">
        <v>1908602</v>
      </c>
      <c r="E1781" t="s">
        <v>14</v>
      </c>
      <c r="F1781" t="s">
        <v>43</v>
      </c>
      <c r="H1781">
        <v>0</v>
      </c>
      <c r="I1781" t="s">
        <v>17</v>
      </c>
      <c r="K1781" t="s">
        <v>4935</v>
      </c>
      <c r="L1781">
        <v>84</v>
      </c>
      <c r="M1781" t="s">
        <v>4936</v>
      </c>
    </row>
    <row r="1782" spans="1:13" x14ac:dyDescent="0.45">
      <c r="A1782" t="s">
        <v>13</v>
      </c>
      <c r="B1782">
        <v>1908647</v>
      </c>
      <c r="C1782">
        <v>1908970</v>
      </c>
      <c r="E1782" t="s">
        <v>14</v>
      </c>
      <c r="F1782" t="s">
        <v>4937</v>
      </c>
      <c r="H1782">
        <v>0</v>
      </c>
      <c r="I1782" t="s">
        <v>17</v>
      </c>
      <c r="K1782" t="s">
        <v>4938</v>
      </c>
      <c r="L1782">
        <v>107</v>
      </c>
      <c r="M1782" t="s">
        <v>4939</v>
      </c>
    </row>
    <row r="1783" spans="1:13" x14ac:dyDescent="0.45">
      <c r="A1783" t="s">
        <v>13</v>
      </c>
      <c r="B1783">
        <v>1909530</v>
      </c>
      <c r="C1783">
        <v>1909724</v>
      </c>
      <c r="E1783" t="s">
        <v>96</v>
      </c>
      <c r="F1783" t="s">
        <v>43</v>
      </c>
      <c r="H1783">
        <v>0</v>
      </c>
      <c r="I1783" t="s">
        <v>17</v>
      </c>
      <c r="K1783" t="s">
        <v>4940</v>
      </c>
      <c r="L1783">
        <v>64</v>
      </c>
      <c r="M1783" t="s">
        <v>4941</v>
      </c>
    </row>
    <row r="1784" spans="1:13" x14ac:dyDescent="0.45">
      <c r="A1784" t="s">
        <v>13</v>
      </c>
      <c r="B1784">
        <v>1910098</v>
      </c>
      <c r="C1784">
        <v>1911717</v>
      </c>
      <c r="E1784" t="s">
        <v>96</v>
      </c>
      <c r="F1784" t="s">
        <v>4942</v>
      </c>
      <c r="H1784">
        <v>0</v>
      </c>
      <c r="I1784" t="s">
        <v>17</v>
      </c>
      <c r="K1784" t="s">
        <v>4943</v>
      </c>
      <c r="L1784">
        <v>539</v>
      </c>
      <c r="M1784" t="s">
        <v>4944</v>
      </c>
    </row>
    <row r="1785" spans="1:13" x14ac:dyDescent="0.45">
      <c r="A1785" t="s">
        <v>13</v>
      </c>
      <c r="B1785">
        <v>1912026</v>
      </c>
      <c r="C1785">
        <v>1912232</v>
      </c>
      <c r="E1785" t="s">
        <v>96</v>
      </c>
      <c r="F1785" t="s">
        <v>1134</v>
      </c>
      <c r="H1785">
        <v>0</v>
      </c>
      <c r="I1785" t="s">
        <v>17</v>
      </c>
      <c r="K1785" t="s">
        <v>4945</v>
      </c>
      <c r="L1785">
        <v>68</v>
      </c>
      <c r="M1785" t="s">
        <v>4946</v>
      </c>
    </row>
    <row r="1786" spans="1:13" x14ac:dyDescent="0.45">
      <c r="A1786" t="s">
        <v>13</v>
      </c>
      <c r="B1786">
        <v>1912537</v>
      </c>
      <c r="C1786">
        <v>1912728</v>
      </c>
      <c r="E1786" t="s">
        <v>14</v>
      </c>
      <c r="F1786" t="s">
        <v>43</v>
      </c>
      <c r="H1786">
        <v>0</v>
      </c>
      <c r="I1786" t="s">
        <v>17</v>
      </c>
      <c r="K1786" t="s">
        <v>4947</v>
      </c>
      <c r="L1786">
        <v>63</v>
      </c>
      <c r="M1786" t="s">
        <v>4948</v>
      </c>
    </row>
    <row r="1787" spans="1:13" x14ac:dyDescent="0.45">
      <c r="A1787" t="s">
        <v>13</v>
      </c>
      <c r="B1787">
        <v>1912817</v>
      </c>
      <c r="C1787">
        <v>1913629</v>
      </c>
      <c r="E1787" t="s">
        <v>96</v>
      </c>
      <c r="F1787" t="s">
        <v>4949</v>
      </c>
      <c r="H1787">
        <v>0</v>
      </c>
      <c r="I1787" t="s">
        <v>17</v>
      </c>
      <c r="K1787" t="s">
        <v>4950</v>
      </c>
      <c r="L1787">
        <v>270</v>
      </c>
      <c r="M1787" t="s">
        <v>4951</v>
      </c>
    </row>
    <row r="1788" spans="1:13" x14ac:dyDescent="0.45">
      <c r="A1788" t="s">
        <v>13</v>
      </c>
      <c r="B1788">
        <v>1914051</v>
      </c>
      <c r="C1788">
        <v>1915202</v>
      </c>
      <c r="E1788" t="s">
        <v>14</v>
      </c>
      <c r="F1788" t="s">
        <v>1183</v>
      </c>
      <c r="H1788">
        <v>0</v>
      </c>
      <c r="I1788" t="s">
        <v>17</v>
      </c>
      <c r="K1788" t="s">
        <v>4952</v>
      </c>
      <c r="L1788">
        <v>383</v>
      </c>
      <c r="M1788" t="s">
        <v>4953</v>
      </c>
    </row>
    <row r="1789" spans="1:13" x14ac:dyDescent="0.45">
      <c r="A1789" t="s">
        <v>13</v>
      </c>
      <c r="B1789">
        <v>1915320</v>
      </c>
      <c r="C1789">
        <v>1915958</v>
      </c>
      <c r="E1789" t="s">
        <v>14</v>
      </c>
      <c r="F1789" t="s">
        <v>4954</v>
      </c>
      <c r="H1789">
        <v>0</v>
      </c>
      <c r="I1789" t="s">
        <v>17</v>
      </c>
      <c r="K1789" t="s">
        <v>4955</v>
      </c>
      <c r="L1789">
        <v>212</v>
      </c>
      <c r="M1789" t="s">
        <v>4956</v>
      </c>
    </row>
    <row r="1790" spans="1:13" x14ac:dyDescent="0.45">
      <c r="A1790" t="s">
        <v>13</v>
      </c>
      <c r="B1790">
        <v>1915959</v>
      </c>
      <c r="C1790">
        <v>1916981</v>
      </c>
      <c r="E1790" t="s">
        <v>14</v>
      </c>
      <c r="F1790" t="s">
        <v>4957</v>
      </c>
      <c r="H1790">
        <v>0</v>
      </c>
      <c r="I1790" t="s">
        <v>17</v>
      </c>
      <c r="K1790" t="s">
        <v>4958</v>
      </c>
      <c r="L1790">
        <v>340</v>
      </c>
      <c r="M1790" t="s">
        <v>4959</v>
      </c>
    </row>
    <row r="1791" spans="1:13" x14ac:dyDescent="0.45">
      <c r="A1791" t="s">
        <v>13</v>
      </c>
      <c r="B1791">
        <v>1916971</v>
      </c>
      <c r="C1791">
        <v>1917591</v>
      </c>
      <c r="E1791" t="s">
        <v>14</v>
      </c>
      <c r="F1791" t="s">
        <v>43</v>
      </c>
      <c r="H1791">
        <v>0</v>
      </c>
      <c r="I1791" t="s">
        <v>17</v>
      </c>
      <c r="K1791" t="s">
        <v>4960</v>
      </c>
      <c r="L1791">
        <v>206</v>
      </c>
      <c r="M1791" t="s">
        <v>4961</v>
      </c>
    </row>
    <row r="1792" spans="1:13" x14ac:dyDescent="0.45">
      <c r="A1792" t="s">
        <v>13</v>
      </c>
      <c r="B1792">
        <v>1917715</v>
      </c>
      <c r="C1792">
        <v>1918401</v>
      </c>
      <c r="E1792" t="s">
        <v>96</v>
      </c>
      <c r="F1792" t="s">
        <v>4962</v>
      </c>
      <c r="H1792">
        <v>0</v>
      </c>
      <c r="I1792" t="s">
        <v>17</v>
      </c>
      <c r="K1792" t="s">
        <v>4963</v>
      </c>
      <c r="L1792">
        <v>228</v>
      </c>
      <c r="M1792" t="s">
        <v>4964</v>
      </c>
    </row>
    <row r="1793" spans="1:13" x14ac:dyDescent="0.45">
      <c r="A1793" t="s">
        <v>13</v>
      </c>
      <c r="B1793">
        <v>1918415</v>
      </c>
      <c r="C1793">
        <v>1918960</v>
      </c>
      <c r="E1793" t="s">
        <v>96</v>
      </c>
      <c r="F1793" t="s">
        <v>1134</v>
      </c>
      <c r="H1793">
        <v>0</v>
      </c>
      <c r="I1793" t="s">
        <v>17</v>
      </c>
      <c r="K1793" t="s">
        <v>4965</v>
      </c>
      <c r="L1793">
        <v>181</v>
      </c>
      <c r="M1793" t="s">
        <v>4966</v>
      </c>
    </row>
    <row r="1794" spans="1:13" x14ac:dyDescent="0.45">
      <c r="A1794" t="s">
        <v>13</v>
      </c>
      <c r="B1794">
        <v>1919188</v>
      </c>
      <c r="C1794">
        <v>1920435</v>
      </c>
      <c r="E1794" t="s">
        <v>14</v>
      </c>
      <c r="F1794" t="s">
        <v>2381</v>
      </c>
      <c r="H1794">
        <v>0</v>
      </c>
      <c r="I1794" t="s">
        <v>17</v>
      </c>
      <c r="K1794" t="s">
        <v>4967</v>
      </c>
      <c r="L1794">
        <v>415</v>
      </c>
      <c r="M1794" t="s">
        <v>4968</v>
      </c>
    </row>
    <row r="1795" spans="1:13" x14ac:dyDescent="0.45">
      <c r="A1795" t="s">
        <v>13</v>
      </c>
      <c r="B1795">
        <v>1920522</v>
      </c>
      <c r="C1795">
        <v>1922516</v>
      </c>
      <c r="E1795" t="s">
        <v>14</v>
      </c>
      <c r="F1795" t="s">
        <v>49</v>
      </c>
      <c r="H1795">
        <v>0</v>
      </c>
      <c r="I1795" t="s">
        <v>17</v>
      </c>
      <c r="K1795" t="s">
        <v>4969</v>
      </c>
      <c r="L1795">
        <v>664</v>
      </c>
      <c r="M1795" t="s">
        <v>4970</v>
      </c>
    </row>
    <row r="1796" spans="1:13" x14ac:dyDescent="0.45">
      <c r="A1796" t="s">
        <v>13</v>
      </c>
      <c r="B1796">
        <v>1922516</v>
      </c>
      <c r="C1796">
        <v>1923838</v>
      </c>
      <c r="E1796" t="s">
        <v>14</v>
      </c>
      <c r="F1796" t="s">
        <v>1107</v>
      </c>
      <c r="H1796">
        <v>0</v>
      </c>
      <c r="I1796" t="s">
        <v>17</v>
      </c>
      <c r="K1796" t="s">
        <v>4971</v>
      </c>
      <c r="L1796">
        <v>440</v>
      </c>
      <c r="M1796" t="s">
        <v>4972</v>
      </c>
    </row>
    <row r="1797" spans="1:13" x14ac:dyDescent="0.45">
      <c r="A1797" t="s">
        <v>13</v>
      </c>
      <c r="B1797">
        <v>1924117</v>
      </c>
      <c r="C1797">
        <v>1925403</v>
      </c>
      <c r="E1797" t="s">
        <v>14</v>
      </c>
      <c r="F1797" t="s">
        <v>4973</v>
      </c>
      <c r="G1797" t="s">
        <v>4974</v>
      </c>
      <c r="H1797">
        <v>0</v>
      </c>
      <c r="I1797" t="s">
        <v>17</v>
      </c>
      <c r="K1797" t="s">
        <v>4975</v>
      </c>
      <c r="L1797">
        <v>428</v>
      </c>
      <c r="M1797" t="s">
        <v>4976</v>
      </c>
    </row>
    <row r="1798" spans="1:13" x14ac:dyDescent="0.45">
      <c r="A1798" t="s">
        <v>13</v>
      </c>
      <c r="B1798">
        <v>1925489</v>
      </c>
      <c r="C1798">
        <v>1926796</v>
      </c>
      <c r="E1798" t="s">
        <v>14</v>
      </c>
      <c r="F1798" t="s">
        <v>4977</v>
      </c>
      <c r="G1798" t="s">
        <v>4978</v>
      </c>
      <c r="H1798">
        <v>0</v>
      </c>
      <c r="I1798" t="s">
        <v>17</v>
      </c>
      <c r="K1798" t="s">
        <v>4979</v>
      </c>
      <c r="L1798">
        <v>435</v>
      </c>
      <c r="M1798" t="s">
        <v>4980</v>
      </c>
    </row>
    <row r="1799" spans="1:13" x14ac:dyDescent="0.45">
      <c r="A1799" t="s">
        <v>13</v>
      </c>
      <c r="B1799">
        <v>1927012</v>
      </c>
      <c r="C1799">
        <v>1927236</v>
      </c>
      <c r="E1799" t="s">
        <v>96</v>
      </c>
      <c r="F1799" t="s">
        <v>4065</v>
      </c>
      <c r="H1799">
        <v>0</v>
      </c>
      <c r="I1799" t="s">
        <v>17</v>
      </c>
      <c r="K1799" t="s">
        <v>4981</v>
      </c>
      <c r="L1799">
        <v>74</v>
      </c>
      <c r="M1799" t="s">
        <v>4982</v>
      </c>
    </row>
    <row r="1800" spans="1:13" x14ac:dyDescent="0.45">
      <c r="A1800" t="s">
        <v>13</v>
      </c>
      <c r="B1800">
        <v>1927333</v>
      </c>
      <c r="C1800">
        <v>1928586</v>
      </c>
      <c r="E1800" t="s">
        <v>96</v>
      </c>
      <c r="F1800" t="s">
        <v>4983</v>
      </c>
      <c r="H1800">
        <v>0</v>
      </c>
      <c r="I1800" t="s">
        <v>17</v>
      </c>
      <c r="K1800" t="s">
        <v>4984</v>
      </c>
      <c r="L1800">
        <v>417</v>
      </c>
      <c r="M1800" t="s">
        <v>4985</v>
      </c>
    </row>
    <row r="1801" spans="1:13" x14ac:dyDescent="0.45">
      <c r="A1801" t="s">
        <v>13</v>
      </c>
      <c r="B1801">
        <v>1928846</v>
      </c>
      <c r="C1801">
        <v>1929835</v>
      </c>
      <c r="E1801" t="s">
        <v>14</v>
      </c>
      <c r="F1801" t="s">
        <v>4986</v>
      </c>
      <c r="G1801" t="s">
        <v>4987</v>
      </c>
      <c r="H1801">
        <v>0</v>
      </c>
      <c r="I1801" t="s">
        <v>17</v>
      </c>
      <c r="K1801" t="s">
        <v>4988</v>
      </c>
      <c r="L1801">
        <v>329</v>
      </c>
      <c r="M1801" t="s">
        <v>4989</v>
      </c>
    </row>
    <row r="1802" spans="1:13" x14ac:dyDescent="0.45">
      <c r="A1802" t="s">
        <v>13</v>
      </c>
      <c r="B1802">
        <v>1929907</v>
      </c>
      <c r="C1802">
        <v>1930647</v>
      </c>
      <c r="E1802" t="s">
        <v>14</v>
      </c>
      <c r="F1802" t="s">
        <v>4990</v>
      </c>
      <c r="H1802">
        <v>0</v>
      </c>
      <c r="I1802" t="s">
        <v>17</v>
      </c>
      <c r="K1802" t="s">
        <v>4991</v>
      </c>
      <c r="L1802">
        <v>246</v>
      </c>
      <c r="M1802" t="s">
        <v>4992</v>
      </c>
    </row>
    <row r="1803" spans="1:13" x14ac:dyDescent="0.45">
      <c r="A1803" t="s">
        <v>13</v>
      </c>
      <c r="B1803">
        <v>1930847</v>
      </c>
      <c r="C1803">
        <v>1931998</v>
      </c>
      <c r="E1803" t="s">
        <v>14</v>
      </c>
      <c r="F1803" t="s">
        <v>4993</v>
      </c>
      <c r="H1803">
        <v>0</v>
      </c>
      <c r="I1803" t="s">
        <v>17</v>
      </c>
      <c r="K1803" t="s">
        <v>4994</v>
      </c>
      <c r="L1803">
        <v>383</v>
      </c>
      <c r="M1803" t="s">
        <v>4995</v>
      </c>
    </row>
    <row r="1804" spans="1:13" x14ac:dyDescent="0.45">
      <c r="A1804" t="s">
        <v>13</v>
      </c>
      <c r="B1804">
        <v>1932023</v>
      </c>
      <c r="C1804">
        <v>1932778</v>
      </c>
      <c r="E1804" t="s">
        <v>14</v>
      </c>
      <c r="F1804" t="s">
        <v>4996</v>
      </c>
      <c r="H1804">
        <v>0</v>
      </c>
      <c r="I1804" t="s">
        <v>17</v>
      </c>
      <c r="K1804" t="s">
        <v>4997</v>
      </c>
      <c r="L1804">
        <v>251</v>
      </c>
      <c r="M1804" t="s">
        <v>4998</v>
      </c>
    </row>
    <row r="1805" spans="1:13" x14ac:dyDescent="0.45">
      <c r="A1805" t="s">
        <v>13</v>
      </c>
      <c r="B1805">
        <v>1932970</v>
      </c>
      <c r="C1805">
        <v>1935357</v>
      </c>
      <c r="E1805" t="s">
        <v>14</v>
      </c>
      <c r="F1805" t="s">
        <v>4999</v>
      </c>
      <c r="H1805">
        <v>0</v>
      </c>
      <c r="I1805" t="s">
        <v>17</v>
      </c>
      <c r="K1805" t="s">
        <v>5000</v>
      </c>
      <c r="L1805">
        <v>795</v>
      </c>
      <c r="M1805" t="s">
        <v>5001</v>
      </c>
    </row>
    <row r="1806" spans="1:13" x14ac:dyDescent="0.45">
      <c r="A1806" t="s">
        <v>13</v>
      </c>
      <c r="B1806">
        <v>1935588</v>
      </c>
      <c r="C1806">
        <v>1935821</v>
      </c>
      <c r="E1806" t="s">
        <v>96</v>
      </c>
      <c r="F1806" t="s">
        <v>43</v>
      </c>
      <c r="H1806">
        <v>0</v>
      </c>
      <c r="I1806" t="s">
        <v>17</v>
      </c>
      <c r="K1806" t="s">
        <v>5002</v>
      </c>
      <c r="L1806">
        <v>77</v>
      </c>
      <c r="M1806" t="s">
        <v>5003</v>
      </c>
    </row>
    <row r="1807" spans="1:13" x14ac:dyDescent="0.45">
      <c r="A1807" t="s">
        <v>13</v>
      </c>
      <c r="B1807">
        <v>1936110</v>
      </c>
      <c r="C1807">
        <v>1936700</v>
      </c>
      <c r="E1807" t="s">
        <v>14</v>
      </c>
      <c r="F1807" t="s">
        <v>1178</v>
      </c>
      <c r="H1807">
        <v>0</v>
      </c>
      <c r="I1807" t="s">
        <v>17</v>
      </c>
      <c r="K1807" t="s">
        <v>5004</v>
      </c>
      <c r="L1807">
        <v>196</v>
      </c>
      <c r="M1807" t="s">
        <v>5005</v>
      </c>
    </row>
    <row r="1808" spans="1:13" x14ac:dyDescent="0.45">
      <c r="A1808" t="s">
        <v>13</v>
      </c>
      <c r="B1808">
        <v>1936814</v>
      </c>
      <c r="C1808">
        <v>1937659</v>
      </c>
      <c r="E1808" t="s">
        <v>14</v>
      </c>
      <c r="F1808" t="s">
        <v>1140</v>
      </c>
      <c r="H1808">
        <v>0</v>
      </c>
      <c r="I1808" t="s">
        <v>17</v>
      </c>
      <c r="K1808" t="s">
        <v>5006</v>
      </c>
      <c r="L1808">
        <v>281</v>
      </c>
      <c r="M1808" t="s">
        <v>5007</v>
      </c>
    </row>
    <row r="1809" spans="1:13" x14ac:dyDescent="0.45">
      <c r="A1809" t="s">
        <v>13</v>
      </c>
      <c r="B1809">
        <v>1937656</v>
      </c>
      <c r="C1809">
        <v>1938333</v>
      </c>
      <c r="E1809" t="s">
        <v>14</v>
      </c>
      <c r="F1809" t="s">
        <v>43</v>
      </c>
      <c r="H1809">
        <v>0</v>
      </c>
      <c r="I1809" t="s">
        <v>17</v>
      </c>
      <c r="K1809" t="s">
        <v>5008</v>
      </c>
      <c r="L1809">
        <v>225</v>
      </c>
      <c r="M1809" t="s">
        <v>5009</v>
      </c>
    </row>
    <row r="1810" spans="1:13" x14ac:dyDescent="0.45">
      <c r="A1810" t="s">
        <v>13</v>
      </c>
      <c r="B1810">
        <v>1938330</v>
      </c>
      <c r="C1810">
        <v>1939046</v>
      </c>
      <c r="E1810" t="s">
        <v>14</v>
      </c>
      <c r="F1810" t="s">
        <v>43</v>
      </c>
      <c r="H1810">
        <v>0</v>
      </c>
      <c r="I1810" t="s">
        <v>17</v>
      </c>
      <c r="K1810" t="s">
        <v>5010</v>
      </c>
      <c r="L1810">
        <v>238</v>
      </c>
      <c r="M1810" t="s">
        <v>5011</v>
      </c>
    </row>
    <row r="1811" spans="1:13" x14ac:dyDescent="0.45">
      <c r="A1811" t="s">
        <v>13</v>
      </c>
      <c r="B1811">
        <v>1939143</v>
      </c>
      <c r="C1811">
        <v>1939406</v>
      </c>
      <c r="E1811" t="s">
        <v>14</v>
      </c>
      <c r="F1811" t="s">
        <v>1432</v>
      </c>
      <c r="H1811">
        <v>0</v>
      </c>
      <c r="I1811" t="s">
        <v>17</v>
      </c>
      <c r="K1811" t="s">
        <v>5012</v>
      </c>
      <c r="L1811">
        <v>87</v>
      </c>
      <c r="M1811" t="s">
        <v>5013</v>
      </c>
    </row>
    <row r="1812" spans="1:13" x14ac:dyDescent="0.45">
      <c r="A1812" t="s">
        <v>13</v>
      </c>
      <c r="B1812">
        <v>1939378</v>
      </c>
      <c r="C1812">
        <v>1939833</v>
      </c>
      <c r="E1812" t="s">
        <v>14</v>
      </c>
      <c r="F1812" t="s">
        <v>5014</v>
      </c>
      <c r="G1812" t="s">
        <v>5015</v>
      </c>
      <c r="H1812">
        <v>0</v>
      </c>
      <c r="I1812" t="s">
        <v>17</v>
      </c>
      <c r="K1812" t="s">
        <v>5016</v>
      </c>
      <c r="L1812">
        <v>151</v>
      </c>
      <c r="M1812" t="s">
        <v>5017</v>
      </c>
    </row>
    <row r="1813" spans="1:13" x14ac:dyDescent="0.45">
      <c r="A1813" t="s">
        <v>13</v>
      </c>
      <c r="B1813">
        <v>1939885</v>
      </c>
      <c r="C1813">
        <v>1940346</v>
      </c>
      <c r="E1813" t="s">
        <v>14</v>
      </c>
      <c r="F1813" t="s">
        <v>5018</v>
      </c>
      <c r="H1813">
        <v>0</v>
      </c>
      <c r="I1813" t="s">
        <v>17</v>
      </c>
      <c r="K1813" t="s">
        <v>5019</v>
      </c>
      <c r="L1813">
        <v>153</v>
      </c>
      <c r="M1813" t="s">
        <v>5020</v>
      </c>
    </row>
    <row r="1814" spans="1:13" x14ac:dyDescent="0.45">
      <c r="A1814" t="s">
        <v>13</v>
      </c>
      <c r="B1814">
        <v>1940396</v>
      </c>
      <c r="C1814">
        <v>1941298</v>
      </c>
      <c r="E1814" t="s">
        <v>14</v>
      </c>
      <c r="F1814" t="s">
        <v>1879</v>
      </c>
      <c r="H1814">
        <v>0</v>
      </c>
      <c r="I1814" t="s">
        <v>17</v>
      </c>
      <c r="K1814" t="s">
        <v>5021</v>
      </c>
      <c r="L1814">
        <v>300</v>
      </c>
      <c r="M1814" t="s">
        <v>5022</v>
      </c>
    </row>
    <row r="1815" spans="1:13" x14ac:dyDescent="0.45">
      <c r="A1815" t="s">
        <v>13</v>
      </c>
      <c r="B1815">
        <v>1941650</v>
      </c>
      <c r="C1815">
        <v>1942480</v>
      </c>
      <c r="E1815" t="s">
        <v>14</v>
      </c>
      <c r="F1815" t="s">
        <v>1295</v>
      </c>
      <c r="H1815">
        <v>0</v>
      </c>
      <c r="I1815" t="s">
        <v>17</v>
      </c>
      <c r="K1815" t="s">
        <v>5023</v>
      </c>
      <c r="L1815">
        <v>276</v>
      </c>
      <c r="M1815" t="s">
        <v>5024</v>
      </c>
    </row>
    <row r="1816" spans="1:13" x14ac:dyDescent="0.45">
      <c r="A1816" t="s">
        <v>13</v>
      </c>
      <c r="B1816">
        <v>1942890</v>
      </c>
      <c r="C1816">
        <v>1943024</v>
      </c>
      <c r="E1816" t="s">
        <v>14</v>
      </c>
      <c r="F1816" t="s">
        <v>43</v>
      </c>
      <c r="H1816">
        <v>0</v>
      </c>
      <c r="I1816" t="s">
        <v>17</v>
      </c>
      <c r="K1816" t="s">
        <v>5025</v>
      </c>
      <c r="L1816">
        <v>44</v>
      </c>
      <c r="M1816" t="s">
        <v>5026</v>
      </c>
    </row>
    <row r="1817" spans="1:13" x14ac:dyDescent="0.45">
      <c r="A1817" t="s">
        <v>13</v>
      </c>
      <c r="B1817">
        <v>1943529</v>
      </c>
      <c r="C1817">
        <v>1944290</v>
      </c>
      <c r="E1817" t="s">
        <v>14</v>
      </c>
      <c r="F1817" t="s">
        <v>1488</v>
      </c>
      <c r="H1817">
        <v>0</v>
      </c>
      <c r="I1817" t="s">
        <v>17</v>
      </c>
      <c r="K1817" t="s">
        <v>5027</v>
      </c>
      <c r="L1817">
        <v>253</v>
      </c>
      <c r="M1817" t="s">
        <v>5028</v>
      </c>
    </row>
    <row r="1818" spans="1:13" x14ac:dyDescent="0.45">
      <c r="A1818" t="s">
        <v>13</v>
      </c>
      <c r="B1818">
        <v>1944355</v>
      </c>
      <c r="C1818">
        <v>1945137</v>
      </c>
      <c r="E1818" t="s">
        <v>14</v>
      </c>
      <c r="F1818" t="s">
        <v>271</v>
      </c>
      <c r="H1818">
        <v>0</v>
      </c>
      <c r="I1818" t="s">
        <v>272</v>
      </c>
      <c r="M1818" t="s">
        <v>5029</v>
      </c>
    </row>
    <row r="1819" spans="1:13" x14ac:dyDescent="0.45">
      <c r="A1819" t="s">
        <v>13</v>
      </c>
      <c r="B1819">
        <v>1945404</v>
      </c>
      <c r="C1819">
        <v>1945823</v>
      </c>
      <c r="E1819" t="s">
        <v>14</v>
      </c>
      <c r="F1819" t="s">
        <v>5030</v>
      </c>
      <c r="H1819">
        <v>0</v>
      </c>
      <c r="I1819" t="s">
        <v>17</v>
      </c>
      <c r="K1819" t="s">
        <v>5031</v>
      </c>
      <c r="L1819">
        <v>139</v>
      </c>
      <c r="M1819" t="s">
        <v>5032</v>
      </c>
    </row>
    <row r="1820" spans="1:13" x14ac:dyDescent="0.45">
      <c r="A1820" t="s">
        <v>13</v>
      </c>
      <c r="B1820">
        <v>1945926</v>
      </c>
      <c r="C1820">
        <v>1946192</v>
      </c>
      <c r="E1820" t="s">
        <v>96</v>
      </c>
      <c r="F1820" t="s">
        <v>5033</v>
      </c>
      <c r="H1820">
        <v>0</v>
      </c>
      <c r="I1820" t="s">
        <v>17</v>
      </c>
      <c r="K1820" t="s">
        <v>5034</v>
      </c>
      <c r="L1820">
        <v>88</v>
      </c>
      <c r="M1820" t="s">
        <v>5035</v>
      </c>
    </row>
    <row r="1821" spans="1:13" x14ac:dyDescent="0.45">
      <c r="A1821" t="s">
        <v>13</v>
      </c>
      <c r="B1821">
        <v>1946419</v>
      </c>
      <c r="C1821">
        <v>1947120</v>
      </c>
      <c r="E1821" t="s">
        <v>14</v>
      </c>
      <c r="F1821" t="s">
        <v>5036</v>
      </c>
      <c r="H1821">
        <v>0</v>
      </c>
      <c r="I1821" t="s">
        <v>17</v>
      </c>
      <c r="K1821" t="s">
        <v>5037</v>
      </c>
      <c r="L1821">
        <v>233</v>
      </c>
      <c r="M1821" t="s">
        <v>5038</v>
      </c>
    </row>
    <row r="1822" spans="1:13" x14ac:dyDescent="0.45">
      <c r="A1822" t="s">
        <v>13</v>
      </c>
      <c r="B1822">
        <v>1947202</v>
      </c>
      <c r="C1822">
        <v>1947810</v>
      </c>
      <c r="E1822" t="s">
        <v>14</v>
      </c>
      <c r="F1822" t="s">
        <v>2084</v>
      </c>
      <c r="H1822">
        <v>0</v>
      </c>
      <c r="I1822" t="s">
        <v>17</v>
      </c>
      <c r="K1822" t="s">
        <v>5039</v>
      </c>
      <c r="L1822">
        <v>202</v>
      </c>
      <c r="M1822" t="s">
        <v>5040</v>
      </c>
    </row>
    <row r="1823" spans="1:13" x14ac:dyDescent="0.45">
      <c r="A1823" t="s">
        <v>13</v>
      </c>
      <c r="B1823">
        <v>1948134</v>
      </c>
      <c r="C1823">
        <v>1948598</v>
      </c>
      <c r="E1823" t="s">
        <v>14</v>
      </c>
      <c r="F1823" t="s">
        <v>5041</v>
      </c>
      <c r="H1823">
        <v>0</v>
      </c>
      <c r="I1823" t="s">
        <v>17</v>
      </c>
      <c r="K1823" t="s">
        <v>5042</v>
      </c>
      <c r="L1823">
        <v>154</v>
      </c>
      <c r="M1823" t="s">
        <v>5043</v>
      </c>
    </row>
    <row r="1824" spans="1:13" x14ac:dyDescent="0.45">
      <c r="A1824" t="s">
        <v>13</v>
      </c>
      <c r="B1824">
        <v>1949235</v>
      </c>
      <c r="C1824">
        <v>1950251</v>
      </c>
      <c r="E1824" t="s">
        <v>14</v>
      </c>
      <c r="F1824" t="s">
        <v>5044</v>
      </c>
      <c r="G1824" t="s">
        <v>5045</v>
      </c>
      <c r="H1824">
        <v>0</v>
      </c>
      <c r="I1824" t="s">
        <v>17</v>
      </c>
      <c r="K1824" t="s">
        <v>5046</v>
      </c>
      <c r="L1824">
        <v>338</v>
      </c>
      <c r="M1824" t="s">
        <v>5047</v>
      </c>
    </row>
    <row r="1825" spans="1:13" x14ac:dyDescent="0.45">
      <c r="A1825" t="s">
        <v>13</v>
      </c>
      <c r="B1825">
        <v>1950646</v>
      </c>
      <c r="C1825">
        <v>1951815</v>
      </c>
      <c r="E1825" t="s">
        <v>14</v>
      </c>
      <c r="F1825" t="s">
        <v>43</v>
      </c>
      <c r="H1825">
        <v>0</v>
      </c>
      <c r="I1825" t="s">
        <v>17</v>
      </c>
      <c r="K1825" t="s">
        <v>5048</v>
      </c>
      <c r="L1825">
        <v>389</v>
      </c>
      <c r="M1825" t="s">
        <v>5049</v>
      </c>
    </row>
    <row r="1826" spans="1:13" x14ac:dyDescent="0.45">
      <c r="A1826" t="s">
        <v>13</v>
      </c>
      <c r="B1826">
        <v>1952196</v>
      </c>
      <c r="C1826">
        <v>1956449</v>
      </c>
      <c r="E1826" t="s">
        <v>14</v>
      </c>
      <c r="F1826" t="s">
        <v>5050</v>
      </c>
      <c r="H1826">
        <v>0</v>
      </c>
      <c r="I1826" t="s">
        <v>17</v>
      </c>
      <c r="K1826" t="s">
        <v>5051</v>
      </c>
      <c r="L1826">
        <v>1417</v>
      </c>
      <c r="M1826" t="s">
        <v>5052</v>
      </c>
    </row>
    <row r="1827" spans="1:13" x14ac:dyDescent="0.45">
      <c r="A1827" t="s">
        <v>13</v>
      </c>
      <c r="B1827">
        <v>1956598</v>
      </c>
      <c r="C1827">
        <v>1957092</v>
      </c>
      <c r="E1827" t="s">
        <v>14</v>
      </c>
      <c r="F1827" t="s">
        <v>1789</v>
      </c>
      <c r="H1827">
        <v>0</v>
      </c>
      <c r="I1827" t="s">
        <v>17</v>
      </c>
      <c r="K1827" t="s">
        <v>5053</v>
      </c>
      <c r="L1827">
        <v>164</v>
      </c>
      <c r="M1827" t="s">
        <v>5054</v>
      </c>
    </row>
    <row r="1828" spans="1:13" x14ac:dyDescent="0.45">
      <c r="A1828" t="s">
        <v>13</v>
      </c>
      <c r="B1828">
        <v>1957208</v>
      </c>
      <c r="C1828">
        <v>1957585</v>
      </c>
      <c r="E1828" t="s">
        <v>14</v>
      </c>
      <c r="F1828" t="s">
        <v>5055</v>
      </c>
      <c r="H1828">
        <v>0</v>
      </c>
      <c r="I1828" t="s">
        <v>17</v>
      </c>
      <c r="K1828" t="s">
        <v>5056</v>
      </c>
      <c r="L1828">
        <v>125</v>
      </c>
      <c r="M1828" t="s">
        <v>5057</v>
      </c>
    </row>
    <row r="1829" spans="1:13" x14ac:dyDescent="0.45">
      <c r="A1829" t="s">
        <v>13</v>
      </c>
      <c r="B1829">
        <v>1957791</v>
      </c>
      <c r="C1829">
        <v>1958231</v>
      </c>
      <c r="E1829" t="s">
        <v>14</v>
      </c>
      <c r="F1829" t="s">
        <v>43</v>
      </c>
      <c r="H1829">
        <v>0</v>
      </c>
      <c r="I1829" t="s">
        <v>17</v>
      </c>
      <c r="K1829" t="s">
        <v>5058</v>
      </c>
      <c r="L1829">
        <v>146</v>
      </c>
      <c r="M1829" t="s">
        <v>5059</v>
      </c>
    </row>
    <row r="1830" spans="1:13" x14ac:dyDescent="0.45">
      <c r="A1830" t="s">
        <v>13</v>
      </c>
      <c r="B1830">
        <v>1958862</v>
      </c>
      <c r="C1830">
        <v>1960169</v>
      </c>
      <c r="E1830" t="s">
        <v>14</v>
      </c>
      <c r="F1830" t="s">
        <v>43</v>
      </c>
      <c r="H1830">
        <v>0</v>
      </c>
      <c r="I1830" t="s">
        <v>17</v>
      </c>
      <c r="K1830" t="s">
        <v>5060</v>
      </c>
      <c r="L1830">
        <v>435</v>
      </c>
      <c r="M1830" t="s">
        <v>5061</v>
      </c>
    </row>
    <row r="1831" spans="1:13" x14ac:dyDescent="0.45">
      <c r="A1831" t="s">
        <v>13</v>
      </c>
      <c r="B1831">
        <v>1960643</v>
      </c>
      <c r="C1831">
        <v>1961446</v>
      </c>
      <c r="E1831" t="s">
        <v>14</v>
      </c>
      <c r="F1831" t="s">
        <v>5062</v>
      </c>
      <c r="H1831">
        <v>0</v>
      </c>
      <c r="I1831" t="s">
        <v>17</v>
      </c>
      <c r="K1831" t="s">
        <v>5063</v>
      </c>
      <c r="L1831">
        <v>267</v>
      </c>
      <c r="M1831" t="s">
        <v>5064</v>
      </c>
    </row>
    <row r="1832" spans="1:13" x14ac:dyDescent="0.45">
      <c r="A1832" t="s">
        <v>13</v>
      </c>
      <c r="B1832">
        <v>1961484</v>
      </c>
      <c r="C1832">
        <v>1962095</v>
      </c>
      <c r="E1832" t="s">
        <v>14</v>
      </c>
      <c r="F1832" t="s">
        <v>2223</v>
      </c>
      <c r="H1832">
        <v>0</v>
      </c>
      <c r="I1832" t="s">
        <v>17</v>
      </c>
      <c r="K1832" t="s">
        <v>5065</v>
      </c>
      <c r="L1832">
        <v>203</v>
      </c>
      <c r="M1832" t="s">
        <v>5066</v>
      </c>
    </row>
    <row r="1833" spans="1:13" x14ac:dyDescent="0.45">
      <c r="A1833" t="s">
        <v>13</v>
      </c>
      <c r="B1833">
        <v>1962127</v>
      </c>
      <c r="C1833">
        <v>1962798</v>
      </c>
      <c r="E1833" t="s">
        <v>14</v>
      </c>
      <c r="F1833" t="s">
        <v>2226</v>
      </c>
      <c r="H1833">
        <v>0</v>
      </c>
      <c r="I1833" t="s">
        <v>17</v>
      </c>
      <c r="K1833" t="s">
        <v>5067</v>
      </c>
      <c r="L1833">
        <v>223</v>
      </c>
      <c r="M1833" t="s">
        <v>5068</v>
      </c>
    </row>
    <row r="1834" spans="1:13" x14ac:dyDescent="0.45">
      <c r="A1834" t="s">
        <v>13</v>
      </c>
      <c r="B1834">
        <v>1963097</v>
      </c>
      <c r="C1834">
        <v>1963459</v>
      </c>
      <c r="E1834" t="s">
        <v>14</v>
      </c>
      <c r="F1834" t="s">
        <v>5069</v>
      </c>
      <c r="H1834">
        <v>0</v>
      </c>
      <c r="I1834" t="s">
        <v>17</v>
      </c>
      <c r="K1834" t="s">
        <v>5070</v>
      </c>
      <c r="L1834">
        <v>120</v>
      </c>
      <c r="M1834" t="s">
        <v>5071</v>
      </c>
    </row>
    <row r="1835" spans="1:13" x14ac:dyDescent="0.45">
      <c r="A1835" t="s">
        <v>13</v>
      </c>
      <c r="B1835">
        <v>1963895</v>
      </c>
      <c r="C1835">
        <v>1964596</v>
      </c>
      <c r="E1835" t="s">
        <v>14</v>
      </c>
      <c r="F1835" t="s">
        <v>5072</v>
      </c>
      <c r="H1835">
        <v>0</v>
      </c>
      <c r="I1835" t="s">
        <v>17</v>
      </c>
      <c r="K1835" t="s">
        <v>5073</v>
      </c>
      <c r="L1835">
        <v>233</v>
      </c>
      <c r="M1835" t="s">
        <v>5074</v>
      </c>
    </row>
    <row r="1836" spans="1:13" x14ac:dyDescent="0.45">
      <c r="A1836" t="s">
        <v>13</v>
      </c>
      <c r="B1836">
        <v>1964867</v>
      </c>
      <c r="C1836">
        <v>1965685</v>
      </c>
      <c r="E1836" t="s">
        <v>14</v>
      </c>
      <c r="F1836" t="s">
        <v>5075</v>
      </c>
      <c r="G1836" t="s">
        <v>5076</v>
      </c>
      <c r="H1836">
        <v>0</v>
      </c>
      <c r="I1836" t="s">
        <v>17</v>
      </c>
      <c r="K1836" t="s">
        <v>5077</v>
      </c>
      <c r="L1836">
        <v>272</v>
      </c>
      <c r="M1836" t="s">
        <v>5078</v>
      </c>
    </row>
    <row r="1837" spans="1:13" x14ac:dyDescent="0.45">
      <c r="A1837" t="s">
        <v>13</v>
      </c>
      <c r="B1837">
        <v>1965740</v>
      </c>
      <c r="C1837">
        <v>1966888</v>
      </c>
      <c r="E1837" t="s">
        <v>14</v>
      </c>
      <c r="F1837" t="s">
        <v>5079</v>
      </c>
      <c r="H1837">
        <v>0</v>
      </c>
      <c r="I1837" t="s">
        <v>17</v>
      </c>
      <c r="K1837" t="s">
        <v>5080</v>
      </c>
      <c r="L1837">
        <v>382</v>
      </c>
      <c r="M1837" t="s">
        <v>5081</v>
      </c>
    </row>
    <row r="1838" spans="1:13" x14ac:dyDescent="0.45">
      <c r="A1838" t="s">
        <v>13</v>
      </c>
      <c r="B1838">
        <v>1967024</v>
      </c>
      <c r="C1838">
        <v>1968412</v>
      </c>
      <c r="E1838" t="s">
        <v>14</v>
      </c>
      <c r="F1838" t="s">
        <v>43</v>
      </c>
      <c r="H1838">
        <v>0</v>
      </c>
      <c r="I1838" t="s">
        <v>17</v>
      </c>
      <c r="K1838" t="s">
        <v>5082</v>
      </c>
      <c r="L1838">
        <v>462</v>
      </c>
      <c r="M1838" t="s">
        <v>5083</v>
      </c>
    </row>
    <row r="1839" spans="1:13" x14ac:dyDescent="0.45">
      <c r="A1839" t="s">
        <v>13</v>
      </c>
      <c r="B1839">
        <v>1968441</v>
      </c>
      <c r="C1839">
        <v>1969139</v>
      </c>
      <c r="E1839" t="s">
        <v>14</v>
      </c>
      <c r="F1839" t="s">
        <v>5084</v>
      </c>
      <c r="G1839" t="s">
        <v>5085</v>
      </c>
      <c r="H1839">
        <v>0</v>
      </c>
      <c r="I1839" t="s">
        <v>17</v>
      </c>
      <c r="K1839" t="s">
        <v>5086</v>
      </c>
      <c r="L1839">
        <v>232</v>
      </c>
      <c r="M1839" t="s">
        <v>5087</v>
      </c>
    </row>
    <row r="1840" spans="1:13" x14ac:dyDescent="0.45">
      <c r="A1840" t="s">
        <v>13</v>
      </c>
      <c r="B1840">
        <v>1969142</v>
      </c>
      <c r="C1840">
        <v>1970575</v>
      </c>
      <c r="E1840" t="s">
        <v>14</v>
      </c>
      <c r="F1840" t="s">
        <v>5088</v>
      </c>
      <c r="G1840" t="s">
        <v>5089</v>
      </c>
      <c r="H1840">
        <v>0</v>
      </c>
      <c r="I1840" t="s">
        <v>17</v>
      </c>
      <c r="K1840" t="s">
        <v>5090</v>
      </c>
      <c r="L1840">
        <v>477</v>
      </c>
      <c r="M1840" t="s">
        <v>5091</v>
      </c>
    </row>
    <row r="1841" spans="1:13" x14ac:dyDescent="0.45">
      <c r="A1841" t="s">
        <v>13</v>
      </c>
      <c r="B1841">
        <v>1970597</v>
      </c>
      <c r="C1841">
        <v>1971334</v>
      </c>
      <c r="E1841" t="s">
        <v>14</v>
      </c>
      <c r="F1841" t="s">
        <v>485</v>
      </c>
      <c r="G1841" t="s">
        <v>486</v>
      </c>
      <c r="H1841">
        <v>0</v>
      </c>
      <c r="I1841" t="s">
        <v>17</v>
      </c>
      <c r="K1841" t="s">
        <v>5092</v>
      </c>
      <c r="L1841">
        <v>245</v>
      </c>
      <c r="M1841" t="s">
        <v>5093</v>
      </c>
    </row>
    <row r="1842" spans="1:13" x14ac:dyDescent="0.45">
      <c r="A1842" t="s">
        <v>13</v>
      </c>
      <c r="B1842">
        <v>1971905</v>
      </c>
      <c r="C1842">
        <v>1973104</v>
      </c>
      <c r="E1842" t="s">
        <v>14</v>
      </c>
      <c r="F1842" t="s">
        <v>5094</v>
      </c>
      <c r="H1842">
        <v>0</v>
      </c>
      <c r="I1842" t="s">
        <v>17</v>
      </c>
      <c r="K1842" t="s">
        <v>5095</v>
      </c>
      <c r="L1842">
        <v>399</v>
      </c>
      <c r="M1842" t="s">
        <v>5096</v>
      </c>
    </row>
    <row r="1843" spans="1:13" x14ac:dyDescent="0.45">
      <c r="A1843" t="s">
        <v>13</v>
      </c>
      <c r="B1843">
        <v>1973351</v>
      </c>
      <c r="C1843">
        <v>1974397</v>
      </c>
      <c r="E1843" t="s">
        <v>14</v>
      </c>
      <c r="F1843" t="s">
        <v>5097</v>
      </c>
      <c r="H1843">
        <v>0</v>
      </c>
      <c r="I1843" t="s">
        <v>17</v>
      </c>
      <c r="K1843" t="s">
        <v>5098</v>
      </c>
      <c r="L1843">
        <v>348</v>
      </c>
      <c r="M1843" t="s">
        <v>5099</v>
      </c>
    </row>
    <row r="1844" spans="1:13" x14ac:dyDescent="0.45">
      <c r="A1844" t="s">
        <v>13</v>
      </c>
      <c r="B1844">
        <v>1974505</v>
      </c>
      <c r="C1844">
        <v>1975668</v>
      </c>
      <c r="E1844" t="s">
        <v>14</v>
      </c>
      <c r="F1844" t="s">
        <v>1827</v>
      </c>
      <c r="H1844">
        <v>0</v>
      </c>
      <c r="I1844" t="s">
        <v>17</v>
      </c>
      <c r="K1844" t="s">
        <v>5100</v>
      </c>
      <c r="L1844">
        <v>387</v>
      </c>
      <c r="M1844" t="s">
        <v>5101</v>
      </c>
    </row>
    <row r="1845" spans="1:13" x14ac:dyDescent="0.45">
      <c r="A1845" t="s">
        <v>13</v>
      </c>
      <c r="B1845">
        <v>1975757</v>
      </c>
      <c r="C1845">
        <v>1976137</v>
      </c>
      <c r="E1845" t="s">
        <v>96</v>
      </c>
      <c r="F1845" t="s">
        <v>5102</v>
      </c>
      <c r="H1845">
        <v>0</v>
      </c>
      <c r="I1845" t="s">
        <v>17</v>
      </c>
      <c r="K1845" t="s">
        <v>5103</v>
      </c>
      <c r="L1845">
        <v>126</v>
      </c>
      <c r="M1845" t="s">
        <v>5104</v>
      </c>
    </row>
    <row r="1846" spans="1:13" x14ac:dyDescent="0.45">
      <c r="A1846" t="s">
        <v>13</v>
      </c>
      <c r="B1846">
        <v>1976140</v>
      </c>
      <c r="C1846">
        <v>1976799</v>
      </c>
      <c r="E1846" t="s">
        <v>96</v>
      </c>
      <c r="F1846" t="s">
        <v>5105</v>
      </c>
      <c r="H1846">
        <v>0</v>
      </c>
      <c r="I1846" t="s">
        <v>17</v>
      </c>
      <c r="K1846" t="s">
        <v>5106</v>
      </c>
      <c r="L1846">
        <v>219</v>
      </c>
      <c r="M1846" t="s">
        <v>5107</v>
      </c>
    </row>
    <row r="1847" spans="1:13" x14ac:dyDescent="0.45">
      <c r="A1847" t="s">
        <v>13</v>
      </c>
      <c r="B1847">
        <v>1976905</v>
      </c>
      <c r="C1847">
        <v>1977879</v>
      </c>
      <c r="E1847" t="s">
        <v>96</v>
      </c>
      <c r="F1847" t="s">
        <v>3681</v>
      </c>
      <c r="H1847">
        <v>0</v>
      </c>
      <c r="I1847" t="s">
        <v>17</v>
      </c>
      <c r="K1847" t="s">
        <v>5108</v>
      </c>
      <c r="L1847">
        <v>324</v>
      </c>
      <c r="M1847" t="s">
        <v>5109</v>
      </c>
    </row>
    <row r="1848" spans="1:13" x14ac:dyDescent="0.45">
      <c r="A1848" t="s">
        <v>13</v>
      </c>
      <c r="B1848">
        <v>1977919</v>
      </c>
      <c r="C1848">
        <v>1978266</v>
      </c>
      <c r="E1848" t="s">
        <v>96</v>
      </c>
      <c r="F1848" t="s">
        <v>43</v>
      </c>
      <c r="H1848">
        <v>0</v>
      </c>
      <c r="I1848" t="s">
        <v>17</v>
      </c>
      <c r="K1848" t="s">
        <v>5110</v>
      </c>
      <c r="L1848">
        <v>115</v>
      </c>
      <c r="M1848" t="s">
        <v>5111</v>
      </c>
    </row>
    <row r="1849" spans="1:13" x14ac:dyDescent="0.45">
      <c r="A1849" t="s">
        <v>13</v>
      </c>
      <c r="B1849">
        <v>1978484</v>
      </c>
      <c r="C1849">
        <v>1979440</v>
      </c>
      <c r="E1849" t="s">
        <v>96</v>
      </c>
      <c r="F1849" t="s">
        <v>5112</v>
      </c>
      <c r="H1849">
        <v>0</v>
      </c>
      <c r="I1849" t="s">
        <v>17</v>
      </c>
      <c r="K1849" t="s">
        <v>5113</v>
      </c>
      <c r="L1849">
        <v>318</v>
      </c>
      <c r="M1849" t="s">
        <v>5114</v>
      </c>
    </row>
    <row r="1850" spans="1:13" x14ac:dyDescent="0.45">
      <c r="A1850" t="s">
        <v>13</v>
      </c>
      <c r="B1850">
        <v>1979881</v>
      </c>
      <c r="C1850">
        <v>1980249</v>
      </c>
      <c r="E1850" t="s">
        <v>14</v>
      </c>
      <c r="F1850" t="s">
        <v>5055</v>
      </c>
      <c r="H1850">
        <v>0</v>
      </c>
      <c r="I1850" t="s">
        <v>17</v>
      </c>
      <c r="K1850" t="s">
        <v>5115</v>
      </c>
      <c r="L1850">
        <v>122</v>
      </c>
      <c r="M1850" t="s">
        <v>5116</v>
      </c>
    </row>
    <row r="1851" spans="1:13" x14ac:dyDescent="0.45">
      <c r="A1851" t="s">
        <v>13</v>
      </c>
      <c r="B1851">
        <v>1980674</v>
      </c>
      <c r="C1851">
        <v>1980919</v>
      </c>
      <c r="E1851" t="s">
        <v>14</v>
      </c>
      <c r="F1851" t="s">
        <v>43</v>
      </c>
      <c r="H1851">
        <v>0</v>
      </c>
      <c r="I1851" t="s">
        <v>17</v>
      </c>
      <c r="K1851" t="s">
        <v>5117</v>
      </c>
      <c r="L1851">
        <v>81</v>
      </c>
      <c r="M1851" t="s">
        <v>5118</v>
      </c>
    </row>
    <row r="1852" spans="1:13" x14ac:dyDescent="0.45">
      <c r="A1852" t="s">
        <v>13</v>
      </c>
      <c r="B1852">
        <v>1981018</v>
      </c>
      <c r="C1852">
        <v>1981281</v>
      </c>
      <c r="E1852" t="s">
        <v>14</v>
      </c>
      <c r="F1852" t="s">
        <v>5119</v>
      </c>
      <c r="H1852">
        <v>0</v>
      </c>
      <c r="I1852" t="s">
        <v>17</v>
      </c>
      <c r="K1852" t="s">
        <v>5120</v>
      </c>
      <c r="L1852">
        <v>87</v>
      </c>
      <c r="M1852" t="s">
        <v>5121</v>
      </c>
    </row>
    <row r="1853" spans="1:13" x14ac:dyDescent="0.45">
      <c r="A1853" t="s">
        <v>13</v>
      </c>
      <c r="B1853">
        <v>1981566</v>
      </c>
      <c r="C1853">
        <v>1982513</v>
      </c>
      <c r="E1853" t="s">
        <v>96</v>
      </c>
      <c r="F1853" t="s">
        <v>751</v>
      </c>
      <c r="H1853">
        <v>0</v>
      </c>
      <c r="I1853" t="s">
        <v>17</v>
      </c>
      <c r="K1853" t="s">
        <v>5122</v>
      </c>
      <c r="L1853">
        <v>315</v>
      </c>
      <c r="M1853" t="s">
        <v>5123</v>
      </c>
    </row>
    <row r="1854" spans="1:13" x14ac:dyDescent="0.45">
      <c r="A1854" t="s">
        <v>13</v>
      </c>
      <c r="B1854">
        <v>1982516</v>
      </c>
      <c r="C1854">
        <v>1984147</v>
      </c>
      <c r="E1854" t="s">
        <v>96</v>
      </c>
      <c r="F1854" t="s">
        <v>4646</v>
      </c>
      <c r="H1854">
        <v>0</v>
      </c>
      <c r="I1854" t="s">
        <v>17</v>
      </c>
      <c r="K1854" t="s">
        <v>5124</v>
      </c>
      <c r="L1854">
        <v>543</v>
      </c>
      <c r="M1854" t="s">
        <v>5125</v>
      </c>
    </row>
    <row r="1855" spans="1:13" x14ac:dyDescent="0.45">
      <c r="A1855" t="s">
        <v>13</v>
      </c>
      <c r="B1855">
        <v>1984277</v>
      </c>
      <c r="C1855">
        <v>1985194</v>
      </c>
      <c r="E1855" t="s">
        <v>14</v>
      </c>
      <c r="F1855" t="s">
        <v>792</v>
      </c>
      <c r="H1855">
        <v>0</v>
      </c>
      <c r="I1855" t="s">
        <v>17</v>
      </c>
      <c r="K1855" t="s">
        <v>5126</v>
      </c>
      <c r="L1855">
        <v>305</v>
      </c>
      <c r="M1855" t="s">
        <v>5127</v>
      </c>
    </row>
    <row r="1856" spans="1:13" x14ac:dyDescent="0.45">
      <c r="A1856" t="s">
        <v>13</v>
      </c>
      <c r="B1856">
        <v>1985251</v>
      </c>
      <c r="C1856">
        <v>1985832</v>
      </c>
      <c r="E1856" t="s">
        <v>96</v>
      </c>
      <c r="F1856" t="s">
        <v>4680</v>
      </c>
      <c r="H1856">
        <v>0</v>
      </c>
      <c r="I1856" t="s">
        <v>17</v>
      </c>
      <c r="K1856" t="s">
        <v>5128</v>
      </c>
      <c r="L1856">
        <v>193</v>
      </c>
      <c r="M1856" t="s">
        <v>5129</v>
      </c>
    </row>
    <row r="1857" spans="1:13" x14ac:dyDescent="0.45">
      <c r="A1857" t="s">
        <v>13</v>
      </c>
      <c r="B1857">
        <v>1985872</v>
      </c>
      <c r="C1857">
        <v>1986438</v>
      </c>
      <c r="E1857" t="s">
        <v>96</v>
      </c>
      <c r="F1857" t="s">
        <v>4680</v>
      </c>
      <c r="H1857">
        <v>0</v>
      </c>
      <c r="I1857" t="s">
        <v>17</v>
      </c>
      <c r="K1857" t="s">
        <v>5130</v>
      </c>
      <c r="L1857">
        <v>188</v>
      </c>
      <c r="M1857" t="s">
        <v>5131</v>
      </c>
    </row>
    <row r="1858" spans="1:13" x14ac:dyDescent="0.45">
      <c r="A1858" t="s">
        <v>13</v>
      </c>
      <c r="B1858">
        <v>1986893</v>
      </c>
      <c r="C1858">
        <v>1987753</v>
      </c>
      <c r="E1858" t="s">
        <v>96</v>
      </c>
      <c r="F1858" t="s">
        <v>3962</v>
      </c>
      <c r="H1858">
        <v>0</v>
      </c>
      <c r="I1858" t="s">
        <v>17</v>
      </c>
      <c r="K1858" t="s">
        <v>5132</v>
      </c>
      <c r="L1858">
        <v>286</v>
      </c>
      <c r="M1858" t="s">
        <v>5133</v>
      </c>
    </row>
    <row r="1859" spans="1:13" x14ac:dyDescent="0.45">
      <c r="A1859" t="s">
        <v>13</v>
      </c>
      <c r="B1859">
        <v>1987902</v>
      </c>
      <c r="C1859">
        <v>1988792</v>
      </c>
      <c r="E1859" t="s">
        <v>14</v>
      </c>
      <c r="F1859" t="s">
        <v>1285</v>
      </c>
      <c r="H1859">
        <v>0</v>
      </c>
      <c r="I1859" t="s">
        <v>17</v>
      </c>
      <c r="K1859" t="s">
        <v>5134</v>
      </c>
      <c r="L1859">
        <v>296</v>
      </c>
      <c r="M1859" t="s">
        <v>5135</v>
      </c>
    </row>
    <row r="1860" spans="1:13" x14ac:dyDescent="0.45">
      <c r="A1860" t="s">
        <v>13</v>
      </c>
      <c r="B1860">
        <v>1989010</v>
      </c>
      <c r="C1860">
        <v>1990764</v>
      </c>
      <c r="E1860" t="s">
        <v>14</v>
      </c>
      <c r="F1860" t="s">
        <v>5136</v>
      </c>
      <c r="H1860">
        <v>0</v>
      </c>
      <c r="I1860" t="s">
        <v>17</v>
      </c>
      <c r="K1860" t="s">
        <v>5137</v>
      </c>
      <c r="L1860">
        <v>584</v>
      </c>
      <c r="M1860" t="s">
        <v>5138</v>
      </c>
    </row>
    <row r="1861" spans="1:13" x14ac:dyDescent="0.45">
      <c r="A1861" t="s">
        <v>13</v>
      </c>
      <c r="B1861">
        <v>1991148</v>
      </c>
      <c r="C1861">
        <v>1992134</v>
      </c>
      <c r="E1861" t="s">
        <v>14</v>
      </c>
      <c r="F1861" t="s">
        <v>1154</v>
      </c>
      <c r="H1861">
        <v>0</v>
      </c>
      <c r="I1861" t="s">
        <v>17</v>
      </c>
      <c r="K1861" t="s">
        <v>5139</v>
      </c>
      <c r="L1861">
        <v>328</v>
      </c>
      <c r="M1861" t="s">
        <v>5140</v>
      </c>
    </row>
    <row r="1862" spans="1:13" x14ac:dyDescent="0.45">
      <c r="A1862" t="s">
        <v>13</v>
      </c>
      <c r="B1862">
        <v>1992471</v>
      </c>
      <c r="C1862">
        <v>1993952</v>
      </c>
      <c r="E1862" t="s">
        <v>14</v>
      </c>
      <c r="F1862" t="s">
        <v>5141</v>
      </c>
      <c r="H1862">
        <v>0</v>
      </c>
      <c r="I1862" t="s">
        <v>17</v>
      </c>
      <c r="K1862" t="s">
        <v>5142</v>
      </c>
      <c r="L1862">
        <v>493</v>
      </c>
      <c r="M1862" t="s">
        <v>5143</v>
      </c>
    </row>
    <row r="1863" spans="1:13" x14ac:dyDescent="0.45">
      <c r="A1863" t="s">
        <v>13</v>
      </c>
      <c r="B1863">
        <v>1993978</v>
      </c>
      <c r="C1863">
        <v>1994949</v>
      </c>
      <c r="E1863" t="s">
        <v>14</v>
      </c>
      <c r="F1863" t="s">
        <v>5144</v>
      </c>
      <c r="H1863">
        <v>0</v>
      </c>
      <c r="I1863" t="s">
        <v>17</v>
      </c>
      <c r="K1863" t="s">
        <v>5145</v>
      </c>
      <c r="L1863">
        <v>323</v>
      </c>
      <c r="M1863" t="s">
        <v>5146</v>
      </c>
    </row>
    <row r="1864" spans="1:13" x14ac:dyDescent="0.45">
      <c r="A1864" t="s">
        <v>13</v>
      </c>
      <c r="B1864">
        <v>1995205</v>
      </c>
      <c r="C1864">
        <v>1995807</v>
      </c>
      <c r="E1864" t="s">
        <v>96</v>
      </c>
      <c r="F1864" t="s">
        <v>1482</v>
      </c>
      <c r="H1864">
        <v>0</v>
      </c>
      <c r="I1864" t="s">
        <v>17</v>
      </c>
      <c r="K1864" t="s">
        <v>5147</v>
      </c>
      <c r="L1864">
        <v>200</v>
      </c>
      <c r="M1864" t="s">
        <v>5148</v>
      </c>
    </row>
    <row r="1865" spans="1:13" x14ac:dyDescent="0.45">
      <c r="A1865" t="s">
        <v>13</v>
      </c>
      <c r="B1865">
        <v>1996088</v>
      </c>
      <c r="C1865">
        <v>1997299</v>
      </c>
      <c r="E1865" t="s">
        <v>14</v>
      </c>
      <c r="F1865" t="s">
        <v>5149</v>
      </c>
      <c r="H1865">
        <v>0</v>
      </c>
      <c r="I1865" t="s">
        <v>17</v>
      </c>
      <c r="K1865" t="s">
        <v>5150</v>
      </c>
      <c r="L1865">
        <v>403</v>
      </c>
      <c r="M1865" t="s">
        <v>5151</v>
      </c>
    </row>
    <row r="1866" spans="1:13" x14ac:dyDescent="0.45">
      <c r="A1866" t="s">
        <v>13</v>
      </c>
      <c r="B1866">
        <v>1997367</v>
      </c>
      <c r="C1866">
        <v>1997564</v>
      </c>
      <c r="E1866" t="s">
        <v>14</v>
      </c>
      <c r="F1866" t="s">
        <v>43</v>
      </c>
      <c r="H1866">
        <v>0</v>
      </c>
      <c r="I1866" t="s">
        <v>17</v>
      </c>
      <c r="K1866" t="s">
        <v>5152</v>
      </c>
      <c r="L1866">
        <v>65</v>
      </c>
      <c r="M1866" t="s">
        <v>5153</v>
      </c>
    </row>
    <row r="1867" spans="1:13" x14ac:dyDescent="0.45">
      <c r="A1867" t="s">
        <v>13</v>
      </c>
      <c r="B1867">
        <v>1997598</v>
      </c>
      <c r="C1867">
        <v>1998569</v>
      </c>
      <c r="E1867" t="s">
        <v>14</v>
      </c>
      <c r="F1867" t="s">
        <v>205</v>
      </c>
      <c r="H1867">
        <v>0</v>
      </c>
      <c r="I1867" t="s">
        <v>17</v>
      </c>
      <c r="K1867" t="s">
        <v>5154</v>
      </c>
      <c r="L1867">
        <v>323</v>
      </c>
      <c r="M1867" t="s">
        <v>5155</v>
      </c>
    </row>
    <row r="1868" spans="1:13" x14ac:dyDescent="0.45">
      <c r="A1868" t="s">
        <v>13</v>
      </c>
      <c r="B1868">
        <v>1998756</v>
      </c>
      <c r="C1868">
        <v>1999133</v>
      </c>
      <c r="E1868" t="s">
        <v>14</v>
      </c>
      <c r="F1868" t="s">
        <v>1479</v>
      </c>
      <c r="H1868">
        <v>0</v>
      </c>
      <c r="I1868" t="s">
        <v>17</v>
      </c>
      <c r="K1868" t="s">
        <v>5156</v>
      </c>
      <c r="L1868">
        <v>125</v>
      </c>
      <c r="M1868" t="s">
        <v>5157</v>
      </c>
    </row>
    <row r="1869" spans="1:13" x14ac:dyDescent="0.45">
      <c r="A1869" t="s">
        <v>13</v>
      </c>
      <c r="B1869">
        <v>1999664</v>
      </c>
      <c r="C1869">
        <v>2000323</v>
      </c>
      <c r="E1869" t="s">
        <v>14</v>
      </c>
      <c r="F1869" t="s">
        <v>43</v>
      </c>
      <c r="H1869">
        <v>0</v>
      </c>
      <c r="I1869" t="s">
        <v>17</v>
      </c>
      <c r="K1869" t="s">
        <v>5158</v>
      </c>
      <c r="L1869">
        <v>219</v>
      </c>
      <c r="M1869" t="s">
        <v>5159</v>
      </c>
    </row>
    <row r="1870" spans="1:13" x14ac:dyDescent="0.45">
      <c r="A1870" t="s">
        <v>13</v>
      </c>
      <c r="B1870">
        <v>2000617</v>
      </c>
      <c r="C1870">
        <v>2000958</v>
      </c>
      <c r="E1870" t="s">
        <v>14</v>
      </c>
      <c r="F1870" t="s">
        <v>1833</v>
      </c>
      <c r="H1870">
        <v>0</v>
      </c>
      <c r="I1870" t="s">
        <v>17</v>
      </c>
      <c r="K1870" t="s">
        <v>5160</v>
      </c>
      <c r="L1870">
        <v>113</v>
      </c>
      <c r="M1870" t="s">
        <v>5161</v>
      </c>
    </row>
    <row r="1871" spans="1:13" x14ac:dyDescent="0.45">
      <c r="A1871" t="s">
        <v>13</v>
      </c>
      <c r="B1871">
        <v>2001109</v>
      </c>
      <c r="C1871">
        <v>2001522</v>
      </c>
      <c r="E1871" t="s">
        <v>14</v>
      </c>
      <c r="F1871" t="s">
        <v>5162</v>
      </c>
      <c r="H1871">
        <v>0</v>
      </c>
      <c r="I1871" t="s">
        <v>17</v>
      </c>
      <c r="K1871" t="s">
        <v>5163</v>
      </c>
      <c r="L1871">
        <v>137</v>
      </c>
      <c r="M1871" t="s">
        <v>5164</v>
      </c>
    </row>
    <row r="1872" spans="1:13" x14ac:dyDescent="0.45">
      <c r="A1872" t="s">
        <v>13</v>
      </c>
      <c r="B1872">
        <v>2001724</v>
      </c>
      <c r="C1872">
        <v>2002365</v>
      </c>
      <c r="E1872" t="s">
        <v>14</v>
      </c>
      <c r="F1872" t="s">
        <v>5165</v>
      </c>
      <c r="H1872">
        <v>0</v>
      </c>
      <c r="I1872" t="s">
        <v>17</v>
      </c>
      <c r="K1872" t="s">
        <v>5166</v>
      </c>
      <c r="L1872">
        <v>213</v>
      </c>
      <c r="M1872" t="s">
        <v>5167</v>
      </c>
    </row>
    <row r="1873" spans="1:13" x14ac:dyDescent="0.45">
      <c r="A1873" t="s">
        <v>13</v>
      </c>
      <c r="B1873">
        <v>2002389</v>
      </c>
      <c r="C1873">
        <v>2003642</v>
      </c>
      <c r="E1873" t="s">
        <v>14</v>
      </c>
      <c r="F1873" t="s">
        <v>754</v>
      </c>
      <c r="H1873">
        <v>0</v>
      </c>
      <c r="I1873" t="s">
        <v>17</v>
      </c>
      <c r="K1873" t="s">
        <v>5168</v>
      </c>
      <c r="L1873">
        <v>417</v>
      </c>
      <c r="M1873" t="s">
        <v>5169</v>
      </c>
    </row>
    <row r="1874" spans="1:13" x14ac:dyDescent="0.45">
      <c r="A1874" t="s">
        <v>13</v>
      </c>
      <c r="B1874">
        <v>2003688</v>
      </c>
      <c r="C1874">
        <v>2004338</v>
      </c>
      <c r="E1874" t="s">
        <v>14</v>
      </c>
      <c r="F1874" t="s">
        <v>5170</v>
      </c>
      <c r="G1874" t="s">
        <v>5171</v>
      </c>
      <c r="H1874">
        <v>0</v>
      </c>
      <c r="I1874" t="s">
        <v>17</v>
      </c>
      <c r="K1874" t="s">
        <v>5172</v>
      </c>
      <c r="L1874">
        <v>216</v>
      </c>
      <c r="M1874" t="s">
        <v>5173</v>
      </c>
    </row>
    <row r="1875" spans="1:13" x14ac:dyDescent="0.45">
      <c r="A1875" t="s">
        <v>13</v>
      </c>
      <c r="B1875">
        <v>2004389</v>
      </c>
      <c r="C1875">
        <v>2004985</v>
      </c>
      <c r="E1875" t="s">
        <v>14</v>
      </c>
      <c r="F1875" t="s">
        <v>4926</v>
      </c>
      <c r="H1875">
        <v>0</v>
      </c>
      <c r="I1875" t="s">
        <v>17</v>
      </c>
      <c r="K1875" t="s">
        <v>5174</v>
      </c>
      <c r="L1875">
        <v>198</v>
      </c>
      <c r="M1875" t="s">
        <v>5175</v>
      </c>
    </row>
    <row r="1876" spans="1:13" x14ac:dyDescent="0.45">
      <c r="A1876" t="s">
        <v>13</v>
      </c>
      <c r="B1876">
        <v>2004998</v>
      </c>
      <c r="C1876">
        <v>2005837</v>
      </c>
      <c r="E1876" t="s">
        <v>14</v>
      </c>
      <c r="F1876" t="s">
        <v>5176</v>
      </c>
      <c r="H1876">
        <v>0</v>
      </c>
      <c r="I1876" t="s">
        <v>17</v>
      </c>
      <c r="K1876" t="s">
        <v>5177</v>
      </c>
      <c r="L1876">
        <v>279</v>
      </c>
      <c r="M1876" t="s">
        <v>5178</v>
      </c>
    </row>
    <row r="1877" spans="1:13" x14ac:dyDescent="0.45">
      <c r="A1877" t="s">
        <v>13</v>
      </c>
      <c r="B1877">
        <v>2006082</v>
      </c>
      <c r="C1877">
        <v>2007236</v>
      </c>
      <c r="E1877" t="s">
        <v>14</v>
      </c>
      <c r="F1877" t="s">
        <v>5179</v>
      </c>
      <c r="H1877">
        <v>0</v>
      </c>
      <c r="I1877" t="s">
        <v>17</v>
      </c>
      <c r="K1877" t="s">
        <v>5180</v>
      </c>
      <c r="L1877">
        <v>384</v>
      </c>
      <c r="M1877" t="s">
        <v>5181</v>
      </c>
    </row>
    <row r="1878" spans="1:13" x14ac:dyDescent="0.45">
      <c r="A1878" t="s">
        <v>13</v>
      </c>
      <c r="B1878">
        <v>2007542</v>
      </c>
      <c r="C1878">
        <v>2009239</v>
      </c>
      <c r="E1878" t="s">
        <v>14</v>
      </c>
      <c r="F1878" t="s">
        <v>5182</v>
      </c>
      <c r="G1878" t="s">
        <v>5183</v>
      </c>
      <c r="H1878">
        <v>0</v>
      </c>
      <c r="I1878" t="s">
        <v>17</v>
      </c>
      <c r="K1878" t="s">
        <v>5184</v>
      </c>
      <c r="L1878">
        <v>565</v>
      </c>
      <c r="M1878" t="s">
        <v>5185</v>
      </c>
    </row>
    <row r="1879" spans="1:13" x14ac:dyDescent="0.45">
      <c r="A1879" t="s">
        <v>13</v>
      </c>
      <c r="B1879">
        <v>2009591</v>
      </c>
      <c r="C1879">
        <v>2010055</v>
      </c>
      <c r="E1879" t="s">
        <v>14</v>
      </c>
      <c r="F1879" t="s">
        <v>5186</v>
      </c>
      <c r="G1879" t="s">
        <v>5187</v>
      </c>
      <c r="H1879">
        <v>0</v>
      </c>
      <c r="I1879" t="s">
        <v>17</v>
      </c>
      <c r="K1879" t="s">
        <v>5188</v>
      </c>
      <c r="L1879">
        <v>154</v>
      </c>
      <c r="M1879" t="s">
        <v>5189</v>
      </c>
    </row>
    <row r="1880" spans="1:13" x14ac:dyDescent="0.45">
      <c r="A1880" t="s">
        <v>13</v>
      </c>
      <c r="B1880">
        <v>2010065</v>
      </c>
      <c r="C1880">
        <v>2010808</v>
      </c>
      <c r="E1880" t="s">
        <v>14</v>
      </c>
      <c r="F1880" t="s">
        <v>5190</v>
      </c>
      <c r="G1880" t="s">
        <v>25</v>
      </c>
      <c r="H1880">
        <v>0</v>
      </c>
      <c r="I1880" t="s">
        <v>17</v>
      </c>
      <c r="K1880" t="s">
        <v>5191</v>
      </c>
      <c r="L1880">
        <v>247</v>
      </c>
      <c r="M1880" t="s">
        <v>5192</v>
      </c>
    </row>
    <row r="1881" spans="1:13" x14ac:dyDescent="0.45">
      <c r="A1881" t="s">
        <v>13</v>
      </c>
      <c r="B1881">
        <v>2010936</v>
      </c>
      <c r="C1881">
        <v>2013593</v>
      </c>
      <c r="E1881" t="s">
        <v>14</v>
      </c>
      <c r="F1881" t="s">
        <v>5193</v>
      </c>
      <c r="H1881">
        <v>0</v>
      </c>
      <c r="I1881" t="s">
        <v>17</v>
      </c>
      <c r="K1881" t="s">
        <v>5194</v>
      </c>
      <c r="L1881">
        <v>885</v>
      </c>
      <c r="M1881" t="s">
        <v>5195</v>
      </c>
    </row>
    <row r="1882" spans="1:13" x14ac:dyDescent="0.45">
      <c r="A1882" t="s">
        <v>13</v>
      </c>
      <c r="B1882">
        <v>2013859</v>
      </c>
      <c r="C1882">
        <v>2015124</v>
      </c>
      <c r="E1882" t="s">
        <v>14</v>
      </c>
      <c r="F1882" t="s">
        <v>5196</v>
      </c>
      <c r="H1882">
        <v>0</v>
      </c>
      <c r="I1882" t="s">
        <v>17</v>
      </c>
      <c r="K1882" t="s">
        <v>5197</v>
      </c>
      <c r="L1882">
        <v>421</v>
      </c>
      <c r="M1882" t="s">
        <v>5198</v>
      </c>
    </row>
    <row r="1883" spans="1:13" x14ac:dyDescent="0.45">
      <c r="A1883" t="s">
        <v>13</v>
      </c>
      <c r="B1883">
        <v>2015154</v>
      </c>
      <c r="C1883">
        <v>2016044</v>
      </c>
      <c r="E1883" t="s">
        <v>14</v>
      </c>
      <c r="F1883" t="s">
        <v>5199</v>
      </c>
      <c r="H1883">
        <v>0</v>
      </c>
      <c r="I1883" t="s">
        <v>17</v>
      </c>
      <c r="K1883" t="s">
        <v>5200</v>
      </c>
      <c r="L1883">
        <v>296</v>
      </c>
      <c r="M1883" t="s">
        <v>5201</v>
      </c>
    </row>
    <row r="1884" spans="1:13" x14ac:dyDescent="0.45">
      <c r="A1884" t="s">
        <v>13</v>
      </c>
      <c r="B1884">
        <v>2016535</v>
      </c>
      <c r="C1884">
        <v>2016978</v>
      </c>
      <c r="E1884" t="s">
        <v>14</v>
      </c>
      <c r="F1884" t="s">
        <v>1485</v>
      </c>
      <c r="H1884">
        <v>0</v>
      </c>
      <c r="I1884" t="s">
        <v>17</v>
      </c>
      <c r="K1884" t="s">
        <v>5202</v>
      </c>
      <c r="L1884">
        <v>147</v>
      </c>
      <c r="M1884" t="s">
        <v>5203</v>
      </c>
    </row>
    <row r="1885" spans="1:13" x14ac:dyDescent="0.45">
      <c r="A1885" t="s">
        <v>13</v>
      </c>
      <c r="B1885">
        <v>2017009</v>
      </c>
      <c r="C1885">
        <v>2018826</v>
      </c>
      <c r="E1885" t="s">
        <v>14</v>
      </c>
      <c r="F1885" t="s">
        <v>5204</v>
      </c>
      <c r="G1885" t="s">
        <v>5205</v>
      </c>
      <c r="H1885">
        <v>0</v>
      </c>
      <c r="I1885" t="s">
        <v>17</v>
      </c>
      <c r="K1885" t="s">
        <v>5206</v>
      </c>
      <c r="L1885">
        <v>605</v>
      </c>
      <c r="M1885" t="s">
        <v>5207</v>
      </c>
    </row>
    <row r="1886" spans="1:13" x14ac:dyDescent="0.45">
      <c r="A1886" t="s">
        <v>13</v>
      </c>
      <c r="B1886">
        <v>2019004</v>
      </c>
      <c r="C1886">
        <v>2021706</v>
      </c>
      <c r="E1886" t="s">
        <v>14</v>
      </c>
      <c r="F1886" t="s">
        <v>1219</v>
      </c>
      <c r="H1886">
        <v>0</v>
      </c>
      <c r="I1886" t="s">
        <v>17</v>
      </c>
      <c r="K1886" t="s">
        <v>5208</v>
      </c>
      <c r="L1886">
        <v>900</v>
      </c>
      <c r="M1886" t="s">
        <v>5209</v>
      </c>
    </row>
    <row r="1887" spans="1:13" x14ac:dyDescent="0.45">
      <c r="A1887" t="s">
        <v>13</v>
      </c>
      <c r="B1887">
        <v>2021740</v>
      </c>
      <c r="C1887">
        <v>2022438</v>
      </c>
      <c r="E1887" t="s">
        <v>14</v>
      </c>
      <c r="F1887" t="s">
        <v>1565</v>
      </c>
      <c r="H1887">
        <v>0</v>
      </c>
      <c r="I1887" t="s">
        <v>17</v>
      </c>
      <c r="K1887" t="s">
        <v>5210</v>
      </c>
      <c r="L1887">
        <v>232</v>
      </c>
      <c r="M1887" t="s">
        <v>5211</v>
      </c>
    </row>
    <row r="1888" spans="1:13" x14ac:dyDescent="0.45">
      <c r="A1888" t="s">
        <v>13</v>
      </c>
      <c r="B1888">
        <v>2022777</v>
      </c>
      <c r="C1888">
        <v>2023733</v>
      </c>
      <c r="E1888" t="s">
        <v>14</v>
      </c>
      <c r="F1888" t="s">
        <v>5212</v>
      </c>
      <c r="H1888">
        <v>0</v>
      </c>
      <c r="I1888" t="s">
        <v>17</v>
      </c>
      <c r="K1888" t="s">
        <v>5213</v>
      </c>
      <c r="L1888">
        <v>318</v>
      </c>
      <c r="M1888" t="s">
        <v>5214</v>
      </c>
    </row>
    <row r="1889" spans="1:13" x14ac:dyDescent="0.45">
      <c r="A1889" t="s">
        <v>13</v>
      </c>
      <c r="B1889">
        <v>2023910</v>
      </c>
      <c r="C1889">
        <v>2024065</v>
      </c>
      <c r="E1889" t="s">
        <v>14</v>
      </c>
      <c r="F1889" t="s">
        <v>43</v>
      </c>
      <c r="H1889">
        <v>0</v>
      </c>
      <c r="I1889" t="s">
        <v>17</v>
      </c>
      <c r="K1889" t="s">
        <v>5215</v>
      </c>
      <c r="L1889">
        <v>51</v>
      </c>
      <c r="M1889" t="s">
        <v>5216</v>
      </c>
    </row>
    <row r="1890" spans="1:13" x14ac:dyDescent="0.45">
      <c r="A1890" t="s">
        <v>13</v>
      </c>
      <c r="B1890">
        <v>2024195</v>
      </c>
      <c r="C1890">
        <v>2025208</v>
      </c>
      <c r="E1890" t="s">
        <v>14</v>
      </c>
      <c r="F1890" t="s">
        <v>4001</v>
      </c>
      <c r="G1890" t="s">
        <v>4002</v>
      </c>
      <c r="H1890">
        <v>0</v>
      </c>
      <c r="I1890" t="s">
        <v>17</v>
      </c>
      <c r="K1890" t="s">
        <v>5217</v>
      </c>
      <c r="L1890">
        <v>337</v>
      </c>
      <c r="M1890" t="s">
        <v>5218</v>
      </c>
    </row>
    <row r="1891" spans="1:13" x14ac:dyDescent="0.45">
      <c r="A1891" t="s">
        <v>13</v>
      </c>
      <c r="B1891">
        <v>2025230</v>
      </c>
      <c r="C1891">
        <v>2026294</v>
      </c>
      <c r="E1891" t="s">
        <v>14</v>
      </c>
      <c r="F1891" t="s">
        <v>5219</v>
      </c>
      <c r="G1891" t="s">
        <v>5220</v>
      </c>
      <c r="H1891">
        <v>0</v>
      </c>
      <c r="I1891" t="s">
        <v>17</v>
      </c>
      <c r="K1891" t="s">
        <v>5221</v>
      </c>
      <c r="L1891">
        <v>354</v>
      </c>
      <c r="M1891" t="s">
        <v>5222</v>
      </c>
    </row>
    <row r="1892" spans="1:13" x14ac:dyDescent="0.45">
      <c r="A1892" t="s">
        <v>13</v>
      </c>
      <c r="B1892">
        <v>2026294</v>
      </c>
      <c r="C1892">
        <v>2027607</v>
      </c>
      <c r="E1892" t="s">
        <v>14</v>
      </c>
      <c r="F1892" t="s">
        <v>5223</v>
      </c>
      <c r="G1892" t="s">
        <v>5224</v>
      </c>
      <c r="H1892">
        <v>0</v>
      </c>
      <c r="I1892" t="s">
        <v>17</v>
      </c>
      <c r="K1892" t="s">
        <v>5225</v>
      </c>
      <c r="L1892">
        <v>437</v>
      </c>
      <c r="M1892" t="s">
        <v>5226</v>
      </c>
    </row>
    <row r="1893" spans="1:13" x14ac:dyDescent="0.45">
      <c r="A1893" t="s">
        <v>13</v>
      </c>
      <c r="B1893">
        <v>2027585</v>
      </c>
      <c r="C1893">
        <v>2028664</v>
      </c>
      <c r="E1893" t="s">
        <v>14</v>
      </c>
      <c r="F1893" t="s">
        <v>5227</v>
      </c>
      <c r="G1893" t="s">
        <v>5228</v>
      </c>
      <c r="H1893">
        <v>0</v>
      </c>
      <c r="I1893" t="s">
        <v>17</v>
      </c>
      <c r="K1893" t="s">
        <v>5229</v>
      </c>
      <c r="L1893">
        <v>359</v>
      </c>
      <c r="M1893" t="s">
        <v>5230</v>
      </c>
    </row>
    <row r="1894" spans="1:13" x14ac:dyDescent="0.45">
      <c r="A1894" t="s">
        <v>13</v>
      </c>
      <c r="B1894">
        <v>2028667</v>
      </c>
      <c r="C1894">
        <v>2029863</v>
      </c>
      <c r="E1894" t="s">
        <v>14</v>
      </c>
      <c r="F1894" t="s">
        <v>5231</v>
      </c>
      <c r="G1894" t="s">
        <v>5232</v>
      </c>
      <c r="H1894">
        <v>0</v>
      </c>
      <c r="I1894" t="s">
        <v>17</v>
      </c>
      <c r="K1894" t="s">
        <v>5233</v>
      </c>
      <c r="L1894">
        <v>398</v>
      </c>
      <c r="M1894" t="s">
        <v>5234</v>
      </c>
    </row>
    <row r="1895" spans="1:13" x14ac:dyDescent="0.45">
      <c r="A1895" t="s">
        <v>13</v>
      </c>
      <c r="B1895">
        <v>2029910</v>
      </c>
      <c r="C1895">
        <v>2030719</v>
      </c>
      <c r="E1895" t="s">
        <v>14</v>
      </c>
      <c r="F1895" t="s">
        <v>5235</v>
      </c>
      <c r="G1895" t="s">
        <v>5236</v>
      </c>
      <c r="H1895">
        <v>0</v>
      </c>
      <c r="I1895" t="s">
        <v>17</v>
      </c>
      <c r="K1895" t="s">
        <v>5237</v>
      </c>
      <c r="L1895">
        <v>269</v>
      </c>
      <c r="M1895" t="s">
        <v>5238</v>
      </c>
    </row>
    <row r="1896" spans="1:13" x14ac:dyDescent="0.45">
      <c r="A1896" t="s">
        <v>13</v>
      </c>
      <c r="B1896">
        <v>2030731</v>
      </c>
      <c r="C1896">
        <v>2031264</v>
      </c>
      <c r="E1896" t="s">
        <v>14</v>
      </c>
      <c r="F1896" t="s">
        <v>5239</v>
      </c>
      <c r="H1896">
        <v>0</v>
      </c>
      <c r="I1896" t="s">
        <v>17</v>
      </c>
      <c r="K1896" t="s">
        <v>5240</v>
      </c>
      <c r="L1896">
        <v>177</v>
      </c>
      <c r="M1896" t="s">
        <v>5241</v>
      </c>
    </row>
    <row r="1897" spans="1:13" x14ac:dyDescent="0.45">
      <c r="A1897" t="s">
        <v>13</v>
      </c>
      <c r="B1897">
        <v>2031285</v>
      </c>
      <c r="C1897">
        <v>2032124</v>
      </c>
      <c r="E1897" t="s">
        <v>14</v>
      </c>
      <c r="F1897" t="s">
        <v>5242</v>
      </c>
      <c r="H1897">
        <v>0</v>
      </c>
      <c r="I1897" t="s">
        <v>17</v>
      </c>
      <c r="K1897" t="s">
        <v>5243</v>
      </c>
      <c r="L1897">
        <v>279</v>
      </c>
      <c r="M1897" t="s">
        <v>5244</v>
      </c>
    </row>
    <row r="1898" spans="1:13" x14ac:dyDescent="0.45">
      <c r="A1898" t="s">
        <v>13</v>
      </c>
      <c r="B1898">
        <v>2032392</v>
      </c>
      <c r="C1898">
        <v>2033873</v>
      </c>
      <c r="E1898" t="s">
        <v>14</v>
      </c>
      <c r="F1898" t="s">
        <v>4630</v>
      </c>
      <c r="H1898">
        <v>0</v>
      </c>
      <c r="I1898" t="s">
        <v>17</v>
      </c>
      <c r="K1898" t="s">
        <v>5245</v>
      </c>
      <c r="L1898">
        <v>493</v>
      </c>
      <c r="M1898" t="s">
        <v>5246</v>
      </c>
    </row>
    <row r="1899" spans="1:13" x14ac:dyDescent="0.45">
      <c r="A1899" t="s">
        <v>13</v>
      </c>
      <c r="B1899">
        <v>2033906</v>
      </c>
      <c r="C1899">
        <v>2037343</v>
      </c>
      <c r="E1899" t="s">
        <v>14</v>
      </c>
      <c r="F1899" t="s">
        <v>838</v>
      </c>
      <c r="H1899">
        <v>0</v>
      </c>
      <c r="I1899" t="s">
        <v>17</v>
      </c>
      <c r="K1899" t="s">
        <v>5247</v>
      </c>
      <c r="L1899">
        <v>1145</v>
      </c>
      <c r="M1899" t="s">
        <v>5248</v>
      </c>
    </row>
    <row r="1900" spans="1:13" x14ac:dyDescent="0.45">
      <c r="A1900" t="s">
        <v>13</v>
      </c>
      <c r="B1900">
        <v>2037361</v>
      </c>
      <c r="C1900">
        <v>2038107</v>
      </c>
      <c r="E1900" t="s">
        <v>14</v>
      </c>
      <c r="F1900" t="s">
        <v>5249</v>
      </c>
      <c r="H1900">
        <v>0</v>
      </c>
      <c r="I1900" t="s">
        <v>17</v>
      </c>
      <c r="K1900" t="s">
        <v>5250</v>
      </c>
      <c r="L1900">
        <v>248</v>
      </c>
      <c r="M1900" t="s">
        <v>5251</v>
      </c>
    </row>
    <row r="1901" spans="1:13" x14ac:dyDescent="0.45">
      <c r="A1901" t="s">
        <v>13</v>
      </c>
      <c r="B1901">
        <v>2038056</v>
      </c>
      <c r="C1901">
        <v>2038376</v>
      </c>
      <c r="E1901" t="s">
        <v>96</v>
      </c>
      <c r="F1901" t="s">
        <v>1099</v>
      </c>
      <c r="H1901">
        <v>0</v>
      </c>
      <c r="I1901" t="s">
        <v>17</v>
      </c>
      <c r="K1901" t="s">
        <v>5252</v>
      </c>
      <c r="L1901">
        <v>106</v>
      </c>
      <c r="M1901" t="s">
        <v>5253</v>
      </c>
    </row>
    <row r="1902" spans="1:13" x14ac:dyDescent="0.45">
      <c r="A1902" t="s">
        <v>13</v>
      </c>
      <c r="B1902">
        <v>2039167</v>
      </c>
      <c r="C1902">
        <v>2040708</v>
      </c>
      <c r="E1902" t="s">
        <v>14</v>
      </c>
      <c r="F1902" t="s">
        <v>5254</v>
      </c>
      <c r="H1902">
        <v>0</v>
      </c>
      <c r="I1902" t="s">
        <v>17</v>
      </c>
      <c r="K1902" t="s">
        <v>5255</v>
      </c>
      <c r="L1902">
        <v>513</v>
      </c>
      <c r="M1902" t="s">
        <v>5256</v>
      </c>
    </row>
    <row r="1903" spans="1:13" x14ac:dyDescent="0.45">
      <c r="A1903" t="s">
        <v>13</v>
      </c>
      <c r="B1903">
        <v>2040727</v>
      </c>
      <c r="C1903">
        <v>2041008</v>
      </c>
      <c r="E1903" t="s">
        <v>14</v>
      </c>
      <c r="F1903" t="s">
        <v>5257</v>
      </c>
      <c r="H1903">
        <v>0</v>
      </c>
      <c r="I1903" t="s">
        <v>17</v>
      </c>
      <c r="K1903" t="s">
        <v>5258</v>
      </c>
      <c r="L1903">
        <v>93</v>
      </c>
      <c r="M1903" t="s">
        <v>5259</v>
      </c>
    </row>
    <row r="1904" spans="1:13" x14ac:dyDescent="0.45">
      <c r="A1904" t="s">
        <v>13</v>
      </c>
      <c r="B1904">
        <v>2041094</v>
      </c>
      <c r="C1904">
        <v>2042116</v>
      </c>
      <c r="E1904" t="s">
        <v>14</v>
      </c>
      <c r="F1904" t="s">
        <v>5260</v>
      </c>
      <c r="H1904">
        <v>0</v>
      </c>
      <c r="I1904" t="s">
        <v>17</v>
      </c>
      <c r="K1904" t="s">
        <v>5261</v>
      </c>
      <c r="L1904">
        <v>340</v>
      </c>
      <c r="M1904" t="s">
        <v>5262</v>
      </c>
    </row>
    <row r="1905" spans="1:13" x14ac:dyDescent="0.45">
      <c r="A1905" t="s">
        <v>13</v>
      </c>
      <c r="B1905">
        <v>2042118</v>
      </c>
      <c r="C1905">
        <v>2042603</v>
      </c>
      <c r="E1905" t="s">
        <v>14</v>
      </c>
      <c r="F1905" t="s">
        <v>5263</v>
      </c>
      <c r="H1905">
        <v>0</v>
      </c>
      <c r="I1905" t="s">
        <v>17</v>
      </c>
      <c r="K1905" t="s">
        <v>5264</v>
      </c>
      <c r="L1905">
        <v>161</v>
      </c>
      <c r="M1905" t="s">
        <v>5265</v>
      </c>
    </row>
    <row r="1906" spans="1:13" x14ac:dyDescent="0.45">
      <c r="A1906" t="s">
        <v>13</v>
      </c>
      <c r="B1906">
        <v>2042600</v>
      </c>
      <c r="C1906">
        <v>2043586</v>
      </c>
      <c r="E1906" t="s">
        <v>14</v>
      </c>
      <c r="F1906" t="s">
        <v>271</v>
      </c>
      <c r="H1906">
        <v>0</v>
      </c>
      <c r="I1906" t="s">
        <v>272</v>
      </c>
      <c r="M1906" t="s">
        <v>5266</v>
      </c>
    </row>
    <row r="1907" spans="1:13" x14ac:dyDescent="0.45">
      <c r="A1907" t="s">
        <v>13</v>
      </c>
      <c r="B1907">
        <v>2043677</v>
      </c>
      <c r="C1907">
        <v>2045557</v>
      </c>
      <c r="E1907" t="s">
        <v>14</v>
      </c>
      <c r="F1907" t="s">
        <v>3330</v>
      </c>
      <c r="H1907">
        <v>0</v>
      </c>
      <c r="I1907" t="s">
        <v>17</v>
      </c>
      <c r="K1907" t="s">
        <v>5267</v>
      </c>
      <c r="L1907">
        <v>626</v>
      </c>
      <c r="M1907" t="s">
        <v>5268</v>
      </c>
    </row>
    <row r="1908" spans="1:13" x14ac:dyDescent="0.45">
      <c r="A1908" t="s">
        <v>13</v>
      </c>
      <c r="B1908">
        <v>2045584</v>
      </c>
      <c r="C1908">
        <v>2045937</v>
      </c>
      <c r="E1908" t="s">
        <v>14</v>
      </c>
      <c r="F1908" t="s">
        <v>5269</v>
      </c>
      <c r="H1908">
        <v>0</v>
      </c>
      <c r="I1908" t="s">
        <v>17</v>
      </c>
      <c r="K1908" t="s">
        <v>5270</v>
      </c>
      <c r="L1908">
        <v>117</v>
      </c>
      <c r="M1908" t="s">
        <v>5271</v>
      </c>
    </row>
    <row r="1909" spans="1:13" x14ac:dyDescent="0.45">
      <c r="A1909" t="s">
        <v>13</v>
      </c>
      <c r="B1909">
        <v>2045954</v>
      </c>
      <c r="C1909">
        <v>2046253</v>
      </c>
      <c r="E1909" t="s">
        <v>14</v>
      </c>
      <c r="F1909" t="s">
        <v>43</v>
      </c>
      <c r="H1909">
        <v>0</v>
      </c>
      <c r="I1909" t="s">
        <v>17</v>
      </c>
      <c r="K1909" t="s">
        <v>5272</v>
      </c>
      <c r="L1909">
        <v>99</v>
      </c>
      <c r="M1909" t="s">
        <v>5273</v>
      </c>
    </row>
    <row r="1910" spans="1:13" x14ac:dyDescent="0.45">
      <c r="A1910" t="s">
        <v>13</v>
      </c>
      <c r="B1910">
        <v>2046281</v>
      </c>
      <c r="C1910">
        <v>2046649</v>
      </c>
      <c r="E1910" t="s">
        <v>96</v>
      </c>
      <c r="F1910" t="s">
        <v>1134</v>
      </c>
      <c r="H1910">
        <v>0</v>
      </c>
      <c r="I1910" t="s">
        <v>17</v>
      </c>
      <c r="K1910" t="s">
        <v>5274</v>
      </c>
      <c r="L1910">
        <v>122</v>
      </c>
      <c r="M1910" t="s">
        <v>5275</v>
      </c>
    </row>
    <row r="1911" spans="1:13" x14ac:dyDescent="0.45">
      <c r="A1911" t="s">
        <v>13</v>
      </c>
      <c r="B1911">
        <v>2046794</v>
      </c>
      <c r="C1911">
        <v>2046982</v>
      </c>
      <c r="E1911" t="s">
        <v>14</v>
      </c>
      <c r="F1911" t="s">
        <v>1134</v>
      </c>
      <c r="H1911">
        <v>0</v>
      </c>
      <c r="I1911" t="s">
        <v>17</v>
      </c>
      <c r="K1911" t="s">
        <v>5276</v>
      </c>
      <c r="L1911">
        <v>62</v>
      </c>
      <c r="M1911" t="s">
        <v>5277</v>
      </c>
    </row>
    <row r="1912" spans="1:13" x14ac:dyDescent="0.45">
      <c r="A1912" t="s">
        <v>13</v>
      </c>
      <c r="B1912">
        <v>2046975</v>
      </c>
      <c r="C1912">
        <v>2047667</v>
      </c>
      <c r="E1912" t="s">
        <v>14</v>
      </c>
      <c r="F1912" t="s">
        <v>1222</v>
      </c>
      <c r="H1912">
        <v>0</v>
      </c>
      <c r="I1912" t="s">
        <v>17</v>
      </c>
      <c r="K1912" t="s">
        <v>5278</v>
      </c>
      <c r="L1912">
        <v>230</v>
      </c>
      <c r="M1912" t="s">
        <v>5279</v>
      </c>
    </row>
    <row r="1913" spans="1:13" x14ac:dyDescent="0.45">
      <c r="A1913" t="s">
        <v>13</v>
      </c>
      <c r="B1913">
        <v>2047673</v>
      </c>
      <c r="C1913">
        <v>2048590</v>
      </c>
      <c r="E1913" t="s">
        <v>14</v>
      </c>
      <c r="F1913" t="s">
        <v>1219</v>
      </c>
      <c r="H1913">
        <v>0</v>
      </c>
      <c r="I1913" t="s">
        <v>17</v>
      </c>
      <c r="K1913" t="s">
        <v>5280</v>
      </c>
      <c r="L1913">
        <v>305</v>
      </c>
      <c r="M1913" t="s">
        <v>5281</v>
      </c>
    </row>
    <row r="1914" spans="1:13" x14ac:dyDescent="0.45">
      <c r="A1914" t="s">
        <v>13</v>
      </c>
      <c r="B1914">
        <v>2048725</v>
      </c>
      <c r="C1914">
        <v>2049651</v>
      </c>
      <c r="E1914" t="s">
        <v>14</v>
      </c>
      <c r="F1914" t="s">
        <v>1140</v>
      </c>
      <c r="H1914">
        <v>0</v>
      </c>
      <c r="I1914" t="s">
        <v>17</v>
      </c>
      <c r="K1914" t="s">
        <v>5282</v>
      </c>
      <c r="L1914">
        <v>308</v>
      </c>
      <c r="M1914" t="s">
        <v>5283</v>
      </c>
    </row>
    <row r="1915" spans="1:13" x14ac:dyDescent="0.45">
      <c r="A1915" t="s">
        <v>13</v>
      </c>
      <c r="B1915">
        <v>2049644</v>
      </c>
      <c r="C1915">
        <v>2050429</v>
      </c>
      <c r="E1915" t="s">
        <v>14</v>
      </c>
      <c r="F1915" t="s">
        <v>1143</v>
      </c>
      <c r="H1915">
        <v>0</v>
      </c>
      <c r="I1915" t="s">
        <v>17</v>
      </c>
      <c r="K1915" t="s">
        <v>5284</v>
      </c>
      <c r="L1915">
        <v>261</v>
      </c>
      <c r="M1915" t="s">
        <v>5285</v>
      </c>
    </row>
    <row r="1916" spans="1:13" x14ac:dyDescent="0.45">
      <c r="A1916" t="s">
        <v>13</v>
      </c>
      <c r="B1916">
        <v>2050432</v>
      </c>
      <c r="C1916">
        <v>2051211</v>
      </c>
      <c r="E1916" t="s">
        <v>14</v>
      </c>
      <c r="F1916" t="s">
        <v>1143</v>
      </c>
      <c r="H1916">
        <v>0</v>
      </c>
      <c r="I1916" t="s">
        <v>17</v>
      </c>
      <c r="K1916" t="s">
        <v>5286</v>
      </c>
      <c r="L1916">
        <v>259</v>
      </c>
      <c r="M1916" t="s">
        <v>5287</v>
      </c>
    </row>
    <row r="1917" spans="1:13" x14ac:dyDescent="0.45">
      <c r="A1917" t="s">
        <v>13</v>
      </c>
      <c r="B1917">
        <v>2051219</v>
      </c>
      <c r="C1917">
        <v>2051680</v>
      </c>
      <c r="E1917" t="s">
        <v>14</v>
      </c>
      <c r="F1917" t="s">
        <v>43</v>
      </c>
      <c r="H1917">
        <v>0</v>
      </c>
      <c r="I1917" t="s">
        <v>17</v>
      </c>
      <c r="K1917" t="s">
        <v>5288</v>
      </c>
      <c r="L1917">
        <v>153</v>
      </c>
      <c r="M1917" t="s">
        <v>5289</v>
      </c>
    </row>
    <row r="1918" spans="1:13" x14ac:dyDescent="0.45">
      <c r="A1918" t="s">
        <v>13</v>
      </c>
      <c r="B1918">
        <v>2052125</v>
      </c>
      <c r="C1918">
        <v>2052538</v>
      </c>
      <c r="E1918" t="s">
        <v>14</v>
      </c>
      <c r="F1918" t="s">
        <v>1991</v>
      </c>
      <c r="H1918">
        <v>0</v>
      </c>
      <c r="I1918" t="s">
        <v>17</v>
      </c>
      <c r="K1918" t="s">
        <v>5290</v>
      </c>
      <c r="L1918">
        <v>137</v>
      </c>
      <c r="M1918" t="s">
        <v>5291</v>
      </c>
    </row>
    <row r="1919" spans="1:13" x14ac:dyDescent="0.45">
      <c r="A1919" t="s">
        <v>13</v>
      </c>
      <c r="B1919">
        <v>2052640</v>
      </c>
      <c r="C1919">
        <v>2053092</v>
      </c>
      <c r="E1919" t="s">
        <v>14</v>
      </c>
      <c r="F1919" t="s">
        <v>5292</v>
      </c>
      <c r="H1919">
        <v>0</v>
      </c>
      <c r="I1919" t="s">
        <v>17</v>
      </c>
      <c r="K1919" t="s">
        <v>5293</v>
      </c>
      <c r="L1919">
        <v>150</v>
      </c>
      <c r="M1919" t="s">
        <v>5294</v>
      </c>
    </row>
    <row r="1920" spans="1:13" x14ac:dyDescent="0.45">
      <c r="A1920" t="s">
        <v>13</v>
      </c>
      <c r="B1920">
        <v>2053103</v>
      </c>
      <c r="C1920">
        <v>2053564</v>
      </c>
      <c r="E1920" t="s">
        <v>14</v>
      </c>
      <c r="F1920" t="s">
        <v>1991</v>
      </c>
      <c r="H1920">
        <v>0</v>
      </c>
      <c r="I1920" t="s">
        <v>17</v>
      </c>
      <c r="K1920" t="s">
        <v>5295</v>
      </c>
      <c r="L1920">
        <v>153</v>
      </c>
      <c r="M1920" t="s">
        <v>5296</v>
      </c>
    </row>
    <row r="1921" spans="1:13" x14ac:dyDescent="0.45">
      <c r="A1921" t="s">
        <v>13</v>
      </c>
      <c r="B1921">
        <v>2053593</v>
      </c>
      <c r="C1921">
        <v>2053883</v>
      </c>
      <c r="E1921" t="s">
        <v>14</v>
      </c>
      <c r="F1921" t="s">
        <v>5297</v>
      </c>
      <c r="H1921">
        <v>0</v>
      </c>
      <c r="I1921" t="s">
        <v>17</v>
      </c>
      <c r="K1921" t="s">
        <v>5298</v>
      </c>
      <c r="L1921">
        <v>96</v>
      </c>
      <c r="M1921" t="s">
        <v>5299</v>
      </c>
    </row>
    <row r="1922" spans="1:13" x14ac:dyDescent="0.45">
      <c r="A1922" t="s">
        <v>13</v>
      </c>
      <c r="B1922">
        <v>2054070</v>
      </c>
      <c r="C1922">
        <v>2055515</v>
      </c>
      <c r="E1922" t="s">
        <v>14</v>
      </c>
      <c r="F1922" t="s">
        <v>5300</v>
      </c>
      <c r="G1922" t="s">
        <v>5301</v>
      </c>
      <c r="H1922">
        <v>0</v>
      </c>
      <c r="I1922" t="s">
        <v>17</v>
      </c>
      <c r="K1922" t="s">
        <v>5302</v>
      </c>
      <c r="L1922">
        <v>481</v>
      </c>
      <c r="M1922" t="s">
        <v>5303</v>
      </c>
    </row>
    <row r="1923" spans="1:13" x14ac:dyDescent="0.45">
      <c r="A1923" t="s">
        <v>13</v>
      </c>
      <c r="B1923">
        <v>2055623</v>
      </c>
      <c r="C1923">
        <v>2055913</v>
      </c>
      <c r="E1923" t="s">
        <v>96</v>
      </c>
      <c r="F1923" t="s">
        <v>5304</v>
      </c>
      <c r="H1923">
        <v>0</v>
      </c>
      <c r="I1923" t="s">
        <v>17</v>
      </c>
      <c r="K1923" t="s">
        <v>5305</v>
      </c>
      <c r="L1923">
        <v>96</v>
      </c>
      <c r="M1923" t="s">
        <v>5306</v>
      </c>
    </row>
    <row r="1924" spans="1:13" x14ac:dyDescent="0.45">
      <c r="A1924" t="s">
        <v>13</v>
      </c>
      <c r="B1924">
        <v>2055910</v>
      </c>
      <c r="C1924">
        <v>2056188</v>
      </c>
      <c r="E1924" t="s">
        <v>96</v>
      </c>
      <c r="F1924" t="s">
        <v>5307</v>
      </c>
      <c r="H1924">
        <v>0</v>
      </c>
      <c r="I1924" t="s">
        <v>17</v>
      </c>
      <c r="K1924" t="s">
        <v>5308</v>
      </c>
      <c r="L1924">
        <v>92</v>
      </c>
      <c r="M1924" t="s">
        <v>5309</v>
      </c>
    </row>
    <row r="1925" spans="1:13" x14ac:dyDescent="0.45">
      <c r="A1925" t="s">
        <v>13</v>
      </c>
      <c r="B1925">
        <v>2056315</v>
      </c>
      <c r="C1925">
        <v>2056713</v>
      </c>
      <c r="E1925" t="s">
        <v>14</v>
      </c>
      <c r="F1925" t="s">
        <v>5310</v>
      </c>
      <c r="H1925">
        <v>0</v>
      </c>
      <c r="I1925" t="s">
        <v>17</v>
      </c>
      <c r="K1925" t="s">
        <v>5311</v>
      </c>
      <c r="L1925">
        <v>132</v>
      </c>
      <c r="M1925" t="s">
        <v>5312</v>
      </c>
    </row>
    <row r="1926" spans="1:13" x14ac:dyDescent="0.45">
      <c r="A1926" t="s">
        <v>13</v>
      </c>
      <c r="B1926">
        <v>2056827</v>
      </c>
      <c r="C1926">
        <v>2057561</v>
      </c>
      <c r="E1926" t="s">
        <v>14</v>
      </c>
      <c r="F1926" t="s">
        <v>5313</v>
      </c>
      <c r="H1926">
        <v>0</v>
      </c>
      <c r="I1926" t="s">
        <v>17</v>
      </c>
      <c r="K1926" t="s">
        <v>5314</v>
      </c>
      <c r="L1926">
        <v>244</v>
      </c>
      <c r="M1926" t="s">
        <v>5315</v>
      </c>
    </row>
    <row r="1927" spans="1:13" x14ac:dyDescent="0.45">
      <c r="A1927" t="s">
        <v>13</v>
      </c>
      <c r="B1927">
        <v>2057558</v>
      </c>
      <c r="C1927">
        <v>2058421</v>
      </c>
      <c r="E1927" t="s">
        <v>14</v>
      </c>
      <c r="F1927" t="s">
        <v>49</v>
      </c>
      <c r="H1927">
        <v>0</v>
      </c>
      <c r="I1927" t="s">
        <v>17</v>
      </c>
      <c r="K1927" t="s">
        <v>5316</v>
      </c>
      <c r="L1927">
        <v>287</v>
      </c>
      <c r="M1927" t="s">
        <v>5317</v>
      </c>
    </row>
    <row r="1928" spans="1:13" x14ac:dyDescent="0.45">
      <c r="A1928" t="s">
        <v>13</v>
      </c>
      <c r="B1928">
        <v>2058465</v>
      </c>
      <c r="C1928">
        <v>2058659</v>
      </c>
      <c r="E1928" t="s">
        <v>14</v>
      </c>
      <c r="F1928" t="s">
        <v>5318</v>
      </c>
      <c r="H1928">
        <v>0</v>
      </c>
      <c r="I1928" t="s">
        <v>17</v>
      </c>
      <c r="K1928" t="s">
        <v>5319</v>
      </c>
      <c r="L1928">
        <v>64</v>
      </c>
      <c r="M1928" t="s">
        <v>5320</v>
      </c>
    </row>
    <row r="1929" spans="1:13" x14ac:dyDescent="0.45">
      <c r="A1929" t="s">
        <v>13</v>
      </c>
      <c r="B1929">
        <v>2058737</v>
      </c>
      <c r="C1929">
        <v>2059102</v>
      </c>
      <c r="E1929" t="s">
        <v>14</v>
      </c>
      <c r="F1929" t="s">
        <v>43</v>
      </c>
      <c r="H1929">
        <v>0</v>
      </c>
      <c r="I1929" t="s">
        <v>17</v>
      </c>
      <c r="K1929" t="s">
        <v>5321</v>
      </c>
      <c r="L1929">
        <v>121</v>
      </c>
      <c r="M1929" t="s">
        <v>5322</v>
      </c>
    </row>
    <row r="1930" spans="1:13" x14ac:dyDescent="0.45">
      <c r="A1930" t="s">
        <v>13</v>
      </c>
      <c r="B1930">
        <v>2059188</v>
      </c>
      <c r="C1930">
        <v>2059778</v>
      </c>
      <c r="E1930" t="s">
        <v>14</v>
      </c>
      <c r="F1930" t="s">
        <v>271</v>
      </c>
      <c r="H1930">
        <v>0</v>
      </c>
      <c r="I1930" t="s">
        <v>272</v>
      </c>
      <c r="M1930" t="s">
        <v>5323</v>
      </c>
    </row>
    <row r="1931" spans="1:13" x14ac:dyDescent="0.45">
      <c r="A1931" t="s">
        <v>13</v>
      </c>
      <c r="B1931">
        <v>2059876</v>
      </c>
      <c r="C1931">
        <v>2060253</v>
      </c>
      <c r="E1931" t="s">
        <v>14</v>
      </c>
      <c r="F1931" t="s">
        <v>5269</v>
      </c>
      <c r="H1931">
        <v>0</v>
      </c>
      <c r="I1931" t="s">
        <v>17</v>
      </c>
      <c r="K1931" t="s">
        <v>5324</v>
      </c>
      <c r="L1931">
        <v>125</v>
      </c>
      <c r="M1931" t="s">
        <v>5325</v>
      </c>
    </row>
    <row r="1932" spans="1:13" x14ac:dyDescent="0.45">
      <c r="A1932" t="s">
        <v>13</v>
      </c>
      <c r="B1932">
        <v>2060267</v>
      </c>
      <c r="C1932">
        <v>2060548</v>
      </c>
      <c r="E1932" t="s">
        <v>14</v>
      </c>
      <c r="F1932" t="s">
        <v>5326</v>
      </c>
      <c r="H1932">
        <v>0</v>
      </c>
      <c r="I1932" t="s">
        <v>17</v>
      </c>
      <c r="K1932" t="s">
        <v>5327</v>
      </c>
      <c r="L1932">
        <v>93</v>
      </c>
      <c r="M1932" t="s">
        <v>5328</v>
      </c>
    </row>
    <row r="1933" spans="1:13" x14ac:dyDescent="0.45">
      <c r="A1933" t="s">
        <v>13</v>
      </c>
      <c r="B1933">
        <v>2060670</v>
      </c>
      <c r="C1933">
        <v>2061518</v>
      </c>
      <c r="E1933" t="s">
        <v>96</v>
      </c>
      <c r="F1933" t="s">
        <v>1134</v>
      </c>
      <c r="H1933">
        <v>0</v>
      </c>
      <c r="I1933" t="s">
        <v>17</v>
      </c>
      <c r="K1933" t="s">
        <v>5329</v>
      </c>
      <c r="L1933">
        <v>282</v>
      </c>
      <c r="M1933" t="s">
        <v>5330</v>
      </c>
    </row>
    <row r="1934" spans="1:13" x14ac:dyDescent="0.45">
      <c r="A1934" t="s">
        <v>13</v>
      </c>
      <c r="B1934">
        <v>2061695</v>
      </c>
      <c r="C1934">
        <v>2062177</v>
      </c>
      <c r="E1934" t="s">
        <v>14</v>
      </c>
      <c r="F1934" t="s">
        <v>43</v>
      </c>
      <c r="H1934">
        <v>0</v>
      </c>
      <c r="I1934" t="s">
        <v>17</v>
      </c>
      <c r="K1934" t="s">
        <v>5331</v>
      </c>
      <c r="L1934">
        <v>160</v>
      </c>
      <c r="M1934" t="s">
        <v>5332</v>
      </c>
    </row>
    <row r="1935" spans="1:13" x14ac:dyDescent="0.45">
      <c r="A1935" t="s">
        <v>13</v>
      </c>
      <c r="B1935">
        <v>2062161</v>
      </c>
      <c r="C1935">
        <v>2062466</v>
      </c>
      <c r="E1935" t="s">
        <v>14</v>
      </c>
      <c r="F1935" t="s">
        <v>5333</v>
      </c>
      <c r="H1935">
        <v>0</v>
      </c>
      <c r="I1935" t="s">
        <v>17</v>
      </c>
      <c r="K1935" t="s">
        <v>5334</v>
      </c>
      <c r="L1935">
        <v>101</v>
      </c>
      <c r="M1935" t="s">
        <v>5335</v>
      </c>
    </row>
    <row r="1936" spans="1:13" x14ac:dyDescent="0.45">
      <c r="A1936" t="s">
        <v>13</v>
      </c>
      <c r="B1936">
        <v>2062894</v>
      </c>
      <c r="C1936">
        <v>2064138</v>
      </c>
      <c r="E1936" t="s">
        <v>14</v>
      </c>
      <c r="F1936" t="s">
        <v>43</v>
      </c>
      <c r="H1936">
        <v>0</v>
      </c>
      <c r="I1936" t="s">
        <v>17</v>
      </c>
      <c r="K1936" t="s">
        <v>5336</v>
      </c>
      <c r="L1936">
        <v>414</v>
      </c>
      <c r="M1936" t="s">
        <v>5337</v>
      </c>
    </row>
    <row r="1937" spans="1:13" x14ac:dyDescent="0.45">
      <c r="A1937" t="s">
        <v>13</v>
      </c>
      <c r="B1937">
        <v>2064187</v>
      </c>
      <c r="C1937">
        <v>2064840</v>
      </c>
      <c r="E1937" t="s">
        <v>14</v>
      </c>
      <c r="F1937" t="s">
        <v>5338</v>
      </c>
      <c r="H1937">
        <v>0</v>
      </c>
      <c r="I1937" t="s">
        <v>17</v>
      </c>
      <c r="K1937" t="s">
        <v>5339</v>
      </c>
      <c r="L1937">
        <v>217</v>
      </c>
      <c r="M1937" t="s">
        <v>5340</v>
      </c>
    </row>
    <row r="1938" spans="1:13" x14ac:dyDescent="0.45">
      <c r="A1938" t="s">
        <v>13</v>
      </c>
      <c r="B1938">
        <v>2064800</v>
      </c>
      <c r="C1938">
        <v>2066158</v>
      </c>
      <c r="E1938" t="s">
        <v>14</v>
      </c>
      <c r="F1938" t="s">
        <v>4366</v>
      </c>
      <c r="H1938">
        <v>0</v>
      </c>
      <c r="I1938" t="s">
        <v>17</v>
      </c>
      <c r="K1938" t="s">
        <v>5341</v>
      </c>
      <c r="L1938">
        <v>452</v>
      </c>
      <c r="M1938" t="s">
        <v>5342</v>
      </c>
    </row>
    <row r="1939" spans="1:13" x14ac:dyDescent="0.45">
      <c r="A1939" t="s">
        <v>13</v>
      </c>
      <c r="B1939">
        <v>2066426</v>
      </c>
      <c r="C1939">
        <v>2066593</v>
      </c>
      <c r="E1939" t="s">
        <v>14</v>
      </c>
      <c r="F1939" t="s">
        <v>43</v>
      </c>
      <c r="H1939">
        <v>0</v>
      </c>
      <c r="I1939" t="s">
        <v>17</v>
      </c>
      <c r="K1939" t="s">
        <v>5343</v>
      </c>
      <c r="L1939">
        <v>55</v>
      </c>
      <c r="M1939" t="s">
        <v>5344</v>
      </c>
    </row>
    <row r="1940" spans="1:13" x14ac:dyDescent="0.45">
      <c r="A1940" t="s">
        <v>13</v>
      </c>
      <c r="B1940">
        <v>2066666</v>
      </c>
      <c r="C1940">
        <v>2068318</v>
      </c>
      <c r="E1940" t="s">
        <v>14</v>
      </c>
      <c r="F1940" t="s">
        <v>3330</v>
      </c>
      <c r="H1940">
        <v>0</v>
      </c>
      <c r="I1940" t="s">
        <v>17</v>
      </c>
      <c r="K1940" t="s">
        <v>5345</v>
      </c>
      <c r="L1940">
        <v>550</v>
      </c>
      <c r="M1940" t="s">
        <v>5346</v>
      </c>
    </row>
    <row r="1941" spans="1:13" x14ac:dyDescent="0.45">
      <c r="A1941" t="s">
        <v>13</v>
      </c>
      <c r="B1941">
        <v>2068366</v>
      </c>
      <c r="C1941">
        <v>2068821</v>
      </c>
      <c r="E1941" t="s">
        <v>96</v>
      </c>
      <c r="F1941" t="s">
        <v>43</v>
      </c>
      <c r="H1941">
        <v>0</v>
      </c>
      <c r="I1941" t="s">
        <v>17</v>
      </c>
      <c r="K1941" t="s">
        <v>5347</v>
      </c>
      <c r="L1941">
        <v>151</v>
      </c>
      <c r="M1941" t="s">
        <v>5348</v>
      </c>
    </row>
    <row r="1942" spans="1:13" x14ac:dyDescent="0.45">
      <c r="A1942" t="s">
        <v>13</v>
      </c>
      <c r="B1942">
        <v>2068845</v>
      </c>
      <c r="C1942">
        <v>2070518</v>
      </c>
      <c r="E1942" t="s">
        <v>96</v>
      </c>
      <c r="F1942" t="s">
        <v>3330</v>
      </c>
      <c r="H1942">
        <v>0</v>
      </c>
      <c r="I1942" t="s">
        <v>17</v>
      </c>
      <c r="K1942" t="s">
        <v>5349</v>
      </c>
      <c r="L1942">
        <v>557</v>
      </c>
      <c r="M1942" t="s">
        <v>5350</v>
      </c>
    </row>
    <row r="1943" spans="1:13" x14ac:dyDescent="0.45">
      <c r="A1943" t="s">
        <v>13</v>
      </c>
      <c r="B1943">
        <v>2070596</v>
      </c>
      <c r="C1943">
        <v>2070769</v>
      </c>
      <c r="E1943" t="s">
        <v>96</v>
      </c>
      <c r="F1943" t="s">
        <v>5318</v>
      </c>
      <c r="H1943">
        <v>0</v>
      </c>
      <c r="I1943" t="s">
        <v>17</v>
      </c>
      <c r="K1943" t="s">
        <v>5351</v>
      </c>
      <c r="L1943">
        <v>57</v>
      </c>
      <c r="M1943" t="s">
        <v>5352</v>
      </c>
    </row>
    <row r="1944" spans="1:13" x14ac:dyDescent="0.45">
      <c r="A1944" t="s">
        <v>13</v>
      </c>
      <c r="B1944">
        <v>2071228</v>
      </c>
      <c r="C1944">
        <v>2071470</v>
      </c>
      <c r="E1944" t="s">
        <v>96</v>
      </c>
      <c r="F1944" t="s">
        <v>1134</v>
      </c>
      <c r="H1944">
        <v>0</v>
      </c>
      <c r="I1944" t="s">
        <v>17</v>
      </c>
      <c r="K1944" t="s">
        <v>5353</v>
      </c>
      <c r="L1944">
        <v>80</v>
      </c>
      <c r="M1944" t="s">
        <v>5354</v>
      </c>
    </row>
    <row r="1945" spans="1:13" x14ac:dyDescent="0.45">
      <c r="A1945" t="s">
        <v>13</v>
      </c>
      <c r="B1945">
        <v>2071454</v>
      </c>
      <c r="C1945">
        <v>2071891</v>
      </c>
      <c r="E1945" t="s">
        <v>96</v>
      </c>
      <c r="F1945" t="s">
        <v>1060</v>
      </c>
      <c r="H1945">
        <v>0</v>
      </c>
      <c r="I1945" t="s">
        <v>17</v>
      </c>
      <c r="K1945" t="s">
        <v>5355</v>
      </c>
      <c r="L1945">
        <v>145</v>
      </c>
      <c r="M1945" t="s">
        <v>5356</v>
      </c>
    </row>
    <row r="1946" spans="1:13" x14ac:dyDescent="0.45">
      <c r="A1946" t="s">
        <v>13</v>
      </c>
      <c r="B1946">
        <v>2072365</v>
      </c>
      <c r="C1946">
        <v>2073348</v>
      </c>
      <c r="E1946" t="s">
        <v>96</v>
      </c>
      <c r="F1946" t="s">
        <v>5357</v>
      </c>
      <c r="G1946" t="s">
        <v>5358</v>
      </c>
      <c r="H1946">
        <v>0</v>
      </c>
      <c r="I1946" t="s">
        <v>17</v>
      </c>
      <c r="K1946" t="s">
        <v>5359</v>
      </c>
      <c r="L1946">
        <v>327</v>
      </c>
      <c r="M1946" t="s">
        <v>5360</v>
      </c>
    </row>
    <row r="1947" spans="1:13" x14ac:dyDescent="0.45">
      <c r="A1947" t="s">
        <v>13</v>
      </c>
      <c r="B1947">
        <v>2073365</v>
      </c>
      <c r="C1947">
        <v>2073550</v>
      </c>
      <c r="E1947" t="s">
        <v>96</v>
      </c>
      <c r="F1947" t="s">
        <v>5361</v>
      </c>
      <c r="H1947">
        <v>0</v>
      </c>
      <c r="I1947" t="s">
        <v>17</v>
      </c>
      <c r="K1947" t="s">
        <v>5362</v>
      </c>
      <c r="L1947">
        <v>61</v>
      </c>
      <c r="M1947" t="s">
        <v>5363</v>
      </c>
    </row>
    <row r="1948" spans="1:13" x14ac:dyDescent="0.45">
      <c r="A1948" t="s">
        <v>13</v>
      </c>
      <c r="B1948">
        <v>2074161</v>
      </c>
      <c r="C1948">
        <v>2074325</v>
      </c>
      <c r="E1948" t="s">
        <v>14</v>
      </c>
      <c r="F1948" t="s">
        <v>271</v>
      </c>
      <c r="H1948">
        <v>0</v>
      </c>
      <c r="I1948" t="s">
        <v>272</v>
      </c>
      <c r="M1948" t="s">
        <v>5364</v>
      </c>
    </row>
    <row r="1949" spans="1:13" x14ac:dyDescent="0.45">
      <c r="A1949" t="s">
        <v>13</v>
      </c>
      <c r="B1949">
        <v>2074593</v>
      </c>
      <c r="C1949">
        <v>2075303</v>
      </c>
      <c r="E1949" t="s">
        <v>96</v>
      </c>
      <c r="F1949" t="s">
        <v>697</v>
      </c>
      <c r="H1949">
        <v>0</v>
      </c>
      <c r="I1949" t="s">
        <v>17</v>
      </c>
      <c r="K1949" t="s">
        <v>5365</v>
      </c>
      <c r="L1949">
        <v>236</v>
      </c>
      <c r="M1949" t="s">
        <v>5366</v>
      </c>
    </row>
    <row r="1950" spans="1:13" x14ac:dyDescent="0.45">
      <c r="A1950" t="s">
        <v>13</v>
      </c>
      <c r="B1950">
        <v>2075308</v>
      </c>
      <c r="C1950">
        <v>2075481</v>
      </c>
      <c r="E1950" t="s">
        <v>96</v>
      </c>
      <c r="F1950" t="s">
        <v>1134</v>
      </c>
      <c r="H1950">
        <v>0</v>
      </c>
      <c r="I1950" t="s">
        <v>17</v>
      </c>
      <c r="K1950" t="s">
        <v>5367</v>
      </c>
      <c r="L1950">
        <v>57</v>
      </c>
      <c r="M1950" t="s">
        <v>5368</v>
      </c>
    </row>
    <row r="1951" spans="1:13" x14ac:dyDescent="0.45">
      <c r="A1951" t="s">
        <v>13</v>
      </c>
      <c r="B1951">
        <v>2075623</v>
      </c>
      <c r="C1951">
        <v>2075856</v>
      </c>
      <c r="E1951" t="s">
        <v>14</v>
      </c>
      <c r="F1951" t="s">
        <v>271</v>
      </c>
      <c r="H1951">
        <v>0</v>
      </c>
      <c r="I1951" t="s">
        <v>272</v>
      </c>
      <c r="M1951" t="s">
        <v>5369</v>
      </c>
    </row>
    <row r="1952" spans="1:13" x14ac:dyDescent="0.45">
      <c r="A1952" t="s">
        <v>13</v>
      </c>
      <c r="B1952">
        <v>2076020</v>
      </c>
      <c r="C1952">
        <v>2076331</v>
      </c>
      <c r="E1952" t="s">
        <v>14</v>
      </c>
      <c r="F1952" t="s">
        <v>5370</v>
      </c>
      <c r="H1952">
        <v>0</v>
      </c>
      <c r="I1952" t="s">
        <v>17</v>
      </c>
      <c r="K1952" t="s">
        <v>5371</v>
      </c>
      <c r="L1952">
        <v>103</v>
      </c>
      <c r="M1952" t="s">
        <v>5372</v>
      </c>
    </row>
    <row r="1953" spans="1:13" x14ac:dyDescent="0.45">
      <c r="A1953" t="s">
        <v>13</v>
      </c>
      <c r="B1953">
        <v>2076335</v>
      </c>
      <c r="C1953">
        <v>2076487</v>
      </c>
      <c r="E1953" t="s">
        <v>14</v>
      </c>
      <c r="F1953" t="s">
        <v>271</v>
      </c>
      <c r="H1953">
        <v>0</v>
      </c>
      <c r="I1953" t="s">
        <v>272</v>
      </c>
      <c r="M1953" t="s">
        <v>5373</v>
      </c>
    </row>
    <row r="1954" spans="1:13" x14ac:dyDescent="0.45">
      <c r="A1954" t="s">
        <v>13</v>
      </c>
      <c r="B1954">
        <v>2076649</v>
      </c>
      <c r="C1954">
        <v>2076921</v>
      </c>
      <c r="E1954" t="s">
        <v>14</v>
      </c>
      <c r="F1954" t="s">
        <v>1134</v>
      </c>
      <c r="H1954">
        <v>0</v>
      </c>
      <c r="I1954" t="s">
        <v>17</v>
      </c>
      <c r="K1954" t="s">
        <v>5374</v>
      </c>
      <c r="L1954">
        <v>90</v>
      </c>
      <c r="M1954" t="s">
        <v>5375</v>
      </c>
    </row>
    <row r="1955" spans="1:13" x14ac:dyDescent="0.45">
      <c r="A1955" t="s">
        <v>13</v>
      </c>
      <c r="B1955">
        <v>2076881</v>
      </c>
      <c r="C1955">
        <v>2077258</v>
      </c>
      <c r="E1955" t="s">
        <v>14</v>
      </c>
      <c r="F1955" t="s">
        <v>5269</v>
      </c>
      <c r="H1955">
        <v>0</v>
      </c>
      <c r="I1955" t="s">
        <v>17</v>
      </c>
      <c r="K1955" t="s">
        <v>5376</v>
      </c>
      <c r="L1955">
        <v>125</v>
      </c>
      <c r="M1955" t="s">
        <v>5377</v>
      </c>
    </row>
    <row r="1956" spans="1:13" x14ac:dyDescent="0.45">
      <c r="A1956" t="s">
        <v>13</v>
      </c>
      <c r="B1956">
        <v>2077375</v>
      </c>
      <c r="C1956">
        <v>2077809</v>
      </c>
      <c r="E1956" t="s">
        <v>14</v>
      </c>
      <c r="F1956" t="s">
        <v>1485</v>
      </c>
      <c r="H1956">
        <v>0</v>
      </c>
      <c r="I1956" t="s">
        <v>17</v>
      </c>
      <c r="K1956" t="s">
        <v>5378</v>
      </c>
      <c r="L1956">
        <v>144</v>
      </c>
      <c r="M1956" t="s">
        <v>5379</v>
      </c>
    </row>
    <row r="1957" spans="1:13" x14ac:dyDescent="0.45">
      <c r="A1957" t="s">
        <v>13</v>
      </c>
      <c r="B1957">
        <v>2077802</v>
      </c>
      <c r="C1957">
        <v>2079103</v>
      </c>
      <c r="E1957" t="s">
        <v>14</v>
      </c>
      <c r="F1957" t="s">
        <v>729</v>
      </c>
      <c r="H1957">
        <v>0</v>
      </c>
      <c r="I1957" t="s">
        <v>17</v>
      </c>
      <c r="K1957" t="s">
        <v>5380</v>
      </c>
      <c r="L1957">
        <v>433</v>
      </c>
      <c r="M1957" t="s">
        <v>5381</v>
      </c>
    </row>
    <row r="1958" spans="1:13" x14ac:dyDescent="0.45">
      <c r="A1958" t="s">
        <v>13</v>
      </c>
      <c r="B1958">
        <v>2079197</v>
      </c>
      <c r="C1958">
        <v>2080003</v>
      </c>
      <c r="E1958" t="s">
        <v>96</v>
      </c>
      <c r="F1958" t="s">
        <v>1134</v>
      </c>
      <c r="H1958">
        <v>0</v>
      </c>
      <c r="I1958" t="s">
        <v>17</v>
      </c>
      <c r="K1958" t="s">
        <v>5382</v>
      </c>
      <c r="L1958">
        <v>268</v>
      </c>
      <c r="M1958" t="s">
        <v>5383</v>
      </c>
    </row>
    <row r="1959" spans="1:13" x14ac:dyDescent="0.45">
      <c r="A1959" t="s">
        <v>13</v>
      </c>
      <c r="B1959">
        <v>2080487</v>
      </c>
      <c r="C1959">
        <v>2080675</v>
      </c>
      <c r="E1959" t="s">
        <v>14</v>
      </c>
      <c r="F1959" t="s">
        <v>43</v>
      </c>
      <c r="H1959">
        <v>0</v>
      </c>
      <c r="I1959" t="s">
        <v>17</v>
      </c>
      <c r="K1959" t="s">
        <v>5384</v>
      </c>
      <c r="L1959">
        <v>62</v>
      </c>
      <c r="M1959" t="s">
        <v>5385</v>
      </c>
    </row>
    <row r="1960" spans="1:13" x14ac:dyDescent="0.45">
      <c r="A1960" t="s">
        <v>13</v>
      </c>
      <c r="B1960">
        <v>2080672</v>
      </c>
      <c r="C1960">
        <v>2081013</v>
      </c>
      <c r="E1960" t="s">
        <v>14</v>
      </c>
      <c r="F1960" t="s">
        <v>5386</v>
      </c>
      <c r="H1960">
        <v>0</v>
      </c>
      <c r="I1960" t="s">
        <v>17</v>
      </c>
      <c r="K1960" t="s">
        <v>5387</v>
      </c>
      <c r="L1960">
        <v>113</v>
      </c>
      <c r="M1960" t="s">
        <v>5388</v>
      </c>
    </row>
    <row r="1961" spans="1:13" x14ac:dyDescent="0.45">
      <c r="A1961" t="s">
        <v>13</v>
      </c>
      <c r="B1961">
        <v>2081006</v>
      </c>
      <c r="C1961">
        <v>2081302</v>
      </c>
      <c r="E1961" t="s">
        <v>14</v>
      </c>
      <c r="F1961" t="s">
        <v>5297</v>
      </c>
      <c r="H1961">
        <v>0</v>
      </c>
      <c r="I1961" t="s">
        <v>17</v>
      </c>
      <c r="K1961" t="s">
        <v>5389</v>
      </c>
      <c r="L1961">
        <v>98</v>
      </c>
      <c r="M1961" t="s">
        <v>5390</v>
      </c>
    </row>
    <row r="1962" spans="1:13" x14ac:dyDescent="0.45">
      <c r="A1962" t="s">
        <v>13</v>
      </c>
      <c r="B1962">
        <v>2081602</v>
      </c>
      <c r="C1962">
        <v>2081745</v>
      </c>
      <c r="E1962" t="s">
        <v>14</v>
      </c>
      <c r="F1962" t="s">
        <v>43</v>
      </c>
      <c r="H1962">
        <v>0</v>
      </c>
      <c r="I1962" t="s">
        <v>17</v>
      </c>
      <c r="K1962" t="s">
        <v>5391</v>
      </c>
      <c r="L1962">
        <v>47</v>
      </c>
      <c r="M1962" t="s">
        <v>5392</v>
      </c>
    </row>
    <row r="1963" spans="1:13" x14ac:dyDescent="0.45">
      <c r="A1963" t="s">
        <v>13</v>
      </c>
      <c r="B1963">
        <v>2081933</v>
      </c>
      <c r="C1963">
        <v>2083513</v>
      </c>
      <c r="E1963" t="s">
        <v>14</v>
      </c>
      <c r="F1963" t="s">
        <v>5300</v>
      </c>
      <c r="G1963" t="s">
        <v>5301</v>
      </c>
      <c r="H1963">
        <v>0</v>
      </c>
      <c r="I1963" t="s">
        <v>17</v>
      </c>
      <c r="K1963" t="s">
        <v>5393</v>
      </c>
      <c r="L1963">
        <v>526</v>
      </c>
      <c r="M1963" t="s">
        <v>5394</v>
      </c>
    </row>
    <row r="1964" spans="1:13" x14ac:dyDescent="0.45">
      <c r="A1964" t="s">
        <v>13</v>
      </c>
      <c r="B1964">
        <v>2083579</v>
      </c>
      <c r="C1964">
        <v>2084223</v>
      </c>
      <c r="E1964" t="s">
        <v>14</v>
      </c>
      <c r="F1964" t="s">
        <v>5338</v>
      </c>
      <c r="H1964">
        <v>0</v>
      </c>
      <c r="I1964" t="s">
        <v>17</v>
      </c>
      <c r="K1964" t="s">
        <v>5395</v>
      </c>
      <c r="L1964">
        <v>214</v>
      </c>
      <c r="M1964" t="s">
        <v>5396</v>
      </c>
    </row>
    <row r="1965" spans="1:13" x14ac:dyDescent="0.45">
      <c r="A1965" t="s">
        <v>13</v>
      </c>
      <c r="B1965">
        <v>2084192</v>
      </c>
      <c r="C1965">
        <v>2085529</v>
      </c>
      <c r="E1965" t="s">
        <v>14</v>
      </c>
      <c r="F1965" t="s">
        <v>4366</v>
      </c>
      <c r="H1965">
        <v>0</v>
      </c>
      <c r="I1965" t="s">
        <v>17</v>
      </c>
      <c r="K1965" t="s">
        <v>5397</v>
      </c>
      <c r="L1965">
        <v>445</v>
      </c>
      <c r="M1965" t="s">
        <v>5398</v>
      </c>
    </row>
    <row r="1966" spans="1:13" x14ac:dyDescent="0.45">
      <c r="A1966" t="s">
        <v>13</v>
      </c>
      <c r="B1966">
        <v>2085771</v>
      </c>
      <c r="C1966">
        <v>2085968</v>
      </c>
      <c r="E1966" t="s">
        <v>14</v>
      </c>
      <c r="F1966" t="s">
        <v>43</v>
      </c>
      <c r="H1966">
        <v>0</v>
      </c>
      <c r="I1966" t="s">
        <v>17</v>
      </c>
      <c r="K1966" t="s">
        <v>5399</v>
      </c>
      <c r="L1966">
        <v>65</v>
      </c>
      <c r="M1966" t="s">
        <v>5400</v>
      </c>
    </row>
    <row r="1967" spans="1:13" x14ac:dyDescent="0.45">
      <c r="A1967" t="s">
        <v>13</v>
      </c>
      <c r="B1967">
        <v>2085969</v>
      </c>
      <c r="C1967">
        <v>2087639</v>
      </c>
      <c r="E1967" t="s">
        <v>14</v>
      </c>
      <c r="F1967" t="s">
        <v>3330</v>
      </c>
      <c r="H1967">
        <v>0</v>
      </c>
      <c r="I1967" t="s">
        <v>17</v>
      </c>
      <c r="K1967" t="s">
        <v>5401</v>
      </c>
      <c r="L1967">
        <v>556</v>
      </c>
      <c r="M1967" t="s">
        <v>5402</v>
      </c>
    </row>
    <row r="1968" spans="1:13" x14ac:dyDescent="0.45">
      <c r="A1968" t="s">
        <v>13</v>
      </c>
      <c r="B1968">
        <v>2087730</v>
      </c>
      <c r="C1968">
        <v>2087813</v>
      </c>
      <c r="E1968" t="s">
        <v>14</v>
      </c>
      <c r="F1968" t="s">
        <v>271</v>
      </c>
      <c r="H1968">
        <v>0</v>
      </c>
      <c r="I1968" t="s">
        <v>272</v>
      </c>
      <c r="M1968" t="s">
        <v>5403</v>
      </c>
    </row>
    <row r="1969" spans="1:13" x14ac:dyDescent="0.45">
      <c r="A1969" t="s">
        <v>13</v>
      </c>
      <c r="B1969">
        <v>2087833</v>
      </c>
      <c r="C1969">
        <v>2088696</v>
      </c>
      <c r="E1969" t="s">
        <v>14</v>
      </c>
      <c r="F1969" t="s">
        <v>5404</v>
      </c>
      <c r="H1969">
        <v>0</v>
      </c>
      <c r="I1969" t="s">
        <v>17</v>
      </c>
      <c r="K1969" t="s">
        <v>5405</v>
      </c>
      <c r="L1969">
        <v>287</v>
      </c>
      <c r="M1969" t="s">
        <v>5406</v>
      </c>
    </row>
    <row r="1970" spans="1:13" x14ac:dyDescent="0.45">
      <c r="A1970" t="s">
        <v>13</v>
      </c>
      <c r="B1970">
        <v>2088714</v>
      </c>
      <c r="C1970">
        <v>2088974</v>
      </c>
      <c r="E1970" t="s">
        <v>14</v>
      </c>
      <c r="F1970" t="s">
        <v>43</v>
      </c>
      <c r="H1970">
        <v>0</v>
      </c>
      <c r="I1970" t="s">
        <v>17</v>
      </c>
      <c r="K1970" t="s">
        <v>5407</v>
      </c>
      <c r="L1970">
        <v>86</v>
      </c>
      <c r="M1970" t="s">
        <v>5408</v>
      </c>
    </row>
    <row r="1971" spans="1:13" x14ac:dyDescent="0.45">
      <c r="A1971" t="s">
        <v>13</v>
      </c>
      <c r="B1971">
        <v>2088978</v>
      </c>
      <c r="C1971">
        <v>2089367</v>
      </c>
      <c r="E1971" t="s">
        <v>14</v>
      </c>
      <c r="F1971" t="s">
        <v>5409</v>
      </c>
      <c r="H1971">
        <v>0</v>
      </c>
      <c r="I1971" t="s">
        <v>17</v>
      </c>
      <c r="K1971" t="s">
        <v>5410</v>
      </c>
      <c r="L1971">
        <v>129</v>
      </c>
      <c r="M1971" t="s">
        <v>5411</v>
      </c>
    </row>
    <row r="1972" spans="1:13" x14ac:dyDescent="0.45">
      <c r="A1972" t="s">
        <v>13</v>
      </c>
      <c r="B1972">
        <v>2089279</v>
      </c>
      <c r="C1972">
        <v>2091708</v>
      </c>
      <c r="E1972" t="s">
        <v>14</v>
      </c>
      <c r="F1972" t="s">
        <v>5412</v>
      </c>
      <c r="H1972">
        <v>0</v>
      </c>
      <c r="I1972" t="s">
        <v>17</v>
      </c>
      <c r="K1972" t="s">
        <v>5413</v>
      </c>
      <c r="L1972">
        <v>809</v>
      </c>
      <c r="M1972" t="s">
        <v>5414</v>
      </c>
    </row>
    <row r="1973" spans="1:13" x14ac:dyDescent="0.45">
      <c r="A1973" t="s">
        <v>13</v>
      </c>
      <c r="B1973">
        <v>2091712</v>
      </c>
      <c r="C1973">
        <v>2093844</v>
      </c>
      <c r="E1973" t="s">
        <v>14</v>
      </c>
      <c r="F1973" t="s">
        <v>5415</v>
      </c>
      <c r="H1973">
        <v>0</v>
      </c>
      <c r="I1973" t="s">
        <v>17</v>
      </c>
      <c r="K1973" t="s">
        <v>5416</v>
      </c>
      <c r="L1973">
        <v>710</v>
      </c>
      <c r="M1973" t="s">
        <v>5417</v>
      </c>
    </row>
    <row r="1974" spans="1:13" x14ac:dyDescent="0.45">
      <c r="A1974" t="s">
        <v>13</v>
      </c>
      <c r="B1974">
        <v>2093856</v>
      </c>
      <c r="C1974">
        <v>2094095</v>
      </c>
      <c r="E1974" t="s">
        <v>14</v>
      </c>
      <c r="F1974" t="s">
        <v>43</v>
      </c>
      <c r="H1974">
        <v>0</v>
      </c>
      <c r="I1974" t="s">
        <v>17</v>
      </c>
      <c r="K1974" t="s">
        <v>5418</v>
      </c>
      <c r="L1974">
        <v>79</v>
      </c>
      <c r="M1974" t="s">
        <v>5419</v>
      </c>
    </row>
    <row r="1975" spans="1:13" x14ac:dyDescent="0.45">
      <c r="A1975" t="s">
        <v>13</v>
      </c>
      <c r="B1975">
        <v>2094070</v>
      </c>
      <c r="C1975">
        <v>2095611</v>
      </c>
      <c r="E1975" t="s">
        <v>14</v>
      </c>
      <c r="F1975" t="s">
        <v>5420</v>
      </c>
      <c r="H1975">
        <v>0</v>
      </c>
      <c r="I1975" t="s">
        <v>17</v>
      </c>
      <c r="K1975" t="s">
        <v>5421</v>
      </c>
      <c r="L1975">
        <v>513</v>
      </c>
      <c r="M1975" t="s">
        <v>5422</v>
      </c>
    </row>
    <row r="1976" spans="1:13" x14ac:dyDescent="0.45">
      <c r="A1976" t="s">
        <v>13</v>
      </c>
      <c r="B1976">
        <v>2095706</v>
      </c>
      <c r="C1976">
        <v>2097412</v>
      </c>
      <c r="E1976" t="s">
        <v>14</v>
      </c>
      <c r="F1976" t="s">
        <v>5423</v>
      </c>
      <c r="H1976">
        <v>0</v>
      </c>
      <c r="I1976" t="s">
        <v>17</v>
      </c>
      <c r="K1976" t="s">
        <v>5424</v>
      </c>
      <c r="L1976">
        <v>568</v>
      </c>
      <c r="M1976" t="s">
        <v>5425</v>
      </c>
    </row>
    <row r="1977" spans="1:13" x14ac:dyDescent="0.45">
      <c r="A1977" t="s">
        <v>13</v>
      </c>
      <c r="B1977">
        <v>2097497</v>
      </c>
      <c r="C1977">
        <v>2098300</v>
      </c>
      <c r="E1977" t="s">
        <v>14</v>
      </c>
      <c r="F1977" t="s">
        <v>5426</v>
      </c>
      <c r="H1977">
        <v>0</v>
      </c>
      <c r="I1977" t="s">
        <v>17</v>
      </c>
      <c r="K1977" t="s">
        <v>5427</v>
      </c>
      <c r="L1977">
        <v>267</v>
      </c>
      <c r="M1977" t="s">
        <v>5428</v>
      </c>
    </row>
    <row r="1978" spans="1:13" x14ac:dyDescent="0.45">
      <c r="A1978" t="s">
        <v>13</v>
      </c>
      <c r="B1978">
        <v>2098383</v>
      </c>
      <c r="C1978">
        <v>2107112</v>
      </c>
      <c r="E1978" t="s">
        <v>14</v>
      </c>
      <c r="F1978" t="s">
        <v>5429</v>
      </c>
      <c r="H1978">
        <v>0</v>
      </c>
      <c r="I1978" t="s">
        <v>17</v>
      </c>
      <c r="K1978" t="s">
        <v>5430</v>
      </c>
      <c r="L1978">
        <v>2909</v>
      </c>
      <c r="M1978" t="s">
        <v>5431</v>
      </c>
    </row>
    <row r="1979" spans="1:13" x14ac:dyDescent="0.45">
      <c r="A1979" t="s">
        <v>13</v>
      </c>
      <c r="B1979">
        <v>2107155</v>
      </c>
      <c r="C1979">
        <v>2107814</v>
      </c>
      <c r="E1979" t="s">
        <v>14</v>
      </c>
      <c r="F1979" t="s">
        <v>43</v>
      </c>
      <c r="H1979">
        <v>0</v>
      </c>
      <c r="I1979" t="s">
        <v>17</v>
      </c>
      <c r="K1979" t="s">
        <v>5432</v>
      </c>
      <c r="L1979">
        <v>219</v>
      </c>
      <c r="M1979" t="s">
        <v>5433</v>
      </c>
    </row>
    <row r="1980" spans="1:13" x14ac:dyDescent="0.45">
      <c r="A1980" t="s">
        <v>13</v>
      </c>
      <c r="B1980">
        <v>2107954</v>
      </c>
      <c r="C1980">
        <v>2108184</v>
      </c>
      <c r="E1980" t="s">
        <v>14</v>
      </c>
      <c r="F1980" t="s">
        <v>1134</v>
      </c>
      <c r="H1980">
        <v>0</v>
      </c>
      <c r="I1980" t="s">
        <v>17</v>
      </c>
      <c r="K1980" t="s">
        <v>5434</v>
      </c>
      <c r="L1980">
        <v>76</v>
      </c>
      <c r="M1980" t="s">
        <v>5435</v>
      </c>
    </row>
    <row r="1981" spans="1:13" x14ac:dyDescent="0.45">
      <c r="A1981" t="s">
        <v>13</v>
      </c>
      <c r="B1981">
        <v>2108387</v>
      </c>
      <c r="C1981">
        <v>2110009</v>
      </c>
      <c r="E1981" t="s">
        <v>14</v>
      </c>
      <c r="F1981" t="s">
        <v>5436</v>
      </c>
      <c r="H1981">
        <v>0</v>
      </c>
      <c r="I1981" t="s">
        <v>17</v>
      </c>
      <c r="K1981" t="s">
        <v>5437</v>
      </c>
      <c r="L1981">
        <v>540</v>
      </c>
      <c r="M1981" t="s">
        <v>5438</v>
      </c>
    </row>
    <row r="1982" spans="1:13" x14ac:dyDescent="0.45">
      <c r="A1982" t="s">
        <v>13</v>
      </c>
      <c r="B1982">
        <v>2110006</v>
      </c>
      <c r="C1982">
        <v>2111073</v>
      </c>
      <c r="E1982" t="s">
        <v>14</v>
      </c>
      <c r="F1982" t="s">
        <v>3649</v>
      </c>
      <c r="H1982">
        <v>0</v>
      </c>
      <c r="I1982" t="s">
        <v>17</v>
      </c>
      <c r="K1982" t="s">
        <v>5439</v>
      </c>
      <c r="L1982">
        <v>355</v>
      </c>
      <c r="M1982" t="s">
        <v>5440</v>
      </c>
    </row>
    <row r="1983" spans="1:13" x14ac:dyDescent="0.45">
      <c r="A1983" t="s">
        <v>13</v>
      </c>
      <c r="B1983">
        <v>2111101</v>
      </c>
      <c r="C1983">
        <v>2111562</v>
      </c>
      <c r="E1983" t="s">
        <v>14</v>
      </c>
      <c r="F1983" t="s">
        <v>43</v>
      </c>
      <c r="H1983">
        <v>0</v>
      </c>
      <c r="I1983" t="s">
        <v>17</v>
      </c>
      <c r="K1983" t="s">
        <v>5441</v>
      </c>
      <c r="L1983">
        <v>153</v>
      </c>
      <c r="M1983" t="s">
        <v>5442</v>
      </c>
    </row>
    <row r="1984" spans="1:13" x14ac:dyDescent="0.45">
      <c r="A1984" t="s">
        <v>13</v>
      </c>
      <c r="B1984">
        <v>2111552</v>
      </c>
      <c r="C1984">
        <v>2112358</v>
      </c>
      <c r="E1984" t="s">
        <v>14</v>
      </c>
      <c r="F1984" t="s">
        <v>5443</v>
      </c>
      <c r="H1984">
        <v>0</v>
      </c>
      <c r="I1984" t="s">
        <v>17</v>
      </c>
      <c r="K1984" t="s">
        <v>5444</v>
      </c>
      <c r="L1984">
        <v>268</v>
      </c>
      <c r="M1984" t="s">
        <v>5445</v>
      </c>
    </row>
    <row r="1985" spans="1:13" x14ac:dyDescent="0.45">
      <c r="A1985" t="s">
        <v>13</v>
      </c>
      <c r="B1985">
        <v>2112394</v>
      </c>
      <c r="C1985">
        <v>2113725</v>
      </c>
      <c r="E1985" t="s">
        <v>96</v>
      </c>
      <c r="F1985" t="s">
        <v>5446</v>
      </c>
      <c r="H1985">
        <v>0</v>
      </c>
      <c r="I1985" t="s">
        <v>17</v>
      </c>
      <c r="K1985" t="s">
        <v>5447</v>
      </c>
      <c r="L1985">
        <v>443</v>
      </c>
      <c r="M1985" t="s">
        <v>5448</v>
      </c>
    </row>
    <row r="1986" spans="1:13" x14ac:dyDescent="0.45">
      <c r="A1986" t="s">
        <v>13</v>
      </c>
      <c r="B1986">
        <v>2113731</v>
      </c>
      <c r="C1986">
        <v>2114081</v>
      </c>
      <c r="E1986" t="s">
        <v>96</v>
      </c>
      <c r="F1986" t="s">
        <v>5449</v>
      </c>
      <c r="H1986">
        <v>0</v>
      </c>
      <c r="I1986" t="s">
        <v>17</v>
      </c>
      <c r="K1986" t="s">
        <v>5450</v>
      </c>
      <c r="L1986">
        <v>116</v>
      </c>
      <c r="M1986" t="s">
        <v>5451</v>
      </c>
    </row>
    <row r="1987" spans="1:13" x14ac:dyDescent="0.45">
      <c r="A1987" t="s">
        <v>13</v>
      </c>
      <c r="B1987">
        <v>2114415</v>
      </c>
      <c r="C1987">
        <v>2115572</v>
      </c>
      <c r="E1987" t="s">
        <v>14</v>
      </c>
      <c r="F1987" t="s">
        <v>4145</v>
      </c>
      <c r="H1987">
        <v>0</v>
      </c>
      <c r="I1987" t="s">
        <v>17</v>
      </c>
      <c r="K1987" t="s">
        <v>5452</v>
      </c>
      <c r="L1987">
        <v>385</v>
      </c>
      <c r="M1987" t="s">
        <v>5453</v>
      </c>
    </row>
    <row r="1988" spans="1:13" x14ac:dyDescent="0.45">
      <c r="A1988" t="s">
        <v>13</v>
      </c>
      <c r="B1988">
        <v>2115594</v>
      </c>
      <c r="C1988">
        <v>2115746</v>
      </c>
      <c r="E1988" t="s">
        <v>14</v>
      </c>
      <c r="F1988" t="s">
        <v>4148</v>
      </c>
      <c r="H1988">
        <v>0</v>
      </c>
      <c r="I1988" t="s">
        <v>17</v>
      </c>
      <c r="K1988" t="s">
        <v>5454</v>
      </c>
      <c r="L1988">
        <v>50</v>
      </c>
      <c r="M1988" t="s">
        <v>5455</v>
      </c>
    </row>
    <row r="1989" spans="1:13" x14ac:dyDescent="0.45">
      <c r="A1989" t="s">
        <v>13</v>
      </c>
      <c r="B1989">
        <v>2115739</v>
      </c>
      <c r="C1989">
        <v>2116629</v>
      </c>
      <c r="E1989" t="s">
        <v>14</v>
      </c>
      <c r="F1989" t="s">
        <v>548</v>
      </c>
      <c r="H1989">
        <v>0</v>
      </c>
      <c r="I1989" t="s">
        <v>17</v>
      </c>
      <c r="K1989" t="s">
        <v>5456</v>
      </c>
      <c r="L1989">
        <v>296</v>
      </c>
      <c r="M1989" t="s">
        <v>5457</v>
      </c>
    </row>
    <row r="1990" spans="1:13" x14ac:dyDescent="0.45">
      <c r="A1990" t="s">
        <v>13</v>
      </c>
      <c r="B1990">
        <v>2116648</v>
      </c>
      <c r="C1990">
        <v>2117925</v>
      </c>
      <c r="E1990" t="s">
        <v>14</v>
      </c>
      <c r="F1990" t="s">
        <v>1143</v>
      </c>
      <c r="H1990">
        <v>0</v>
      </c>
      <c r="I1990" t="s">
        <v>17</v>
      </c>
      <c r="K1990" t="s">
        <v>5458</v>
      </c>
      <c r="L1990">
        <v>425</v>
      </c>
      <c r="M1990" t="s">
        <v>5459</v>
      </c>
    </row>
    <row r="1991" spans="1:13" x14ac:dyDescent="0.45">
      <c r="A1991" t="s">
        <v>13</v>
      </c>
      <c r="B1991">
        <v>2117935</v>
      </c>
      <c r="C1991">
        <v>2118591</v>
      </c>
      <c r="E1991" t="s">
        <v>14</v>
      </c>
      <c r="F1991" t="s">
        <v>1140</v>
      </c>
      <c r="H1991">
        <v>0</v>
      </c>
      <c r="I1991" t="s">
        <v>17</v>
      </c>
      <c r="K1991" t="s">
        <v>5460</v>
      </c>
      <c r="L1991">
        <v>218</v>
      </c>
      <c r="M1991" t="s">
        <v>5461</v>
      </c>
    </row>
    <row r="1992" spans="1:13" x14ac:dyDescent="0.45">
      <c r="A1992" t="s">
        <v>13</v>
      </c>
      <c r="B1992">
        <v>2118591</v>
      </c>
      <c r="C1992">
        <v>2119967</v>
      </c>
      <c r="E1992" t="s">
        <v>14</v>
      </c>
      <c r="F1992" t="s">
        <v>1143</v>
      </c>
      <c r="H1992">
        <v>0</v>
      </c>
      <c r="I1992" t="s">
        <v>17</v>
      </c>
      <c r="K1992" t="s">
        <v>5462</v>
      </c>
      <c r="L1992">
        <v>458</v>
      </c>
      <c r="M1992" t="s">
        <v>5463</v>
      </c>
    </row>
    <row r="1993" spans="1:13" x14ac:dyDescent="0.45">
      <c r="A1993" t="s">
        <v>13</v>
      </c>
      <c r="B1993">
        <v>2120065</v>
      </c>
      <c r="C1993">
        <v>2120718</v>
      </c>
      <c r="E1993" t="s">
        <v>14</v>
      </c>
      <c r="F1993" t="s">
        <v>1222</v>
      </c>
      <c r="H1993">
        <v>0</v>
      </c>
      <c r="I1993" t="s">
        <v>17</v>
      </c>
      <c r="K1993" t="s">
        <v>5464</v>
      </c>
      <c r="L1993">
        <v>217</v>
      </c>
      <c r="M1993" t="s">
        <v>5465</v>
      </c>
    </row>
    <row r="1994" spans="1:13" x14ac:dyDescent="0.45">
      <c r="A1994" t="s">
        <v>13</v>
      </c>
      <c r="B1994">
        <v>2120715</v>
      </c>
      <c r="C1994">
        <v>2122034</v>
      </c>
      <c r="E1994" t="s">
        <v>14</v>
      </c>
      <c r="F1994" t="s">
        <v>1219</v>
      </c>
      <c r="H1994">
        <v>0</v>
      </c>
      <c r="I1994" t="s">
        <v>17</v>
      </c>
      <c r="K1994" t="s">
        <v>5466</v>
      </c>
      <c r="L1994">
        <v>439</v>
      </c>
      <c r="M1994" t="s">
        <v>5467</v>
      </c>
    </row>
    <row r="1995" spans="1:13" x14ac:dyDescent="0.45">
      <c r="A1995" t="s">
        <v>13</v>
      </c>
      <c r="B1995">
        <v>2122558</v>
      </c>
      <c r="C1995">
        <v>2122968</v>
      </c>
      <c r="E1995" t="s">
        <v>14</v>
      </c>
      <c r="F1995" t="s">
        <v>1060</v>
      </c>
      <c r="H1995">
        <v>0</v>
      </c>
      <c r="I1995" t="s">
        <v>17</v>
      </c>
      <c r="K1995" t="s">
        <v>5468</v>
      </c>
      <c r="L1995">
        <v>136</v>
      </c>
      <c r="M1995" t="s">
        <v>5469</v>
      </c>
    </row>
    <row r="1996" spans="1:13" x14ac:dyDescent="0.45">
      <c r="A1996" t="s">
        <v>13</v>
      </c>
      <c r="B1996">
        <v>2123457</v>
      </c>
      <c r="C1996">
        <v>2123609</v>
      </c>
      <c r="E1996" t="s">
        <v>14</v>
      </c>
      <c r="F1996" t="s">
        <v>43</v>
      </c>
      <c r="H1996">
        <v>0</v>
      </c>
      <c r="I1996" t="s">
        <v>17</v>
      </c>
      <c r="K1996" t="s">
        <v>5470</v>
      </c>
      <c r="L1996">
        <v>50</v>
      </c>
      <c r="M1996" t="s">
        <v>5471</v>
      </c>
    </row>
    <row r="1997" spans="1:13" x14ac:dyDescent="0.45">
      <c r="A1997" t="s">
        <v>13</v>
      </c>
      <c r="B1997">
        <v>2123710</v>
      </c>
      <c r="C1997">
        <v>2128632</v>
      </c>
      <c r="E1997" t="s">
        <v>14</v>
      </c>
      <c r="F1997" t="s">
        <v>3330</v>
      </c>
      <c r="H1997">
        <v>0</v>
      </c>
      <c r="I1997" t="s">
        <v>17</v>
      </c>
      <c r="K1997" t="s">
        <v>5472</v>
      </c>
      <c r="L1997">
        <v>1640</v>
      </c>
      <c r="M1997" t="s">
        <v>5473</v>
      </c>
    </row>
    <row r="1998" spans="1:13" x14ac:dyDescent="0.45">
      <c r="A1998" t="s">
        <v>13</v>
      </c>
      <c r="B1998">
        <v>2129089</v>
      </c>
      <c r="C1998">
        <v>2129436</v>
      </c>
      <c r="E1998" t="s">
        <v>14</v>
      </c>
      <c r="F1998" t="s">
        <v>4707</v>
      </c>
      <c r="H1998">
        <v>0</v>
      </c>
      <c r="I1998" t="s">
        <v>17</v>
      </c>
      <c r="K1998" t="s">
        <v>5474</v>
      </c>
      <c r="L1998">
        <v>115</v>
      </c>
      <c r="M1998" t="s">
        <v>5475</v>
      </c>
    </row>
    <row r="1999" spans="1:13" x14ac:dyDescent="0.45">
      <c r="A1999" t="s">
        <v>13</v>
      </c>
      <c r="B1999">
        <v>2129586</v>
      </c>
      <c r="C1999">
        <v>2130635</v>
      </c>
      <c r="E1999" t="s">
        <v>96</v>
      </c>
      <c r="F1999" t="s">
        <v>2510</v>
      </c>
      <c r="H1999">
        <v>0</v>
      </c>
      <c r="I1999" t="s">
        <v>17</v>
      </c>
      <c r="K1999" t="s">
        <v>5476</v>
      </c>
      <c r="L1999">
        <v>349</v>
      </c>
      <c r="M1999" t="s">
        <v>5477</v>
      </c>
    </row>
    <row r="2000" spans="1:13" x14ac:dyDescent="0.45">
      <c r="A2000" t="s">
        <v>13</v>
      </c>
      <c r="B2000">
        <v>2131021</v>
      </c>
      <c r="C2000">
        <v>2131755</v>
      </c>
      <c r="E2000" t="s">
        <v>14</v>
      </c>
      <c r="F2000" t="s">
        <v>1295</v>
      </c>
      <c r="H2000">
        <v>0</v>
      </c>
      <c r="I2000" t="s">
        <v>17</v>
      </c>
      <c r="K2000" t="s">
        <v>5478</v>
      </c>
      <c r="L2000">
        <v>244</v>
      </c>
      <c r="M2000" t="s">
        <v>5479</v>
      </c>
    </row>
    <row r="2001" spans="1:13" x14ac:dyDescent="0.45">
      <c r="A2001" t="s">
        <v>13</v>
      </c>
      <c r="B2001">
        <v>2131897</v>
      </c>
      <c r="C2001">
        <v>2132388</v>
      </c>
      <c r="E2001" t="s">
        <v>96</v>
      </c>
      <c r="F2001" t="s">
        <v>5480</v>
      </c>
      <c r="H2001">
        <v>0</v>
      </c>
      <c r="I2001" t="s">
        <v>17</v>
      </c>
      <c r="K2001" t="s">
        <v>5481</v>
      </c>
      <c r="L2001">
        <v>163</v>
      </c>
      <c r="M2001" t="s">
        <v>5482</v>
      </c>
    </row>
    <row r="2002" spans="1:13" x14ac:dyDescent="0.45">
      <c r="A2002" t="s">
        <v>13</v>
      </c>
      <c r="B2002">
        <v>2132737</v>
      </c>
      <c r="C2002">
        <v>2133120</v>
      </c>
      <c r="E2002" t="s">
        <v>14</v>
      </c>
      <c r="F2002" t="s">
        <v>5483</v>
      </c>
      <c r="H2002">
        <v>0</v>
      </c>
      <c r="I2002" t="s">
        <v>17</v>
      </c>
      <c r="K2002" t="s">
        <v>5484</v>
      </c>
      <c r="L2002">
        <v>127</v>
      </c>
      <c r="M2002" t="s">
        <v>5485</v>
      </c>
    </row>
    <row r="2003" spans="1:13" x14ac:dyDescent="0.45">
      <c r="A2003" t="s">
        <v>13</v>
      </c>
      <c r="B2003">
        <v>2133626</v>
      </c>
      <c r="C2003">
        <v>2134009</v>
      </c>
      <c r="E2003" t="s">
        <v>14</v>
      </c>
      <c r="F2003" t="s">
        <v>40</v>
      </c>
      <c r="H2003">
        <v>0</v>
      </c>
      <c r="I2003" t="s">
        <v>17</v>
      </c>
      <c r="K2003" t="s">
        <v>5486</v>
      </c>
      <c r="L2003">
        <v>127</v>
      </c>
      <c r="M2003" t="s">
        <v>5487</v>
      </c>
    </row>
    <row r="2004" spans="1:13" x14ac:dyDescent="0.45">
      <c r="A2004" t="s">
        <v>13</v>
      </c>
      <c r="B2004">
        <v>2134011</v>
      </c>
      <c r="C2004">
        <v>2134361</v>
      </c>
      <c r="E2004" t="s">
        <v>14</v>
      </c>
      <c r="F2004" t="s">
        <v>43</v>
      </c>
      <c r="H2004">
        <v>0</v>
      </c>
      <c r="I2004" t="s">
        <v>17</v>
      </c>
      <c r="K2004" t="s">
        <v>5488</v>
      </c>
      <c r="L2004">
        <v>116</v>
      </c>
      <c r="M2004" t="s">
        <v>5489</v>
      </c>
    </row>
    <row r="2005" spans="1:13" x14ac:dyDescent="0.45">
      <c r="A2005" t="s">
        <v>13</v>
      </c>
      <c r="B2005">
        <v>2134455</v>
      </c>
      <c r="C2005">
        <v>2134913</v>
      </c>
      <c r="E2005" t="s">
        <v>96</v>
      </c>
      <c r="F2005" t="s">
        <v>43</v>
      </c>
      <c r="H2005">
        <v>0</v>
      </c>
      <c r="I2005" t="s">
        <v>17</v>
      </c>
      <c r="K2005" t="s">
        <v>5490</v>
      </c>
      <c r="L2005">
        <v>152</v>
      </c>
      <c r="M2005" t="s">
        <v>5491</v>
      </c>
    </row>
    <row r="2006" spans="1:13" x14ac:dyDescent="0.45">
      <c r="A2006" t="s">
        <v>13</v>
      </c>
      <c r="B2006">
        <v>2134958</v>
      </c>
      <c r="C2006">
        <v>2135746</v>
      </c>
      <c r="E2006" t="s">
        <v>96</v>
      </c>
      <c r="F2006" t="s">
        <v>2331</v>
      </c>
      <c r="H2006">
        <v>0</v>
      </c>
      <c r="I2006" t="s">
        <v>17</v>
      </c>
      <c r="K2006" t="s">
        <v>5492</v>
      </c>
      <c r="L2006">
        <v>262</v>
      </c>
      <c r="M2006" t="s">
        <v>5493</v>
      </c>
    </row>
    <row r="2007" spans="1:13" x14ac:dyDescent="0.45">
      <c r="A2007" t="s">
        <v>13</v>
      </c>
      <c r="B2007">
        <v>2135885</v>
      </c>
      <c r="C2007">
        <v>2136322</v>
      </c>
      <c r="E2007" t="s">
        <v>96</v>
      </c>
      <c r="F2007" t="s">
        <v>5494</v>
      </c>
      <c r="H2007">
        <v>0</v>
      </c>
      <c r="I2007" t="s">
        <v>17</v>
      </c>
      <c r="K2007" t="s">
        <v>5495</v>
      </c>
      <c r="L2007">
        <v>145</v>
      </c>
      <c r="M2007" t="s">
        <v>5496</v>
      </c>
    </row>
    <row r="2008" spans="1:13" x14ac:dyDescent="0.45">
      <c r="A2008" t="s">
        <v>13</v>
      </c>
      <c r="B2008">
        <v>2136556</v>
      </c>
      <c r="C2008">
        <v>2136690</v>
      </c>
      <c r="E2008" t="s">
        <v>96</v>
      </c>
      <c r="F2008" t="s">
        <v>43</v>
      </c>
      <c r="H2008">
        <v>0</v>
      </c>
      <c r="I2008" t="s">
        <v>17</v>
      </c>
      <c r="K2008" t="s">
        <v>5497</v>
      </c>
      <c r="L2008">
        <v>44</v>
      </c>
      <c r="M2008" t="s">
        <v>5498</v>
      </c>
    </row>
    <row r="2009" spans="1:13" x14ac:dyDescent="0.45">
      <c r="A2009" t="s">
        <v>13</v>
      </c>
      <c r="B2009">
        <v>2137144</v>
      </c>
      <c r="C2009">
        <v>2137653</v>
      </c>
      <c r="E2009" t="s">
        <v>14</v>
      </c>
      <c r="F2009" t="s">
        <v>1134</v>
      </c>
      <c r="H2009">
        <v>0</v>
      </c>
      <c r="I2009" t="s">
        <v>17</v>
      </c>
      <c r="K2009" t="s">
        <v>5499</v>
      </c>
      <c r="L2009">
        <v>169</v>
      </c>
      <c r="M2009" t="s">
        <v>5500</v>
      </c>
    </row>
    <row r="2010" spans="1:13" x14ac:dyDescent="0.45">
      <c r="A2010" t="s">
        <v>13</v>
      </c>
      <c r="B2010">
        <v>2137680</v>
      </c>
      <c r="C2010">
        <v>2137826</v>
      </c>
      <c r="E2010" t="s">
        <v>14</v>
      </c>
      <c r="F2010" t="s">
        <v>271</v>
      </c>
      <c r="H2010">
        <v>0</v>
      </c>
      <c r="I2010" t="s">
        <v>272</v>
      </c>
      <c r="M2010" t="s">
        <v>5501</v>
      </c>
    </row>
    <row r="2011" spans="1:13" x14ac:dyDescent="0.45">
      <c r="A2011" t="s">
        <v>13</v>
      </c>
      <c r="B2011">
        <v>2138564</v>
      </c>
      <c r="C2011">
        <v>2139364</v>
      </c>
      <c r="E2011" t="s">
        <v>96</v>
      </c>
      <c r="F2011" t="s">
        <v>1143</v>
      </c>
      <c r="H2011">
        <v>0</v>
      </c>
      <c r="I2011" t="s">
        <v>17</v>
      </c>
      <c r="K2011" t="s">
        <v>5502</v>
      </c>
      <c r="L2011">
        <v>266</v>
      </c>
      <c r="M2011" t="s">
        <v>5503</v>
      </c>
    </row>
    <row r="2012" spans="1:13" x14ac:dyDescent="0.45">
      <c r="A2012" t="s">
        <v>13</v>
      </c>
      <c r="B2012">
        <v>2139559</v>
      </c>
      <c r="C2012">
        <v>2141157</v>
      </c>
      <c r="E2012" t="s">
        <v>96</v>
      </c>
      <c r="F2012" t="s">
        <v>3330</v>
      </c>
      <c r="H2012">
        <v>0</v>
      </c>
      <c r="I2012" t="s">
        <v>17</v>
      </c>
      <c r="K2012" t="s">
        <v>5504</v>
      </c>
      <c r="L2012">
        <v>532</v>
      </c>
      <c r="M2012" t="s">
        <v>5505</v>
      </c>
    </row>
    <row r="2013" spans="1:13" x14ac:dyDescent="0.45">
      <c r="A2013" t="s">
        <v>13</v>
      </c>
      <c r="B2013">
        <v>2141485</v>
      </c>
      <c r="C2013">
        <v>2141661</v>
      </c>
      <c r="E2013" t="s">
        <v>14</v>
      </c>
      <c r="F2013" t="s">
        <v>43</v>
      </c>
      <c r="H2013">
        <v>0</v>
      </c>
      <c r="I2013" t="s">
        <v>17</v>
      </c>
      <c r="K2013" t="s">
        <v>5506</v>
      </c>
      <c r="L2013">
        <v>58</v>
      </c>
      <c r="M2013" t="s">
        <v>5507</v>
      </c>
    </row>
    <row r="2014" spans="1:13" x14ac:dyDescent="0.45">
      <c r="A2014" t="s">
        <v>13</v>
      </c>
      <c r="B2014">
        <v>2141835</v>
      </c>
      <c r="C2014">
        <v>2142965</v>
      </c>
      <c r="E2014" t="s">
        <v>14</v>
      </c>
      <c r="F2014" t="s">
        <v>5508</v>
      </c>
      <c r="H2014">
        <v>0</v>
      </c>
      <c r="I2014" t="s">
        <v>17</v>
      </c>
      <c r="K2014" t="s">
        <v>5509</v>
      </c>
      <c r="L2014">
        <v>376</v>
      </c>
      <c r="M2014" t="s">
        <v>5510</v>
      </c>
    </row>
    <row r="2015" spans="1:13" x14ac:dyDescent="0.45">
      <c r="A2015" t="s">
        <v>13</v>
      </c>
      <c r="B2015">
        <v>2143206</v>
      </c>
      <c r="C2015">
        <v>2143556</v>
      </c>
      <c r="E2015" t="s">
        <v>14</v>
      </c>
      <c r="F2015" t="s">
        <v>5511</v>
      </c>
      <c r="G2015" t="s">
        <v>5512</v>
      </c>
      <c r="H2015">
        <v>0</v>
      </c>
      <c r="I2015" t="s">
        <v>17</v>
      </c>
      <c r="K2015" t="s">
        <v>5513</v>
      </c>
      <c r="L2015">
        <v>116</v>
      </c>
      <c r="M2015" t="s">
        <v>5514</v>
      </c>
    </row>
    <row r="2016" spans="1:13" x14ac:dyDescent="0.45">
      <c r="A2016" t="s">
        <v>13</v>
      </c>
      <c r="B2016">
        <v>2143564</v>
      </c>
      <c r="C2016">
        <v>2144013</v>
      </c>
      <c r="E2016" t="s">
        <v>14</v>
      </c>
      <c r="F2016" t="s">
        <v>5515</v>
      </c>
      <c r="H2016">
        <v>0</v>
      </c>
      <c r="I2016" t="s">
        <v>17</v>
      </c>
      <c r="K2016" t="s">
        <v>5516</v>
      </c>
      <c r="L2016">
        <v>149</v>
      </c>
      <c r="M2016" t="s">
        <v>5517</v>
      </c>
    </row>
    <row r="2017" spans="1:13" x14ac:dyDescent="0.45">
      <c r="A2017" t="s">
        <v>13</v>
      </c>
      <c r="B2017">
        <v>2144115</v>
      </c>
      <c r="C2017">
        <v>2144690</v>
      </c>
      <c r="E2017" t="s">
        <v>14</v>
      </c>
      <c r="F2017" t="s">
        <v>5518</v>
      </c>
      <c r="H2017">
        <v>0</v>
      </c>
      <c r="I2017" t="s">
        <v>17</v>
      </c>
      <c r="K2017" t="s">
        <v>5519</v>
      </c>
      <c r="L2017">
        <v>191</v>
      </c>
      <c r="M2017" t="s">
        <v>5520</v>
      </c>
    </row>
    <row r="2018" spans="1:13" x14ac:dyDescent="0.45">
      <c r="A2018" t="s">
        <v>13</v>
      </c>
      <c r="B2018">
        <v>2144683</v>
      </c>
      <c r="C2018">
        <v>2146092</v>
      </c>
      <c r="E2018" t="s">
        <v>14</v>
      </c>
      <c r="F2018" t="s">
        <v>5521</v>
      </c>
      <c r="H2018">
        <v>0</v>
      </c>
      <c r="I2018" t="s">
        <v>17</v>
      </c>
      <c r="K2018" t="s">
        <v>5522</v>
      </c>
      <c r="L2018">
        <v>469</v>
      </c>
      <c r="M2018" t="s">
        <v>5523</v>
      </c>
    </row>
    <row r="2019" spans="1:13" x14ac:dyDescent="0.45">
      <c r="A2019" t="s">
        <v>13</v>
      </c>
      <c r="B2019">
        <v>2146276</v>
      </c>
      <c r="C2019">
        <v>2147709</v>
      </c>
      <c r="E2019" t="s">
        <v>14</v>
      </c>
      <c r="F2019" t="s">
        <v>5524</v>
      </c>
      <c r="G2019" t="s">
        <v>5525</v>
      </c>
      <c r="H2019">
        <v>0</v>
      </c>
      <c r="I2019" t="s">
        <v>17</v>
      </c>
      <c r="K2019" t="s">
        <v>5526</v>
      </c>
      <c r="L2019">
        <v>477</v>
      </c>
      <c r="M2019" t="s">
        <v>5527</v>
      </c>
    </row>
    <row r="2020" spans="1:13" x14ac:dyDescent="0.45">
      <c r="A2020" t="s">
        <v>13</v>
      </c>
      <c r="B2020">
        <v>2147727</v>
      </c>
      <c r="C2020">
        <v>2149091</v>
      </c>
      <c r="E2020" t="s">
        <v>14</v>
      </c>
      <c r="F2020" t="s">
        <v>5528</v>
      </c>
      <c r="H2020">
        <v>0</v>
      </c>
      <c r="I2020" t="s">
        <v>17</v>
      </c>
      <c r="K2020" t="s">
        <v>5529</v>
      </c>
      <c r="L2020">
        <v>454</v>
      </c>
      <c r="M2020" t="s">
        <v>5530</v>
      </c>
    </row>
    <row r="2021" spans="1:13" x14ac:dyDescent="0.45">
      <c r="A2021" t="s">
        <v>13</v>
      </c>
      <c r="B2021">
        <v>2149104</v>
      </c>
      <c r="C2021">
        <v>2149985</v>
      </c>
      <c r="E2021" t="s">
        <v>14</v>
      </c>
      <c r="F2021" t="s">
        <v>5531</v>
      </c>
      <c r="G2021" t="s">
        <v>5532</v>
      </c>
      <c r="H2021">
        <v>0</v>
      </c>
      <c r="I2021" t="s">
        <v>17</v>
      </c>
      <c r="K2021" t="s">
        <v>5533</v>
      </c>
      <c r="L2021">
        <v>293</v>
      </c>
      <c r="M2021" t="s">
        <v>5534</v>
      </c>
    </row>
    <row r="2022" spans="1:13" x14ac:dyDescent="0.45">
      <c r="A2022" t="s">
        <v>13</v>
      </c>
      <c r="B2022">
        <v>2150005</v>
      </c>
      <c r="C2022">
        <v>2150658</v>
      </c>
      <c r="E2022" t="s">
        <v>14</v>
      </c>
      <c r="F2022" t="s">
        <v>5535</v>
      </c>
      <c r="G2022" t="s">
        <v>5536</v>
      </c>
      <c r="H2022">
        <v>0</v>
      </c>
      <c r="I2022" t="s">
        <v>17</v>
      </c>
      <c r="K2022" t="s">
        <v>5537</v>
      </c>
      <c r="L2022">
        <v>217</v>
      </c>
      <c r="M2022" t="s">
        <v>5538</v>
      </c>
    </row>
    <row r="2023" spans="1:13" x14ac:dyDescent="0.45">
      <c r="A2023" t="s">
        <v>13</v>
      </c>
      <c r="B2023">
        <v>2150669</v>
      </c>
      <c r="C2023">
        <v>2151370</v>
      </c>
      <c r="E2023" t="s">
        <v>14</v>
      </c>
      <c r="F2023" t="s">
        <v>5539</v>
      </c>
      <c r="H2023">
        <v>0</v>
      </c>
      <c r="I2023" t="s">
        <v>17</v>
      </c>
      <c r="K2023" t="s">
        <v>5540</v>
      </c>
      <c r="L2023">
        <v>233</v>
      </c>
      <c r="M2023" t="s">
        <v>5541</v>
      </c>
    </row>
    <row r="2024" spans="1:13" x14ac:dyDescent="0.45">
      <c r="A2024" t="s">
        <v>13</v>
      </c>
      <c r="B2024">
        <v>2151373</v>
      </c>
      <c r="C2024">
        <v>2152842</v>
      </c>
      <c r="E2024" t="s">
        <v>14</v>
      </c>
      <c r="F2024" t="s">
        <v>5542</v>
      </c>
      <c r="H2024">
        <v>0</v>
      </c>
      <c r="I2024" t="s">
        <v>17</v>
      </c>
      <c r="K2024" t="s">
        <v>5543</v>
      </c>
      <c r="L2024">
        <v>489</v>
      </c>
      <c r="M2024" t="s">
        <v>5544</v>
      </c>
    </row>
    <row r="2025" spans="1:13" x14ac:dyDescent="0.45">
      <c r="A2025" t="s">
        <v>13</v>
      </c>
      <c r="B2025">
        <v>2152938</v>
      </c>
      <c r="C2025">
        <v>2153225</v>
      </c>
      <c r="E2025" t="s">
        <v>14</v>
      </c>
      <c r="F2025" t="s">
        <v>5545</v>
      </c>
      <c r="G2025" t="s">
        <v>5546</v>
      </c>
      <c r="H2025">
        <v>0</v>
      </c>
      <c r="I2025" t="s">
        <v>17</v>
      </c>
      <c r="K2025" t="s">
        <v>5547</v>
      </c>
      <c r="L2025">
        <v>95</v>
      </c>
      <c r="M2025" t="s">
        <v>5548</v>
      </c>
    </row>
    <row r="2026" spans="1:13" x14ac:dyDescent="0.45">
      <c r="A2026" t="s">
        <v>13</v>
      </c>
      <c r="B2026">
        <v>2153352</v>
      </c>
      <c r="C2026">
        <v>2154113</v>
      </c>
      <c r="E2026" t="s">
        <v>14</v>
      </c>
      <c r="F2026" t="s">
        <v>5549</v>
      </c>
      <c r="H2026">
        <v>0</v>
      </c>
      <c r="I2026" t="s">
        <v>17</v>
      </c>
      <c r="K2026" t="s">
        <v>5550</v>
      </c>
      <c r="L2026">
        <v>253</v>
      </c>
      <c r="M2026" t="s">
        <v>5551</v>
      </c>
    </row>
    <row r="2027" spans="1:13" x14ac:dyDescent="0.45">
      <c r="A2027" t="s">
        <v>13</v>
      </c>
      <c r="B2027">
        <v>2154126</v>
      </c>
      <c r="C2027">
        <v>2154755</v>
      </c>
      <c r="E2027" t="s">
        <v>14</v>
      </c>
      <c r="F2027" t="s">
        <v>5552</v>
      </c>
      <c r="G2027" t="s">
        <v>5553</v>
      </c>
      <c r="H2027">
        <v>0</v>
      </c>
      <c r="I2027" t="s">
        <v>17</v>
      </c>
      <c r="K2027" t="s">
        <v>5554</v>
      </c>
      <c r="L2027">
        <v>209</v>
      </c>
      <c r="M2027" t="s">
        <v>5555</v>
      </c>
    </row>
    <row r="2028" spans="1:13" x14ac:dyDescent="0.45">
      <c r="A2028" t="s">
        <v>13</v>
      </c>
      <c r="B2028">
        <v>2154797</v>
      </c>
      <c r="C2028">
        <v>2155522</v>
      </c>
      <c r="E2028" t="s">
        <v>14</v>
      </c>
      <c r="F2028" t="s">
        <v>5556</v>
      </c>
      <c r="H2028">
        <v>0</v>
      </c>
      <c r="I2028" t="s">
        <v>17</v>
      </c>
      <c r="K2028" t="s">
        <v>5557</v>
      </c>
      <c r="L2028">
        <v>241</v>
      </c>
      <c r="M2028" t="s">
        <v>5558</v>
      </c>
    </row>
    <row r="2029" spans="1:13" x14ac:dyDescent="0.45">
      <c r="A2029" t="s">
        <v>13</v>
      </c>
      <c r="B2029">
        <v>2155535</v>
      </c>
      <c r="C2029">
        <v>2155807</v>
      </c>
      <c r="E2029" t="s">
        <v>14</v>
      </c>
      <c r="F2029" t="s">
        <v>5559</v>
      </c>
      <c r="H2029">
        <v>0</v>
      </c>
      <c r="I2029" t="s">
        <v>17</v>
      </c>
      <c r="K2029" t="s">
        <v>5560</v>
      </c>
      <c r="L2029">
        <v>90</v>
      </c>
      <c r="M2029" t="s">
        <v>5561</v>
      </c>
    </row>
    <row r="2030" spans="1:13" x14ac:dyDescent="0.45">
      <c r="A2030" t="s">
        <v>13</v>
      </c>
      <c r="B2030">
        <v>2155800</v>
      </c>
      <c r="C2030">
        <v>2156351</v>
      </c>
      <c r="E2030" t="s">
        <v>14</v>
      </c>
      <c r="F2030" t="s">
        <v>5539</v>
      </c>
      <c r="H2030">
        <v>0</v>
      </c>
      <c r="I2030" t="s">
        <v>17</v>
      </c>
      <c r="K2030" t="s">
        <v>5562</v>
      </c>
      <c r="L2030">
        <v>183</v>
      </c>
      <c r="M2030" t="s">
        <v>5563</v>
      </c>
    </row>
    <row r="2031" spans="1:13" x14ac:dyDescent="0.45">
      <c r="A2031" t="s">
        <v>13</v>
      </c>
      <c r="B2031">
        <v>2156363</v>
      </c>
      <c r="C2031">
        <v>2157454</v>
      </c>
      <c r="E2031" t="s">
        <v>14</v>
      </c>
      <c r="F2031" t="s">
        <v>2197</v>
      </c>
      <c r="G2031" t="s">
        <v>5564</v>
      </c>
      <c r="H2031">
        <v>0</v>
      </c>
      <c r="I2031" t="s">
        <v>17</v>
      </c>
      <c r="K2031" t="s">
        <v>5565</v>
      </c>
      <c r="L2031">
        <v>363</v>
      </c>
      <c r="M2031" t="s">
        <v>5566</v>
      </c>
    </row>
    <row r="2032" spans="1:13" x14ac:dyDescent="0.45">
      <c r="A2032" t="s">
        <v>13</v>
      </c>
      <c r="B2032">
        <v>2157456</v>
      </c>
      <c r="C2032">
        <v>2157929</v>
      </c>
      <c r="E2032" t="s">
        <v>14</v>
      </c>
      <c r="F2032" t="s">
        <v>4707</v>
      </c>
      <c r="H2032">
        <v>0</v>
      </c>
      <c r="I2032" t="s">
        <v>17</v>
      </c>
      <c r="K2032" t="s">
        <v>5567</v>
      </c>
      <c r="L2032">
        <v>157</v>
      </c>
      <c r="M2032" t="s">
        <v>5568</v>
      </c>
    </row>
    <row r="2033" spans="1:13" x14ac:dyDescent="0.45">
      <c r="A2033" t="s">
        <v>13</v>
      </c>
      <c r="B2033">
        <v>2158049</v>
      </c>
      <c r="C2033">
        <v>2158144</v>
      </c>
      <c r="E2033" t="s">
        <v>96</v>
      </c>
      <c r="F2033" t="s">
        <v>1134</v>
      </c>
      <c r="H2033">
        <v>0</v>
      </c>
      <c r="I2033" t="s">
        <v>17</v>
      </c>
      <c r="K2033" t="s">
        <v>5569</v>
      </c>
      <c r="L2033">
        <v>31</v>
      </c>
      <c r="M2033" t="s">
        <v>5570</v>
      </c>
    </row>
    <row r="2034" spans="1:13" x14ac:dyDescent="0.45">
      <c r="A2034" t="s">
        <v>13</v>
      </c>
      <c r="B2034">
        <v>2158445</v>
      </c>
      <c r="C2034">
        <v>2158966</v>
      </c>
      <c r="E2034" t="s">
        <v>14</v>
      </c>
      <c r="F2034" t="s">
        <v>5571</v>
      </c>
      <c r="H2034">
        <v>0</v>
      </c>
      <c r="I2034" t="s">
        <v>17</v>
      </c>
      <c r="K2034" t="s">
        <v>5572</v>
      </c>
      <c r="L2034">
        <v>173</v>
      </c>
      <c r="M2034" t="s">
        <v>5573</v>
      </c>
    </row>
    <row r="2035" spans="1:13" x14ac:dyDescent="0.45">
      <c r="A2035" t="s">
        <v>13</v>
      </c>
      <c r="B2035">
        <v>2159345</v>
      </c>
      <c r="C2035">
        <v>2160520</v>
      </c>
      <c r="E2035" t="s">
        <v>14</v>
      </c>
      <c r="F2035" t="s">
        <v>720</v>
      </c>
      <c r="H2035">
        <v>0</v>
      </c>
      <c r="I2035" t="s">
        <v>17</v>
      </c>
      <c r="K2035" t="s">
        <v>5574</v>
      </c>
      <c r="L2035">
        <v>391</v>
      </c>
      <c r="M2035" t="s">
        <v>5575</v>
      </c>
    </row>
    <row r="2036" spans="1:13" x14ac:dyDescent="0.45">
      <c r="A2036" t="s">
        <v>13</v>
      </c>
      <c r="B2036">
        <v>2160555</v>
      </c>
      <c r="C2036">
        <v>2162093</v>
      </c>
      <c r="E2036" t="s">
        <v>14</v>
      </c>
      <c r="F2036" t="s">
        <v>1579</v>
      </c>
      <c r="H2036">
        <v>0</v>
      </c>
      <c r="I2036" t="s">
        <v>17</v>
      </c>
      <c r="K2036" t="s">
        <v>5576</v>
      </c>
      <c r="L2036">
        <v>512</v>
      </c>
      <c r="M2036" t="s">
        <v>5577</v>
      </c>
    </row>
    <row r="2037" spans="1:13" x14ac:dyDescent="0.45">
      <c r="A2037" t="s">
        <v>13</v>
      </c>
      <c r="B2037">
        <v>2162125</v>
      </c>
      <c r="C2037">
        <v>2163327</v>
      </c>
      <c r="E2037" t="s">
        <v>14</v>
      </c>
      <c r="F2037" t="s">
        <v>5578</v>
      </c>
      <c r="H2037">
        <v>0</v>
      </c>
      <c r="I2037" t="s">
        <v>17</v>
      </c>
      <c r="K2037" t="s">
        <v>5579</v>
      </c>
      <c r="L2037">
        <v>400</v>
      </c>
      <c r="M2037" t="s">
        <v>5580</v>
      </c>
    </row>
    <row r="2038" spans="1:13" x14ac:dyDescent="0.45">
      <c r="A2038" t="s">
        <v>13</v>
      </c>
      <c r="B2038">
        <v>2163506</v>
      </c>
      <c r="C2038">
        <v>2164105</v>
      </c>
      <c r="E2038" t="s">
        <v>96</v>
      </c>
      <c r="F2038" t="s">
        <v>1140</v>
      </c>
      <c r="H2038">
        <v>0</v>
      </c>
      <c r="I2038" t="s">
        <v>17</v>
      </c>
      <c r="K2038" t="s">
        <v>5581</v>
      </c>
      <c r="L2038">
        <v>199</v>
      </c>
      <c r="M2038" t="s">
        <v>5582</v>
      </c>
    </row>
    <row r="2039" spans="1:13" x14ac:dyDescent="0.45">
      <c r="A2039" t="s">
        <v>13</v>
      </c>
      <c r="B2039">
        <v>2164274</v>
      </c>
      <c r="C2039">
        <v>2165632</v>
      </c>
      <c r="E2039" t="s">
        <v>14</v>
      </c>
      <c r="F2039" t="s">
        <v>43</v>
      </c>
      <c r="H2039">
        <v>0</v>
      </c>
      <c r="I2039" t="s">
        <v>17</v>
      </c>
      <c r="K2039" t="s">
        <v>5583</v>
      </c>
      <c r="L2039">
        <v>452</v>
      </c>
      <c r="M2039" t="s">
        <v>5584</v>
      </c>
    </row>
    <row r="2040" spans="1:13" x14ac:dyDescent="0.45">
      <c r="A2040" t="s">
        <v>13</v>
      </c>
      <c r="B2040">
        <v>2165625</v>
      </c>
      <c r="C2040">
        <v>2166257</v>
      </c>
      <c r="E2040" t="s">
        <v>14</v>
      </c>
      <c r="F2040" t="s">
        <v>1029</v>
      </c>
      <c r="H2040">
        <v>0</v>
      </c>
      <c r="I2040" t="s">
        <v>17</v>
      </c>
      <c r="K2040" t="s">
        <v>5585</v>
      </c>
      <c r="L2040">
        <v>210</v>
      </c>
      <c r="M2040" t="s">
        <v>5586</v>
      </c>
    </row>
    <row r="2041" spans="1:13" x14ac:dyDescent="0.45">
      <c r="A2041" t="s">
        <v>13</v>
      </c>
      <c r="B2041">
        <v>2166586</v>
      </c>
      <c r="C2041">
        <v>2167743</v>
      </c>
      <c r="E2041" t="s">
        <v>14</v>
      </c>
      <c r="F2041" t="s">
        <v>5587</v>
      </c>
      <c r="H2041">
        <v>0</v>
      </c>
      <c r="I2041" t="s">
        <v>17</v>
      </c>
      <c r="K2041" t="s">
        <v>5588</v>
      </c>
      <c r="L2041">
        <v>385</v>
      </c>
      <c r="M2041" t="s">
        <v>5589</v>
      </c>
    </row>
    <row r="2042" spans="1:13" x14ac:dyDescent="0.45">
      <c r="A2042" t="s">
        <v>13</v>
      </c>
      <c r="B2042">
        <v>2167891</v>
      </c>
      <c r="C2042">
        <v>2168526</v>
      </c>
      <c r="E2042" t="s">
        <v>96</v>
      </c>
      <c r="F2042" t="s">
        <v>5590</v>
      </c>
      <c r="G2042" t="s">
        <v>5591</v>
      </c>
      <c r="H2042">
        <v>0</v>
      </c>
      <c r="I2042" t="s">
        <v>17</v>
      </c>
      <c r="K2042" t="s">
        <v>5592</v>
      </c>
      <c r="L2042">
        <v>211</v>
      </c>
      <c r="M2042" t="s">
        <v>5593</v>
      </c>
    </row>
    <row r="2043" spans="1:13" x14ac:dyDescent="0.45">
      <c r="A2043" t="s">
        <v>13</v>
      </c>
      <c r="B2043">
        <v>2168630</v>
      </c>
      <c r="C2043">
        <v>2169757</v>
      </c>
      <c r="E2043" t="s">
        <v>96</v>
      </c>
      <c r="F2043" t="s">
        <v>3130</v>
      </c>
      <c r="H2043">
        <v>0</v>
      </c>
      <c r="I2043" t="s">
        <v>17</v>
      </c>
      <c r="K2043" t="s">
        <v>5594</v>
      </c>
      <c r="L2043">
        <v>375</v>
      </c>
      <c r="M2043" t="s">
        <v>5595</v>
      </c>
    </row>
    <row r="2044" spans="1:13" x14ac:dyDescent="0.45">
      <c r="A2044" t="s">
        <v>13</v>
      </c>
      <c r="B2044">
        <v>2170079</v>
      </c>
      <c r="C2044">
        <v>2170924</v>
      </c>
      <c r="E2044" t="s">
        <v>96</v>
      </c>
      <c r="F2044" t="s">
        <v>43</v>
      </c>
      <c r="H2044">
        <v>0</v>
      </c>
      <c r="I2044" t="s">
        <v>17</v>
      </c>
      <c r="K2044" t="s">
        <v>5596</v>
      </c>
      <c r="L2044">
        <v>281</v>
      </c>
      <c r="M2044" t="s">
        <v>5597</v>
      </c>
    </row>
    <row r="2045" spans="1:13" x14ac:dyDescent="0.45">
      <c r="A2045" t="s">
        <v>13</v>
      </c>
      <c r="B2045">
        <v>2170954</v>
      </c>
      <c r="C2045">
        <v>2171325</v>
      </c>
      <c r="E2045" t="s">
        <v>96</v>
      </c>
      <c r="F2045" t="s">
        <v>4309</v>
      </c>
      <c r="H2045">
        <v>0</v>
      </c>
      <c r="I2045" t="s">
        <v>17</v>
      </c>
      <c r="K2045" t="s">
        <v>5598</v>
      </c>
      <c r="L2045">
        <v>123</v>
      </c>
      <c r="M2045" t="s">
        <v>5599</v>
      </c>
    </row>
    <row r="2046" spans="1:13" x14ac:dyDescent="0.45">
      <c r="A2046" t="s">
        <v>13</v>
      </c>
      <c r="B2046">
        <v>2171478</v>
      </c>
      <c r="C2046">
        <v>2171738</v>
      </c>
      <c r="E2046" t="s">
        <v>96</v>
      </c>
      <c r="F2046" t="s">
        <v>5600</v>
      </c>
      <c r="H2046">
        <v>0</v>
      </c>
      <c r="I2046" t="s">
        <v>17</v>
      </c>
      <c r="K2046" t="s">
        <v>5601</v>
      </c>
      <c r="L2046">
        <v>86</v>
      </c>
      <c r="M2046" t="s">
        <v>5602</v>
      </c>
    </row>
    <row r="2047" spans="1:13" x14ac:dyDescent="0.45">
      <c r="A2047" t="s">
        <v>13</v>
      </c>
      <c r="B2047">
        <v>2171927</v>
      </c>
      <c r="C2047">
        <v>2172871</v>
      </c>
      <c r="E2047" t="s">
        <v>96</v>
      </c>
      <c r="F2047" t="s">
        <v>5603</v>
      </c>
      <c r="H2047">
        <v>0</v>
      </c>
      <c r="I2047" t="s">
        <v>17</v>
      </c>
      <c r="K2047" t="s">
        <v>5604</v>
      </c>
      <c r="L2047">
        <v>314</v>
      </c>
      <c r="M2047" t="s">
        <v>5605</v>
      </c>
    </row>
    <row r="2048" spans="1:13" x14ac:dyDescent="0.45">
      <c r="A2048" t="s">
        <v>13</v>
      </c>
      <c r="B2048">
        <v>2172892</v>
      </c>
      <c r="C2048">
        <v>2173746</v>
      </c>
      <c r="E2048" t="s">
        <v>96</v>
      </c>
      <c r="F2048" t="s">
        <v>5606</v>
      </c>
      <c r="G2048" t="s">
        <v>5607</v>
      </c>
      <c r="H2048">
        <v>0</v>
      </c>
      <c r="I2048" t="s">
        <v>17</v>
      </c>
      <c r="K2048" t="s">
        <v>5608</v>
      </c>
      <c r="L2048">
        <v>284</v>
      </c>
      <c r="M2048" t="s">
        <v>5609</v>
      </c>
    </row>
    <row r="2049" spans="1:13" x14ac:dyDescent="0.45">
      <c r="A2049" t="s">
        <v>13</v>
      </c>
      <c r="B2049">
        <v>2173761</v>
      </c>
      <c r="C2049">
        <v>2175122</v>
      </c>
      <c r="E2049" t="s">
        <v>96</v>
      </c>
      <c r="F2049" t="s">
        <v>5610</v>
      </c>
      <c r="G2049" t="s">
        <v>5611</v>
      </c>
      <c r="H2049">
        <v>0</v>
      </c>
      <c r="I2049" t="s">
        <v>17</v>
      </c>
      <c r="K2049" t="s">
        <v>5612</v>
      </c>
      <c r="L2049">
        <v>453</v>
      </c>
      <c r="M2049" t="s">
        <v>5613</v>
      </c>
    </row>
    <row r="2050" spans="1:13" x14ac:dyDescent="0.45">
      <c r="A2050" t="s">
        <v>13</v>
      </c>
      <c r="B2050">
        <v>2175138</v>
      </c>
      <c r="C2050">
        <v>2175590</v>
      </c>
      <c r="E2050" t="s">
        <v>96</v>
      </c>
      <c r="F2050" t="s">
        <v>5614</v>
      </c>
      <c r="G2050" t="s">
        <v>5615</v>
      </c>
      <c r="H2050">
        <v>0</v>
      </c>
      <c r="I2050" t="s">
        <v>17</v>
      </c>
      <c r="K2050" t="s">
        <v>5616</v>
      </c>
      <c r="L2050">
        <v>150</v>
      </c>
      <c r="M2050" t="s">
        <v>5617</v>
      </c>
    </row>
    <row r="2051" spans="1:13" x14ac:dyDescent="0.45">
      <c r="A2051" t="s">
        <v>13</v>
      </c>
      <c r="B2051">
        <v>2175860</v>
      </c>
      <c r="C2051">
        <v>2176306</v>
      </c>
      <c r="E2051" t="s">
        <v>96</v>
      </c>
      <c r="F2051" t="s">
        <v>43</v>
      </c>
      <c r="H2051">
        <v>0</v>
      </c>
      <c r="I2051" t="s">
        <v>17</v>
      </c>
      <c r="K2051" t="s">
        <v>5618</v>
      </c>
      <c r="L2051">
        <v>148</v>
      </c>
      <c r="M2051" t="s">
        <v>5619</v>
      </c>
    </row>
    <row r="2052" spans="1:13" x14ac:dyDescent="0.45">
      <c r="A2052" t="s">
        <v>13</v>
      </c>
      <c r="B2052">
        <v>2176581</v>
      </c>
      <c r="C2052">
        <v>2176859</v>
      </c>
      <c r="E2052" t="s">
        <v>14</v>
      </c>
      <c r="F2052" t="s">
        <v>43</v>
      </c>
      <c r="H2052">
        <v>0</v>
      </c>
      <c r="I2052" t="s">
        <v>17</v>
      </c>
      <c r="K2052" t="s">
        <v>5620</v>
      </c>
      <c r="L2052">
        <v>92</v>
      </c>
      <c r="M2052" t="s">
        <v>5621</v>
      </c>
    </row>
    <row r="2053" spans="1:13" x14ac:dyDescent="0.45">
      <c r="A2053" t="s">
        <v>13</v>
      </c>
      <c r="B2053">
        <v>2176988</v>
      </c>
      <c r="C2053">
        <v>2177719</v>
      </c>
      <c r="E2053" t="s">
        <v>96</v>
      </c>
      <c r="F2053" t="s">
        <v>43</v>
      </c>
      <c r="H2053">
        <v>0</v>
      </c>
      <c r="I2053" t="s">
        <v>17</v>
      </c>
      <c r="K2053" t="s">
        <v>5622</v>
      </c>
      <c r="L2053">
        <v>243</v>
      </c>
      <c r="M2053" t="s">
        <v>5623</v>
      </c>
    </row>
    <row r="2054" spans="1:13" x14ac:dyDescent="0.45">
      <c r="A2054" t="s">
        <v>13</v>
      </c>
      <c r="B2054">
        <v>2177863</v>
      </c>
      <c r="C2054">
        <v>2178507</v>
      </c>
      <c r="E2054" t="s">
        <v>96</v>
      </c>
      <c r="F2054" t="s">
        <v>5624</v>
      </c>
      <c r="G2054" t="s">
        <v>5625</v>
      </c>
      <c r="H2054">
        <v>0</v>
      </c>
      <c r="I2054" t="s">
        <v>17</v>
      </c>
      <c r="K2054" t="s">
        <v>5626</v>
      </c>
      <c r="L2054">
        <v>214</v>
      </c>
      <c r="M2054" t="s">
        <v>5627</v>
      </c>
    </row>
    <row r="2055" spans="1:13" x14ac:dyDescent="0.45">
      <c r="A2055" t="s">
        <v>13</v>
      </c>
      <c r="B2055">
        <v>2178645</v>
      </c>
      <c r="C2055">
        <v>2178965</v>
      </c>
      <c r="E2055" t="s">
        <v>96</v>
      </c>
      <c r="F2055" t="s">
        <v>43</v>
      </c>
      <c r="H2055">
        <v>0</v>
      </c>
      <c r="I2055" t="s">
        <v>17</v>
      </c>
      <c r="K2055" t="s">
        <v>5628</v>
      </c>
      <c r="L2055">
        <v>106</v>
      </c>
      <c r="M2055" t="s">
        <v>5629</v>
      </c>
    </row>
    <row r="2056" spans="1:13" x14ac:dyDescent="0.45">
      <c r="A2056" t="s">
        <v>13</v>
      </c>
      <c r="B2056">
        <v>2179418</v>
      </c>
      <c r="C2056">
        <v>2179843</v>
      </c>
      <c r="E2056" t="s">
        <v>96</v>
      </c>
      <c r="F2056" t="s">
        <v>694</v>
      </c>
      <c r="H2056">
        <v>0</v>
      </c>
      <c r="I2056" t="s">
        <v>17</v>
      </c>
      <c r="K2056" t="s">
        <v>5630</v>
      </c>
      <c r="L2056">
        <v>141</v>
      </c>
      <c r="M2056" t="s">
        <v>5631</v>
      </c>
    </row>
    <row r="2057" spans="1:13" x14ac:dyDescent="0.45">
      <c r="A2057" t="s">
        <v>13</v>
      </c>
      <c r="B2057">
        <v>2179996</v>
      </c>
      <c r="C2057">
        <v>2180457</v>
      </c>
      <c r="E2057" t="s">
        <v>96</v>
      </c>
      <c r="F2057" t="s">
        <v>694</v>
      </c>
      <c r="H2057">
        <v>0</v>
      </c>
      <c r="I2057" t="s">
        <v>17</v>
      </c>
      <c r="K2057" t="s">
        <v>5632</v>
      </c>
      <c r="L2057">
        <v>153</v>
      </c>
      <c r="M2057" t="s">
        <v>5633</v>
      </c>
    </row>
    <row r="2058" spans="1:13" x14ac:dyDescent="0.45">
      <c r="A2058" t="s">
        <v>13</v>
      </c>
      <c r="B2058">
        <v>2180495</v>
      </c>
      <c r="C2058">
        <v>2181328</v>
      </c>
      <c r="E2058" t="s">
        <v>96</v>
      </c>
      <c r="F2058" t="s">
        <v>1134</v>
      </c>
      <c r="H2058">
        <v>0</v>
      </c>
      <c r="I2058" t="s">
        <v>17</v>
      </c>
      <c r="K2058" t="s">
        <v>5634</v>
      </c>
      <c r="L2058">
        <v>277</v>
      </c>
      <c r="M2058" t="s">
        <v>5635</v>
      </c>
    </row>
    <row r="2059" spans="1:13" x14ac:dyDescent="0.45">
      <c r="A2059" t="s">
        <v>13</v>
      </c>
      <c r="B2059">
        <v>2181601</v>
      </c>
      <c r="C2059">
        <v>2182287</v>
      </c>
      <c r="E2059" t="s">
        <v>96</v>
      </c>
      <c r="F2059" t="s">
        <v>1140</v>
      </c>
      <c r="H2059">
        <v>0</v>
      </c>
      <c r="I2059" t="s">
        <v>17</v>
      </c>
      <c r="K2059" t="s">
        <v>5636</v>
      </c>
      <c r="L2059">
        <v>228</v>
      </c>
      <c r="M2059" t="s">
        <v>5637</v>
      </c>
    </row>
    <row r="2060" spans="1:13" x14ac:dyDescent="0.45">
      <c r="A2060" t="s">
        <v>13</v>
      </c>
      <c r="B2060">
        <v>2182302</v>
      </c>
      <c r="C2060">
        <v>2184779</v>
      </c>
      <c r="E2060" t="s">
        <v>96</v>
      </c>
      <c r="F2060" t="s">
        <v>1818</v>
      </c>
      <c r="H2060">
        <v>0</v>
      </c>
      <c r="I2060" t="s">
        <v>17</v>
      </c>
      <c r="K2060" t="s">
        <v>5638</v>
      </c>
      <c r="L2060">
        <v>825</v>
      </c>
      <c r="M2060" t="s">
        <v>5639</v>
      </c>
    </row>
    <row r="2061" spans="1:13" x14ac:dyDescent="0.45">
      <c r="A2061" t="s">
        <v>13</v>
      </c>
      <c r="B2061">
        <v>2184999</v>
      </c>
      <c r="C2061">
        <v>2186351</v>
      </c>
      <c r="E2061" t="s">
        <v>96</v>
      </c>
      <c r="F2061" t="s">
        <v>1219</v>
      </c>
      <c r="H2061">
        <v>0</v>
      </c>
      <c r="I2061" t="s">
        <v>17</v>
      </c>
      <c r="K2061" t="s">
        <v>5640</v>
      </c>
      <c r="L2061">
        <v>450</v>
      </c>
      <c r="M2061" t="s">
        <v>5641</v>
      </c>
    </row>
    <row r="2062" spans="1:13" x14ac:dyDescent="0.45">
      <c r="A2062" t="s">
        <v>13</v>
      </c>
      <c r="B2062">
        <v>2186901</v>
      </c>
      <c r="C2062">
        <v>2187761</v>
      </c>
      <c r="E2062" t="s">
        <v>14</v>
      </c>
      <c r="F2062" t="s">
        <v>3962</v>
      </c>
      <c r="H2062">
        <v>0</v>
      </c>
      <c r="I2062" t="s">
        <v>17</v>
      </c>
      <c r="K2062" t="s">
        <v>5642</v>
      </c>
      <c r="L2062">
        <v>286</v>
      </c>
      <c r="M2062" t="s">
        <v>5643</v>
      </c>
    </row>
    <row r="2063" spans="1:13" x14ac:dyDescent="0.45">
      <c r="A2063" t="s">
        <v>13</v>
      </c>
      <c r="B2063">
        <v>2188001</v>
      </c>
      <c r="C2063">
        <v>2188558</v>
      </c>
      <c r="E2063" t="s">
        <v>96</v>
      </c>
      <c r="F2063" t="s">
        <v>1183</v>
      </c>
      <c r="H2063">
        <v>0</v>
      </c>
      <c r="I2063" t="s">
        <v>17</v>
      </c>
      <c r="K2063" t="s">
        <v>5644</v>
      </c>
      <c r="L2063">
        <v>185</v>
      </c>
      <c r="M2063" t="s">
        <v>5645</v>
      </c>
    </row>
    <row r="2064" spans="1:13" x14ac:dyDescent="0.45">
      <c r="A2064" t="s">
        <v>13</v>
      </c>
      <c r="B2064">
        <v>2188748</v>
      </c>
      <c r="C2064">
        <v>2189635</v>
      </c>
      <c r="E2064" t="s">
        <v>96</v>
      </c>
      <c r="F2064" t="s">
        <v>792</v>
      </c>
      <c r="H2064">
        <v>0</v>
      </c>
      <c r="I2064" t="s">
        <v>17</v>
      </c>
      <c r="K2064" t="s">
        <v>5646</v>
      </c>
      <c r="L2064">
        <v>295</v>
      </c>
      <c r="M2064" t="s">
        <v>5647</v>
      </c>
    </row>
    <row r="2065" spans="1:13" x14ac:dyDescent="0.45">
      <c r="A2065" t="s">
        <v>13</v>
      </c>
      <c r="B2065">
        <v>2189754</v>
      </c>
      <c r="C2065">
        <v>2190953</v>
      </c>
      <c r="E2065" t="s">
        <v>14</v>
      </c>
      <c r="F2065" t="s">
        <v>5648</v>
      </c>
      <c r="H2065">
        <v>0</v>
      </c>
      <c r="I2065" t="s">
        <v>17</v>
      </c>
      <c r="K2065" t="s">
        <v>5649</v>
      </c>
      <c r="L2065">
        <v>399</v>
      </c>
      <c r="M2065" t="s">
        <v>5650</v>
      </c>
    </row>
    <row r="2066" spans="1:13" x14ac:dyDescent="0.45">
      <c r="A2066" t="s">
        <v>13</v>
      </c>
      <c r="B2066">
        <v>2191147</v>
      </c>
      <c r="C2066">
        <v>2193702</v>
      </c>
      <c r="E2066" t="s">
        <v>96</v>
      </c>
      <c r="F2066" t="s">
        <v>1818</v>
      </c>
      <c r="H2066">
        <v>0</v>
      </c>
      <c r="I2066" t="s">
        <v>17</v>
      </c>
      <c r="K2066" t="s">
        <v>5651</v>
      </c>
      <c r="L2066">
        <v>851</v>
      </c>
      <c r="M2066" t="s">
        <v>5652</v>
      </c>
    </row>
    <row r="2067" spans="1:13" x14ac:dyDescent="0.45">
      <c r="A2067" t="s">
        <v>13</v>
      </c>
      <c r="B2067">
        <v>2193699</v>
      </c>
      <c r="C2067">
        <v>2194385</v>
      </c>
      <c r="E2067" t="s">
        <v>96</v>
      </c>
      <c r="F2067" t="s">
        <v>1140</v>
      </c>
      <c r="H2067">
        <v>0</v>
      </c>
      <c r="I2067" t="s">
        <v>17</v>
      </c>
      <c r="K2067" t="s">
        <v>5653</v>
      </c>
      <c r="L2067">
        <v>228</v>
      </c>
      <c r="M2067" t="s">
        <v>5654</v>
      </c>
    </row>
    <row r="2068" spans="1:13" x14ac:dyDescent="0.45">
      <c r="A2068" t="s">
        <v>13</v>
      </c>
      <c r="B2068">
        <v>2194462</v>
      </c>
      <c r="C2068">
        <v>2195370</v>
      </c>
      <c r="E2068" t="s">
        <v>96</v>
      </c>
      <c r="F2068" t="s">
        <v>1219</v>
      </c>
      <c r="H2068">
        <v>0</v>
      </c>
      <c r="I2068" t="s">
        <v>17</v>
      </c>
      <c r="K2068" t="s">
        <v>5655</v>
      </c>
      <c r="L2068">
        <v>302</v>
      </c>
      <c r="M2068" t="s">
        <v>5656</v>
      </c>
    </row>
    <row r="2069" spans="1:13" x14ac:dyDescent="0.45">
      <c r="A2069" t="s">
        <v>13</v>
      </c>
      <c r="B2069">
        <v>2195372</v>
      </c>
      <c r="C2069">
        <v>2196043</v>
      </c>
      <c r="E2069" t="s">
        <v>96</v>
      </c>
      <c r="F2069" t="s">
        <v>1222</v>
      </c>
      <c r="H2069">
        <v>0</v>
      </c>
      <c r="I2069" t="s">
        <v>17</v>
      </c>
      <c r="K2069" t="s">
        <v>5657</v>
      </c>
      <c r="L2069">
        <v>223</v>
      </c>
      <c r="M2069" t="s">
        <v>5658</v>
      </c>
    </row>
    <row r="2070" spans="1:13" x14ac:dyDescent="0.45">
      <c r="A2070" t="s">
        <v>13</v>
      </c>
      <c r="B2070">
        <v>2196305</v>
      </c>
      <c r="C2070">
        <v>2197369</v>
      </c>
      <c r="E2070" t="s">
        <v>14</v>
      </c>
      <c r="F2070" t="s">
        <v>751</v>
      </c>
      <c r="H2070">
        <v>0</v>
      </c>
      <c r="I2070" t="s">
        <v>17</v>
      </c>
      <c r="K2070" t="s">
        <v>5659</v>
      </c>
      <c r="L2070">
        <v>354</v>
      </c>
      <c r="M2070" t="s">
        <v>5660</v>
      </c>
    </row>
    <row r="2071" spans="1:13" x14ac:dyDescent="0.45">
      <c r="A2071" t="s">
        <v>13</v>
      </c>
      <c r="B2071">
        <v>2197527</v>
      </c>
      <c r="C2071">
        <v>2198213</v>
      </c>
      <c r="E2071" t="s">
        <v>14</v>
      </c>
      <c r="F2071" t="s">
        <v>1222</v>
      </c>
      <c r="H2071">
        <v>0</v>
      </c>
      <c r="I2071" t="s">
        <v>17</v>
      </c>
      <c r="K2071" t="s">
        <v>5661</v>
      </c>
      <c r="L2071">
        <v>228</v>
      </c>
      <c r="M2071" t="s">
        <v>5662</v>
      </c>
    </row>
    <row r="2072" spans="1:13" x14ac:dyDescent="0.45">
      <c r="A2072" t="s">
        <v>13</v>
      </c>
      <c r="B2072">
        <v>2198203</v>
      </c>
      <c r="C2072">
        <v>2199234</v>
      </c>
      <c r="E2072" t="s">
        <v>14</v>
      </c>
      <c r="F2072" t="s">
        <v>1219</v>
      </c>
      <c r="H2072">
        <v>0</v>
      </c>
      <c r="I2072" t="s">
        <v>17</v>
      </c>
      <c r="K2072" t="s">
        <v>5663</v>
      </c>
      <c r="L2072">
        <v>343</v>
      </c>
      <c r="M2072" t="s">
        <v>5664</v>
      </c>
    </row>
    <row r="2073" spans="1:13" x14ac:dyDescent="0.45">
      <c r="A2073" t="s">
        <v>13</v>
      </c>
      <c r="B2073">
        <v>2199316</v>
      </c>
      <c r="C2073">
        <v>2199981</v>
      </c>
      <c r="E2073" t="s">
        <v>14</v>
      </c>
      <c r="F2073" t="s">
        <v>1140</v>
      </c>
      <c r="H2073">
        <v>0</v>
      </c>
      <c r="I2073" t="s">
        <v>17</v>
      </c>
      <c r="K2073" t="s">
        <v>5665</v>
      </c>
      <c r="L2073">
        <v>221</v>
      </c>
      <c r="M2073" t="s">
        <v>5666</v>
      </c>
    </row>
    <row r="2074" spans="1:13" x14ac:dyDescent="0.45">
      <c r="A2074" t="s">
        <v>13</v>
      </c>
      <c r="B2074">
        <v>2199994</v>
      </c>
      <c r="C2074">
        <v>2202411</v>
      </c>
      <c r="E2074" t="s">
        <v>14</v>
      </c>
      <c r="F2074" t="s">
        <v>1143</v>
      </c>
      <c r="H2074">
        <v>0</v>
      </c>
      <c r="I2074" t="s">
        <v>17</v>
      </c>
      <c r="K2074" t="s">
        <v>5667</v>
      </c>
      <c r="L2074">
        <v>805</v>
      </c>
      <c r="M2074" t="s">
        <v>5668</v>
      </c>
    </row>
    <row r="2075" spans="1:13" x14ac:dyDescent="0.45">
      <c r="A2075" t="s">
        <v>13</v>
      </c>
      <c r="B2075">
        <v>2202592</v>
      </c>
      <c r="C2075">
        <v>2203383</v>
      </c>
      <c r="E2075" t="s">
        <v>96</v>
      </c>
      <c r="F2075" t="s">
        <v>1295</v>
      </c>
      <c r="H2075">
        <v>0</v>
      </c>
      <c r="I2075" t="s">
        <v>17</v>
      </c>
      <c r="K2075" t="s">
        <v>5669</v>
      </c>
      <c r="L2075">
        <v>263</v>
      </c>
      <c r="M2075" t="s">
        <v>5670</v>
      </c>
    </row>
    <row r="2076" spans="1:13" x14ac:dyDescent="0.45">
      <c r="A2076" t="s">
        <v>13</v>
      </c>
      <c r="B2076">
        <v>2203416</v>
      </c>
      <c r="C2076">
        <v>2204003</v>
      </c>
      <c r="E2076" t="s">
        <v>96</v>
      </c>
      <c r="F2076" t="s">
        <v>1178</v>
      </c>
      <c r="H2076">
        <v>0</v>
      </c>
      <c r="I2076" t="s">
        <v>17</v>
      </c>
      <c r="K2076" t="s">
        <v>5671</v>
      </c>
      <c r="L2076">
        <v>195</v>
      </c>
      <c r="M2076" t="s">
        <v>5672</v>
      </c>
    </row>
    <row r="2077" spans="1:13" x14ac:dyDescent="0.45">
      <c r="A2077" t="s">
        <v>13</v>
      </c>
      <c r="B2077">
        <v>2204180</v>
      </c>
      <c r="C2077">
        <v>2205571</v>
      </c>
      <c r="E2077" t="s">
        <v>96</v>
      </c>
      <c r="F2077" t="s">
        <v>5673</v>
      </c>
      <c r="H2077">
        <v>0</v>
      </c>
      <c r="I2077" t="s">
        <v>17</v>
      </c>
      <c r="K2077" t="s">
        <v>5674</v>
      </c>
      <c r="L2077">
        <v>463</v>
      </c>
      <c r="M2077" t="s">
        <v>5675</v>
      </c>
    </row>
    <row r="2078" spans="1:13" x14ac:dyDescent="0.45">
      <c r="A2078" t="s">
        <v>13</v>
      </c>
      <c r="B2078">
        <v>2205761</v>
      </c>
      <c r="C2078">
        <v>2207059</v>
      </c>
      <c r="E2078" t="s">
        <v>96</v>
      </c>
      <c r="F2078" t="s">
        <v>5676</v>
      </c>
      <c r="H2078">
        <v>0</v>
      </c>
      <c r="I2078" t="s">
        <v>17</v>
      </c>
      <c r="K2078" t="s">
        <v>5677</v>
      </c>
      <c r="L2078">
        <v>432</v>
      </c>
      <c r="M2078" t="s">
        <v>5678</v>
      </c>
    </row>
    <row r="2079" spans="1:13" x14ac:dyDescent="0.45">
      <c r="A2079" t="s">
        <v>13</v>
      </c>
      <c r="B2079">
        <v>2207420</v>
      </c>
      <c r="C2079">
        <v>2208295</v>
      </c>
      <c r="E2079" t="s">
        <v>96</v>
      </c>
      <c r="F2079" t="s">
        <v>43</v>
      </c>
      <c r="H2079">
        <v>0</v>
      </c>
      <c r="I2079" t="s">
        <v>17</v>
      </c>
      <c r="K2079" t="s">
        <v>5679</v>
      </c>
      <c r="L2079">
        <v>291</v>
      </c>
      <c r="M2079" t="s">
        <v>5680</v>
      </c>
    </row>
    <row r="2080" spans="1:13" x14ac:dyDescent="0.45">
      <c r="A2080" t="s">
        <v>13</v>
      </c>
      <c r="B2080">
        <v>2208488</v>
      </c>
      <c r="C2080">
        <v>2209174</v>
      </c>
      <c r="E2080" t="s">
        <v>96</v>
      </c>
      <c r="F2080" t="s">
        <v>5681</v>
      </c>
      <c r="H2080">
        <v>0</v>
      </c>
      <c r="I2080" t="s">
        <v>17</v>
      </c>
      <c r="K2080" t="s">
        <v>5682</v>
      </c>
      <c r="L2080">
        <v>228</v>
      </c>
      <c r="M2080" t="s">
        <v>5683</v>
      </c>
    </row>
    <row r="2081" spans="1:13" x14ac:dyDescent="0.45">
      <c r="A2081" t="s">
        <v>13</v>
      </c>
      <c r="B2081">
        <v>2209223</v>
      </c>
      <c r="C2081">
        <v>2209756</v>
      </c>
      <c r="E2081" t="s">
        <v>96</v>
      </c>
      <c r="F2081" t="s">
        <v>5480</v>
      </c>
      <c r="H2081">
        <v>0</v>
      </c>
      <c r="I2081" t="s">
        <v>17</v>
      </c>
      <c r="K2081" t="s">
        <v>5684</v>
      </c>
      <c r="L2081">
        <v>177</v>
      </c>
      <c r="M2081" t="s">
        <v>5685</v>
      </c>
    </row>
    <row r="2082" spans="1:13" x14ac:dyDescent="0.45">
      <c r="A2082" t="s">
        <v>13</v>
      </c>
      <c r="B2082">
        <v>2209800</v>
      </c>
      <c r="C2082">
        <v>2210432</v>
      </c>
      <c r="E2082" t="s">
        <v>96</v>
      </c>
      <c r="F2082" t="s">
        <v>5686</v>
      </c>
      <c r="H2082">
        <v>0</v>
      </c>
      <c r="I2082" t="s">
        <v>17</v>
      </c>
      <c r="K2082" t="s">
        <v>5687</v>
      </c>
      <c r="L2082">
        <v>210</v>
      </c>
      <c r="M2082" t="s">
        <v>5688</v>
      </c>
    </row>
    <row r="2083" spans="1:13" x14ac:dyDescent="0.45">
      <c r="A2083" t="s">
        <v>13</v>
      </c>
      <c r="B2083">
        <v>2210522</v>
      </c>
      <c r="C2083">
        <v>2211601</v>
      </c>
      <c r="E2083" t="s">
        <v>96</v>
      </c>
      <c r="F2083" t="s">
        <v>281</v>
      </c>
      <c r="H2083">
        <v>0</v>
      </c>
      <c r="I2083" t="s">
        <v>17</v>
      </c>
      <c r="K2083" t="s">
        <v>5689</v>
      </c>
      <c r="L2083">
        <v>359</v>
      </c>
      <c r="M2083" t="s">
        <v>5690</v>
      </c>
    </row>
    <row r="2084" spans="1:13" x14ac:dyDescent="0.45">
      <c r="A2084" t="s">
        <v>13</v>
      </c>
      <c r="B2084">
        <v>2211734</v>
      </c>
      <c r="C2084">
        <v>2213080</v>
      </c>
      <c r="E2084" t="s">
        <v>96</v>
      </c>
      <c r="F2084" t="s">
        <v>5691</v>
      </c>
      <c r="G2084" t="s">
        <v>5692</v>
      </c>
      <c r="H2084">
        <v>0</v>
      </c>
      <c r="I2084" t="s">
        <v>17</v>
      </c>
      <c r="K2084" t="s">
        <v>5693</v>
      </c>
      <c r="L2084">
        <v>448</v>
      </c>
      <c r="M2084" t="s">
        <v>5694</v>
      </c>
    </row>
    <row r="2085" spans="1:13" x14ac:dyDescent="0.45">
      <c r="A2085" t="s">
        <v>13</v>
      </c>
      <c r="B2085">
        <v>2213149</v>
      </c>
      <c r="C2085">
        <v>2214429</v>
      </c>
      <c r="E2085" t="s">
        <v>96</v>
      </c>
      <c r="F2085" t="s">
        <v>2601</v>
      </c>
      <c r="H2085">
        <v>0</v>
      </c>
      <c r="I2085" t="s">
        <v>17</v>
      </c>
      <c r="K2085" t="s">
        <v>5695</v>
      </c>
      <c r="L2085">
        <v>426</v>
      </c>
      <c r="M2085" t="s">
        <v>5696</v>
      </c>
    </row>
    <row r="2086" spans="1:13" x14ac:dyDescent="0.45">
      <c r="A2086" t="s">
        <v>13</v>
      </c>
      <c r="B2086">
        <v>2214556</v>
      </c>
      <c r="C2086">
        <v>2214816</v>
      </c>
      <c r="E2086" t="s">
        <v>96</v>
      </c>
      <c r="F2086" t="s">
        <v>5697</v>
      </c>
      <c r="G2086" t="s">
        <v>5698</v>
      </c>
      <c r="H2086">
        <v>0</v>
      </c>
      <c r="I2086" t="s">
        <v>17</v>
      </c>
      <c r="K2086" t="s">
        <v>5699</v>
      </c>
      <c r="L2086">
        <v>86</v>
      </c>
      <c r="M2086" t="s">
        <v>5700</v>
      </c>
    </row>
    <row r="2087" spans="1:13" x14ac:dyDescent="0.45">
      <c r="A2087" t="s">
        <v>13</v>
      </c>
      <c r="B2087">
        <v>2214930</v>
      </c>
      <c r="C2087">
        <v>2215865</v>
      </c>
      <c r="E2087" t="s">
        <v>96</v>
      </c>
      <c r="F2087" t="s">
        <v>5701</v>
      </c>
      <c r="G2087" t="s">
        <v>5702</v>
      </c>
      <c r="H2087">
        <v>0</v>
      </c>
      <c r="I2087" t="s">
        <v>17</v>
      </c>
      <c r="K2087" t="s">
        <v>5703</v>
      </c>
      <c r="L2087">
        <v>311</v>
      </c>
      <c r="M2087" t="s">
        <v>5704</v>
      </c>
    </row>
    <row r="2088" spans="1:13" x14ac:dyDescent="0.45">
      <c r="A2088" t="s">
        <v>13</v>
      </c>
      <c r="B2088">
        <v>2215903</v>
      </c>
      <c r="C2088">
        <v>2217870</v>
      </c>
      <c r="E2088" t="s">
        <v>96</v>
      </c>
      <c r="F2088" t="s">
        <v>5705</v>
      </c>
      <c r="G2088" t="s">
        <v>5706</v>
      </c>
      <c r="H2088">
        <v>0</v>
      </c>
      <c r="I2088" t="s">
        <v>17</v>
      </c>
      <c r="K2088" t="s">
        <v>5707</v>
      </c>
      <c r="L2088">
        <v>655</v>
      </c>
      <c r="M2088" t="s">
        <v>5708</v>
      </c>
    </row>
    <row r="2089" spans="1:13" x14ac:dyDescent="0.45">
      <c r="A2089" t="s">
        <v>13</v>
      </c>
      <c r="B2089">
        <v>2217881</v>
      </c>
      <c r="C2089">
        <v>2220724</v>
      </c>
      <c r="E2089" t="s">
        <v>96</v>
      </c>
      <c r="F2089" t="s">
        <v>5709</v>
      </c>
      <c r="G2089" t="s">
        <v>5710</v>
      </c>
      <c r="H2089">
        <v>0</v>
      </c>
      <c r="I2089" t="s">
        <v>17</v>
      </c>
      <c r="K2089" t="s">
        <v>5711</v>
      </c>
      <c r="L2089">
        <v>947</v>
      </c>
      <c r="M2089" t="s">
        <v>5712</v>
      </c>
    </row>
    <row r="2090" spans="1:13" x14ac:dyDescent="0.45">
      <c r="A2090" t="s">
        <v>13</v>
      </c>
      <c r="B2090">
        <v>2220887</v>
      </c>
      <c r="C2090">
        <v>2221621</v>
      </c>
      <c r="E2090" t="s">
        <v>96</v>
      </c>
      <c r="F2090" t="s">
        <v>1140</v>
      </c>
      <c r="H2090">
        <v>0</v>
      </c>
      <c r="I2090" t="s">
        <v>17</v>
      </c>
      <c r="K2090" t="s">
        <v>5713</v>
      </c>
      <c r="L2090">
        <v>244</v>
      </c>
      <c r="M2090" t="s">
        <v>5714</v>
      </c>
    </row>
    <row r="2091" spans="1:13" x14ac:dyDescent="0.45">
      <c r="A2091" t="s">
        <v>13</v>
      </c>
      <c r="B2091">
        <v>2221590</v>
      </c>
      <c r="C2091">
        <v>2222603</v>
      </c>
      <c r="E2091" t="s">
        <v>96</v>
      </c>
      <c r="F2091" t="s">
        <v>2510</v>
      </c>
      <c r="H2091">
        <v>0</v>
      </c>
      <c r="I2091" t="s">
        <v>17</v>
      </c>
      <c r="K2091" t="s">
        <v>5715</v>
      </c>
      <c r="L2091">
        <v>337</v>
      </c>
      <c r="M2091" t="s">
        <v>5716</v>
      </c>
    </row>
    <row r="2092" spans="1:13" x14ac:dyDescent="0.45">
      <c r="A2092" t="s">
        <v>13</v>
      </c>
      <c r="B2092">
        <v>2222625</v>
      </c>
      <c r="C2092">
        <v>2223395</v>
      </c>
      <c r="E2092" t="s">
        <v>96</v>
      </c>
      <c r="F2092" t="s">
        <v>1143</v>
      </c>
      <c r="H2092">
        <v>0</v>
      </c>
      <c r="I2092" t="s">
        <v>17</v>
      </c>
      <c r="K2092" t="s">
        <v>5717</v>
      </c>
      <c r="L2092">
        <v>256</v>
      </c>
      <c r="M2092" t="s">
        <v>5718</v>
      </c>
    </row>
    <row r="2093" spans="1:13" x14ac:dyDescent="0.45">
      <c r="A2093" t="s">
        <v>13</v>
      </c>
      <c r="B2093">
        <v>2223370</v>
      </c>
      <c r="C2093">
        <v>2223660</v>
      </c>
      <c r="E2093" t="s">
        <v>96</v>
      </c>
      <c r="F2093" t="s">
        <v>5719</v>
      </c>
      <c r="H2093">
        <v>0</v>
      </c>
      <c r="I2093" t="s">
        <v>17</v>
      </c>
      <c r="K2093" t="s">
        <v>5720</v>
      </c>
      <c r="L2093">
        <v>96</v>
      </c>
      <c r="M2093" t="s">
        <v>5721</v>
      </c>
    </row>
    <row r="2094" spans="1:13" x14ac:dyDescent="0.45">
      <c r="A2094" t="s">
        <v>13</v>
      </c>
      <c r="B2094">
        <v>2224652</v>
      </c>
      <c r="C2094">
        <v>2224828</v>
      </c>
      <c r="E2094" t="s">
        <v>14</v>
      </c>
      <c r="F2094" t="s">
        <v>43</v>
      </c>
      <c r="H2094">
        <v>0</v>
      </c>
      <c r="I2094" t="s">
        <v>17</v>
      </c>
      <c r="K2094" t="s">
        <v>5722</v>
      </c>
      <c r="L2094">
        <v>58</v>
      </c>
      <c r="M2094" t="s">
        <v>5723</v>
      </c>
    </row>
    <row r="2095" spans="1:13" x14ac:dyDescent="0.45">
      <c r="A2095" t="s">
        <v>13</v>
      </c>
      <c r="B2095">
        <v>2224943</v>
      </c>
      <c r="C2095">
        <v>2225299</v>
      </c>
      <c r="E2095" t="s">
        <v>96</v>
      </c>
      <c r="F2095" t="s">
        <v>1096</v>
      </c>
      <c r="H2095">
        <v>0</v>
      </c>
      <c r="I2095" t="s">
        <v>17</v>
      </c>
      <c r="K2095" t="s">
        <v>5724</v>
      </c>
      <c r="L2095">
        <v>118</v>
      </c>
      <c r="M2095" t="s">
        <v>5725</v>
      </c>
    </row>
    <row r="2096" spans="1:13" x14ac:dyDescent="0.45">
      <c r="A2096" t="s">
        <v>13</v>
      </c>
      <c r="B2096">
        <v>2226030</v>
      </c>
      <c r="C2096">
        <v>2227148</v>
      </c>
      <c r="E2096" t="s">
        <v>14</v>
      </c>
      <c r="F2096" t="s">
        <v>1370</v>
      </c>
      <c r="G2096" t="s">
        <v>1371</v>
      </c>
      <c r="H2096">
        <v>0</v>
      </c>
      <c r="I2096" t="s">
        <v>17</v>
      </c>
      <c r="K2096" t="s">
        <v>5726</v>
      </c>
      <c r="L2096">
        <v>372</v>
      </c>
      <c r="M2096" t="s">
        <v>5727</v>
      </c>
    </row>
    <row r="2097" spans="1:13" x14ac:dyDescent="0.45">
      <c r="A2097" t="s">
        <v>13</v>
      </c>
      <c r="B2097">
        <v>2227437</v>
      </c>
      <c r="C2097">
        <v>2228357</v>
      </c>
      <c r="E2097" t="s">
        <v>14</v>
      </c>
      <c r="F2097" t="s">
        <v>271</v>
      </c>
      <c r="H2097">
        <v>0</v>
      </c>
      <c r="I2097" t="s">
        <v>272</v>
      </c>
      <c r="M2097" t="s">
        <v>5728</v>
      </c>
    </row>
    <row r="2098" spans="1:13" x14ac:dyDescent="0.45">
      <c r="A2098" t="s">
        <v>13</v>
      </c>
      <c r="B2098">
        <v>2228582</v>
      </c>
      <c r="C2098">
        <v>2229193</v>
      </c>
      <c r="E2098" t="s">
        <v>14</v>
      </c>
      <c r="F2098" t="s">
        <v>2084</v>
      </c>
      <c r="H2098">
        <v>0</v>
      </c>
      <c r="I2098" t="s">
        <v>17</v>
      </c>
      <c r="K2098" t="s">
        <v>5729</v>
      </c>
      <c r="L2098">
        <v>203</v>
      </c>
      <c r="M2098" t="s">
        <v>5730</v>
      </c>
    </row>
    <row r="2099" spans="1:13" x14ac:dyDescent="0.45">
      <c r="A2099" t="s">
        <v>13</v>
      </c>
      <c r="B2099">
        <v>2229491</v>
      </c>
      <c r="C2099">
        <v>2229829</v>
      </c>
      <c r="E2099" t="s">
        <v>14</v>
      </c>
      <c r="F2099" t="s">
        <v>5731</v>
      </c>
      <c r="H2099">
        <v>0</v>
      </c>
      <c r="I2099" t="s">
        <v>17</v>
      </c>
      <c r="K2099" t="s">
        <v>5732</v>
      </c>
      <c r="L2099">
        <v>112</v>
      </c>
      <c r="M2099" t="s">
        <v>5733</v>
      </c>
    </row>
    <row r="2100" spans="1:13" x14ac:dyDescent="0.45">
      <c r="A2100" t="s">
        <v>13</v>
      </c>
      <c r="B2100">
        <v>2230236</v>
      </c>
      <c r="C2100">
        <v>2231672</v>
      </c>
      <c r="E2100" t="s">
        <v>96</v>
      </c>
      <c r="F2100" t="s">
        <v>5734</v>
      </c>
      <c r="G2100" t="s">
        <v>5735</v>
      </c>
      <c r="H2100">
        <v>0</v>
      </c>
      <c r="I2100" t="s">
        <v>17</v>
      </c>
      <c r="K2100" t="s">
        <v>5736</v>
      </c>
      <c r="L2100">
        <v>478</v>
      </c>
      <c r="M2100" t="s">
        <v>5737</v>
      </c>
    </row>
    <row r="2101" spans="1:13" x14ac:dyDescent="0.45">
      <c r="A2101" t="s">
        <v>13</v>
      </c>
      <c r="B2101">
        <v>2231920</v>
      </c>
      <c r="C2101">
        <v>2233356</v>
      </c>
      <c r="E2101" t="s">
        <v>96</v>
      </c>
      <c r="F2101" t="s">
        <v>5738</v>
      </c>
      <c r="H2101">
        <v>0</v>
      </c>
      <c r="I2101" t="s">
        <v>17</v>
      </c>
      <c r="K2101" t="s">
        <v>5739</v>
      </c>
      <c r="L2101">
        <v>478</v>
      </c>
      <c r="M2101" t="s">
        <v>5740</v>
      </c>
    </row>
    <row r="2102" spans="1:13" x14ac:dyDescent="0.45">
      <c r="A2102" t="s">
        <v>13</v>
      </c>
      <c r="B2102">
        <v>2234183</v>
      </c>
      <c r="C2102">
        <v>2234734</v>
      </c>
      <c r="E2102" t="s">
        <v>96</v>
      </c>
      <c r="F2102" t="s">
        <v>5741</v>
      </c>
      <c r="H2102">
        <v>0</v>
      </c>
      <c r="I2102" t="s">
        <v>17</v>
      </c>
      <c r="K2102" t="s">
        <v>5742</v>
      </c>
      <c r="L2102">
        <v>183</v>
      </c>
      <c r="M2102" t="s">
        <v>5743</v>
      </c>
    </row>
    <row r="2103" spans="1:13" x14ac:dyDescent="0.45">
      <c r="A2103" t="s">
        <v>13</v>
      </c>
      <c r="B2103">
        <v>2235714</v>
      </c>
      <c r="C2103">
        <v>2235983</v>
      </c>
      <c r="E2103" t="s">
        <v>96</v>
      </c>
      <c r="F2103" t="s">
        <v>43</v>
      </c>
      <c r="H2103">
        <v>0</v>
      </c>
      <c r="I2103" t="s">
        <v>17</v>
      </c>
      <c r="K2103" t="s">
        <v>5744</v>
      </c>
      <c r="L2103">
        <v>89</v>
      </c>
      <c r="M2103" t="s">
        <v>5745</v>
      </c>
    </row>
    <row r="2104" spans="1:13" x14ac:dyDescent="0.45">
      <c r="A2104" t="s">
        <v>13</v>
      </c>
      <c r="B2104">
        <v>2236339</v>
      </c>
      <c r="C2104">
        <v>2236824</v>
      </c>
      <c r="E2104" t="s">
        <v>96</v>
      </c>
      <c r="F2104" t="s">
        <v>5746</v>
      </c>
      <c r="H2104">
        <v>0</v>
      </c>
      <c r="I2104" t="s">
        <v>17</v>
      </c>
      <c r="K2104" t="s">
        <v>5747</v>
      </c>
      <c r="L2104">
        <v>161</v>
      </c>
      <c r="M2104" t="s">
        <v>5748</v>
      </c>
    </row>
    <row r="2105" spans="1:13" x14ac:dyDescent="0.45">
      <c r="A2105" t="s">
        <v>13</v>
      </c>
      <c r="B2105">
        <v>2237557</v>
      </c>
      <c r="C2105">
        <v>2237739</v>
      </c>
      <c r="E2105" t="s">
        <v>96</v>
      </c>
      <c r="F2105" t="s">
        <v>1479</v>
      </c>
      <c r="H2105">
        <v>0</v>
      </c>
      <c r="I2105" t="s">
        <v>17</v>
      </c>
      <c r="K2105" t="s">
        <v>5749</v>
      </c>
      <c r="L2105">
        <v>60</v>
      </c>
      <c r="M2105" t="s">
        <v>5750</v>
      </c>
    </row>
    <row r="2106" spans="1:13" x14ac:dyDescent="0.45">
      <c r="A2106" t="s">
        <v>13</v>
      </c>
      <c r="B2106">
        <v>2238118</v>
      </c>
      <c r="C2106">
        <v>2238294</v>
      </c>
      <c r="E2106" t="s">
        <v>14</v>
      </c>
      <c r="F2106" t="s">
        <v>43</v>
      </c>
      <c r="H2106">
        <v>0</v>
      </c>
      <c r="I2106" t="s">
        <v>17</v>
      </c>
      <c r="K2106" t="s">
        <v>5751</v>
      </c>
      <c r="L2106">
        <v>58</v>
      </c>
      <c r="M2106" t="s">
        <v>5752</v>
      </c>
    </row>
    <row r="2107" spans="1:13" x14ac:dyDescent="0.45">
      <c r="A2107" t="s">
        <v>13</v>
      </c>
      <c r="B2107">
        <v>2238520</v>
      </c>
      <c r="C2107">
        <v>2238720</v>
      </c>
      <c r="E2107" t="s">
        <v>14</v>
      </c>
      <c r="F2107" t="s">
        <v>2616</v>
      </c>
      <c r="H2107">
        <v>0</v>
      </c>
      <c r="I2107" t="s">
        <v>17</v>
      </c>
      <c r="K2107" t="s">
        <v>5753</v>
      </c>
      <c r="L2107">
        <v>66</v>
      </c>
      <c r="M2107" t="s">
        <v>5754</v>
      </c>
    </row>
    <row r="2108" spans="1:13" x14ac:dyDescent="0.45">
      <c r="A2108" t="s">
        <v>13</v>
      </c>
      <c r="B2108">
        <v>2238884</v>
      </c>
      <c r="C2108">
        <v>2239162</v>
      </c>
      <c r="E2108" t="s">
        <v>96</v>
      </c>
      <c r="F2108" t="s">
        <v>43</v>
      </c>
      <c r="H2108">
        <v>0</v>
      </c>
      <c r="I2108" t="s">
        <v>17</v>
      </c>
      <c r="K2108" t="s">
        <v>5755</v>
      </c>
      <c r="L2108">
        <v>92</v>
      </c>
      <c r="M2108" t="s">
        <v>5756</v>
      </c>
    </row>
    <row r="2109" spans="1:13" x14ac:dyDescent="0.45">
      <c r="A2109" t="s">
        <v>13</v>
      </c>
      <c r="B2109">
        <v>2239405</v>
      </c>
      <c r="C2109">
        <v>2239587</v>
      </c>
      <c r="E2109" t="s">
        <v>14</v>
      </c>
      <c r="F2109" t="s">
        <v>5757</v>
      </c>
      <c r="H2109">
        <v>0</v>
      </c>
      <c r="I2109" t="s">
        <v>17</v>
      </c>
      <c r="K2109" t="s">
        <v>5758</v>
      </c>
      <c r="L2109">
        <v>60</v>
      </c>
      <c r="M2109" t="s">
        <v>5759</v>
      </c>
    </row>
    <row r="2110" spans="1:13" x14ac:dyDescent="0.45">
      <c r="A2110" t="s">
        <v>13</v>
      </c>
      <c r="B2110">
        <v>2239658</v>
      </c>
      <c r="C2110">
        <v>2240503</v>
      </c>
      <c r="E2110" t="s">
        <v>14</v>
      </c>
      <c r="F2110" t="s">
        <v>5760</v>
      </c>
      <c r="H2110">
        <v>0</v>
      </c>
      <c r="I2110" t="s">
        <v>17</v>
      </c>
      <c r="K2110" t="s">
        <v>5761</v>
      </c>
      <c r="L2110">
        <v>281</v>
      </c>
      <c r="M2110" t="s">
        <v>5762</v>
      </c>
    </row>
    <row r="2111" spans="1:13" x14ac:dyDescent="0.45">
      <c r="A2111" t="s">
        <v>13</v>
      </c>
      <c r="B2111">
        <v>2240727</v>
      </c>
      <c r="C2111">
        <v>2240891</v>
      </c>
      <c r="E2111" t="s">
        <v>96</v>
      </c>
      <c r="F2111" t="s">
        <v>43</v>
      </c>
      <c r="H2111">
        <v>0</v>
      </c>
      <c r="I2111" t="s">
        <v>17</v>
      </c>
      <c r="K2111" t="s">
        <v>5763</v>
      </c>
      <c r="L2111">
        <v>54</v>
      </c>
      <c r="M2111" t="s">
        <v>5764</v>
      </c>
    </row>
    <row r="2112" spans="1:13" x14ac:dyDescent="0.45">
      <c r="A2112" t="s">
        <v>13</v>
      </c>
      <c r="B2112">
        <v>2241433</v>
      </c>
      <c r="C2112">
        <v>2241765</v>
      </c>
      <c r="E2112" t="s">
        <v>96</v>
      </c>
      <c r="F2112" t="s">
        <v>5765</v>
      </c>
      <c r="H2112">
        <v>0</v>
      </c>
      <c r="I2112" t="s">
        <v>17</v>
      </c>
      <c r="K2112" t="s">
        <v>5766</v>
      </c>
      <c r="L2112">
        <v>110</v>
      </c>
      <c r="M2112" t="s">
        <v>5767</v>
      </c>
    </row>
    <row r="2113" spans="1:13" x14ac:dyDescent="0.45">
      <c r="A2113" t="s">
        <v>13</v>
      </c>
      <c r="B2113">
        <v>2242009</v>
      </c>
      <c r="C2113">
        <v>2242650</v>
      </c>
      <c r="E2113" t="s">
        <v>96</v>
      </c>
      <c r="F2113" t="s">
        <v>5768</v>
      </c>
      <c r="H2113">
        <v>0</v>
      </c>
      <c r="I2113" t="s">
        <v>17</v>
      </c>
      <c r="K2113" t="s">
        <v>5769</v>
      </c>
      <c r="L2113">
        <v>213</v>
      </c>
      <c r="M2113" t="s">
        <v>5770</v>
      </c>
    </row>
    <row r="2114" spans="1:13" x14ac:dyDescent="0.45">
      <c r="A2114" t="s">
        <v>13</v>
      </c>
      <c r="B2114">
        <v>2242631</v>
      </c>
      <c r="C2114">
        <v>2242924</v>
      </c>
      <c r="E2114" t="s">
        <v>96</v>
      </c>
      <c r="F2114" t="s">
        <v>5771</v>
      </c>
      <c r="H2114">
        <v>0</v>
      </c>
      <c r="I2114" t="s">
        <v>17</v>
      </c>
      <c r="K2114" t="s">
        <v>5772</v>
      </c>
      <c r="L2114">
        <v>97</v>
      </c>
      <c r="M2114" t="s">
        <v>5773</v>
      </c>
    </row>
    <row r="2115" spans="1:13" x14ac:dyDescent="0.45">
      <c r="A2115" t="s">
        <v>13</v>
      </c>
      <c r="B2115">
        <v>2243330</v>
      </c>
      <c r="C2115">
        <v>2243377</v>
      </c>
      <c r="E2115" t="s">
        <v>14</v>
      </c>
      <c r="F2115" t="s">
        <v>43</v>
      </c>
      <c r="H2115">
        <v>0</v>
      </c>
      <c r="I2115" t="s">
        <v>17</v>
      </c>
      <c r="K2115" t="s">
        <v>5774</v>
      </c>
      <c r="L2115">
        <v>15</v>
      </c>
      <c r="M2115" t="s">
        <v>5775</v>
      </c>
    </row>
    <row r="2116" spans="1:13" x14ac:dyDescent="0.45">
      <c r="A2116" t="s">
        <v>13</v>
      </c>
      <c r="B2116">
        <v>2243548</v>
      </c>
      <c r="C2116">
        <v>2243682</v>
      </c>
      <c r="E2116" t="s">
        <v>96</v>
      </c>
      <c r="F2116" t="s">
        <v>43</v>
      </c>
      <c r="H2116">
        <v>0</v>
      </c>
      <c r="I2116" t="s">
        <v>17</v>
      </c>
      <c r="K2116" t="s">
        <v>5776</v>
      </c>
      <c r="L2116">
        <v>44</v>
      </c>
      <c r="M2116" t="s">
        <v>5777</v>
      </c>
    </row>
    <row r="2117" spans="1:13" x14ac:dyDescent="0.45">
      <c r="A2117" t="s">
        <v>13</v>
      </c>
      <c r="B2117">
        <v>2243893</v>
      </c>
      <c r="C2117">
        <v>2244549</v>
      </c>
      <c r="E2117" t="s">
        <v>96</v>
      </c>
      <c r="F2117" t="s">
        <v>2355</v>
      </c>
      <c r="H2117">
        <v>0</v>
      </c>
      <c r="I2117" t="s">
        <v>17</v>
      </c>
      <c r="K2117" t="s">
        <v>5778</v>
      </c>
      <c r="L2117">
        <v>218</v>
      </c>
      <c r="M2117" t="s">
        <v>5779</v>
      </c>
    </row>
    <row r="2118" spans="1:13" x14ac:dyDescent="0.45">
      <c r="A2118" t="s">
        <v>13</v>
      </c>
      <c r="B2118">
        <v>2244506</v>
      </c>
      <c r="C2118">
        <v>2244646</v>
      </c>
      <c r="E2118" t="s">
        <v>96</v>
      </c>
      <c r="F2118" t="s">
        <v>43</v>
      </c>
      <c r="H2118">
        <v>0</v>
      </c>
      <c r="I2118" t="s">
        <v>17</v>
      </c>
      <c r="K2118" t="s">
        <v>5780</v>
      </c>
      <c r="L2118">
        <v>46</v>
      </c>
      <c r="M2118" t="s">
        <v>5781</v>
      </c>
    </row>
    <row r="2119" spans="1:13" x14ac:dyDescent="0.45">
      <c r="A2119" t="s">
        <v>13</v>
      </c>
      <c r="B2119">
        <v>2244705</v>
      </c>
      <c r="C2119">
        <v>2246360</v>
      </c>
      <c r="E2119" t="s">
        <v>96</v>
      </c>
      <c r="F2119" t="s">
        <v>1134</v>
      </c>
      <c r="H2119">
        <v>0</v>
      </c>
      <c r="I2119" t="s">
        <v>17</v>
      </c>
      <c r="K2119" t="s">
        <v>5782</v>
      </c>
      <c r="L2119">
        <v>551</v>
      </c>
      <c r="M2119" t="s">
        <v>5783</v>
      </c>
    </row>
    <row r="2120" spans="1:13" x14ac:dyDescent="0.45">
      <c r="A2120" t="s">
        <v>13</v>
      </c>
      <c r="B2120">
        <v>2246589</v>
      </c>
      <c r="C2120">
        <v>2246957</v>
      </c>
      <c r="E2120" t="s">
        <v>96</v>
      </c>
      <c r="F2120" t="s">
        <v>1827</v>
      </c>
      <c r="H2120">
        <v>0</v>
      </c>
      <c r="I2120" t="s">
        <v>17</v>
      </c>
      <c r="K2120" t="s">
        <v>5784</v>
      </c>
      <c r="L2120">
        <v>122</v>
      </c>
      <c r="M2120" t="s">
        <v>5785</v>
      </c>
    </row>
    <row r="2121" spans="1:13" x14ac:dyDescent="0.45">
      <c r="A2121" t="s">
        <v>13</v>
      </c>
      <c r="B2121">
        <v>2247106</v>
      </c>
      <c r="C2121">
        <v>2247900</v>
      </c>
      <c r="E2121" t="s">
        <v>14</v>
      </c>
      <c r="F2121" t="s">
        <v>5786</v>
      </c>
      <c r="H2121">
        <v>0</v>
      </c>
      <c r="I2121" t="s">
        <v>17</v>
      </c>
      <c r="K2121" t="s">
        <v>5787</v>
      </c>
      <c r="L2121">
        <v>264</v>
      </c>
      <c r="M2121" t="s">
        <v>5788</v>
      </c>
    </row>
    <row r="2122" spans="1:13" x14ac:dyDescent="0.45">
      <c r="A2122" t="s">
        <v>13</v>
      </c>
      <c r="B2122">
        <v>2248053</v>
      </c>
      <c r="C2122">
        <v>2248481</v>
      </c>
      <c r="E2122" t="s">
        <v>96</v>
      </c>
      <c r="F2122" t="s">
        <v>5789</v>
      </c>
      <c r="H2122">
        <v>0</v>
      </c>
      <c r="I2122" t="s">
        <v>17</v>
      </c>
      <c r="K2122" t="s">
        <v>5790</v>
      </c>
      <c r="L2122">
        <v>142</v>
      </c>
      <c r="M2122" t="s">
        <v>5791</v>
      </c>
    </row>
    <row r="2123" spans="1:13" x14ac:dyDescent="0.45">
      <c r="A2123" t="s">
        <v>13</v>
      </c>
      <c r="B2123">
        <v>2248957</v>
      </c>
      <c r="C2123">
        <v>2249895</v>
      </c>
      <c r="E2123" t="s">
        <v>96</v>
      </c>
      <c r="F2123" t="s">
        <v>5792</v>
      </c>
      <c r="H2123">
        <v>0</v>
      </c>
      <c r="I2123" t="s">
        <v>17</v>
      </c>
      <c r="K2123" t="s">
        <v>5793</v>
      </c>
      <c r="L2123">
        <v>312</v>
      </c>
      <c r="M2123" t="s">
        <v>5794</v>
      </c>
    </row>
    <row r="2124" spans="1:13" x14ac:dyDescent="0.45">
      <c r="A2124" t="s">
        <v>13</v>
      </c>
      <c r="B2124">
        <v>2250239</v>
      </c>
      <c r="C2124">
        <v>2251894</v>
      </c>
      <c r="E2124" t="s">
        <v>96</v>
      </c>
      <c r="F2124" t="s">
        <v>5795</v>
      </c>
      <c r="G2124" t="s">
        <v>5796</v>
      </c>
      <c r="H2124">
        <v>0</v>
      </c>
      <c r="I2124" t="s">
        <v>17</v>
      </c>
      <c r="K2124" t="s">
        <v>5797</v>
      </c>
      <c r="L2124">
        <v>551</v>
      </c>
      <c r="M2124" t="s">
        <v>5798</v>
      </c>
    </row>
    <row r="2125" spans="1:13" x14ac:dyDescent="0.45">
      <c r="A2125" t="s">
        <v>13</v>
      </c>
      <c r="B2125">
        <v>2252218</v>
      </c>
      <c r="C2125">
        <v>2252517</v>
      </c>
      <c r="E2125" t="s">
        <v>96</v>
      </c>
      <c r="F2125" t="s">
        <v>43</v>
      </c>
      <c r="H2125">
        <v>0</v>
      </c>
      <c r="I2125" t="s">
        <v>17</v>
      </c>
      <c r="K2125" t="s">
        <v>5799</v>
      </c>
      <c r="L2125">
        <v>99</v>
      </c>
      <c r="M2125" t="s">
        <v>5800</v>
      </c>
    </row>
    <row r="2126" spans="1:13" x14ac:dyDescent="0.45">
      <c r="A2126" t="s">
        <v>13</v>
      </c>
      <c r="B2126">
        <v>2252777</v>
      </c>
      <c r="C2126">
        <v>2253457</v>
      </c>
      <c r="E2126" t="s">
        <v>14</v>
      </c>
      <c r="F2126" t="s">
        <v>5801</v>
      </c>
      <c r="H2126">
        <v>0</v>
      </c>
      <c r="I2126" t="s">
        <v>17</v>
      </c>
      <c r="K2126" t="s">
        <v>5802</v>
      </c>
      <c r="L2126">
        <v>226</v>
      </c>
      <c r="M2126" t="s">
        <v>5803</v>
      </c>
    </row>
    <row r="2127" spans="1:13" x14ac:dyDescent="0.45">
      <c r="A2127" t="s">
        <v>13</v>
      </c>
      <c r="B2127">
        <v>2253567</v>
      </c>
      <c r="C2127">
        <v>2253824</v>
      </c>
      <c r="E2127" t="s">
        <v>96</v>
      </c>
      <c r="F2127" t="s">
        <v>43</v>
      </c>
      <c r="H2127">
        <v>0</v>
      </c>
      <c r="I2127" t="s">
        <v>17</v>
      </c>
      <c r="K2127" t="s">
        <v>5804</v>
      </c>
      <c r="L2127">
        <v>85</v>
      </c>
      <c r="M2127" t="s">
        <v>5805</v>
      </c>
    </row>
    <row r="2128" spans="1:13" x14ac:dyDescent="0.45">
      <c r="A2128" t="s">
        <v>13</v>
      </c>
      <c r="B2128">
        <v>2254373</v>
      </c>
      <c r="C2128">
        <v>2254744</v>
      </c>
      <c r="E2128" t="s">
        <v>14</v>
      </c>
      <c r="F2128" t="s">
        <v>1134</v>
      </c>
      <c r="H2128">
        <v>0</v>
      </c>
      <c r="I2128" t="s">
        <v>17</v>
      </c>
      <c r="K2128" t="s">
        <v>5806</v>
      </c>
      <c r="L2128">
        <v>123</v>
      </c>
      <c r="M2128" t="s">
        <v>5807</v>
      </c>
    </row>
    <row r="2129" spans="1:13" x14ac:dyDescent="0.45">
      <c r="A2129" t="s">
        <v>13</v>
      </c>
      <c r="B2129">
        <v>2254741</v>
      </c>
      <c r="C2129">
        <v>2254881</v>
      </c>
      <c r="E2129" t="s">
        <v>96</v>
      </c>
      <c r="F2129" t="s">
        <v>43</v>
      </c>
      <c r="H2129">
        <v>0</v>
      </c>
      <c r="I2129" t="s">
        <v>17</v>
      </c>
      <c r="K2129" t="s">
        <v>5808</v>
      </c>
      <c r="L2129">
        <v>46</v>
      </c>
      <c r="M2129" t="s">
        <v>5809</v>
      </c>
    </row>
    <row r="2130" spans="1:13" x14ac:dyDescent="0.45">
      <c r="A2130" t="s">
        <v>13</v>
      </c>
      <c r="B2130">
        <v>2255546</v>
      </c>
      <c r="C2130">
        <v>2256442</v>
      </c>
      <c r="E2130" t="s">
        <v>96</v>
      </c>
      <c r="F2130" t="s">
        <v>196</v>
      </c>
      <c r="H2130">
        <v>0</v>
      </c>
      <c r="I2130" t="s">
        <v>17</v>
      </c>
      <c r="K2130" t="s">
        <v>5810</v>
      </c>
      <c r="L2130">
        <v>298</v>
      </c>
      <c r="M2130" t="s">
        <v>5811</v>
      </c>
    </row>
    <row r="2131" spans="1:13" x14ac:dyDescent="0.45">
      <c r="A2131" t="s">
        <v>13</v>
      </c>
      <c r="B2131">
        <v>2256584</v>
      </c>
      <c r="C2131">
        <v>2258011</v>
      </c>
      <c r="E2131" t="s">
        <v>14</v>
      </c>
      <c r="F2131" t="s">
        <v>205</v>
      </c>
      <c r="H2131">
        <v>0</v>
      </c>
      <c r="I2131" t="s">
        <v>17</v>
      </c>
      <c r="K2131" t="s">
        <v>5812</v>
      </c>
      <c r="L2131">
        <v>475</v>
      </c>
      <c r="M2131" t="s">
        <v>5813</v>
      </c>
    </row>
    <row r="2132" spans="1:13" x14ac:dyDescent="0.45">
      <c r="A2132" t="s">
        <v>13</v>
      </c>
      <c r="B2132">
        <v>2258208</v>
      </c>
      <c r="C2132">
        <v>2260802</v>
      </c>
      <c r="E2132" t="s">
        <v>96</v>
      </c>
      <c r="F2132" t="s">
        <v>5814</v>
      </c>
      <c r="G2132" t="s">
        <v>5815</v>
      </c>
      <c r="H2132">
        <v>0</v>
      </c>
      <c r="I2132" t="s">
        <v>17</v>
      </c>
      <c r="K2132" t="s">
        <v>5816</v>
      </c>
      <c r="L2132">
        <v>864</v>
      </c>
      <c r="M2132" t="s">
        <v>5817</v>
      </c>
    </row>
    <row r="2133" spans="1:13" x14ac:dyDescent="0.45">
      <c r="A2133" t="s">
        <v>13</v>
      </c>
      <c r="B2133">
        <v>2260839</v>
      </c>
      <c r="C2133">
        <v>2261435</v>
      </c>
      <c r="E2133" t="s">
        <v>96</v>
      </c>
      <c r="F2133" t="s">
        <v>43</v>
      </c>
      <c r="H2133">
        <v>0</v>
      </c>
      <c r="I2133" t="s">
        <v>17</v>
      </c>
      <c r="K2133" t="s">
        <v>5818</v>
      </c>
      <c r="L2133">
        <v>198</v>
      </c>
      <c r="M2133" t="s">
        <v>5819</v>
      </c>
    </row>
    <row r="2134" spans="1:13" x14ac:dyDescent="0.45">
      <c r="A2134" t="s">
        <v>13</v>
      </c>
      <c r="B2134">
        <v>2261452</v>
      </c>
      <c r="C2134">
        <v>2261856</v>
      </c>
      <c r="E2134" t="s">
        <v>96</v>
      </c>
      <c r="F2134" t="s">
        <v>5820</v>
      </c>
      <c r="H2134">
        <v>0</v>
      </c>
      <c r="I2134" t="s">
        <v>17</v>
      </c>
      <c r="K2134" t="s">
        <v>5821</v>
      </c>
      <c r="L2134">
        <v>134</v>
      </c>
      <c r="M2134" t="s">
        <v>5822</v>
      </c>
    </row>
    <row r="2135" spans="1:13" x14ac:dyDescent="0.45">
      <c r="A2135" t="s">
        <v>13</v>
      </c>
      <c r="B2135">
        <v>2262222</v>
      </c>
      <c r="C2135">
        <v>2262596</v>
      </c>
      <c r="E2135" t="s">
        <v>14</v>
      </c>
      <c r="F2135" t="s">
        <v>1909</v>
      </c>
      <c r="H2135">
        <v>0</v>
      </c>
      <c r="I2135" t="s">
        <v>17</v>
      </c>
      <c r="K2135" t="s">
        <v>5823</v>
      </c>
      <c r="L2135">
        <v>124</v>
      </c>
      <c r="M2135" t="s">
        <v>5824</v>
      </c>
    </row>
    <row r="2136" spans="1:13" x14ac:dyDescent="0.45">
      <c r="A2136" t="s">
        <v>13</v>
      </c>
      <c r="B2136">
        <v>2262593</v>
      </c>
      <c r="C2136">
        <v>2263456</v>
      </c>
      <c r="E2136" t="s">
        <v>14</v>
      </c>
      <c r="F2136" t="s">
        <v>1140</v>
      </c>
      <c r="H2136">
        <v>0</v>
      </c>
      <c r="I2136" t="s">
        <v>17</v>
      </c>
      <c r="K2136" t="s">
        <v>5825</v>
      </c>
      <c r="L2136">
        <v>287</v>
      </c>
      <c r="M2136" t="s">
        <v>5826</v>
      </c>
    </row>
    <row r="2137" spans="1:13" x14ac:dyDescent="0.45">
      <c r="A2137" t="s">
        <v>13</v>
      </c>
      <c r="B2137">
        <v>2263456</v>
      </c>
      <c r="C2137">
        <v>2264094</v>
      </c>
      <c r="E2137" t="s">
        <v>14</v>
      </c>
      <c r="F2137" t="s">
        <v>1925</v>
      </c>
      <c r="H2137">
        <v>0</v>
      </c>
      <c r="I2137" t="s">
        <v>17</v>
      </c>
      <c r="K2137" t="s">
        <v>5827</v>
      </c>
      <c r="L2137">
        <v>212</v>
      </c>
      <c r="M2137" t="s">
        <v>5828</v>
      </c>
    </row>
    <row r="2138" spans="1:13" x14ac:dyDescent="0.45">
      <c r="A2138" t="s">
        <v>13</v>
      </c>
      <c r="B2138">
        <v>2264588</v>
      </c>
      <c r="C2138">
        <v>2265001</v>
      </c>
      <c r="E2138" t="s">
        <v>14</v>
      </c>
      <c r="F2138" t="s">
        <v>1183</v>
      </c>
      <c r="H2138">
        <v>0</v>
      </c>
      <c r="I2138" t="s">
        <v>17</v>
      </c>
      <c r="K2138" t="s">
        <v>5829</v>
      </c>
      <c r="L2138">
        <v>137</v>
      </c>
      <c r="M2138" t="s">
        <v>5830</v>
      </c>
    </row>
    <row r="2139" spans="1:13" x14ac:dyDescent="0.45">
      <c r="A2139" t="s">
        <v>13</v>
      </c>
      <c r="B2139">
        <v>2265192</v>
      </c>
      <c r="C2139">
        <v>2266409</v>
      </c>
      <c r="E2139" t="s">
        <v>14</v>
      </c>
      <c r="F2139" t="s">
        <v>5831</v>
      </c>
      <c r="H2139">
        <v>0</v>
      </c>
      <c r="I2139" t="s">
        <v>17</v>
      </c>
      <c r="K2139" t="s">
        <v>5832</v>
      </c>
      <c r="L2139">
        <v>405</v>
      </c>
      <c r="M2139" t="s">
        <v>5833</v>
      </c>
    </row>
    <row r="2140" spans="1:13" x14ac:dyDescent="0.45">
      <c r="A2140" t="s">
        <v>13</v>
      </c>
      <c r="B2140">
        <v>2266571</v>
      </c>
      <c r="C2140">
        <v>2267269</v>
      </c>
      <c r="E2140" t="s">
        <v>14</v>
      </c>
      <c r="F2140" t="s">
        <v>5834</v>
      </c>
      <c r="H2140">
        <v>0</v>
      </c>
      <c r="I2140" t="s">
        <v>17</v>
      </c>
      <c r="K2140" t="s">
        <v>5835</v>
      </c>
      <c r="L2140">
        <v>232</v>
      </c>
      <c r="M2140" t="s">
        <v>5836</v>
      </c>
    </row>
    <row r="2141" spans="1:13" x14ac:dyDescent="0.45">
      <c r="A2141" t="s">
        <v>13</v>
      </c>
      <c r="B2141">
        <v>2267489</v>
      </c>
      <c r="C2141">
        <v>2268106</v>
      </c>
      <c r="E2141" t="s">
        <v>96</v>
      </c>
      <c r="F2141" t="s">
        <v>5837</v>
      </c>
      <c r="H2141">
        <v>0</v>
      </c>
      <c r="I2141" t="s">
        <v>17</v>
      </c>
      <c r="K2141" t="s">
        <v>5838</v>
      </c>
      <c r="L2141">
        <v>205</v>
      </c>
      <c r="M2141" t="s">
        <v>5839</v>
      </c>
    </row>
    <row r="2142" spans="1:13" x14ac:dyDescent="0.45">
      <c r="A2142" t="s">
        <v>13</v>
      </c>
      <c r="B2142">
        <v>2268233</v>
      </c>
      <c r="C2142">
        <v>2269255</v>
      </c>
      <c r="E2142" t="s">
        <v>96</v>
      </c>
      <c r="F2142" t="s">
        <v>5840</v>
      </c>
      <c r="G2142" t="s">
        <v>5841</v>
      </c>
      <c r="H2142">
        <v>0</v>
      </c>
      <c r="I2142" t="s">
        <v>17</v>
      </c>
      <c r="K2142" t="s">
        <v>5842</v>
      </c>
      <c r="L2142">
        <v>340</v>
      </c>
      <c r="M2142" t="s">
        <v>5843</v>
      </c>
    </row>
    <row r="2143" spans="1:13" x14ac:dyDescent="0.45">
      <c r="A2143" t="s">
        <v>13</v>
      </c>
      <c r="B2143">
        <v>2269364</v>
      </c>
      <c r="C2143">
        <v>2270551</v>
      </c>
      <c r="E2143" t="s">
        <v>96</v>
      </c>
      <c r="F2143" t="s">
        <v>5844</v>
      </c>
      <c r="H2143">
        <v>0</v>
      </c>
      <c r="I2143" t="s">
        <v>17</v>
      </c>
      <c r="K2143" t="s">
        <v>5845</v>
      </c>
      <c r="L2143">
        <v>395</v>
      </c>
      <c r="M2143" t="s">
        <v>5846</v>
      </c>
    </row>
    <row r="2144" spans="1:13" x14ac:dyDescent="0.45">
      <c r="A2144" t="s">
        <v>13</v>
      </c>
      <c r="B2144">
        <v>2270581</v>
      </c>
      <c r="C2144">
        <v>2271441</v>
      </c>
      <c r="E2144" t="s">
        <v>96</v>
      </c>
      <c r="F2144" t="s">
        <v>5847</v>
      </c>
      <c r="G2144" t="s">
        <v>5848</v>
      </c>
      <c r="H2144">
        <v>0</v>
      </c>
      <c r="I2144" t="s">
        <v>17</v>
      </c>
      <c r="K2144" t="s">
        <v>5849</v>
      </c>
      <c r="L2144">
        <v>286</v>
      </c>
      <c r="M2144" t="s">
        <v>5850</v>
      </c>
    </row>
    <row r="2145" spans="1:13" x14ac:dyDescent="0.45">
      <c r="A2145" t="s">
        <v>13</v>
      </c>
      <c r="B2145">
        <v>2271456</v>
      </c>
      <c r="C2145">
        <v>2272673</v>
      </c>
      <c r="E2145" t="s">
        <v>96</v>
      </c>
      <c r="F2145" t="s">
        <v>5851</v>
      </c>
      <c r="G2145" t="s">
        <v>5852</v>
      </c>
      <c r="H2145">
        <v>0</v>
      </c>
      <c r="I2145" t="s">
        <v>17</v>
      </c>
      <c r="K2145" t="s">
        <v>5853</v>
      </c>
      <c r="L2145">
        <v>405</v>
      </c>
      <c r="M2145" t="s">
        <v>5854</v>
      </c>
    </row>
    <row r="2146" spans="1:13" x14ac:dyDescent="0.45">
      <c r="A2146" t="s">
        <v>13</v>
      </c>
      <c r="B2146">
        <v>2272715</v>
      </c>
      <c r="C2146">
        <v>2273749</v>
      </c>
      <c r="E2146" t="s">
        <v>96</v>
      </c>
      <c r="F2146" t="s">
        <v>5855</v>
      </c>
      <c r="G2146" t="s">
        <v>5856</v>
      </c>
      <c r="H2146">
        <v>0</v>
      </c>
      <c r="I2146" t="s">
        <v>17</v>
      </c>
      <c r="K2146" t="s">
        <v>5857</v>
      </c>
      <c r="L2146">
        <v>344</v>
      </c>
      <c r="M2146" t="s">
        <v>5858</v>
      </c>
    </row>
    <row r="2147" spans="1:13" x14ac:dyDescent="0.45">
      <c r="A2147" t="s">
        <v>13</v>
      </c>
      <c r="B2147">
        <v>2274439</v>
      </c>
      <c r="C2147">
        <v>2275203</v>
      </c>
      <c r="E2147" t="s">
        <v>96</v>
      </c>
      <c r="F2147" t="s">
        <v>5859</v>
      </c>
      <c r="H2147">
        <v>0</v>
      </c>
      <c r="I2147" t="s">
        <v>17</v>
      </c>
      <c r="K2147" t="s">
        <v>5860</v>
      </c>
      <c r="L2147">
        <v>254</v>
      </c>
      <c r="M2147" t="s">
        <v>5861</v>
      </c>
    </row>
    <row r="2148" spans="1:13" x14ac:dyDescent="0.45">
      <c r="A2148" t="s">
        <v>13</v>
      </c>
      <c r="B2148">
        <v>2275506</v>
      </c>
      <c r="C2148">
        <v>2275979</v>
      </c>
      <c r="E2148" t="s">
        <v>14</v>
      </c>
      <c r="F2148" t="s">
        <v>1183</v>
      </c>
      <c r="H2148">
        <v>0</v>
      </c>
      <c r="I2148" t="s">
        <v>17</v>
      </c>
      <c r="K2148" t="s">
        <v>5862</v>
      </c>
      <c r="L2148">
        <v>157</v>
      </c>
      <c r="M2148" t="s">
        <v>5863</v>
      </c>
    </row>
    <row r="2149" spans="1:13" x14ac:dyDescent="0.45">
      <c r="A2149" t="s">
        <v>13</v>
      </c>
      <c r="B2149">
        <v>2276348</v>
      </c>
      <c r="C2149">
        <v>2276905</v>
      </c>
      <c r="E2149" t="s">
        <v>96</v>
      </c>
      <c r="F2149" t="s">
        <v>1178</v>
      </c>
      <c r="H2149">
        <v>0</v>
      </c>
      <c r="I2149" t="s">
        <v>17</v>
      </c>
      <c r="K2149" t="s">
        <v>5864</v>
      </c>
      <c r="L2149">
        <v>185</v>
      </c>
      <c r="M2149" t="s">
        <v>5865</v>
      </c>
    </row>
    <row r="2150" spans="1:13" x14ac:dyDescent="0.45">
      <c r="A2150" t="s">
        <v>13</v>
      </c>
      <c r="B2150">
        <v>2277163</v>
      </c>
      <c r="C2150">
        <v>2277861</v>
      </c>
      <c r="E2150" t="s">
        <v>14</v>
      </c>
      <c r="F2150" t="s">
        <v>2536</v>
      </c>
      <c r="H2150">
        <v>0</v>
      </c>
      <c r="I2150" t="s">
        <v>17</v>
      </c>
      <c r="K2150" t="s">
        <v>5866</v>
      </c>
      <c r="L2150">
        <v>232</v>
      </c>
      <c r="M2150" t="s">
        <v>5867</v>
      </c>
    </row>
    <row r="2151" spans="1:13" x14ac:dyDescent="0.45">
      <c r="A2151" t="s">
        <v>13</v>
      </c>
      <c r="B2151">
        <v>2278441</v>
      </c>
      <c r="C2151">
        <v>2278539</v>
      </c>
      <c r="E2151" t="s">
        <v>96</v>
      </c>
      <c r="F2151" t="s">
        <v>43</v>
      </c>
      <c r="H2151">
        <v>0</v>
      </c>
      <c r="I2151" t="s">
        <v>17</v>
      </c>
      <c r="K2151" t="s">
        <v>5868</v>
      </c>
      <c r="L2151">
        <v>32</v>
      </c>
      <c r="M2151" t="s">
        <v>5869</v>
      </c>
    </row>
    <row r="2152" spans="1:13" x14ac:dyDescent="0.45">
      <c r="A2152" t="s">
        <v>13</v>
      </c>
      <c r="B2152">
        <v>2278883</v>
      </c>
      <c r="C2152">
        <v>2279350</v>
      </c>
      <c r="E2152" t="s">
        <v>14</v>
      </c>
      <c r="F2152" t="s">
        <v>5870</v>
      </c>
      <c r="H2152">
        <v>0</v>
      </c>
      <c r="I2152" t="s">
        <v>17</v>
      </c>
      <c r="K2152" t="s">
        <v>5871</v>
      </c>
      <c r="L2152">
        <v>155</v>
      </c>
      <c r="M2152" t="s">
        <v>5872</v>
      </c>
    </row>
    <row r="2153" spans="1:13" x14ac:dyDescent="0.45">
      <c r="A2153" t="s">
        <v>13</v>
      </c>
      <c r="B2153">
        <v>2279361</v>
      </c>
      <c r="C2153">
        <v>2279576</v>
      </c>
      <c r="E2153" t="s">
        <v>14</v>
      </c>
      <c r="F2153" t="s">
        <v>1134</v>
      </c>
      <c r="H2153">
        <v>0</v>
      </c>
      <c r="I2153" t="s">
        <v>17</v>
      </c>
      <c r="K2153" t="s">
        <v>5873</v>
      </c>
      <c r="L2153">
        <v>71</v>
      </c>
      <c r="M2153" t="s">
        <v>5874</v>
      </c>
    </row>
    <row r="2154" spans="1:13" x14ac:dyDescent="0.45">
      <c r="A2154" t="s">
        <v>13</v>
      </c>
      <c r="B2154">
        <v>2280016</v>
      </c>
      <c r="C2154">
        <v>2280189</v>
      </c>
      <c r="E2154" t="s">
        <v>14</v>
      </c>
      <c r="F2154" t="s">
        <v>43</v>
      </c>
      <c r="H2154">
        <v>0</v>
      </c>
      <c r="I2154" t="s">
        <v>17</v>
      </c>
      <c r="K2154" t="s">
        <v>5875</v>
      </c>
      <c r="L2154">
        <v>57</v>
      </c>
      <c r="M2154" t="s">
        <v>5876</v>
      </c>
    </row>
    <row r="2155" spans="1:13" x14ac:dyDescent="0.45">
      <c r="A2155" t="s">
        <v>13</v>
      </c>
      <c r="B2155">
        <v>2280346</v>
      </c>
      <c r="C2155">
        <v>2280630</v>
      </c>
      <c r="E2155" t="s">
        <v>96</v>
      </c>
      <c r="F2155" t="s">
        <v>43</v>
      </c>
      <c r="H2155">
        <v>0</v>
      </c>
      <c r="I2155" t="s">
        <v>17</v>
      </c>
      <c r="K2155" t="s">
        <v>5877</v>
      </c>
      <c r="L2155">
        <v>94</v>
      </c>
      <c r="M2155" t="s">
        <v>5878</v>
      </c>
    </row>
    <row r="2156" spans="1:13" x14ac:dyDescent="0.45">
      <c r="A2156" t="s">
        <v>13</v>
      </c>
      <c r="B2156">
        <v>2282255</v>
      </c>
      <c r="C2156">
        <v>2283127</v>
      </c>
      <c r="E2156" t="s">
        <v>96</v>
      </c>
      <c r="F2156" t="s">
        <v>1462</v>
      </c>
      <c r="H2156">
        <v>0</v>
      </c>
      <c r="I2156" t="s">
        <v>17</v>
      </c>
      <c r="K2156" t="s">
        <v>5879</v>
      </c>
      <c r="L2156">
        <v>290</v>
      </c>
      <c r="M2156" t="s">
        <v>5880</v>
      </c>
    </row>
    <row r="2157" spans="1:13" x14ac:dyDescent="0.45">
      <c r="A2157" t="s">
        <v>13</v>
      </c>
      <c r="B2157">
        <v>2283521</v>
      </c>
      <c r="C2157">
        <v>2284099</v>
      </c>
      <c r="E2157" t="s">
        <v>96</v>
      </c>
      <c r="F2157" t="s">
        <v>5881</v>
      </c>
      <c r="H2157">
        <v>0</v>
      </c>
      <c r="I2157" t="s">
        <v>17</v>
      </c>
      <c r="K2157" t="s">
        <v>5882</v>
      </c>
      <c r="L2157">
        <v>192</v>
      </c>
      <c r="M2157" t="s">
        <v>5883</v>
      </c>
    </row>
    <row r="2158" spans="1:13" x14ac:dyDescent="0.45">
      <c r="A2158" t="s">
        <v>13</v>
      </c>
      <c r="B2158">
        <v>2284157</v>
      </c>
      <c r="C2158">
        <v>2284873</v>
      </c>
      <c r="E2158" t="s">
        <v>96</v>
      </c>
      <c r="F2158" t="s">
        <v>5884</v>
      </c>
      <c r="H2158">
        <v>0</v>
      </c>
      <c r="I2158" t="s">
        <v>17</v>
      </c>
      <c r="K2158" t="s">
        <v>5885</v>
      </c>
      <c r="L2158">
        <v>238</v>
      </c>
      <c r="M2158" t="s">
        <v>5886</v>
      </c>
    </row>
    <row r="2159" spans="1:13" x14ac:dyDescent="0.45">
      <c r="A2159" t="s">
        <v>13</v>
      </c>
      <c r="B2159">
        <v>2285064</v>
      </c>
      <c r="C2159">
        <v>2286149</v>
      </c>
      <c r="E2159" t="s">
        <v>14</v>
      </c>
      <c r="F2159" t="s">
        <v>2834</v>
      </c>
      <c r="H2159">
        <v>0</v>
      </c>
      <c r="I2159" t="s">
        <v>17</v>
      </c>
      <c r="K2159" t="s">
        <v>5887</v>
      </c>
      <c r="L2159">
        <v>361</v>
      </c>
      <c r="M2159" t="s">
        <v>5888</v>
      </c>
    </row>
    <row r="2160" spans="1:13" x14ac:dyDescent="0.45">
      <c r="A2160" t="s">
        <v>13</v>
      </c>
      <c r="B2160">
        <v>2286304</v>
      </c>
      <c r="C2160">
        <v>2286963</v>
      </c>
      <c r="E2160" t="s">
        <v>96</v>
      </c>
      <c r="F2160" t="s">
        <v>43</v>
      </c>
      <c r="H2160">
        <v>0</v>
      </c>
      <c r="I2160" t="s">
        <v>17</v>
      </c>
      <c r="K2160" t="s">
        <v>5889</v>
      </c>
      <c r="L2160">
        <v>219</v>
      </c>
      <c r="M2160" t="s">
        <v>5890</v>
      </c>
    </row>
    <row r="2161" spans="1:13" x14ac:dyDescent="0.45">
      <c r="A2161" t="s">
        <v>13</v>
      </c>
      <c r="B2161">
        <v>2287180</v>
      </c>
      <c r="C2161">
        <v>2288472</v>
      </c>
      <c r="E2161" t="s">
        <v>96</v>
      </c>
      <c r="F2161" t="s">
        <v>5891</v>
      </c>
      <c r="G2161" t="s">
        <v>5892</v>
      </c>
      <c r="H2161">
        <v>0</v>
      </c>
      <c r="I2161" t="s">
        <v>17</v>
      </c>
      <c r="K2161" t="s">
        <v>5893</v>
      </c>
      <c r="L2161">
        <v>430</v>
      </c>
      <c r="M2161" t="s">
        <v>5894</v>
      </c>
    </row>
    <row r="2162" spans="1:13" x14ac:dyDescent="0.45">
      <c r="A2162" t="s">
        <v>13</v>
      </c>
      <c r="B2162">
        <v>2288490</v>
      </c>
      <c r="C2162">
        <v>2289683</v>
      </c>
      <c r="E2162" t="s">
        <v>96</v>
      </c>
      <c r="F2162" t="s">
        <v>3619</v>
      </c>
      <c r="H2162">
        <v>0</v>
      </c>
      <c r="I2162" t="s">
        <v>17</v>
      </c>
      <c r="K2162" t="s">
        <v>5895</v>
      </c>
      <c r="L2162">
        <v>397</v>
      </c>
      <c r="M2162" t="s">
        <v>5896</v>
      </c>
    </row>
    <row r="2163" spans="1:13" x14ac:dyDescent="0.45">
      <c r="A2163" t="s">
        <v>13</v>
      </c>
      <c r="B2163">
        <v>2290044</v>
      </c>
      <c r="C2163">
        <v>2290661</v>
      </c>
      <c r="E2163" t="s">
        <v>96</v>
      </c>
      <c r="F2163" t="s">
        <v>43</v>
      </c>
      <c r="H2163">
        <v>0</v>
      </c>
      <c r="I2163" t="s">
        <v>17</v>
      </c>
      <c r="K2163" t="s">
        <v>5897</v>
      </c>
      <c r="L2163">
        <v>205</v>
      </c>
      <c r="M2163" t="s">
        <v>5898</v>
      </c>
    </row>
    <row r="2164" spans="1:13" x14ac:dyDescent="0.45">
      <c r="A2164" t="s">
        <v>13</v>
      </c>
      <c r="B2164">
        <v>2290831</v>
      </c>
      <c r="C2164">
        <v>2292531</v>
      </c>
      <c r="E2164" t="s">
        <v>96</v>
      </c>
      <c r="F2164" t="s">
        <v>43</v>
      </c>
      <c r="H2164">
        <v>0</v>
      </c>
      <c r="I2164" t="s">
        <v>17</v>
      </c>
      <c r="K2164" t="s">
        <v>5899</v>
      </c>
      <c r="L2164">
        <v>566</v>
      </c>
      <c r="M2164" t="s">
        <v>5900</v>
      </c>
    </row>
    <row r="2165" spans="1:13" x14ac:dyDescent="0.45">
      <c r="A2165" t="s">
        <v>13</v>
      </c>
      <c r="B2165">
        <v>2292928</v>
      </c>
      <c r="C2165">
        <v>2293491</v>
      </c>
      <c r="E2165" t="s">
        <v>96</v>
      </c>
      <c r="F2165" t="s">
        <v>43</v>
      </c>
      <c r="H2165">
        <v>0</v>
      </c>
      <c r="I2165" t="s">
        <v>17</v>
      </c>
      <c r="K2165" t="s">
        <v>5901</v>
      </c>
      <c r="L2165">
        <v>187</v>
      </c>
      <c r="M2165" t="s">
        <v>5902</v>
      </c>
    </row>
    <row r="2166" spans="1:13" x14ac:dyDescent="0.45">
      <c r="A2166" t="s">
        <v>13</v>
      </c>
      <c r="B2166">
        <v>2293650</v>
      </c>
      <c r="C2166">
        <v>2294363</v>
      </c>
      <c r="E2166" t="s">
        <v>96</v>
      </c>
      <c r="F2166" t="s">
        <v>43</v>
      </c>
      <c r="H2166">
        <v>0</v>
      </c>
      <c r="I2166" t="s">
        <v>17</v>
      </c>
      <c r="K2166" t="s">
        <v>5903</v>
      </c>
      <c r="L2166">
        <v>237</v>
      </c>
      <c r="M2166" t="s">
        <v>5904</v>
      </c>
    </row>
    <row r="2167" spans="1:13" x14ac:dyDescent="0.45">
      <c r="A2167" t="s">
        <v>13</v>
      </c>
      <c r="B2167">
        <v>2294655</v>
      </c>
      <c r="C2167">
        <v>2296319</v>
      </c>
      <c r="E2167" t="s">
        <v>14</v>
      </c>
      <c r="F2167" t="s">
        <v>5905</v>
      </c>
      <c r="H2167">
        <v>0</v>
      </c>
      <c r="I2167" t="s">
        <v>17</v>
      </c>
      <c r="K2167" t="s">
        <v>5906</v>
      </c>
      <c r="L2167">
        <v>554</v>
      </c>
      <c r="M2167" t="s">
        <v>5907</v>
      </c>
    </row>
    <row r="2168" spans="1:13" x14ac:dyDescent="0.45">
      <c r="A2168" t="s">
        <v>13</v>
      </c>
      <c r="B2168">
        <v>2296426</v>
      </c>
      <c r="C2168">
        <v>2297325</v>
      </c>
      <c r="E2168" t="s">
        <v>96</v>
      </c>
      <c r="F2168" t="s">
        <v>5908</v>
      </c>
      <c r="H2168">
        <v>0</v>
      </c>
      <c r="I2168" t="s">
        <v>17</v>
      </c>
      <c r="K2168" t="s">
        <v>5909</v>
      </c>
      <c r="L2168">
        <v>299</v>
      </c>
      <c r="M2168" t="s">
        <v>5910</v>
      </c>
    </row>
    <row r="2169" spans="1:13" x14ac:dyDescent="0.45">
      <c r="A2169" t="s">
        <v>13</v>
      </c>
      <c r="B2169">
        <v>2297352</v>
      </c>
      <c r="C2169">
        <v>2297990</v>
      </c>
      <c r="E2169" t="s">
        <v>96</v>
      </c>
      <c r="F2169" t="s">
        <v>4155</v>
      </c>
      <c r="H2169">
        <v>0</v>
      </c>
      <c r="I2169" t="s">
        <v>17</v>
      </c>
      <c r="K2169" t="s">
        <v>5911</v>
      </c>
      <c r="L2169">
        <v>212</v>
      </c>
      <c r="M2169" t="s">
        <v>5912</v>
      </c>
    </row>
    <row r="2170" spans="1:13" x14ac:dyDescent="0.45">
      <c r="A2170" t="s">
        <v>13</v>
      </c>
      <c r="B2170">
        <v>2298326</v>
      </c>
      <c r="C2170">
        <v>2299324</v>
      </c>
      <c r="E2170" t="s">
        <v>96</v>
      </c>
      <c r="F2170" t="s">
        <v>5913</v>
      </c>
      <c r="H2170">
        <v>0</v>
      </c>
      <c r="I2170" t="s">
        <v>17</v>
      </c>
      <c r="K2170" t="s">
        <v>5914</v>
      </c>
      <c r="L2170">
        <v>332</v>
      </c>
      <c r="M2170" t="s">
        <v>5915</v>
      </c>
    </row>
    <row r="2171" spans="1:13" x14ac:dyDescent="0.45">
      <c r="A2171" t="s">
        <v>13</v>
      </c>
      <c r="B2171">
        <v>2299422</v>
      </c>
      <c r="C2171">
        <v>2299997</v>
      </c>
      <c r="E2171" t="s">
        <v>96</v>
      </c>
      <c r="F2171" t="s">
        <v>43</v>
      </c>
      <c r="H2171">
        <v>0</v>
      </c>
      <c r="I2171" t="s">
        <v>17</v>
      </c>
      <c r="K2171" t="s">
        <v>5916</v>
      </c>
      <c r="L2171">
        <v>191</v>
      </c>
      <c r="M2171" t="s">
        <v>5917</v>
      </c>
    </row>
    <row r="2172" spans="1:13" x14ac:dyDescent="0.45">
      <c r="A2172" t="s">
        <v>13</v>
      </c>
      <c r="B2172">
        <v>2300313</v>
      </c>
      <c r="C2172">
        <v>2300576</v>
      </c>
      <c r="E2172" t="s">
        <v>14</v>
      </c>
      <c r="F2172" t="s">
        <v>43</v>
      </c>
      <c r="H2172">
        <v>0</v>
      </c>
      <c r="I2172" t="s">
        <v>17</v>
      </c>
      <c r="K2172" t="s">
        <v>5918</v>
      </c>
      <c r="L2172">
        <v>87</v>
      </c>
      <c r="M2172" t="s">
        <v>5919</v>
      </c>
    </row>
    <row r="2173" spans="1:13" x14ac:dyDescent="0.45">
      <c r="A2173" t="s">
        <v>13</v>
      </c>
      <c r="B2173">
        <v>2301005</v>
      </c>
      <c r="C2173">
        <v>2301382</v>
      </c>
      <c r="E2173" t="s">
        <v>96</v>
      </c>
      <c r="F2173" t="s">
        <v>1479</v>
      </c>
      <c r="H2173">
        <v>0</v>
      </c>
      <c r="I2173" t="s">
        <v>17</v>
      </c>
      <c r="K2173" t="s">
        <v>5920</v>
      </c>
      <c r="L2173">
        <v>125</v>
      </c>
      <c r="M2173" t="s">
        <v>5921</v>
      </c>
    </row>
    <row r="2174" spans="1:13" x14ac:dyDescent="0.45">
      <c r="A2174" t="s">
        <v>13</v>
      </c>
      <c r="B2174">
        <v>2301723</v>
      </c>
      <c r="C2174">
        <v>2302835</v>
      </c>
      <c r="E2174" t="s">
        <v>14</v>
      </c>
      <c r="F2174" t="s">
        <v>3130</v>
      </c>
      <c r="H2174">
        <v>0</v>
      </c>
      <c r="I2174" t="s">
        <v>17</v>
      </c>
      <c r="K2174" t="s">
        <v>5922</v>
      </c>
      <c r="L2174">
        <v>370</v>
      </c>
      <c r="M2174" t="s">
        <v>5923</v>
      </c>
    </row>
    <row r="2175" spans="1:13" x14ac:dyDescent="0.45">
      <c r="A2175" t="s">
        <v>13</v>
      </c>
      <c r="B2175">
        <v>2303043</v>
      </c>
      <c r="C2175">
        <v>2303519</v>
      </c>
      <c r="E2175" t="s">
        <v>96</v>
      </c>
      <c r="F2175" t="s">
        <v>43</v>
      </c>
      <c r="H2175">
        <v>0</v>
      </c>
      <c r="I2175" t="s">
        <v>17</v>
      </c>
      <c r="K2175" t="s">
        <v>5924</v>
      </c>
      <c r="L2175">
        <v>158</v>
      </c>
      <c r="M2175" t="s">
        <v>5925</v>
      </c>
    </row>
    <row r="2176" spans="1:13" x14ac:dyDescent="0.45">
      <c r="A2176" t="s">
        <v>13</v>
      </c>
      <c r="B2176">
        <v>2303718</v>
      </c>
      <c r="C2176">
        <v>2305343</v>
      </c>
      <c r="E2176" t="s">
        <v>96</v>
      </c>
      <c r="F2176" t="s">
        <v>732</v>
      </c>
      <c r="H2176">
        <v>0</v>
      </c>
      <c r="I2176" t="s">
        <v>17</v>
      </c>
      <c r="K2176" t="s">
        <v>5926</v>
      </c>
      <c r="L2176">
        <v>541</v>
      </c>
      <c r="M2176" t="s">
        <v>5927</v>
      </c>
    </row>
    <row r="2177" spans="1:13" x14ac:dyDescent="0.45">
      <c r="A2177" t="s">
        <v>13</v>
      </c>
      <c r="B2177">
        <v>2305681</v>
      </c>
      <c r="C2177">
        <v>2306700</v>
      </c>
      <c r="E2177" t="s">
        <v>96</v>
      </c>
      <c r="F2177" t="s">
        <v>5928</v>
      </c>
      <c r="H2177">
        <v>0</v>
      </c>
      <c r="I2177" t="s">
        <v>17</v>
      </c>
      <c r="K2177" t="s">
        <v>5929</v>
      </c>
      <c r="L2177">
        <v>339</v>
      </c>
      <c r="M2177" t="s">
        <v>5930</v>
      </c>
    </row>
    <row r="2178" spans="1:13" x14ac:dyDescent="0.45">
      <c r="A2178" t="s">
        <v>13</v>
      </c>
      <c r="B2178">
        <v>2306697</v>
      </c>
      <c r="C2178">
        <v>2307266</v>
      </c>
      <c r="E2178" t="s">
        <v>96</v>
      </c>
      <c r="F2178" t="s">
        <v>5931</v>
      </c>
      <c r="G2178" t="s">
        <v>5932</v>
      </c>
      <c r="H2178">
        <v>0</v>
      </c>
      <c r="I2178" t="s">
        <v>17</v>
      </c>
      <c r="K2178" t="s">
        <v>5933</v>
      </c>
      <c r="L2178">
        <v>189</v>
      </c>
      <c r="M2178" t="s">
        <v>5934</v>
      </c>
    </row>
    <row r="2179" spans="1:13" x14ac:dyDescent="0.45">
      <c r="A2179" t="s">
        <v>13</v>
      </c>
      <c r="B2179">
        <v>2307373</v>
      </c>
      <c r="C2179">
        <v>2308095</v>
      </c>
      <c r="E2179" t="s">
        <v>96</v>
      </c>
      <c r="F2179" t="s">
        <v>5935</v>
      </c>
      <c r="G2179" t="s">
        <v>5936</v>
      </c>
      <c r="H2179">
        <v>0</v>
      </c>
      <c r="I2179" t="s">
        <v>17</v>
      </c>
      <c r="K2179" t="s">
        <v>5937</v>
      </c>
      <c r="L2179">
        <v>240</v>
      </c>
      <c r="M2179" t="s">
        <v>5938</v>
      </c>
    </row>
    <row r="2180" spans="1:13" x14ac:dyDescent="0.45">
      <c r="A2180" t="s">
        <v>13</v>
      </c>
      <c r="B2180">
        <v>2308278</v>
      </c>
      <c r="C2180">
        <v>2309555</v>
      </c>
      <c r="E2180" t="s">
        <v>96</v>
      </c>
      <c r="F2180" t="s">
        <v>5939</v>
      </c>
      <c r="H2180">
        <v>0</v>
      </c>
      <c r="I2180" t="s">
        <v>17</v>
      </c>
      <c r="K2180" t="s">
        <v>5940</v>
      </c>
      <c r="L2180">
        <v>425</v>
      </c>
      <c r="M2180" t="s">
        <v>5941</v>
      </c>
    </row>
    <row r="2181" spans="1:13" x14ac:dyDescent="0.45">
      <c r="A2181" t="s">
        <v>13</v>
      </c>
      <c r="B2181">
        <v>2309694</v>
      </c>
      <c r="C2181">
        <v>2312000</v>
      </c>
      <c r="E2181" t="s">
        <v>96</v>
      </c>
      <c r="F2181" t="s">
        <v>5942</v>
      </c>
      <c r="H2181">
        <v>0</v>
      </c>
      <c r="I2181" t="s">
        <v>17</v>
      </c>
      <c r="K2181" t="s">
        <v>5943</v>
      </c>
      <c r="L2181">
        <v>768</v>
      </c>
      <c r="M2181" t="s">
        <v>5944</v>
      </c>
    </row>
    <row r="2182" spans="1:13" x14ac:dyDescent="0.45">
      <c r="A2182" t="s">
        <v>13</v>
      </c>
      <c r="B2182">
        <v>2311993</v>
      </c>
      <c r="C2182">
        <v>2312787</v>
      </c>
      <c r="E2182" t="s">
        <v>96</v>
      </c>
      <c r="F2182" t="s">
        <v>5945</v>
      </c>
      <c r="H2182">
        <v>0</v>
      </c>
      <c r="I2182" t="s">
        <v>17</v>
      </c>
      <c r="K2182" t="s">
        <v>5946</v>
      </c>
      <c r="L2182">
        <v>264</v>
      </c>
      <c r="M2182" t="s">
        <v>5947</v>
      </c>
    </row>
    <row r="2183" spans="1:13" x14ac:dyDescent="0.45">
      <c r="A2183" t="s">
        <v>13</v>
      </c>
      <c r="B2183">
        <v>2312893</v>
      </c>
      <c r="C2183">
        <v>2314251</v>
      </c>
      <c r="E2183" t="s">
        <v>96</v>
      </c>
      <c r="F2183" t="s">
        <v>5948</v>
      </c>
      <c r="H2183">
        <v>0</v>
      </c>
      <c r="I2183" t="s">
        <v>17</v>
      </c>
      <c r="K2183" t="s">
        <v>5949</v>
      </c>
      <c r="L2183">
        <v>452</v>
      </c>
      <c r="M2183" t="s">
        <v>5950</v>
      </c>
    </row>
    <row r="2184" spans="1:13" x14ac:dyDescent="0.45">
      <c r="A2184" t="s">
        <v>13</v>
      </c>
      <c r="B2184">
        <v>2315598</v>
      </c>
      <c r="C2184">
        <v>2316683</v>
      </c>
      <c r="E2184" t="s">
        <v>96</v>
      </c>
      <c r="F2184" t="s">
        <v>43</v>
      </c>
      <c r="H2184">
        <v>0</v>
      </c>
      <c r="I2184" t="s">
        <v>17</v>
      </c>
      <c r="K2184" t="s">
        <v>5951</v>
      </c>
      <c r="L2184">
        <v>361</v>
      </c>
      <c r="M2184" t="s">
        <v>5952</v>
      </c>
    </row>
    <row r="2185" spans="1:13" x14ac:dyDescent="0.45">
      <c r="A2185" t="s">
        <v>13</v>
      </c>
      <c r="B2185">
        <v>2316919</v>
      </c>
      <c r="C2185">
        <v>2318004</v>
      </c>
      <c r="E2185" t="s">
        <v>96</v>
      </c>
      <c r="F2185" t="s">
        <v>782</v>
      </c>
      <c r="H2185">
        <v>0</v>
      </c>
      <c r="I2185" t="s">
        <v>17</v>
      </c>
      <c r="K2185" t="s">
        <v>5953</v>
      </c>
      <c r="L2185">
        <v>361</v>
      </c>
      <c r="M2185" t="s">
        <v>5954</v>
      </c>
    </row>
    <row r="2186" spans="1:13" x14ac:dyDescent="0.45">
      <c r="A2186" t="s">
        <v>13</v>
      </c>
      <c r="B2186">
        <v>2318040</v>
      </c>
      <c r="C2186">
        <v>2319353</v>
      </c>
      <c r="E2186" t="s">
        <v>96</v>
      </c>
      <c r="F2186" t="s">
        <v>4755</v>
      </c>
      <c r="H2186">
        <v>0</v>
      </c>
      <c r="I2186" t="s">
        <v>17</v>
      </c>
      <c r="K2186" t="s">
        <v>5955</v>
      </c>
      <c r="L2186">
        <v>437</v>
      </c>
      <c r="M2186" t="s">
        <v>5956</v>
      </c>
    </row>
    <row r="2187" spans="1:13" x14ac:dyDescent="0.45">
      <c r="A2187" t="s">
        <v>13</v>
      </c>
      <c r="B2187">
        <v>2319354</v>
      </c>
      <c r="C2187">
        <v>2321645</v>
      </c>
      <c r="E2187" t="s">
        <v>96</v>
      </c>
      <c r="F2187" t="s">
        <v>5942</v>
      </c>
      <c r="H2187">
        <v>0</v>
      </c>
      <c r="I2187" t="s">
        <v>17</v>
      </c>
      <c r="K2187" t="s">
        <v>5957</v>
      </c>
      <c r="L2187">
        <v>763</v>
      </c>
      <c r="M2187" t="s">
        <v>5958</v>
      </c>
    </row>
    <row r="2188" spans="1:13" x14ac:dyDescent="0.45">
      <c r="A2188" t="s">
        <v>13</v>
      </c>
      <c r="B2188">
        <v>2321635</v>
      </c>
      <c r="C2188">
        <v>2322429</v>
      </c>
      <c r="E2188" t="s">
        <v>96</v>
      </c>
      <c r="F2188" t="s">
        <v>5945</v>
      </c>
      <c r="H2188">
        <v>0</v>
      </c>
      <c r="I2188" t="s">
        <v>17</v>
      </c>
      <c r="K2188" t="s">
        <v>5959</v>
      </c>
      <c r="L2188">
        <v>264</v>
      </c>
      <c r="M2188" t="s">
        <v>5960</v>
      </c>
    </row>
    <row r="2189" spans="1:13" x14ac:dyDescent="0.45">
      <c r="A2189" t="s">
        <v>13</v>
      </c>
      <c r="B2189">
        <v>2322468</v>
      </c>
      <c r="C2189">
        <v>2322914</v>
      </c>
      <c r="E2189" t="s">
        <v>96</v>
      </c>
      <c r="F2189" t="s">
        <v>5961</v>
      </c>
      <c r="H2189">
        <v>0</v>
      </c>
      <c r="I2189" t="s">
        <v>17</v>
      </c>
      <c r="K2189" t="s">
        <v>5962</v>
      </c>
      <c r="L2189">
        <v>148</v>
      </c>
      <c r="M2189" t="s">
        <v>5963</v>
      </c>
    </row>
    <row r="2190" spans="1:13" x14ac:dyDescent="0.45">
      <c r="A2190" t="s">
        <v>13</v>
      </c>
      <c r="B2190">
        <v>2322986</v>
      </c>
      <c r="C2190">
        <v>2324392</v>
      </c>
      <c r="E2190" t="s">
        <v>96</v>
      </c>
      <c r="F2190" t="s">
        <v>4755</v>
      </c>
      <c r="H2190">
        <v>0</v>
      </c>
      <c r="I2190" t="s">
        <v>17</v>
      </c>
      <c r="K2190" t="s">
        <v>5964</v>
      </c>
      <c r="L2190">
        <v>468</v>
      </c>
      <c r="M2190" t="s">
        <v>5965</v>
      </c>
    </row>
    <row r="2191" spans="1:13" x14ac:dyDescent="0.45">
      <c r="A2191" t="s">
        <v>13</v>
      </c>
      <c r="B2191">
        <v>2324410</v>
      </c>
      <c r="C2191">
        <v>2325780</v>
      </c>
      <c r="E2191" t="s">
        <v>96</v>
      </c>
      <c r="F2191" t="s">
        <v>5966</v>
      </c>
      <c r="G2191" t="s">
        <v>5967</v>
      </c>
      <c r="H2191">
        <v>0</v>
      </c>
      <c r="I2191" t="s">
        <v>17</v>
      </c>
      <c r="K2191" t="s">
        <v>5968</v>
      </c>
      <c r="L2191">
        <v>456</v>
      </c>
      <c r="M2191" t="s">
        <v>5969</v>
      </c>
    </row>
    <row r="2192" spans="1:13" x14ac:dyDescent="0.45">
      <c r="A2192" t="s">
        <v>13</v>
      </c>
      <c r="B2192">
        <v>2325913</v>
      </c>
      <c r="C2192">
        <v>2327100</v>
      </c>
      <c r="E2192" t="s">
        <v>96</v>
      </c>
      <c r="F2192" t="s">
        <v>5970</v>
      </c>
      <c r="H2192">
        <v>0</v>
      </c>
      <c r="I2192" t="s">
        <v>17</v>
      </c>
      <c r="K2192" t="s">
        <v>5971</v>
      </c>
      <c r="L2192">
        <v>395</v>
      </c>
      <c r="M2192" t="s">
        <v>5972</v>
      </c>
    </row>
    <row r="2193" spans="1:13" x14ac:dyDescent="0.45">
      <c r="A2193" t="s">
        <v>13</v>
      </c>
      <c r="B2193">
        <v>2327227</v>
      </c>
      <c r="C2193">
        <v>2328441</v>
      </c>
      <c r="E2193" t="s">
        <v>96</v>
      </c>
      <c r="F2193" t="s">
        <v>5973</v>
      </c>
      <c r="G2193" t="s">
        <v>5974</v>
      </c>
      <c r="H2193">
        <v>0</v>
      </c>
      <c r="I2193" t="s">
        <v>17</v>
      </c>
      <c r="K2193" t="s">
        <v>5975</v>
      </c>
      <c r="L2193">
        <v>404</v>
      </c>
      <c r="M2193" t="s">
        <v>5976</v>
      </c>
    </row>
    <row r="2194" spans="1:13" x14ac:dyDescent="0.45">
      <c r="A2194" t="s">
        <v>13</v>
      </c>
      <c r="B2194">
        <v>2328804</v>
      </c>
      <c r="C2194">
        <v>2329475</v>
      </c>
      <c r="E2194" t="s">
        <v>96</v>
      </c>
      <c r="F2194" t="s">
        <v>1482</v>
      </c>
      <c r="H2194">
        <v>0</v>
      </c>
      <c r="I2194" t="s">
        <v>17</v>
      </c>
      <c r="K2194" t="s">
        <v>5977</v>
      </c>
      <c r="L2194">
        <v>223</v>
      </c>
      <c r="M2194" t="s">
        <v>5978</v>
      </c>
    </row>
    <row r="2195" spans="1:13" x14ac:dyDescent="0.45">
      <c r="A2195" t="s">
        <v>13</v>
      </c>
      <c r="B2195">
        <v>2329558</v>
      </c>
      <c r="C2195">
        <v>2331774</v>
      </c>
      <c r="E2195" t="s">
        <v>96</v>
      </c>
      <c r="F2195" t="s">
        <v>5942</v>
      </c>
      <c r="H2195">
        <v>0</v>
      </c>
      <c r="I2195" t="s">
        <v>17</v>
      </c>
      <c r="K2195" t="s">
        <v>5979</v>
      </c>
      <c r="L2195">
        <v>738</v>
      </c>
      <c r="M2195" t="s">
        <v>5980</v>
      </c>
    </row>
    <row r="2196" spans="1:13" x14ac:dyDescent="0.45">
      <c r="A2196" t="s">
        <v>13</v>
      </c>
      <c r="B2196">
        <v>2331777</v>
      </c>
      <c r="C2196">
        <v>2332247</v>
      </c>
      <c r="E2196" t="s">
        <v>96</v>
      </c>
      <c r="F2196" t="s">
        <v>5961</v>
      </c>
      <c r="H2196">
        <v>0</v>
      </c>
      <c r="I2196" t="s">
        <v>17</v>
      </c>
      <c r="K2196" t="s">
        <v>5981</v>
      </c>
      <c r="L2196">
        <v>156</v>
      </c>
      <c r="M2196" t="s">
        <v>5982</v>
      </c>
    </row>
    <row r="2197" spans="1:13" x14ac:dyDescent="0.45">
      <c r="A2197" t="s">
        <v>13</v>
      </c>
      <c r="B2197">
        <v>2332309</v>
      </c>
      <c r="C2197">
        <v>2333703</v>
      </c>
      <c r="E2197" t="s">
        <v>96</v>
      </c>
      <c r="F2197" t="s">
        <v>4755</v>
      </c>
      <c r="H2197">
        <v>0</v>
      </c>
      <c r="I2197" t="s">
        <v>17</v>
      </c>
      <c r="K2197" t="s">
        <v>5983</v>
      </c>
      <c r="L2197">
        <v>464</v>
      </c>
      <c r="M2197" t="s">
        <v>5984</v>
      </c>
    </row>
    <row r="2198" spans="1:13" x14ac:dyDescent="0.45">
      <c r="A2198" t="s">
        <v>13</v>
      </c>
      <c r="B2198">
        <v>2333776</v>
      </c>
      <c r="C2198">
        <v>2335137</v>
      </c>
      <c r="E2198" t="s">
        <v>96</v>
      </c>
      <c r="F2198" t="s">
        <v>5948</v>
      </c>
      <c r="H2198">
        <v>0</v>
      </c>
      <c r="I2198" t="s">
        <v>17</v>
      </c>
      <c r="K2198" t="s">
        <v>5985</v>
      </c>
      <c r="L2198">
        <v>453</v>
      </c>
      <c r="M2198" t="s">
        <v>5986</v>
      </c>
    </row>
    <row r="2199" spans="1:13" x14ac:dyDescent="0.45">
      <c r="A2199" t="s">
        <v>13</v>
      </c>
      <c r="B2199">
        <v>2335435</v>
      </c>
      <c r="C2199">
        <v>2336757</v>
      </c>
      <c r="E2199" t="s">
        <v>96</v>
      </c>
      <c r="F2199" t="s">
        <v>5948</v>
      </c>
      <c r="H2199">
        <v>0</v>
      </c>
      <c r="I2199" t="s">
        <v>17</v>
      </c>
      <c r="K2199" t="s">
        <v>5987</v>
      </c>
      <c r="L2199">
        <v>440</v>
      </c>
      <c r="M2199" t="s">
        <v>5988</v>
      </c>
    </row>
    <row r="2200" spans="1:13" x14ac:dyDescent="0.45">
      <c r="A2200" t="s">
        <v>13</v>
      </c>
      <c r="B2200">
        <v>2337113</v>
      </c>
      <c r="C2200">
        <v>2338153</v>
      </c>
      <c r="E2200" t="s">
        <v>96</v>
      </c>
      <c r="F2200" t="s">
        <v>723</v>
      </c>
      <c r="H2200">
        <v>0</v>
      </c>
      <c r="I2200" t="s">
        <v>17</v>
      </c>
      <c r="K2200" t="s">
        <v>5989</v>
      </c>
      <c r="L2200">
        <v>346</v>
      </c>
      <c r="M2200" t="s">
        <v>5990</v>
      </c>
    </row>
    <row r="2201" spans="1:13" x14ac:dyDescent="0.45">
      <c r="A2201" t="s">
        <v>13</v>
      </c>
      <c r="B2201">
        <v>2338480</v>
      </c>
      <c r="C2201">
        <v>2339748</v>
      </c>
      <c r="E2201" t="s">
        <v>96</v>
      </c>
      <c r="F2201" t="s">
        <v>5991</v>
      </c>
      <c r="H2201">
        <v>0</v>
      </c>
      <c r="I2201" t="s">
        <v>17</v>
      </c>
      <c r="K2201" t="s">
        <v>5992</v>
      </c>
      <c r="L2201">
        <v>422</v>
      </c>
      <c r="M2201" t="s">
        <v>5993</v>
      </c>
    </row>
    <row r="2202" spans="1:13" x14ac:dyDescent="0.45">
      <c r="A2202" t="s">
        <v>13</v>
      </c>
      <c r="B2202">
        <v>2339741</v>
      </c>
      <c r="C2202">
        <v>2341675</v>
      </c>
      <c r="E2202" t="s">
        <v>96</v>
      </c>
      <c r="F2202" t="s">
        <v>5994</v>
      </c>
      <c r="H2202">
        <v>0</v>
      </c>
      <c r="I2202" t="s">
        <v>17</v>
      </c>
      <c r="K2202" t="s">
        <v>5995</v>
      </c>
      <c r="L2202">
        <v>644</v>
      </c>
      <c r="M2202" t="s">
        <v>5996</v>
      </c>
    </row>
    <row r="2203" spans="1:13" x14ac:dyDescent="0.45">
      <c r="A2203" t="s">
        <v>13</v>
      </c>
      <c r="B2203">
        <v>2341704</v>
      </c>
      <c r="C2203">
        <v>2342426</v>
      </c>
      <c r="E2203" t="s">
        <v>96</v>
      </c>
      <c r="F2203" t="s">
        <v>5997</v>
      </c>
      <c r="H2203">
        <v>0</v>
      </c>
      <c r="I2203" t="s">
        <v>17</v>
      </c>
      <c r="K2203" t="s">
        <v>5998</v>
      </c>
      <c r="L2203">
        <v>240</v>
      </c>
      <c r="M2203" t="s">
        <v>5999</v>
      </c>
    </row>
    <row r="2204" spans="1:13" x14ac:dyDescent="0.45">
      <c r="A2204" t="s">
        <v>13</v>
      </c>
      <c r="B2204">
        <v>2342476</v>
      </c>
      <c r="C2204">
        <v>2343462</v>
      </c>
      <c r="E2204" t="s">
        <v>96</v>
      </c>
      <c r="F2204" t="s">
        <v>1432</v>
      </c>
      <c r="H2204">
        <v>0</v>
      </c>
      <c r="I2204" t="s">
        <v>17</v>
      </c>
      <c r="K2204" t="s">
        <v>6000</v>
      </c>
      <c r="L2204">
        <v>328</v>
      </c>
      <c r="M2204" t="s">
        <v>6001</v>
      </c>
    </row>
    <row r="2205" spans="1:13" x14ac:dyDescent="0.45">
      <c r="A2205" t="s">
        <v>13</v>
      </c>
      <c r="B2205">
        <v>2343519</v>
      </c>
      <c r="C2205">
        <v>2344019</v>
      </c>
      <c r="E2205" t="s">
        <v>96</v>
      </c>
      <c r="F2205" t="s">
        <v>6002</v>
      </c>
      <c r="H2205">
        <v>0</v>
      </c>
      <c r="I2205" t="s">
        <v>17</v>
      </c>
      <c r="K2205" t="s">
        <v>6003</v>
      </c>
      <c r="L2205">
        <v>166</v>
      </c>
      <c r="M2205" t="s">
        <v>6004</v>
      </c>
    </row>
    <row r="2206" spans="1:13" x14ac:dyDescent="0.45">
      <c r="A2206" t="s">
        <v>13</v>
      </c>
      <c r="B2206">
        <v>2344305</v>
      </c>
      <c r="C2206">
        <v>2344616</v>
      </c>
      <c r="E2206" t="s">
        <v>96</v>
      </c>
      <c r="F2206" t="s">
        <v>43</v>
      </c>
      <c r="H2206">
        <v>0</v>
      </c>
      <c r="I2206" t="s">
        <v>17</v>
      </c>
      <c r="K2206" t="s">
        <v>6005</v>
      </c>
      <c r="L2206">
        <v>103</v>
      </c>
      <c r="M2206" t="s">
        <v>6006</v>
      </c>
    </row>
    <row r="2207" spans="1:13" x14ac:dyDescent="0.45">
      <c r="A2207" t="s">
        <v>13</v>
      </c>
      <c r="B2207">
        <v>2344756</v>
      </c>
      <c r="C2207">
        <v>2347020</v>
      </c>
      <c r="E2207" t="s">
        <v>96</v>
      </c>
      <c r="F2207" t="s">
        <v>5942</v>
      </c>
      <c r="H2207">
        <v>0</v>
      </c>
      <c r="I2207" t="s">
        <v>17</v>
      </c>
      <c r="K2207" t="s">
        <v>6007</v>
      </c>
      <c r="L2207">
        <v>754</v>
      </c>
      <c r="M2207" t="s">
        <v>6008</v>
      </c>
    </row>
    <row r="2208" spans="1:13" x14ac:dyDescent="0.45">
      <c r="A2208" t="s">
        <v>13</v>
      </c>
      <c r="B2208">
        <v>2347024</v>
      </c>
      <c r="C2208">
        <v>2347473</v>
      </c>
      <c r="E2208" t="s">
        <v>96</v>
      </c>
      <c r="F2208" t="s">
        <v>5961</v>
      </c>
      <c r="H2208">
        <v>0</v>
      </c>
      <c r="I2208" t="s">
        <v>17</v>
      </c>
      <c r="K2208" t="s">
        <v>6009</v>
      </c>
      <c r="L2208">
        <v>149</v>
      </c>
      <c r="M2208" t="s">
        <v>6010</v>
      </c>
    </row>
    <row r="2209" spans="1:13" x14ac:dyDescent="0.45">
      <c r="A2209" t="s">
        <v>13</v>
      </c>
      <c r="B2209">
        <v>2347473</v>
      </c>
      <c r="C2209">
        <v>2348261</v>
      </c>
      <c r="E2209" t="s">
        <v>96</v>
      </c>
      <c r="F2209" t="s">
        <v>5945</v>
      </c>
      <c r="H2209">
        <v>0</v>
      </c>
      <c r="I2209" t="s">
        <v>17</v>
      </c>
      <c r="K2209" t="s">
        <v>6011</v>
      </c>
      <c r="L2209">
        <v>262</v>
      </c>
      <c r="M2209" t="s">
        <v>6012</v>
      </c>
    </row>
    <row r="2210" spans="1:13" x14ac:dyDescent="0.45">
      <c r="A2210" t="s">
        <v>13</v>
      </c>
      <c r="B2210">
        <v>2348456</v>
      </c>
      <c r="C2210">
        <v>2349724</v>
      </c>
      <c r="E2210" t="s">
        <v>96</v>
      </c>
      <c r="F2210" t="s">
        <v>1932</v>
      </c>
      <c r="H2210">
        <v>0</v>
      </c>
      <c r="I2210" t="s">
        <v>17</v>
      </c>
      <c r="K2210" t="s">
        <v>6013</v>
      </c>
      <c r="L2210">
        <v>422</v>
      </c>
      <c r="M2210" t="s">
        <v>6014</v>
      </c>
    </row>
    <row r="2211" spans="1:13" x14ac:dyDescent="0.45">
      <c r="A2211" t="s">
        <v>13</v>
      </c>
      <c r="B2211">
        <v>2350065</v>
      </c>
      <c r="C2211">
        <v>2350226</v>
      </c>
      <c r="E2211" t="s">
        <v>96</v>
      </c>
      <c r="F2211" t="s">
        <v>43</v>
      </c>
      <c r="H2211">
        <v>0</v>
      </c>
      <c r="I2211" t="s">
        <v>17</v>
      </c>
      <c r="K2211" t="s">
        <v>6015</v>
      </c>
      <c r="L2211">
        <v>53</v>
      </c>
      <c r="M2211" t="s">
        <v>6016</v>
      </c>
    </row>
    <row r="2212" spans="1:13" x14ac:dyDescent="0.45">
      <c r="A2212" t="s">
        <v>13</v>
      </c>
      <c r="B2212">
        <v>2350375</v>
      </c>
      <c r="C2212">
        <v>2351457</v>
      </c>
      <c r="E2212" t="s">
        <v>96</v>
      </c>
      <c r="F2212" t="s">
        <v>6017</v>
      </c>
      <c r="H2212">
        <v>0</v>
      </c>
      <c r="I2212" t="s">
        <v>17</v>
      </c>
      <c r="K2212" t="s">
        <v>6018</v>
      </c>
      <c r="L2212">
        <v>360</v>
      </c>
      <c r="M2212" t="s">
        <v>6019</v>
      </c>
    </row>
    <row r="2213" spans="1:13" x14ac:dyDescent="0.45">
      <c r="A2213" t="s">
        <v>13</v>
      </c>
      <c r="B2213">
        <v>2351560</v>
      </c>
      <c r="C2213">
        <v>2353155</v>
      </c>
      <c r="E2213" t="s">
        <v>96</v>
      </c>
      <c r="F2213" t="s">
        <v>6020</v>
      </c>
      <c r="H2213">
        <v>0</v>
      </c>
      <c r="I2213" t="s">
        <v>17</v>
      </c>
      <c r="K2213" t="s">
        <v>6021</v>
      </c>
      <c r="L2213">
        <v>531</v>
      </c>
      <c r="M2213" t="s">
        <v>6022</v>
      </c>
    </row>
    <row r="2214" spans="1:13" x14ac:dyDescent="0.45">
      <c r="A2214" t="s">
        <v>13</v>
      </c>
      <c r="B2214">
        <v>2353202</v>
      </c>
      <c r="C2214">
        <v>2353909</v>
      </c>
      <c r="E2214" t="s">
        <v>96</v>
      </c>
      <c r="F2214" t="s">
        <v>1140</v>
      </c>
      <c r="H2214">
        <v>0</v>
      </c>
      <c r="I2214" t="s">
        <v>17</v>
      </c>
      <c r="K2214" t="s">
        <v>6023</v>
      </c>
      <c r="L2214">
        <v>235</v>
      </c>
      <c r="M2214" t="s">
        <v>6024</v>
      </c>
    </row>
    <row r="2215" spans="1:13" x14ac:dyDescent="0.45">
      <c r="A2215" t="s">
        <v>13</v>
      </c>
      <c r="B2215">
        <v>2354161</v>
      </c>
      <c r="C2215">
        <v>2355306</v>
      </c>
      <c r="E2215" t="s">
        <v>14</v>
      </c>
      <c r="F2215" t="s">
        <v>2257</v>
      </c>
      <c r="H2215">
        <v>0</v>
      </c>
      <c r="I2215" t="s">
        <v>17</v>
      </c>
      <c r="K2215" t="s">
        <v>6025</v>
      </c>
      <c r="L2215">
        <v>381</v>
      </c>
      <c r="M2215" t="s">
        <v>6026</v>
      </c>
    </row>
    <row r="2216" spans="1:13" x14ac:dyDescent="0.45">
      <c r="A2216" t="s">
        <v>13</v>
      </c>
      <c r="B2216">
        <v>2355420</v>
      </c>
      <c r="C2216">
        <v>2356796</v>
      </c>
      <c r="E2216" t="s">
        <v>96</v>
      </c>
      <c r="F2216" t="s">
        <v>6027</v>
      </c>
      <c r="H2216">
        <v>0</v>
      </c>
      <c r="I2216" t="s">
        <v>17</v>
      </c>
      <c r="K2216" t="s">
        <v>6028</v>
      </c>
      <c r="L2216">
        <v>458</v>
      </c>
      <c r="M2216" t="s">
        <v>6029</v>
      </c>
    </row>
    <row r="2217" spans="1:13" x14ac:dyDescent="0.45">
      <c r="A2217" t="s">
        <v>13</v>
      </c>
      <c r="B2217">
        <v>2357242</v>
      </c>
      <c r="C2217">
        <v>2358588</v>
      </c>
      <c r="E2217" t="s">
        <v>14</v>
      </c>
      <c r="F2217" t="s">
        <v>729</v>
      </c>
      <c r="H2217">
        <v>0</v>
      </c>
      <c r="I2217" t="s">
        <v>17</v>
      </c>
      <c r="K2217" t="s">
        <v>6030</v>
      </c>
      <c r="L2217">
        <v>448</v>
      </c>
      <c r="M2217" t="s">
        <v>6031</v>
      </c>
    </row>
    <row r="2218" spans="1:13" x14ac:dyDescent="0.45">
      <c r="A2218" t="s">
        <v>13</v>
      </c>
      <c r="B2218">
        <v>2358666</v>
      </c>
      <c r="C2218">
        <v>2360060</v>
      </c>
      <c r="E2218" t="s">
        <v>14</v>
      </c>
      <c r="F2218" t="s">
        <v>2372</v>
      </c>
      <c r="H2218">
        <v>0</v>
      </c>
      <c r="I2218" t="s">
        <v>17</v>
      </c>
      <c r="K2218" t="s">
        <v>6032</v>
      </c>
      <c r="L2218">
        <v>464</v>
      </c>
      <c r="M2218" t="s">
        <v>6033</v>
      </c>
    </row>
    <row r="2219" spans="1:13" x14ac:dyDescent="0.45">
      <c r="A2219" t="s">
        <v>13</v>
      </c>
      <c r="B2219">
        <v>2360182</v>
      </c>
      <c r="C2219">
        <v>2360856</v>
      </c>
      <c r="E2219" t="s">
        <v>96</v>
      </c>
      <c r="F2219" t="s">
        <v>6034</v>
      </c>
      <c r="G2219" t="s">
        <v>6035</v>
      </c>
      <c r="H2219">
        <v>0</v>
      </c>
      <c r="I2219" t="s">
        <v>17</v>
      </c>
      <c r="K2219" t="s">
        <v>6036</v>
      </c>
      <c r="L2219">
        <v>224</v>
      </c>
      <c r="M2219" t="s">
        <v>6037</v>
      </c>
    </row>
    <row r="2220" spans="1:13" x14ac:dyDescent="0.45">
      <c r="A2220" t="s">
        <v>13</v>
      </c>
      <c r="B2220">
        <v>2361130</v>
      </c>
      <c r="C2220">
        <v>2361894</v>
      </c>
      <c r="E2220" t="s">
        <v>14</v>
      </c>
      <c r="F2220" t="s">
        <v>2200</v>
      </c>
      <c r="H2220">
        <v>0</v>
      </c>
      <c r="I2220" t="s">
        <v>17</v>
      </c>
      <c r="K2220" t="s">
        <v>6038</v>
      </c>
      <c r="L2220">
        <v>254</v>
      </c>
      <c r="M2220" t="s">
        <v>6039</v>
      </c>
    </row>
    <row r="2221" spans="1:13" x14ac:dyDescent="0.45">
      <c r="A2221" t="s">
        <v>13</v>
      </c>
      <c r="B2221">
        <v>2362182</v>
      </c>
      <c r="C2221">
        <v>2362403</v>
      </c>
      <c r="E2221" t="s">
        <v>96</v>
      </c>
      <c r="F2221" t="s">
        <v>43</v>
      </c>
      <c r="H2221">
        <v>0</v>
      </c>
      <c r="I2221" t="s">
        <v>17</v>
      </c>
      <c r="K2221" t="s">
        <v>6040</v>
      </c>
      <c r="L2221">
        <v>73</v>
      </c>
      <c r="M2221" t="s">
        <v>6041</v>
      </c>
    </row>
    <row r="2222" spans="1:13" x14ac:dyDescent="0.45">
      <c r="A2222" t="s">
        <v>13</v>
      </c>
      <c r="B2222">
        <v>2362804</v>
      </c>
      <c r="C2222">
        <v>2364081</v>
      </c>
      <c r="E2222" t="s">
        <v>96</v>
      </c>
      <c r="F2222" t="s">
        <v>1219</v>
      </c>
      <c r="H2222">
        <v>0</v>
      </c>
      <c r="I2222" t="s">
        <v>17</v>
      </c>
      <c r="K2222" t="s">
        <v>6042</v>
      </c>
      <c r="L2222">
        <v>425</v>
      </c>
      <c r="M2222" t="s">
        <v>6043</v>
      </c>
    </row>
    <row r="2223" spans="1:13" x14ac:dyDescent="0.45">
      <c r="A2223" t="s">
        <v>13</v>
      </c>
      <c r="B2223">
        <v>2364065</v>
      </c>
      <c r="C2223">
        <v>2364733</v>
      </c>
      <c r="E2223" t="s">
        <v>96</v>
      </c>
      <c r="F2223" t="s">
        <v>1222</v>
      </c>
      <c r="H2223">
        <v>0</v>
      </c>
      <c r="I2223" t="s">
        <v>17</v>
      </c>
      <c r="K2223" t="s">
        <v>6044</v>
      </c>
      <c r="L2223">
        <v>222</v>
      </c>
      <c r="M2223" t="s">
        <v>6045</v>
      </c>
    </row>
    <row r="2224" spans="1:13" x14ac:dyDescent="0.45">
      <c r="A2224" t="s">
        <v>13</v>
      </c>
      <c r="B2224">
        <v>2364893</v>
      </c>
      <c r="C2224">
        <v>2367394</v>
      </c>
      <c r="E2224" t="s">
        <v>96</v>
      </c>
      <c r="F2224" t="s">
        <v>1204</v>
      </c>
      <c r="H2224">
        <v>0</v>
      </c>
      <c r="I2224" t="s">
        <v>17</v>
      </c>
      <c r="K2224" t="s">
        <v>6046</v>
      </c>
      <c r="L2224">
        <v>833</v>
      </c>
      <c r="M2224" t="s">
        <v>6047</v>
      </c>
    </row>
    <row r="2225" spans="1:13" x14ac:dyDescent="0.45">
      <c r="A2225" t="s">
        <v>13</v>
      </c>
      <c r="B2225">
        <v>2367685</v>
      </c>
      <c r="C2225">
        <v>2367876</v>
      </c>
      <c r="E2225" t="s">
        <v>96</v>
      </c>
      <c r="F2225" t="s">
        <v>43</v>
      </c>
      <c r="H2225">
        <v>0</v>
      </c>
      <c r="I2225" t="s">
        <v>17</v>
      </c>
      <c r="K2225" t="s">
        <v>6048</v>
      </c>
      <c r="L2225">
        <v>63</v>
      </c>
      <c r="M2225" t="s">
        <v>6049</v>
      </c>
    </row>
    <row r="2226" spans="1:13" x14ac:dyDescent="0.45">
      <c r="A2226" t="s">
        <v>13</v>
      </c>
      <c r="B2226">
        <v>2368023</v>
      </c>
      <c r="C2226">
        <v>2368265</v>
      </c>
      <c r="E2226" t="s">
        <v>96</v>
      </c>
      <c r="F2226" t="s">
        <v>43</v>
      </c>
      <c r="H2226">
        <v>0</v>
      </c>
      <c r="I2226" t="s">
        <v>17</v>
      </c>
      <c r="K2226" t="s">
        <v>6050</v>
      </c>
      <c r="L2226">
        <v>80</v>
      </c>
      <c r="M2226" t="s">
        <v>6051</v>
      </c>
    </row>
    <row r="2227" spans="1:13" x14ac:dyDescent="0.45">
      <c r="A2227" t="s">
        <v>13</v>
      </c>
      <c r="B2227">
        <v>2368477</v>
      </c>
      <c r="C2227">
        <v>2370300</v>
      </c>
      <c r="E2227" t="s">
        <v>14</v>
      </c>
      <c r="F2227" t="s">
        <v>6052</v>
      </c>
      <c r="G2227" t="s">
        <v>6053</v>
      </c>
      <c r="H2227">
        <v>0</v>
      </c>
      <c r="I2227" t="s">
        <v>17</v>
      </c>
      <c r="K2227" t="s">
        <v>6054</v>
      </c>
      <c r="L2227">
        <v>607</v>
      </c>
      <c r="M2227" t="s">
        <v>6055</v>
      </c>
    </row>
    <row r="2228" spans="1:13" x14ac:dyDescent="0.45">
      <c r="A2228" t="s">
        <v>13</v>
      </c>
      <c r="B2228">
        <v>2370390</v>
      </c>
      <c r="C2228">
        <v>2371298</v>
      </c>
      <c r="E2228" t="s">
        <v>96</v>
      </c>
      <c r="F2228" t="s">
        <v>6056</v>
      </c>
      <c r="G2228" t="s">
        <v>6057</v>
      </c>
      <c r="H2228">
        <v>0</v>
      </c>
      <c r="I2228" t="s">
        <v>17</v>
      </c>
      <c r="K2228" t="s">
        <v>6058</v>
      </c>
      <c r="L2228">
        <v>302</v>
      </c>
      <c r="M2228" t="s">
        <v>6059</v>
      </c>
    </row>
    <row r="2229" spans="1:13" x14ac:dyDescent="0.45">
      <c r="A2229" t="s">
        <v>13</v>
      </c>
      <c r="B2229">
        <v>2372439</v>
      </c>
      <c r="C2229">
        <v>2373920</v>
      </c>
      <c r="E2229" t="s">
        <v>14</v>
      </c>
      <c r="F2229" t="s">
        <v>6060</v>
      </c>
      <c r="G2229" t="s">
        <v>6061</v>
      </c>
      <c r="H2229">
        <v>0</v>
      </c>
      <c r="I2229" t="s">
        <v>17</v>
      </c>
      <c r="K2229" t="s">
        <v>6062</v>
      </c>
      <c r="L2229">
        <v>493</v>
      </c>
      <c r="M2229" t="s">
        <v>6063</v>
      </c>
    </row>
    <row r="2230" spans="1:13" x14ac:dyDescent="0.45">
      <c r="A2230" t="s">
        <v>13</v>
      </c>
      <c r="B2230">
        <v>2373930</v>
      </c>
      <c r="C2230">
        <v>2374823</v>
      </c>
      <c r="E2230" t="s">
        <v>14</v>
      </c>
      <c r="F2230" t="s">
        <v>6064</v>
      </c>
      <c r="G2230" t="s">
        <v>6065</v>
      </c>
      <c r="H2230">
        <v>0</v>
      </c>
      <c r="I2230" t="s">
        <v>17</v>
      </c>
      <c r="K2230" t="s">
        <v>6066</v>
      </c>
      <c r="L2230">
        <v>297</v>
      </c>
      <c r="M2230" t="s">
        <v>6067</v>
      </c>
    </row>
    <row r="2231" spans="1:13" x14ac:dyDescent="0.45">
      <c r="A2231" t="s">
        <v>13</v>
      </c>
      <c r="B2231">
        <v>2375010</v>
      </c>
      <c r="C2231">
        <v>2376008</v>
      </c>
      <c r="E2231" t="s">
        <v>14</v>
      </c>
      <c r="F2231" t="s">
        <v>6068</v>
      </c>
      <c r="H2231">
        <v>0</v>
      </c>
      <c r="I2231" t="s">
        <v>17</v>
      </c>
      <c r="K2231" t="s">
        <v>6069</v>
      </c>
      <c r="L2231">
        <v>332</v>
      </c>
      <c r="M2231" t="s">
        <v>6070</v>
      </c>
    </row>
    <row r="2232" spans="1:13" x14ac:dyDescent="0.45">
      <c r="A2232" t="s">
        <v>13</v>
      </c>
      <c r="B2232">
        <v>2376163</v>
      </c>
      <c r="C2232">
        <v>2376675</v>
      </c>
      <c r="E2232" t="s">
        <v>96</v>
      </c>
      <c r="F2232" t="s">
        <v>6071</v>
      </c>
      <c r="H2232">
        <v>0</v>
      </c>
      <c r="I2232" t="s">
        <v>17</v>
      </c>
      <c r="K2232" t="s">
        <v>6072</v>
      </c>
      <c r="L2232">
        <v>170</v>
      </c>
      <c r="M2232" t="s">
        <v>6073</v>
      </c>
    </row>
    <row r="2233" spans="1:13" x14ac:dyDescent="0.45">
      <c r="A2233" t="s">
        <v>13</v>
      </c>
      <c r="B2233">
        <v>2377195</v>
      </c>
      <c r="C2233">
        <v>2378130</v>
      </c>
      <c r="E2233" t="s">
        <v>14</v>
      </c>
      <c r="F2233" t="s">
        <v>6074</v>
      </c>
      <c r="H2233">
        <v>0</v>
      </c>
      <c r="I2233" t="s">
        <v>17</v>
      </c>
      <c r="K2233" t="s">
        <v>6075</v>
      </c>
      <c r="L2233">
        <v>311</v>
      </c>
      <c r="M2233" t="s">
        <v>6076</v>
      </c>
    </row>
    <row r="2234" spans="1:13" x14ac:dyDescent="0.45">
      <c r="A2234" t="s">
        <v>13</v>
      </c>
      <c r="B2234">
        <v>2378222</v>
      </c>
      <c r="C2234">
        <v>2380093</v>
      </c>
      <c r="E2234" t="s">
        <v>96</v>
      </c>
      <c r="F2234" t="s">
        <v>1077</v>
      </c>
      <c r="H2234">
        <v>0</v>
      </c>
      <c r="I2234" t="s">
        <v>17</v>
      </c>
      <c r="K2234" t="s">
        <v>6077</v>
      </c>
      <c r="L2234">
        <v>623</v>
      </c>
      <c r="M2234" t="s">
        <v>6078</v>
      </c>
    </row>
    <row r="2235" spans="1:13" x14ac:dyDescent="0.45">
      <c r="A2235" t="s">
        <v>13</v>
      </c>
      <c r="B2235">
        <v>2380284</v>
      </c>
      <c r="C2235">
        <v>2381210</v>
      </c>
      <c r="E2235" t="s">
        <v>14</v>
      </c>
      <c r="F2235" t="s">
        <v>6079</v>
      </c>
      <c r="H2235">
        <v>0</v>
      </c>
      <c r="I2235" t="s">
        <v>17</v>
      </c>
      <c r="K2235" t="s">
        <v>6080</v>
      </c>
      <c r="L2235">
        <v>308</v>
      </c>
      <c r="M2235" t="s">
        <v>6081</v>
      </c>
    </row>
    <row r="2236" spans="1:13" x14ac:dyDescent="0.45">
      <c r="A2236" t="s">
        <v>13</v>
      </c>
      <c r="B2236">
        <v>2381349</v>
      </c>
      <c r="C2236">
        <v>2381495</v>
      </c>
      <c r="E2236" t="s">
        <v>14</v>
      </c>
      <c r="F2236" t="s">
        <v>43</v>
      </c>
      <c r="H2236">
        <v>0</v>
      </c>
      <c r="I2236" t="s">
        <v>17</v>
      </c>
      <c r="K2236" t="s">
        <v>6082</v>
      </c>
      <c r="L2236">
        <v>48</v>
      </c>
      <c r="M2236" t="s">
        <v>6083</v>
      </c>
    </row>
    <row r="2237" spans="1:13" x14ac:dyDescent="0.45">
      <c r="A2237" t="s">
        <v>13</v>
      </c>
      <c r="B2237">
        <v>2381600</v>
      </c>
      <c r="C2237">
        <v>2382124</v>
      </c>
      <c r="E2237" t="s">
        <v>96</v>
      </c>
      <c r="F2237" t="s">
        <v>1183</v>
      </c>
      <c r="H2237">
        <v>0</v>
      </c>
      <c r="I2237" t="s">
        <v>17</v>
      </c>
      <c r="K2237" t="s">
        <v>6084</v>
      </c>
      <c r="L2237">
        <v>174</v>
      </c>
      <c r="M2237" t="s">
        <v>6085</v>
      </c>
    </row>
    <row r="2238" spans="1:13" x14ac:dyDescent="0.45">
      <c r="A2238" t="s">
        <v>13</v>
      </c>
      <c r="B2238">
        <v>2382177</v>
      </c>
      <c r="C2238">
        <v>2382401</v>
      </c>
      <c r="E2238" t="s">
        <v>96</v>
      </c>
      <c r="F2238" t="s">
        <v>43</v>
      </c>
      <c r="H2238">
        <v>0</v>
      </c>
      <c r="I2238" t="s">
        <v>17</v>
      </c>
      <c r="K2238" t="s">
        <v>6086</v>
      </c>
      <c r="L2238">
        <v>74</v>
      </c>
      <c r="M2238" t="s">
        <v>6087</v>
      </c>
    </row>
    <row r="2239" spans="1:13" x14ac:dyDescent="0.45">
      <c r="A2239" t="s">
        <v>13</v>
      </c>
      <c r="B2239">
        <v>2382598</v>
      </c>
      <c r="C2239">
        <v>2382858</v>
      </c>
      <c r="E2239" t="s">
        <v>14</v>
      </c>
      <c r="F2239" t="s">
        <v>6088</v>
      </c>
      <c r="H2239">
        <v>0</v>
      </c>
      <c r="I2239" t="s">
        <v>17</v>
      </c>
      <c r="K2239" t="s">
        <v>6089</v>
      </c>
      <c r="L2239">
        <v>86</v>
      </c>
      <c r="M2239" t="s">
        <v>6090</v>
      </c>
    </row>
    <row r="2240" spans="1:13" x14ac:dyDescent="0.45">
      <c r="A2240" t="s">
        <v>13</v>
      </c>
      <c r="B2240">
        <v>2382906</v>
      </c>
      <c r="C2240">
        <v>2383721</v>
      </c>
      <c r="E2240" t="s">
        <v>14</v>
      </c>
      <c r="F2240" t="s">
        <v>6091</v>
      </c>
      <c r="H2240">
        <v>0</v>
      </c>
      <c r="I2240" t="s">
        <v>17</v>
      </c>
      <c r="K2240" t="s">
        <v>6092</v>
      </c>
      <c r="L2240">
        <v>271</v>
      </c>
      <c r="M2240" t="s">
        <v>6093</v>
      </c>
    </row>
    <row r="2241" spans="1:13" x14ac:dyDescent="0.45">
      <c r="A2241" t="s">
        <v>13</v>
      </c>
      <c r="B2241">
        <v>2384194</v>
      </c>
      <c r="C2241">
        <v>2385018</v>
      </c>
      <c r="E2241" t="s">
        <v>96</v>
      </c>
      <c r="F2241" t="s">
        <v>6094</v>
      </c>
      <c r="H2241">
        <v>0</v>
      </c>
      <c r="I2241" t="s">
        <v>17</v>
      </c>
      <c r="K2241" t="s">
        <v>6095</v>
      </c>
      <c r="L2241">
        <v>274</v>
      </c>
      <c r="M2241" t="s">
        <v>6096</v>
      </c>
    </row>
    <row r="2242" spans="1:13" x14ac:dyDescent="0.45">
      <c r="A2242" t="s">
        <v>13</v>
      </c>
      <c r="B2242">
        <v>2385366</v>
      </c>
      <c r="C2242">
        <v>2386421</v>
      </c>
      <c r="E2242" t="s">
        <v>96</v>
      </c>
      <c r="F2242" t="s">
        <v>6097</v>
      </c>
      <c r="G2242" t="s">
        <v>6098</v>
      </c>
      <c r="H2242">
        <v>0</v>
      </c>
      <c r="I2242" t="s">
        <v>17</v>
      </c>
      <c r="K2242" t="s">
        <v>6099</v>
      </c>
      <c r="L2242">
        <v>351</v>
      </c>
      <c r="M2242" t="s">
        <v>6100</v>
      </c>
    </row>
    <row r="2243" spans="1:13" x14ac:dyDescent="0.45">
      <c r="A2243" t="s">
        <v>13</v>
      </c>
      <c r="B2243">
        <v>2386604</v>
      </c>
      <c r="C2243">
        <v>2387608</v>
      </c>
      <c r="E2243" t="s">
        <v>96</v>
      </c>
      <c r="F2243" t="s">
        <v>6101</v>
      </c>
      <c r="G2243" t="s">
        <v>6102</v>
      </c>
      <c r="H2243">
        <v>0</v>
      </c>
      <c r="I2243" t="s">
        <v>17</v>
      </c>
      <c r="K2243" t="s">
        <v>6103</v>
      </c>
      <c r="L2243">
        <v>334</v>
      </c>
      <c r="M2243" t="s">
        <v>6104</v>
      </c>
    </row>
    <row r="2244" spans="1:13" x14ac:dyDescent="0.45">
      <c r="A2244" t="s">
        <v>13</v>
      </c>
      <c r="B2244">
        <v>2387621</v>
      </c>
      <c r="C2244">
        <v>2388775</v>
      </c>
      <c r="E2244" t="s">
        <v>96</v>
      </c>
      <c r="F2244" t="s">
        <v>6105</v>
      </c>
      <c r="H2244">
        <v>0</v>
      </c>
      <c r="I2244" t="s">
        <v>17</v>
      </c>
      <c r="K2244" t="s">
        <v>6106</v>
      </c>
      <c r="L2244">
        <v>384</v>
      </c>
      <c r="M2244" t="s">
        <v>6107</v>
      </c>
    </row>
    <row r="2245" spans="1:13" x14ac:dyDescent="0.45">
      <c r="A2245" t="s">
        <v>13</v>
      </c>
      <c r="B2245">
        <v>2388939</v>
      </c>
      <c r="C2245">
        <v>2389142</v>
      </c>
      <c r="E2245" t="s">
        <v>96</v>
      </c>
      <c r="F2245" t="s">
        <v>1134</v>
      </c>
      <c r="H2245">
        <v>0</v>
      </c>
      <c r="I2245" t="s">
        <v>17</v>
      </c>
      <c r="K2245" t="s">
        <v>6108</v>
      </c>
      <c r="L2245">
        <v>67</v>
      </c>
      <c r="M2245" t="s">
        <v>6109</v>
      </c>
    </row>
    <row r="2246" spans="1:13" x14ac:dyDescent="0.45">
      <c r="A2246" t="s">
        <v>13</v>
      </c>
      <c r="B2246">
        <v>2389479</v>
      </c>
      <c r="C2246">
        <v>2390060</v>
      </c>
      <c r="E2246" t="s">
        <v>14</v>
      </c>
      <c r="F2246" t="s">
        <v>43</v>
      </c>
      <c r="H2246">
        <v>0</v>
      </c>
      <c r="I2246" t="s">
        <v>17</v>
      </c>
      <c r="K2246" t="s">
        <v>6110</v>
      </c>
      <c r="L2246">
        <v>193</v>
      </c>
      <c r="M2246" t="s">
        <v>6111</v>
      </c>
    </row>
    <row r="2247" spans="1:13" x14ac:dyDescent="0.45">
      <c r="A2247" t="s">
        <v>13</v>
      </c>
      <c r="B2247">
        <v>2390148</v>
      </c>
      <c r="C2247">
        <v>2391959</v>
      </c>
      <c r="E2247" t="s">
        <v>96</v>
      </c>
      <c r="F2247" t="s">
        <v>1570</v>
      </c>
      <c r="H2247">
        <v>0</v>
      </c>
      <c r="I2247" t="s">
        <v>17</v>
      </c>
      <c r="K2247" t="s">
        <v>6112</v>
      </c>
      <c r="L2247">
        <v>603</v>
      </c>
      <c r="M2247" t="s">
        <v>6113</v>
      </c>
    </row>
    <row r="2248" spans="1:13" x14ac:dyDescent="0.45">
      <c r="A2248" t="s">
        <v>13</v>
      </c>
      <c r="B2248">
        <v>2392783</v>
      </c>
      <c r="C2248">
        <v>2393562</v>
      </c>
      <c r="E2248" t="s">
        <v>96</v>
      </c>
      <c r="F2248" t="s">
        <v>6114</v>
      </c>
      <c r="H2248">
        <v>0</v>
      </c>
      <c r="I2248" t="s">
        <v>17</v>
      </c>
      <c r="K2248" t="s">
        <v>6115</v>
      </c>
      <c r="L2248">
        <v>259</v>
      </c>
      <c r="M2248" t="s">
        <v>6116</v>
      </c>
    </row>
    <row r="2249" spans="1:13" x14ac:dyDescent="0.45">
      <c r="A2249" t="s">
        <v>13</v>
      </c>
      <c r="B2249">
        <v>2393575</v>
      </c>
      <c r="C2249">
        <v>2394309</v>
      </c>
      <c r="E2249" t="s">
        <v>96</v>
      </c>
      <c r="F2249" t="s">
        <v>6117</v>
      </c>
      <c r="H2249">
        <v>0</v>
      </c>
      <c r="I2249" t="s">
        <v>17</v>
      </c>
      <c r="K2249" t="s">
        <v>6118</v>
      </c>
      <c r="L2249">
        <v>244</v>
      </c>
      <c r="M2249" t="s">
        <v>6119</v>
      </c>
    </row>
    <row r="2250" spans="1:13" x14ac:dyDescent="0.45">
      <c r="A2250" t="s">
        <v>13</v>
      </c>
      <c r="B2250">
        <v>2394338</v>
      </c>
      <c r="C2250">
        <v>2394541</v>
      </c>
      <c r="E2250" t="s">
        <v>96</v>
      </c>
      <c r="F2250" t="s">
        <v>43</v>
      </c>
      <c r="H2250">
        <v>0</v>
      </c>
      <c r="I2250" t="s">
        <v>17</v>
      </c>
      <c r="K2250" t="s">
        <v>6120</v>
      </c>
      <c r="L2250">
        <v>67</v>
      </c>
      <c r="M2250" t="s">
        <v>6121</v>
      </c>
    </row>
    <row r="2251" spans="1:13" x14ac:dyDescent="0.45">
      <c r="A2251" t="s">
        <v>13</v>
      </c>
      <c r="B2251">
        <v>2394544</v>
      </c>
      <c r="C2251">
        <v>2395101</v>
      </c>
      <c r="E2251" t="s">
        <v>96</v>
      </c>
      <c r="F2251" t="s">
        <v>6122</v>
      </c>
      <c r="G2251" t="s">
        <v>6123</v>
      </c>
      <c r="H2251">
        <v>0</v>
      </c>
      <c r="I2251" t="s">
        <v>17</v>
      </c>
      <c r="K2251" t="s">
        <v>6124</v>
      </c>
      <c r="L2251">
        <v>185</v>
      </c>
      <c r="M2251" t="s">
        <v>6125</v>
      </c>
    </row>
    <row r="2252" spans="1:13" x14ac:dyDescent="0.45">
      <c r="A2252" t="s">
        <v>13</v>
      </c>
      <c r="B2252">
        <v>2395127</v>
      </c>
      <c r="C2252">
        <v>2395831</v>
      </c>
      <c r="E2252" t="s">
        <v>96</v>
      </c>
      <c r="F2252" t="s">
        <v>6126</v>
      </c>
      <c r="G2252" t="s">
        <v>6127</v>
      </c>
      <c r="H2252">
        <v>0</v>
      </c>
      <c r="I2252" t="s">
        <v>17</v>
      </c>
      <c r="K2252" t="s">
        <v>6128</v>
      </c>
      <c r="L2252">
        <v>234</v>
      </c>
      <c r="M2252" t="s">
        <v>6129</v>
      </c>
    </row>
    <row r="2253" spans="1:13" x14ac:dyDescent="0.45">
      <c r="A2253" t="s">
        <v>13</v>
      </c>
      <c r="B2253">
        <v>2395916</v>
      </c>
      <c r="C2253">
        <v>2396827</v>
      </c>
      <c r="E2253" t="s">
        <v>96</v>
      </c>
      <c r="F2253" t="s">
        <v>6130</v>
      </c>
      <c r="G2253" t="s">
        <v>6131</v>
      </c>
      <c r="H2253">
        <v>0</v>
      </c>
      <c r="I2253" t="s">
        <v>17</v>
      </c>
      <c r="K2253" t="s">
        <v>6132</v>
      </c>
      <c r="L2253">
        <v>303</v>
      </c>
      <c r="M2253" t="s">
        <v>6133</v>
      </c>
    </row>
    <row r="2254" spans="1:13" x14ac:dyDescent="0.45">
      <c r="A2254" t="s">
        <v>13</v>
      </c>
      <c r="B2254">
        <v>2396906</v>
      </c>
      <c r="C2254">
        <v>2397619</v>
      </c>
      <c r="E2254" t="s">
        <v>96</v>
      </c>
      <c r="F2254" t="s">
        <v>6134</v>
      </c>
      <c r="G2254" t="s">
        <v>6135</v>
      </c>
      <c r="H2254">
        <v>0</v>
      </c>
      <c r="I2254" t="s">
        <v>17</v>
      </c>
      <c r="K2254" t="s">
        <v>6136</v>
      </c>
      <c r="L2254">
        <v>237</v>
      </c>
      <c r="M2254" t="s">
        <v>6137</v>
      </c>
    </row>
    <row r="2255" spans="1:13" x14ac:dyDescent="0.45">
      <c r="A2255" t="s">
        <v>13</v>
      </c>
      <c r="B2255">
        <v>2397826</v>
      </c>
      <c r="C2255">
        <v>2399010</v>
      </c>
      <c r="E2255" t="s">
        <v>96</v>
      </c>
      <c r="F2255" t="s">
        <v>1550</v>
      </c>
      <c r="H2255">
        <v>0</v>
      </c>
      <c r="I2255" t="s">
        <v>17</v>
      </c>
      <c r="K2255" t="s">
        <v>6138</v>
      </c>
      <c r="L2255">
        <v>394</v>
      </c>
      <c r="M2255" t="s">
        <v>6139</v>
      </c>
    </row>
    <row r="2256" spans="1:13" x14ac:dyDescent="0.45">
      <c r="A2256" t="s">
        <v>13</v>
      </c>
      <c r="B2256">
        <v>2399114</v>
      </c>
      <c r="C2256">
        <v>2400172</v>
      </c>
      <c r="E2256" t="s">
        <v>96</v>
      </c>
      <c r="F2256" t="s">
        <v>2057</v>
      </c>
      <c r="H2256">
        <v>0</v>
      </c>
      <c r="I2256" t="s">
        <v>17</v>
      </c>
      <c r="K2256" t="s">
        <v>6140</v>
      </c>
      <c r="L2256">
        <v>352</v>
      </c>
      <c r="M2256" t="s">
        <v>6141</v>
      </c>
    </row>
    <row r="2257" spans="1:13" x14ac:dyDescent="0.45">
      <c r="A2257" t="s">
        <v>13</v>
      </c>
      <c r="B2257">
        <v>2400386</v>
      </c>
      <c r="C2257">
        <v>2401030</v>
      </c>
      <c r="E2257" t="s">
        <v>96</v>
      </c>
      <c r="F2257" t="s">
        <v>1134</v>
      </c>
      <c r="H2257">
        <v>0</v>
      </c>
      <c r="I2257" t="s">
        <v>17</v>
      </c>
      <c r="K2257" t="s">
        <v>6142</v>
      </c>
      <c r="L2257">
        <v>214</v>
      </c>
      <c r="M2257" t="s">
        <v>6143</v>
      </c>
    </row>
    <row r="2258" spans="1:13" x14ac:dyDescent="0.45">
      <c r="A2258" t="s">
        <v>13</v>
      </c>
      <c r="B2258">
        <v>2401215</v>
      </c>
      <c r="C2258">
        <v>2401838</v>
      </c>
      <c r="E2258" t="s">
        <v>14</v>
      </c>
      <c r="F2258" t="s">
        <v>6144</v>
      </c>
      <c r="G2258" t="s">
        <v>6145</v>
      </c>
      <c r="H2258">
        <v>0</v>
      </c>
      <c r="I2258" t="s">
        <v>17</v>
      </c>
      <c r="K2258" t="s">
        <v>6146</v>
      </c>
      <c r="L2258">
        <v>207</v>
      </c>
      <c r="M2258" t="s">
        <v>6147</v>
      </c>
    </row>
    <row r="2259" spans="1:13" x14ac:dyDescent="0.45">
      <c r="A2259" t="s">
        <v>13</v>
      </c>
      <c r="B2259">
        <v>2401901</v>
      </c>
      <c r="C2259">
        <v>2403811</v>
      </c>
      <c r="E2259" t="s">
        <v>96</v>
      </c>
      <c r="F2259" t="s">
        <v>2095</v>
      </c>
      <c r="H2259">
        <v>0</v>
      </c>
      <c r="I2259" t="s">
        <v>17</v>
      </c>
      <c r="K2259" t="s">
        <v>6148</v>
      </c>
      <c r="L2259">
        <v>636</v>
      </c>
      <c r="M2259" t="s">
        <v>6149</v>
      </c>
    </row>
    <row r="2260" spans="1:13" x14ac:dyDescent="0.45">
      <c r="A2260" t="s">
        <v>13</v>
      </c>
      <c r="B2260">
        <v>2404348</v>
      </c>
      <c r="C2260">
        <v>2405415</v>
      </c>
      <c r="E2260" t="s">
        <v>96</v>
      </c>
      <c r="F2260" t="s">
        <v>6150</v>
      </c>
      <c r="H2260">
        <v>0</v>
      </c>
      <c r="I2260" t="s">
        <v>17</v>
      </c>
      <c r="K2260" t="s">
        <v>6151</v>
      </c>
      <c r="L2260">
        <v>355</v>
      </c>
      <c r="M2260" t="s">
        <v>6152</v>
      </c>
    </row>
    <row r="2261" spans="1:13" x14ac:dyDescent="0.45">
      <c r="A2261" t="s">
        <v>13</v>
      </c>
      <c r="B2261">
        <v>2405661</v>
      </c>
      <c r="C2261">
        <v>2406644</v>
      </c>
      <c r="E2261" t="s">
        <v>96</v>
      </c>
      <c r="F2261" t="s">
        <v>6153</v>
      </c>
      <c r="H2261">
        <v>0</v>
      </c>
      <c r="I2261" t="s">
        <v>17</v>
      </c>
      <c r="K2261" t="s">
        <v>6154</v>
      </c>
      <c r="L2261">
        <v>327</v>
      </c>
      <c r="M2261" t="s">
        <v>6155</v>
      </c>
    </row>
    <row r="2262" spans="1:13" x14ac:dyDescent="0.45">
      <c r="A2262" t="s">
        <v>13</v>
      </c>
      <c r="B2262">
        <v>2406915</v>
      </c>
      <c r="C2262">
        <v>2408174</v>
      </c>
      <c r="E2262" t="s">
        <v>96</v>
      </c>
      <c r="F2262" t="s">
        <v>3948</v>
      </c>
      <c r="H2262">
        <v>0</v>
      </c>
      <c r="I2262" t="s">
        <v>17</v>
      </c>
      <c r="K2262" t="s">
        <v>6156</v>
      </c>
      <c r="L2262">
        <v>419</v>
      </c>
      <c r="M2262" t="s">
        <v>6157</v>
      </c>
    </row>
    <row r="2263" spans="1:13" x14ac:dyDescent="0.45">
      <c r="A2263" t="s">
        <v>13</v>
      </c>
      <c r="B2263">
        <v>2408413</v>
      </c>
      <c r="C2263">
        <v>2409042</v>
      </c>
      <c r="E2263" t="s">
        <v>96</v>
      </c>
      <c r="F2263" t="s">
        <v>6158</v>
      </c>
      <c r="H2263">
        <v>0</v>
      </c>
      <c r="I2263" t="s">
        <v>17</v>
      </c>
      <c r="K2263" t="s">
        <v>6159</v>
      </c>
      <c r="L2263">
        <v>209</v>
      </c>
      <c r="M2263" t="s">
        <v>6160</v>
      </c>
    </row>
    <row r="2264" spans="1:13" x14ac:dyDescent="0.45">
      <c r="A2264" t="s">
        <v>13</v>
      </c>
      <c r="B2264">
        <v>2409235</v>
      </c>
      <c r="C2264">
        <v>2409396</v>
      </c>
      <c r="E2264" t="s">
        <v>96</v>
      </c>
      <c r="F2264" t="s">
        <v>43</v>
      </c>
      <c r="H2264">
        <v>0</v>
      </c>
      <c r="I2264" t="s">
        <v>17</v>
      </c>
      <c r="K2264" t="s">
        <v>6161</v>
      </c>
      <c r="L2264">
        <v>53</v>
      </c>
      <c r="M2264" t="s">
        <v>6162</v>
      </c>
    </row>
    <row r="2265" spans="1:13" x14ac:dyDescent="0.45">
      <c r="A2265" t="s">
        <v>13</v>
      </c>
      <c r="B2265">
        <v>2409739</v>
      </c>
      <c r="C2265">
        <v>2410899</v>
      </c>
      <c r="E2265" t="s">
        <v>96</v>
      </c>
      <c r="F2265" t="s">
        <v>3813</v>
      </c>
      <c r="H2265">
        <v>0</v>
      </c>
      <c r="I2265" t="s">
        <v>17</v>
      </c>
      <c r="K2265" t="s">
        <v>6163</v>
      </c>
      <c r="L2265">
        <v>386</v>
      </c>
      <c r="M2265" t="s">
        <v>6164</v>
      </c>
    </row>
    <row r="2266" spans="1:13" x14ac:dyDescent="0.45">
      <c r="A2266" t="s">
        <v>13</v>
      </c>
      <c r="B2266">
        <v>2411369</v>
      </c>
      <c r="C2266">
        <v>2412409</v>
      </c>
      <c r="E2266" t="s">
        <v>14</v>
      </c>
      <c r="F2266" t="s">
        <v>6165</v>
      </c>
      <c r="H2266">
        <v>0</v>
      </c>
      <c r="I2266" t="s">
        <v>17</v>
      </c>
      <c r="K2266" t="s">
        <v>6166</v>
      </c>
      <c r="L2266">
        <v>346</v>
      </c>
      <c r="M2266" t="s">
        <v>6167</v>
      </c>
    </row>
    <row r="2267" spans="1:13" x14ac:dyDescent="0.45">
      <c r="A2267" t="s">
        <v>13</v>
      </c>
      <c r="B2267">
        <v>2412790</v>
      </c>
      <c r="C2267">
        <v>2413041</v>
      </c>
      <c r="E2267" t="s">
        <v>14</v>
      </c>
      <c r="F2267" t="s">
        <v>6168</v>
      </c>
      <c r="H2267">
        <v>0</v>
      </c>
      <c r="I2267" t="s">
        <v>17</v>
      </c>
      <c r="K2267" t="s">
        <v>6169</v>
      </c>
      <c r="L2267">
        <v>83</v>
      </c>
      <c r="M2267" t="s">
        <v>6170</v>
      </c>
    </row>
    <row r="2268" spans="1:13" x14ac:dyDescent="0.45">
      <c r="A2268" t="s">
        <v>13</v>
      </c>
      <c r="B2268">
        <v>2413056</v>
      </c>
      <c r="C2268">
        <v>2414264</v>
      </c>
      <c r="E2268" t="s">
        <v>14</v>
      </c>
      <c r="F2268" t="s">
        <v>6171</v>
      </c>
      <c r="G2268" t="s">
        <v>6172</v>
      </c>
      <c r="H2268">
        <v>0</v>
      </c>
      <c r="I2268" t="s">
        <v>17</v>
      </c>
      <c r="K2268" t="s">
        <v>6173</v>
      </c>
      <c r="L2268">
        <v>402</v>
      </c>
      <c r="M2268" t="s">
        <v>6174</v>
      </c>
    </row>
    <row r="2269" spans="1:13" x14ac:dyDescent="0.45">
      <c r="A2269" t="s">
        <v>13</v>
      </c>
      <c r="B2269">
        <v>2414300</v>
      </c>
      <c r="C2269">
        <v>2415385</v>
      </c>
      <c r="E2269" t="s">
        <v>14</v>
      </c>
      <c r="F2269" t="s">
        <v>6175</v>
      </c>
      <c r="G2269" t="s">
        <v>6176</v>
      </c>
      <c r="H2269">
        <v>0</v>
      </c>
      <c r="I2269" t="s">
        <v>17</v>
      </c>
      <c r="K2269" t="s">
        <v>6177</v>
      </c>
      <c r="L2269">
        <v>361</v>
      </c>
      <c r="M2269" t="s">
        <v>6178</v>
      </c>
    </row>
    <row r="2270" spans="1:13" x14ac:dyDescent="0.45">
      <c r="A2270" t="s">
        <v>13</v>
      </c>
      <c r="B2270">
        <v>2415386</v>
      </c>
      <c r="C2270">
        <v>2416762</v>
      </c>
      <c r="E2270" t="s">
        <v>14</v>
      </c>
      <c r="F2270" t="s">
        <v>6179</v>
      </c>
      <c r="G2270" t="s">
        <v>6180</v>
      </c>
      <c r="H2270">
        <v>0</v>
      </c>
      <c r="I2270" t="s">
        <v>17</v>
      </c>
      <c r="K2270" t="s">
        <v>6181</v>
      </c>
      <c r="L2270">
        <v>458</v>
      </c>
      <c r="M2270" t="s">
        <v>6182</v>
      </c>
    </row>
    <row r="2271" spans="1:13" x14ac:dyDescent="0.45">
      <c r="A2271" t="s">
        <v>13</v>
      </c>
      <c r="B2271">
        <v>2416853</v>
      </c>
      <c r="C2271">
        <v>2417281</v>
      </c>
      <c r="E2271" t="s">
        <v>14</v>
      </c>
      <c r="F2271" t="s">
        <v>43</v>
      </c>
      <c r="H2271">
        <v>0</v>
      </c>
      <c r="I2271" t="s">
        <v>17</v>
      </c>
      <c r="K2271" t="s">
        <v>6183</v>
      </c>
      <c r="L2271">
        <v>142</v>
      </c>
      <c r="M2271" t="s">
        <v>6184</v>
      </c>
    </row>
    <row r="2272" spans="1:13" x14ac:dyDescent="0.45">
      <c r="A2272" t="s">
        <v>13</v>
      </c>
      <c r="B2272">
        <v>2417356</v>
      </c>
      <c r="C2272">
        <v>2418675</v>
      </c>
      <c r="E2272" t="s">
        <v>96</v>
      </c>
      <c r="F2272" t="s">
        <v>6185</v>
      </c>
      <c r="H2272">
        <v>0</v>
      </c>
      <c r="I2272" t="s">
        <v>17</v>
      </c>
      <c r="K2272" t="s">
        <v>6186</v>
      </c>
      <c r="L2272">
        <v>439</v>
      </c>
      <c r="M2272" t="s">
        <v>6187</v>
      </c>
    </row>
    <row r="2273" spans="1:13" x14ac:dyDescent="0.45">
      <c r="A2273" t="s">
        <v>13</v>
      </c>
      <c r="B2273">
        <v>2418967</v>
      </c>
      <c r="C2273">
        <v>2419752</v>
      </c>
      <c r="E2273" t="s">
        <v>96</v>
      </c>
      <c r="F2273" t="s">
        <v>6188</v>
      </c>
      <c r="H2273">
        <v>0</v>
      </c>
      <c r="I2273" t="s">
        <v>17</v>
      </c>
      <c r="K2273" t="s">
        <v>6189</v>
      </c>
      <c r="L2273">
        <v>261</v>
      </c>
      <c r="M2273" t="s">
        <v>6190</v>
      </c>
    </row>
    <row r="2274" spans="1:13" x14ac:dyDescent="0.45">
      <c r="A2274" t="s">
        <v>13</v>
      </c>
      <c r="B2274">
        <v>2419867</v>
      </c>
      <c r="C2274">
        <v>2420826</v>
      </c>
      <c r="E2274" t="s">
        <v>96</v>
      </c>
      <c r="F2274" t="s">
        <v>5801</v>
      </c>
      <c r="H2274">
        <v>0</v>
      </c>
      <c r="I2274" t="s">
        <v>17</v>
      </c>
      <c r="K2274" t="s">
        <v>6191</v>
      </c>
      <c r="L2274">
        <v>319</v>
      </c>
      <c r="M2274" t="s">
        <v>6192</v>
      </c>
    </row>
    <row r="2275" spans="1:13" x14ac:dyDescent="0.45">
      <c r="A2275" t="s">
        <v>13</v>
      </c>
      <c r="B2275">
        <v>2420984</v>
      </c>
      <c r="C2275">
        <v>2421301</v>
      </c>
      <c r="E2275" t="s">
        <v>96</v>
      </c>
      <c r="F2275" t="s">
        <v>43</v>
      </c>
      <c r="H2275">
        <v>0</v>
      </c>
      <c r="I2275" t="s">
        <v>17</v>
      </c>
      <c r="K2275" t="s">
        <v>6193</v>
      </c>
      <c r="L2275">
        <v>105</v>
      </c>
      <c r="M2275" t="s">
        <v>6194</v>
      </c>
    </row>
    <row r="2276" spans="1:13" x14ac:dyDescent="0.45">
      <c r="A2276" t="s">
        <v>13</v>
      </c>
      <c r="B2276">
        <v>2421408</v>
      </c>
      <c r="C2276">
        <v>2421911</v>
      </c>
      <c r="E2276" t="s">
        <v>96</v>
      </c>
      <c r="F2276" t="s">
        <v>1183</v>
      </c>
      <c r="H2276">
        <v>0</v>
      </c>
      <c r="I2276" t="s">
        <v>17</v>
      </c>
      <c r="K2276" t="s">
        <v>6195</v>
      </c>
      <c r="L2276">
        <v>167</v>
      </c>
      <c r="M2276" t="s">
        <v>6196</v>
      </c>
    </row>
    <row r="2277" spans="1:13" x14ac:dyDescent="0.45">
      <c r="A2277" t="s">
        <v>13</v>
      </c>
      <c r="B2277">
        <v>2421963</v>
      </c>
      <c r="C2277">
        <v>2423162</v>
      </c>
      <c r="E2277" t="s">
        <v>96</v>
      </c>
      <c r="F2277" t="s">
        <v>6197</v>
      </c>
      <c r="H2277">
        <v>0</v>
      </c>
      <c r="I2277" t="s">
        <v>17</v>
      </c>
      <c r="K2277" t="s">
        <v>6198</v>
      </c>
      <c r="L2277">
        <v>399</v>
      </c>
      <c r="M2277" t="s">
        <v>6199</v>
      </c>
    </row>
    <row r="2278" spans="1:13" x14ac:dyDescent="0.45">
      <c r="A2278" t="s">
        <v>13</v>
      </c>
      <c r="B2278">
        <v>2423422</v>
      </c>
      <c r="C2278">
        <v>2423610</v>
      </c>
      <c r="E2278" t="s">
        <v>96</v>
      </c>
      <c r="F2278" t="s">
        <v>43</v>
      </c>
      <c r="H2278">
        <v>0</v>
      </c>
      <c r="I2278" t="s">
        <v>17</v>
      </c>
      <c r="K2278" t="s">
        <v>6200</v>
      </c>
      <c r="L2278">
        <v>62</v>
      </c>
      <c r="M2278" t="s">
        <v>6201</v>
      </c>
    </row>
    <row r="2279" spans="1:13" x14ac:dyDescent="0.45">
      <c r="A2279" t="s">
        <v>13</v>
      </c>
      <c r="B2279">
        <v>2423945</v>
      </c>
      <c r="C2279">
        <v>2424913</v>
      </c>
      <c r="E2279" t="s">
        <v>14</v>
      </c>
      <c r="F2279" t="s">
        <v>6202</v>
      </c>
      <c r="H2279">
        <v>0</v>
      </c>
      <c r="I2279" t="s">
        <v>17</v>
      </c>
      <c r="K2279" t="s">
        <v>6203</v>
      </c>
      <c r="L2279">
        <v>322</v>
      </c>
      <c r="M2279" t="s">
        <v>6204</v>
      </c>
    </row>
    <row r="2280" spans="1:13" x14ac:dyDescent="0.45">
      <c r="A2280" t="s">
        <v>13</v>
      </c>
      <c r="B2280">
        <v>2425030</v>
      </c>
      <c r="C2280">
        <v>2426160</v>
      </c>
      <c r="E2280" t="s">
        <v>96</v>
      </c>
      <c r="F2280" t="s">
        <v>3723</v>
      </c>
      <c r="H2280">
        <v>0</v>
      </c>
      <c r="I2280" t="s">
        <v>17</v>
      </c>
      <c r="K2280" t="s">
        <v>6205</v>
      </c>
      <c r="L2280">
        <v>376</v>
      </c>
      <c r="M2280" t="s">
        <v>6206</v>
      </c>
    </row>
    <row r="2281" spans="1:13" x14ac:dyDescent="0.45">
      <c r="A2281" t="s">
        <v>13</v>
      </c>
      <c r="B2281">
        <v>2426313</v>
      </c>
      <c r="C2281">
        <v>2427266</v>
      </c>
      <c r="E2281" t="s">
        <v>96</v>
      </c>
      <c r="F2281" t="s">
        <v>6207</v>
      </c>
      <c r="G2281" t="s">
        <v>6208</v>
      </c>
      <c r="H2281">
        <v>0</v>
      </c>
      <c r="I2281" t="s">
        <v>17</v>
      </c>
      <c r="K2281" t="s">
        <v>6209</v>
      </c>
      <c r="L2281">
        <v>317</v>
      </c>
      <c r="M2281" t="s">
        <v>6210</v>
      </c>
    </row>
    <row r="2282" spans="1:13" x14ac:dyDescent="0.45">
      <c r="A2282" t="s">
        <v>13</v>
      </c>
      <c r="B2282">
        <v>2427390</v>
      </c>
      <c r="C2282">
        <v>2428295</v>
      </c>
      <c r="E2282" t="s">
        <v>96</v>
      </c>
      <c r="F2282" t="s">
        <v>1251</v>
      </c>
      <c r="H2282">
        <v>0</v>
      </c>
      <c r="I2282" t="s">
        <v>17</v>
      </c>
      <c r="K2282" t="s">
        <v>6211</v>
      </c>
      <c r="L2282">
        <v>301</v>
      </c>
      <c r="M2282" t="s">
        <v>6212</v>
      </c>
    </row>
    <row r="2283" spans="1:13" x14ac:dyDescent="0.45">
      <c r="A2283" t="s">
        <v>13</v>
      </c>
      <c r="B2283">
        <v>2428659</v>
      </c>
      <c r="C2283">
        <v>2430251</v>
      </c>
      <c r="E2283" t="s">
        <v>96</v>
      </c>
      <c r="F2283" t="s">
        <v>6213</v>
      </c>
      <c r="G2283" t="s">
        <v>6214</v>
      </c>
      <c r="H2283">
        <v>0</v>
      </c>
      <c r="I2283" t="s">
        <v>17</v>
      </c>
      <c r="K2283" t="s">
        <v>6215</v>
      </c>
      <c r="L2283">
        <v>530</v>
      </c>
      <c r="M2283" t="s">
        <v>6216</v>
      </c>
    </row>
    <row r="2284" spans="1:13" x14ac:dyDescent="0.45">
      <c r="A2284" t="s">
        <v>13</v>
      </c>
      <c r="B2284">
        <v>2430311</v>
      </c>
      <c r="C2284">
        <v>2431036</v>
      </c>
      <c r="E2284" t="s">
        <v>96</v>
      </c>
      <c r="F2284" t="s">
        <v>49</v>
      </c>
      <c r="H2284">
        <v>0</v>
      </c>
      <c r="I2284" t="s">
        <v>17</v>
      </c>
      <c r="K2284" t="s">
        <v>6217</v>
      </c>
      <c r="L2284">
        <v>241</v>
      </c>
      <c r="M2284" t="s">
        <v>6218</v>
      </c>
    </row>
    <row r="2285" spans="1:13" x14ac:dyDescent="0.45">
      <c r="A2285" t="s">
        <v>13</v>
      </c>
      <c r="B2285">
        <v>2431222</v>
      </c>
      <c r="C2285">
        <v>2431905</v>
      </c>
      <c r="E2285" t="s">
        <v>14</v>
      </c>
      <c r="F2285" t="s">
        <v>726</v>
      </c>
      <c r="H2285">
        <v>0</v>
      </c>
      <c r="I2285" t="s">
        <v>17</v>
      </c>
      <c r="K2285" t="s">
        <v>6219</v>
      </c>
      <c r="L2285">
        <v>227</v>
      </c>
      <c r="M2285" t="s">
        <v>6220</v>
      </c>
    </row>
    <row r="2286" spans="1:13" x14ac:dyDescent="0.45">
      <c r="A2286" t="s">
        <v>13</v>
      </c>
      <c r="B2286">
        <v>2432069</v>
      </c>
      <c r="C2286">
        <v>2433340</v>
      </c>
      <c r="E2286" t="s">
        <v>96</v>
      </c>
      <c r="F2286" t="s">
        <v>271</v>
      </c>
      <c r="H2286">
        <v>0</v>
      </c>
      <c r="I2286" t="s">
        <v>272</v>
      </c>
      <c r="M2286" t="s">
        <v>6221</v>
      </c>
    </row>
    <row r="2287" spans="1:13" x14ac:dyDescent="0.45">
      <c r="A2287" t="s">
        <v>13</v>
      </c>
      <c r="B2287">
        <v>2433932</v>
      </c>
      <c r="C2287">
        <v>2434681</v>
      </c>
      <c r="E2287" t="s">
        <v>96</v>
      </c>
      <c r="F2287" t="s">
        <v>2226</v>
      </c>
      <c r="H2287">
        <v>0</v>
      </c>
      <c r="I2287" t="s">
        <v>17</v>
      </c>
      <c r="K2287" t="s">
        <v>6222</v>
      </c>
      <c r="L2287">
        <v>249</v>
      </c>
      <c r="M2287" t="s">
        <v>6223</v>
      </c>
    </row>
    <row r="2288" spans="1:13" x14ac:dyDescent="0.45">
      <c r="A2288" t="s">
        <v>13</v>
      </c>
      <c r="B2288">
        <v>2434790</v>
      </c>
      <c r="C2288">
        <v>2435965</v>
      </c>
      <c r="E2288" t="s">
        <v>96</v>
      </c>
      <c r="F2288" t="s">
        <v>720</v>
      </c>
      <c r="H2288">
        <v>0</v>
      </c>
      <c r="I2288" t="s">
        <v>17</v>
      </c>
      <c r="K2288" t="s">
        <v>6224</v>
      </c>
      <c r="L2288">
        <v>391</v>
      </c>
      <c r="M2288" t="s">
        <v>6225</v>
      </c>
    </row>
    <row r="2289" spans="1:13" x14ac:dyDescent="0.45">
      <c r="A2289" t="s">
        <v>13</v>
      </c>
      <c r="B2289">
        <v>2436098</v>
      </c>
      <c r="C2289">
        <v>2436895</v>
      </c>
      <c r="E2289" t="s">
        <v>96</v>
      </c>
      <c r="F2289" t="s">
        <v>5062</v>
      </c>
      <c r="H2289">
        <v>0</v>
      </c>
      <c r="I2289" t="s">
        <v>17</v>
      </c>
      <c r="K2289" t="s">
        <v>6226</v>
      </c>
      <c r="L2289">
        <v>265</v>
      </c>
      <c r="M2289" t="s">
        <v>6227</v>
      </c>
    </row>
    <row r="2290" spans="1:13" x14ac:dyDescent="0.45">
      <c r="A2290" t="s">
        <v>13</v>
      </c>
      <c r="B2290">
        <v>2436955</v>
      </c>
      <c r="C2290">
        <v>2437617</v>
      </c>
      <c r="E2290" t="s">
        <v>96</v>
      </c>
      <c r="F2290" t="s">
        <v>2223</v>
      </c>
      <c r="H2290">
        <v>0</v>
      </c>
      <c r="I2290" t="s">
        <v>17</v>
      </c>
      <c r="K2290" t="s">
        <v>6228</v>
      </c>
      <c r="L2290">
        <v>220</v>
      </c>
      <c r="M2290" t="s">
        <v>6229</v>
      </c>
    </row>
    <row r="2291" spans="1:13" x14ac:dyDescent="0.45">
      <c r="A2291" t="s">
        <v>13</v>
      </c>
      <c r="B2291">
        <v>2437853</v>
      </c>
      <c r="C2291">
        <v>2438521</v>
      </c>
      <c r="E2291" t="s">
        <v>96</v>
      </c>
      <c r="F2291" t="s">
        <v>2223</v>
      </c>
      <c r="H2291">
        <v>0</v>
      </c>
      <c r="I2291" t="s">
        <v>17</v>
      </c>
      <c r="K2291" t="s">
        <v>6230</v>
      </c>
      <c r="L2291">
        <v>222</v>
      </c>
      <c r="M2291" t="s">
        <v>6231</v>
      </c>
    </row>
    <row r="2292" spans="1:13" x14ac:dyDescent="0.45">
      <c r="A2292" t="s">
        <v>13</v>
      </c>
      <c r="B2292">
        <v>2438514</v>
      </c>
      <c r="C2292">
        <v>2439317</v>
      </c>
      <c r="E2292" t="s">
        <v>96</v>
      </c>
      <c r="F2292" t="s">
        <v>2220</v>
      </c>
      <c r="H2292">
        <v>0</v>
      </c>
      <c r="I2292" t="s">
        <v>17</v>
      </c>
      <c r="K2292" t="s">
        <v>6232</v>
      </c>
      <c r="L2292">
        <v>267</v>
      </c>
      <c r="M2292" t="s">
        <v>6233</v>
      </c>
    </row>
    <row r="2293" spans="1:13" x14ac:dyDescent="0.45">
      <c r="A2293" t="s">
        <v>13</v>
      </c>
      <c r="B2293">
        <v>2439724</v>
      </c>
      <c r="C2293">
        <v>2440146</v>
      </c>
      <c r="E2293" t="s">
        <v>96</v>
      </c>
      <c r="F2293" t="s">
        <v>751</v>
      </c>
      <c r="H2293">
        <v>0</v>
      </c>
      <c r="I2293" t="s">
        <v>17</v>
      </c>
      <c r="K2293" t="s">
        <v>6234</v>
      </c>
      <c r="L2293">
        <v>140</v>
      </c>
      <c r="M2293" t="s">
        <v>6235</v>
      </c>
    </row>
    <row r="2294" spans="1:13" x14ac:dyDescent="0.45">
      <c r="A2294" t="s">
        <v>13</v>
      </c>
      <c r="B2294">
        <v>2440160</v>
      </c>
      <c r="C2294">
        <v>2442337</v>
      </c>
      <c r="E2294" t="s">
        <v>96</v>
      </c>
      <c r="F2294" t="s">
        <v>6236</v>
      </c>
      <c r="H2294">
        <v>0</v>
      </c>
      <c r="I2294" t="s">
        <v>17</v>
      </c>
      <c r="K2294" t="s">
        <v>6237</v>
      </c>
      <c r="L2294">
        <v>725</v>
      </c>
      <c r="M2294" t="s">
        <v>6238</v>
      </c>
    </row>
    <row r="2295" spans="1:13" x14ac:dyDescent="0.45">
      <c r="A2295" t="s">
        <v>13</v>
      </c>
      <c r="B2295">
        <v>2442618</v>
      </c>
      <c r="C2295">
        <v>2445797</v>
      </c>
      <c r="E2295" t="s">
        <v>14</v>
      </c>
      <c r="F2295" t="s">
        <v>2257</v>
      </c>
      <c r="H2295">
        <v>0</v>
      </c>
      <c r="I2295" t="s">
        <v>17</v>
      </c>
      <c r="K2295" t="s">
        <v>6239</v>
      </c>
      <c r="L2295">
        <v>1059</v>
      </c>
      <c r="M2295" t="s">
        <v>6240</v>
      </c>
    </row>
    <row r="2296" spans="1:13" x14ac:dyDescent="0.45">
      <c r="A2296" t="s">
        <v>13</v>
      </c>
      <c r="B2296">
        <v>2446082</v>
      </c>
      <c r="C2296">
        <v>2446846</v>
      </c>
      <c r="E2296" t="s">
        <v>96</v>
      </c>
      <c r="F2296" t="s">
        <v>1876</v>
      </c>
      <c r="H2296">
        <v>0</v>
      </c>
      <c r="I2296" t="s">
        <v>17</v>
      </c>
      <c r="K2296" t="s">
        <v>6241</v>
      </c>
      <c r="L2296">
        <v>254</v>
      </c>
      <c r="M2296" t="s">
        <v>6242</v>
      </c>
    </row>
    <row r="2297" spans="1:13" x14ac:dyDescent="0.45">
      <c r="A2297" t="s">
        <v>13</v>
      </c>
      <c r="B2297">
        <v>2447083</v>
      </c>
      <c r="C2297">
        <v>2448576</v>
      </c>
      <c r="E2297" t="s">
        <v>96</v>
      </c>
      <c r="F2297" t="s">
        <v>2257</v>
      </c>
      <c r="H2297">
        <v>0</v>
      </c>
      <c r="I2297" t="s">
        <v>17</v>
      </c>
      <c r="K2297" t="s">
        <v>6243</v>
      </c>
      <c r="L2297">
        <v>497</v>
      </c>
      <c r="M2297" t="s">
        <v>6244</v>
      </c>
    </row>
    <row r="2298" spans="1:13" x14ac:dyDescent="0.45">
      <c r="A2298" t="s">
        <v>13</v>
      </c>
      <c r="B2298">
        <v>2448901</v>
      </c>
      <c r="C2298">
        <v>2449443</v>
      </c>
      <c r="E2298" t="s">
        <v>96</v>
      </c>
      <c r="F2298" t="s">
        <v>2331</v>
      </c>
      <c r="H2298">
        <v>0</v>
      </c>
      <c r="I2298" t="s">
        <v>17</v>
      </c>
      <c r="K2298" t="s">
        <v>6245</v>
      </c>
      <c r="L2298">
        <v>180</v>
      </c>
      <c r="M2298" t="s">
        <v>6246</v>
      </c>
    </row>
    <row r="2299" spans="1:13" x14ac:dyDescent="0.45">
      <c r="A2299" t="s">
        <v>13</v>
      </c>
      <c r="B2299">
        <v>2449733</v>
      </c>
      <c r="C2299">
        <v>2450680</v>
      </c>
      <c r="E2299" t="s">
        <v>96</v>
      </c>
      <c r="F2299" t="s">
        <v>43</v>
      </c>
      <c r="H2299">
        <v>0</v>
      </c>
      <c r="I2299" t="s">
        <v>17</v>
      </c>
      <c r="K2299" t="s">
        <v>6247</v>
      </c>
      <c r="L2299">
        <v>315</v>
      </c>
      <c r="M2299" t="s">
        <v>6248</v>
      </c>
    </row>
    <row r="2300" spans="1:13" x14ac:dyDescent="0.45">
      <c r="A2300" t="s">
        <v>13</v>
      </c>
      <c r="B2300">
        <v>2450708</v>
      </c>
      <c r="C2300">
        <v>2451199</v>
      </c>
      <c r="E2300" t="s">
        <v>96</v>
      </c>
      <c r="F2300" t="s">
        <v>6249</v>
      </c>
      <c r="H2300">
        <v>0</v>
      </c>
      <c r="I2300" t="s">
        <v>17</v>
      </c>
      <c r="K2300" t="s">
        <v>6250</v>
      </c>
      <c r="L2300">
        <v>163</v>
      </c>
      <c r="M2300" t="s">
        <v>6251</v>
      </c>
    </row>
    <row r="2301" spans="1:13" x14ac:dyDescent="0.45">
      <c r="A2301" t="s">
        <v>13</v>
      </c>
      <c r="B2301">
        <v>2451433</v>
      </c>
      <c r="C2301">
        <v>2453733</v>
      </c>
      <c r="E2301" t="s">
        <v>96</v>
      </c>
      <c r="F2301" t="s">
        <v>6252</v>
      </c>
      <c r="H2301">
        <v>0</v>
      </c>
      <c r="I2301" t="s">
        <v>17</v>
      </c>
      <c r="K2301" t="s">
        <v>6253</v>
      </c>
      <c r="L2301">
        <v>766</v>
      </c>
      <c r="M2301" t="s">
        <v>6254</v>
      </c>
    </row>
    <row r="2302" spans="1:13" x14ac:dyDescent="0.45">
      <c r="A2302" t="s">
        <v>13</v>
      </c>
      <c r="B2302">
        <v>2453781</v>
      </c>
      <c r="C2302">
        <v>2454674</v>
      </c>
      <c r="E2302" t="s">
        <v>96</v>
      </c>
      <c r="F2302" t="s">
        <v>2800</v>
      </c>
      <c r="H2302">
        <v>0</v>
      </c>
      <c r="I2302" t="s">
        <v>17</v>
      </c>
      <c r="K2302" t="s">
        <v>6255</v>
      </c>
      <c r="L2302">
        <v>297</v>
      </c>
      <c r="M2302" t="s">
        <v>6256</v>
      </c>
    </row>
    <row r="2303" spans="1:13" x14ac:dyDescent="0.45">
      <c r="A2303" t="s">
        <v>13</v>
      </c>
      <c r="B2303">
        <v>2454900</v>
      </c>
      <c r="C2303">
        <v>2457185</v>
      </c>
      <c r="E2303" t="s">
        <v>96</v>
      </c>
      <c r="F2303" t="s">
        <v>6257</v>
      </c>
      <c r="H2303">
        <v>0</v>
      </c>
      <c r="I2303" t="s">
        <v>17</v>
      </c>
      <c r="K2303" t="s">
        <v>6258</v>
      </c>
      <c r="L2303">
        <v>761</v>
      </c>
      <c r="M2303" t="s">
        <v>6259</v>
      </c>
    </row>
    <row r="2304" spans="1:13" x14ac:dyDescent="0.45">
      <c r="A2304" t="s">
        <v>13</v>
      </c>
      <c r="B2304">
        <v>2457182</v>
      </c>
      <c r="C2304">
        <v>2457862</v>
      </c>
      <c r="E2304" t="s">
        <v>96</v>
      </c>
      <c r="F2304" t="s">
        <v>6260</v>
      </c>
      <c r="G2304" t="s">
        <v>6261</v>
      </c>
      <c r="H2304">
        <v>0</v>
      </c>
      <c r="I2304" t="s">
        <v>17</v>
      </c>
      <c r="K2304" t="s">
        <v>6262</v>
      </c>
      <c r="L2304">
        <v>226</v>
      </c>
      <c r="M2304" t="s">
        <v>6263</v>
      </c>
    </row>
    <row r="2305" spans="1:13" x14ac:dyDescent="0.45">
      <c r="A2305" t="s">
        <v>13</v>
      </c>
      <c r="B2305">
        <v>2458086</v>
      </c>
      <c r="C2305">
        <v>2459969</v>
      </c>
      <c r="E2305" t="s">
        <v>96</v>
      </c>
      <c r="F2305" t="s">
        <v>2596</v>
      </c>
      <c r="H2305">
        <v>0</v>
      </c>
      <c r="I2305" t="s">
        <v>17</v>
      </c>
      <c r="K2305" t="s">
        <v>6264</v>
      </c>
      <c r="L2305">
        <v>627</v>
      </c>
      <c r="M2305" t="s">
        <v>6265</v>
      </c>
    </row>
    <row r="2306" spans="1:13" x14ac:dyDescent="0.45">
      <c r="A2306" t="s">
        <v>13</v>
      </c>
      <c r="B2306">
        <v>2460227</v>
      </c>
      <c r="C2306">
        <v>2461048</v>
      </c>
      <c r="E2306" t="s">
        <v>96</v>
      </c>
      <c r="F2306" t="s">
        <v>2914</v>
      </c>
      <c r="H2306">
        <v>0</v>
      </c>
      <c r="I2306" t="s">
        <v>17</v>
      </c>
      <c r="K2306" t="s">
        <v>6266</v>
      </c>
      <c r="L2306">
        <v>273</v>
      </c>
      <c r="M2306" t="s">
        <v>6267</v>
      </c>
    </row>
    <row r="2307" spans="1:13" x14ac:dyDescent="0.45">
      <c r="A2307" t="s">
        <v>13</v>
      </c>
      <c r="B2307">
        <v>2461239</v>
      </c>
      <c r="C2307">
        <v>2461592</v>
      </c>
      <c r="E2307" t="s">
        <v>96</v>
      </c>
      <c r="F2307" t="s">
        <v>43</v>
      </c>
      <c r="H2307">
        <v>0</v>
      </c>
      <c r="I2307" t="s">
        <v>17</v>
      </c>
      <c r="K2307" t="s">
        <v>6268</v>
      </c>
      <c r="L2307">
        <v>117</v>
      </c>
      <c r="M2307" t="s">
        <v>6269</v>
      </c>
    </row>
    <row r="2308" spans="1:13" x14ac:dyDescent="0.45">
      <c r="A2308" t="s">
        <v>13</v>
      </c>
      <c r="B2308">
        <v>2461634</v>
      </c>
      <c r="C2308">
        <v>2463076</v>
      </c>
      <c r="E2308" t="s">
        <v>96</v>
      </c>
      <c r="F2308" t="s">
        <v>4483</v>
      </c>
      <c r="H2308">
        <v>0</v>
      </c>
      <c r="I2308" t="s">
        <v>17</v>
      </c>
      <c r="K2308" t="s">
        <v>6270</v>
      </c>
      <c r="L2308">
        <v>480</v>
      </c>
      <c r="M2308" t="s">
        <v>6271</v>
      </c>
    </row>
    <row r="2309" spans="1:13" x14ac:dyDescent="0.45">
      <c r="A2309" t="s">
        <v>13</v>
      </c>
      <c r="B2309">
        <v>2463752</v>
      </c>
      <c r="C2309">
        <v>2464963</v>
      </c>
      <c r="E2309" t="s">
        <v>14</v>
      </c>
      <c r="F2309" t="s">
        <v>6272</v>
      </c>
      <c r="H2309">
        <v>0</v>
      </c>
      <c r="I2309" t="s">
        <v>17</v>
      </c>
      <c r="K2309" t="s">
        <v>6273</v>
      </c>
      <c r="L2309">
        <v>403</v>
      </c>
      <c r="M2309" t="s">
        <v>6274</v>
      </c>
    </row>
    <row r="2310" spans="1:13" x14ac:dyDescent="0.45">
      <c r="A2310" t="s">
        <v>13</v>
      </c>
      <c r="B2310">
        <v>2465055</v>
      </c>
      <c r="C2310">
        <v>2465570</v>
      </c>
      <c r="E2310" t="s">
        <v>14</v>
      </c>
      <c r="F2310" t="s">
        <v>6275</v>
      </c>
      <c r="H2310">
        <v>0</v>
      </c>
      <c r="I2310" t="s">
        <v>17</v>
      </c>
      <c r="K2310" t="s">
        <v>6276</v>
      </c>
      <c r="L2310">
        <v>171</v>
      </c>
      <c r="M2310" t="s">
        <v>6277</v>
      </c>
    </row>
    <row r="2311" spans="1:13" x14ac:dyDescent="0.45">
      <c r="A2311" t="s">
        <v>13</v>
      </c>
      <c r="B2311">
        <v>2465837</v>
      </c>
      <c r="C2311">
        <v>2467936</v>
      </c>
      <c r="E2311" t="s">
        <v>96</v>
      </c>
      <c r="F2311" t="s">
        <v>6278</v>
      </c>
      <c r="H2311">
        <v>0</v>
      </c>
      <c r="I2311" t="s">
        <v>17</v>
      </c>
      <c r="K2311" t="s">
        <v>6279</v>
      </c>
      <c r="L2311">
        <v>699</v>
      </c>
      <c r="M2311" t="s">
        <v>6280</v>
      </c>
    </row>
    <row r="2312" spans="1:13" x14ac:dyDescent="0.45">
      <c r="A2312" t="s">
        <v>13</v>
      </c>
      <c r="B2312">
        <v>2468060</v>
      </c>
      <c r="C2312">
        <v>2468599</v>
      </c>
      <c r="E2312" t="s">
        <v>96</v>
      </c>
      <c r="F2312" t="s">
        <v>557</v>
      </c>
      <c r="H2312">
        <v>0</v>
      </c>
      <c r="I2312" t="s">
        <v>17</v>
      </c>
      <c r="K2312" t="s">
        <v>6281</v>
      </c>
      <c r="L2312">
        <v>179</v>
      </c>
      <c r="M2312" t="s">
        <v>6282</v>
      </c>
    </row>
    <row r="2313" spans="1:13" x14ac:dyDescent="0.45">
      <c r="A2313" t="s">
        <v>13</v>
      </c>
      <c r="B2313">
        <v>2468602</v>
      </c>
      <c r="C2313">
        <v>2469342</v>
      </c>
      <c r="E2313" t="s">
        <v>96</v>
      </c>
      <c r="F2313" t="s">
        <v>554</v>
      </c>
      <c r="H2313">
        <v>0</v>
      </c>
      <c r="I2313" t="s">
        <v>17</v>
      </c>
      <c r="K2313" t="s">
        <v>6283</v>
      </c>
      <c r="L2313">
        <v>246</v>
      </c>
      <c r="M2313" t="s">
        <v>6284</v>
      </c>
    </row>
    <row r="2314" spans="1:13" x14ac:dyDescent="0.45">
      <c r="A2314" t="s">
        <v>13</v>
      </c>
      <c r="B2314">
        <v>2469344</v>
      </c>
      <c r="C2314">
        <v>2470393</v>
      </c>
      <c r="E2314" t="s">
        <v>96</v>
      </c>
      <c r="F2314" t="s">
        <v>551</v>
      </c>
      <c r="G2314" t="s">
        <v>6285</v>
      </c>
      <c r="H2314">
        <v>0</v>
      </c>
      <c r="I2314" t="s">
        <v>17</v>
      </c>
      <c r="K2314" t="s">
        <v>6286</v>
      </c>
      <c r="L2314">
        <v>349</v>
      </c>
      <c r="M2314" t="s">
        <v>6287</v>
      </c>
    </row>
    <row r="2315" spans="1:13" x14ac:dyDescent="0.45">
      <c r="A2315" t="s">
        <v>13</v>
      </c>
      <c r="B2315">
        <v>2470410</v>
      </c>
      <c r="C2315">
        <v>2470628</v>
      </c>
      <c r="E2315" t="s">
        <v>96</v>
      </c>
      <c r="F2315" t="s">
        <v>548</v>
      </c>
      <c r="H2315">
        <v>0</v>
      </c>
      <c r="I2315" t="s">
        <v>17</v>
      </c>
      <c r="K2315" t="s">
        <v>6288</v>
      </c>
      <c r="L2315">
        <v>72</v>
      </c>
      <c r="M2315" t="s">
        <v>6289</v>
      </c>
    </row>
    <row r="2316" spans="1:13" x14ac:dyDescent="0.45">
      <c r="A2316" t="s">
        <v>13</v>
      </c>
      <c r="B2316">
        <v>2470661</v>
      </c>
      <c r="C2316">
        <v>2471764</v>
      </c>
      <c r="E2316" t="s">
        <v>96</v>
      </c>
      <c r="F2316" t="s">
        <v>4266</v>
      </c>
      <c r="G2316" t="s">
        <v>4267</v>
      </c>
      <c r="H2316">
        <v>0</v>
      </c>
      <c r="I2316" t="s">
        <v>17</v>
      </c>
      <c r="K2316" t="s">
        <v>6290</v>
      </c>
      <c r="L2316">
        <v>367</v>
      </c>
      <c r="M2316" t="s">
        <v>6291</v>
      </c>
    </row>
    <row r="2317" spans="1:13" x14ac:dyDescent="0.45">
      <c r="A2317" t="s">
        <v>13</v>
      </c>
      <c r="B2317">
        <v>2471867</v>
      </c>
      <c r="C2317">
        <v>2473297</v>
      </c>
      <c r="E2317" t="s">
        <v>96</v>
      </c>
      <c r="F2317" t="s">
        <v>205</v>
      </c>
      <c r="H2317">
        <v>0</v>
      </c>
      <c r="I2317" t="s">
        <v>17</v>
      </c>
      <c r="K2317" t="s">
        <v>6292</v>
      </c>
      <c r="L2317">
        <v>476</v>
      </c>
      <c r="M2317" t="s">
        <v>6293</v>
      </c>
    </row>
    <row r="2318" spans="1:13" x14ac:dyDescent="0.45">
      <c r="A2318" t="s">
        <v>13</v>
      </c>
      <c r="B2318">
        <v>2473955</v>
      </c>
      <c r="C2318">
        <v>2475319</v>
      </c>
      <c r="E2318" t="s">
        <v>14</v>
      </c>
      <c r="F2318" t="s">
        <v>6294</v>
      </c>
      <c r="H2318">
        <v>0</v>
      </c>
      <c r="I2318" t="s">
        <v>17</v>
      </c>
      <c r="K2318" t="s">
        <v>6295</v>
      </c>
      <c r="L2318">
        <v>454</v>
      </c>
      <c r="M2318" t="s">
        <v>6296</v>
      </c>
    </row>
    <row r="2319" spans="1:13" x14ac:dyDescent="0.45">
      <c r="A2319" t="s">
        <v>13</v>
      </c>
      <c r="B2319">
        <v>2475343</v>
      </c>
      <c r="C2319">
        <v>2475996</v>
      </c>
      <c r="E2319" t="s">
        <v>14</v>
      </c>
      <c r="F2319" t="s">
        <v>1178</v>
      </c>
      <c r="H2319">
        <v>0</v>
      </c>
      <c r="I2319" t="s">
        <v>17</v>
      </c>
      <c r="K2319" t="s">
        <v>6297</v>
      </c>
      <c r="L2319">
        <v>217</v>
      </c>
      <c r="M2319" t="s">
        <v>6298</v>
      </c>
    </row>
    <row r="2320" spans="1:13" x14ac:dyDescent="0.45">
      <c r="A2320" t="s">
        <v>13</v>
      </c>
      <c r="B2320">
        <v>2476115</v>
      </c>
      <c r="C2320">
        <v>2476897</v>
      </c>
      <c r="E2320" t="s">
        <v>96</v>
      </c>
      <c r="F2320" t="s">
        <v>2536</v>
      </c>
      <c r="H2320">
        <v>0</v>
      </c>
      <c r="I2320" t="s">
        <v>17</v>
      </c>
      <c r="K2320" t="s">
        <v>6299</v>
      </c>
      <c r="L2320">
        <v>260</v>
      </c>
      <c r="M2320" t="s">
        <v>6300</v>
      </c>
    </row>
    <row r="2321" spans="1:13" x14ac:dyDescent="0.45">
      <c r="A2321" t="s">
        <v>13</v>
      </c>
      <c r="B2321">
        <v>2477014</v>
      </c>
      <c r="C2321">
        <v>2478180</v>
      </c>
      <c r="E2321" t="s">
        <v>96</v>
      </c>
      <c r="F2321" t="s">
        <v>2834</v>
      </c>
      <c r="H2321">
        <v>0</v>
      </c>
      <c r="I2321" t="s">
        <v>17</v>
      </c>
      <c r="K2321" t="s">
        <v>6301</v>
      </c>
      <c r="L2321">
        <v>388</v>
      </c>
      <c r="M2321" t="s">
        <v>6302</v>
      </c>
    </row>
    <row r="2322" spans="1:13" x14ac:dyDescent="0.45">
      <c r="A2322" t="s">
        <v>13</v>
      </c>
      <c r="B2322">
        <v>2478319</v>
      </c>
      <c r="C2322">
        <v>2479683</v>
      </c>
      <c r="E2322" t="s">
        <v>96</v>
      </c>
      <c r="F2322" t="s">
        <v>6303</v>
      </c>
      <c r="H2322">
        <v>0</v>
      </c>
      <c r="I2322" t="s">
        <v>17</v>
      </c>
      <c r="K2322" t="s">
        <v>6304</v>
      </c>
      <c r="L2322">
        <v>454</v>
      </c>
      <c r="M2322" t="s">
        <v>6305</v>
      </c>
    </row>
    <row r="2323" spans="1:13" x14ac:dyDescent="0.45">
      <c r="A2323" t="s">
        <v>13</v>
      </c>
      <c r="B2323">
        <v>2479995</v>
      </c>
      <c r="C2323">
        <v>2480519</v>
      </c>
      <c r="E2323" t="s">
        <v>96</v>
      </c>
      <c r="F2323" t="s">
        <v>4801</v>
      </c>
      <c r="H2323">
        <v>0</v>
      </c>
      <c r="I2323" t="s">
        <v>17</v>
      </c>
      <c r="K2323" t="s">
        <v>6306</v>
      </c>
      <c r="L2323">
        <v>174</v>
      </c>
      <c r="M2323" t="s">
        <v>6307</v>
      </c>
    </row>
    <row r="2324" spans="1:13" x14ac:dyDescent="0.45">
      <c r="A2324" t="s">
        <v>13</v>
      </c>
      <c r="B2324">
        <v>2480569</v>
      </c>
      <c r="C2324">
        <v>2481066</v>
      </c>
      <c r="E2324" t="s">
        <v>96</v>
      </c>
      <c r="F2324" t="s">
        <v>1485</v>
      </c>
      <c r="H2324">
        <v>0</v>
      </c>
      <c r="I2324" t="s">
        <v>17</v>
      </c>
      <c r="K2324" t="s">
        <v>6308</v>
      </c>
      <c r="L2324">
        <v>165</v>
      </c>
      <c r="M2324" t="s">
        <v>6309</v>
      </c>
    </row>
    <row r="2325" spans="1:13" x14ac:dyDescent="0.45">
      <c r="A2325" t="s">
        <v>13</v>
      </c>
      <c r="B2325">
        <v>2481299</v>
      </c>
      <c r="C2325">
        <v>2482570</v>
      </c>
      <c r="E2325" t="s">
        <v>96</v>
      </c>
      <c r="F2325" t="s">
        <v>2342</v>
      </c>
      <c r="G2325" t="s">
        <v>2343</v>
      </c>
      <c r="H2325">
        <v>0</v>
      </c>
      <c r="I2325" t="s">
        <v>17</v>
      </c>
      <c r="K2325" t="s">
        <v>6310</v>
      </c>
      <c r="L2325">
        <v>423</v>
      </c>
      <c r="M2325" t="s">
        <v>6311</v>
      </c>
    </row>
    <row r="2326" spans="1:13" x14ac:dyDescent="0.45">
      <c r="A2326" t="s">
        <v>13</v>
      </c>
      <c r="B2326">
        <v>2483295</v>
      </c>
      <c r="C2326">
        <v>2485127</v>
      </c>
      <c r="E2326" t="s">
        <v>96</v>
      </c>
      <c r="F2326" t="s">
        <v>1140</v>
      </c>
      <c r="H2326">
        <v>0</v>
      </c>
      <c r="I2326" t="s">
        <v>17</v>
      </c>
      <c r="K2326" t="s">
        <v>6312</v>
      </c>
      <c r="L2326">
        <v>610</v>
      </c>
      <c r="M2326" t="s">
        <v>6313</v>
      </c>
    </row>
    <row r="2327" spans="1:13" x14ac:dyDescent="0.45">
      <c r="A2327" t="s">
        <v>13</v>
      </c>
      <c r="B2327">
        <v>2485120</v>
      </c>
      <c r="C2327">
        <v>2487366</v>
      </c>
      <c r="E2327" t="s">
        <v>96</v>
      </c>
      <c r="F2327" t="s">
        <v>1140</v>
      </c>
      <c r="H2327">
        <v>0</v>
      </c>
      <c r="I2327" t="s">
        <v>17</v>
      </c>
      <c r="K2327" t="s">
        <v>6314</v>
      </c>
      <c r="L2327">
        <v>748</v>
      </c>
      <c r="M2327" t="s">
        <v>6315</v>
      </c>
    </row>
    <row r="2328" spans="1:13" x14ac:dyDescent="0.45">
      <c r="A2328" t="s">
        <v>13</v>
      </c>
      <c r="B2328">
        <v>2487434</v>
      </c>
      <c r="C2328">
        <v>2487895</v>
      </c>
      <c r="E2328" t="s">
        <v>96</v>
      </c>
      <c r="F2328" t="s">
        <v>1485</v>
      </c>
      <c r="H2328">
        <v>0</v>
      </c>
      <c r="I2328" t="s">
        <v>17</v>
      </c>
      <c r="K2328" t="s">
        <v>6316</v>
      </c>
      <c r="L2328">
        <v>153</v>
      </c>
      <c r="M2328" t="s">
        <v>6317</v>
      </c>
    </row>
    <row r="2329" spans="1:13" x14ac:dyDescent="0.45">
      <c r="A2329" t="s">
        <v>13</v>
      </c>
      <c r="B2329">
        <v>2488200</v>
      </c>
      <c r="C2329">
        <v>2488766</v>
      </c>
      <c r="E2329" t="s">
        <v>96</v>
      </c>
      <c r="F2329" t="s">
        <v>6318</v>
      </c>
      <c r="H2329">
        <v>0</v>
      </c>
      <c r="I2329" t="s">
        <v>17</v>
      </c>
      <c r="K2329" t="s">
        <v>6319</v>
      </c>
      <c r="L2329">
        <v>188</v>
      </c>
      <c r="M2329" t="s">
        <v>6320</v>
      </c>
    </row>
    <row r="2330" spans="1:13" x14ac:dyDescent="0.45">
      <c r="A2330" t="s">
        <v>13</v>
      </c>
      <c r="B2330">
        <v>2489453</v>
      </c>
      <c r="C2330">
        <v>2489791</v>
      </c>
      <c r="E2330" t="s">
        <v>14</v>
      </c>
      <c r="F2330" t="s">
        <v>1134</v>
      </c>
      <c r="H2330">
        <v>0</v>
      </c>
      <c r="I2330" t="s">
        <v>17</v>
      </c>
      <c r="K2330" t="s">
        <v>6321</v>
      </c>
      <c r="L2330">
        <v>112</v>
      </c>
      <c r="M2330" t="s">
        <v>6322</v>
      </c>
    </row>
    <row r="2331" spans="1:13" x14ac:dyDescent="0.45">
      <c r="A2331" t="s">
        <v>13</v>
      </c>
      <c r="B2331">
        <v>2489792</v>
      </c>
      <c r="C2331">
        <v>2490130</v>
      </c>
      <c r="E2331" t="s">
        <v>14</v>
      </c>
      <c r="F2331" t="s">
        <v>1134</v>
      </c>
      <c r="H2331">
        <v>0</v>
      </c>
      <c r="I2331" t="s">
        <v>17</v>
      </c>
      <c r="K2331" t="s">
        <v>6323</v>
      </c>
      <c r="L2331">
        <v>112</v>
      </c>
      <c r="M2331" t="s">
        <v>6324</v>
      </c>
    </row>
    <row r="2332" spans="1:13" x14ac:dyDescent="0.45">
      <c r="A2332" t="s">
        <v>13</v>
      </c>
      <c r="B2332">
        <v>2490280</v>
      </c>
      <c r="C2332">
        <v>2490957</v>
      </c>
      <c r="E2332" t="s">
        <v>14</v>
      </c>
      <c r="F2332" t="s">
        <v>43</v>
      </c>
      <c r="H2332">
        <v>0</v>
      </c>
      <c r="I2332" t="s">
        <v>17</v>
      </c>
      <c r="K2332" t="s">
        <v>6325</v>
      </c>
      <c r="L2332">
        <v>225</v>
      </c>
      <c r="M2332" t="s">
        <v>6326</v>
      </c>
    </row>
    <row r="2333" spans="1:13" x14ac:dyDescent="0.45">
      <c r="A2333" t="s">
        <v>13</v>
      </c>
      <c r="B2333">
        <v>2491285</v>
      </c>
      <c r="C2333">
        <v>2492052</v>
      </c>
      <c r="E2333" t="s">
        <v>96</v>
      </c>
      <c r="F2333" t="s">
        <v>6327</v>
      </c>
      <c r="G2333" t="s">
        <v>6328</v>
      </c>
      <c r="H2333">
        <v>0</v>
      </c>
      <c r="I2333" t="s">
        <v>17</v>
      </c>
      <c r="K2333" t="s">
        <v>6329</v>
      </c>
      <c r="L2333">
        <v>255</v>
      </c>
      <c r="M2333" t="s">
        <v>6330</v>
      </c>
    </row>
    <row r="2334" spans="1:13" x14ac:dyDescent="0.45">
      <c r="A2334" t="s">
        <v>13</v>
      </c>
      <c r="B2334">
        <v>2492858</v>
      </c>
      <c r="C2334">
        <v>2493490</v>
      </c>
      <c r="E2334" t="s">
        <v>14</v>
      </c>
      <c r="F2334" t="s">
        <v>6331</v>
      </c>
      <c r="H2334">
        <v>0</v>
      </c>
      <c r="I2334" t="s">
        <v>17</v>
      </c>
      <c r="K2334" t="s">
        <v>6332</v>
      </c>
      <c r="L2334">
        <v>210</v>
      </c>
      <c r="M2334" t="s">
        <v>6333</v>
      </c>
    </row>
    <row r="2335" spans="1:13" x14ac:dyDescent="0.45">
      <c r="A2335" t="s">
        <v>13</v>
      </c>
      <c r="B2335">
        <v>2493861</v>
      </c>
      <c r="C2335">
        <v>2494730</v>
      </c>
      <c r="E2335" t="s">
        <v>96</v>
      </c>
      <c r="F2335" t="s">
        <v>2166</v>
      </c>
      <c r="H2335">
        <v>0</v>
      </c>
      <c r="I2335" t="s">
        <v>17</v>
      </c>
      <c r="K2335" t="s">
        <v>6334</v>
      </c>
      <c r="L2335">
        <v>289</v>
      </c>
      <c r="M2335" t="s">
        <v>6335</v>
      </c>
    </row>
    <row r="2336" spans="1:13" x14ac:dyDescent="0.45">
      <c r="A2336" t="s">
        <v>13</v>
      </c>
      <c r="B2336">
        <v>2494827</v>
      </c>
      <c r="C2336">
        <v>2495684</v>
      </c>
      <c r="E2336" t="s">
        <v>96</v>
      </c>
      <c r="F2336" t="s">
        <v>2536</v>
      </c>
      <c r="H2336">
        <v>0</v>
      </c>
      <c r="I2336" t="s">
        <v>17</v>
      </c>
      <c r="K2336" t="s">
        <v>6336</v>
      </c>
      <c r="L2336">
        <v>285</v>
      </c>
      <c r="M2336" t="s">
        <v>6337</v>
      </c>
    </row>
    <row r="2337" spans="1:13" x14ac:dyDescent="0.45">
      <c r="A2337" t="s">
        <v>13</v>
      </c>
      <c r="B2337">
        <v>2495899</v>
      </c>
      <c r="C2337">
        <v>2497917</v>
      </c>
      <c r="E2337" t="s">
        <v>96</v>
      </c>
      <c r="F2337" t="s">
        <v>6338</v>
      </c>
      <c r="H2337">
        <v>0</v>
      </c>
      <c r="I2337" t="s">
        <v>17</v>
      </c>
      <c r="K2337" t="s">
        <v>6339</v>
      </c>
      <c r="L2337">
        <v>672</v>
      </c>
      <c r="M2337" t="s">
        <v>6340</v>
      </c>
    </row>
    <row r="2338" spans="1:13" x14ac:dyDescent="0.45">
      <c r="A2338" t="s">
        <v>13</v>
      </c>
      <c r="B2338">
        <v>2498188</v>
      </c>
      <c r="C2338">
        <v>2498964</v>
      </c>
      <c r="E2338" t="s">
        <v>96</v>
      </c>
      <c r="F2338" t="s">
        <v>6341</v>
      </c>
      <c r="H2338">
        <v>0</v>
      </c>
      <c r="I2338" t="s">
        <v>17</v>
      </c>
      <c r="K2338" t="s">
        <v>6342</v>
      </c>
      <c r="L2338">
        <v>258</v>
      </c>
      <c r="M2338" t="s">
        <v>6343</v>
      </c>
    </row>
    <row r="2339" spans="1:13" x14ac:dyDescent="0.45">
      <c r="A2339" t="s">
        <v>13</v>
      </c>
      <c r="B2339">
        <v>2499021</v>
      </c>
      <c r="C2339">
        <v>2499992</v>
      </c>
      <c r="E2339" t="s">
        <v>96</v>
      </c>
      <c r="F2339" t="s">
        <v>6344</v>
      </c>
      <c r="G2339" t="s">
        <v>6345</v>
      </c>
      <c r="H2339">
        <v>0</v>
      </c>
      <c r="I2339" t="s">
        <v>17</v>
      </c>
      <c r="K2339" t="s">
        <v>6346</v>
      </c>
      <c r="L2339">
        <v>323</v>
      </c>
      <c r="M2339" t="s">
        <v>6347</v>
      </c>
    </row>
    <row r="2340" spans="1:13" x14ac:dyDescent="0.45">
      <c r="A2340" t="s">
        <v>13</v>
      </c>
      <c r="B2340">
        <v>2500005</v>
      </c>
      <c r="C2340">
        <v>2500796</v>
      </c>
      <c r="E2340" t="s">
        <v>96</v>
      </c>
      <c r="F2340" t="s">
        <v>6348</v>
      </c>
      <c r="G2340" t="s">
        <v>6349</v>
      </c>
      <c r="H2340">
        <v>0</v>
      </c>
      <c r="I2340" t="s">
        <v>17</v>
      </c>
      <c r="K2340" t="s">
        <v>6350</v>
      </c>
      <c r="L2340">
        <v>263</v>
      </c>
      <c r="M2340" t="s">
        <v>6351</v>
      </c>
    </row>
    <row r="2341" spans="1:13" x14ac:dyDescent="0.45">
      <c r="A2341" t="s">
        <v>13</v>
      </c>
      <c r="B2341">
        <v>2500797</v>
      </c>
      <c r="C2341">
        <v>2501804</v>
      </c>
      <c r="E2341" t="s">
        <v>96</v>
      </c>
      <c r="F2341" t="s">
        <v>6352</v>
      </c>
      <c r="G2341" t="s">
        <v>6353</v>
      </c>
      <c r="H2341">
        <v>0</v>
      </c>
      <c r="I2341" t="s">
        <v>17</v>
      </c>
      <c r="K2341" t="s">
        <v>6354</v>
      </c>
      <c r="L2341">
        <v>335</v>
      </c>
      <c r="M2341" t="s">
        <v>6355</v>
      </c>
    </row>
    <row r="2342" spans="1:13" x14ac:dyDescent="0.45">
      <c r="A2342" t="s">
        <v>13</v>
      </c>
      <c r="B2342">
        <v>2502194</v>
      </c>
      <c r="C2342">
        <v>2502883</v>
      </c>
      <c r="E2342" t="s">
        <v>96</v>
      </c>
      <c r="F2342" t="s">
        <v>726</v>
      </c>
      <c r="H2342">
        <v>0</v>
      </c>
      <c r="I2342" t="s">
        <v>17</v>
      </c>
      <c r="K2342" t="s">
        <v>6356</v>
      </c>
      <c r="L2342">
        <v>229</v>
      </c>
      <c r="M2342" t="s">
        <v>6357</v>
      </c>
    </row>
    <row r="2343" spans="1:13" x14ac:dyDescent="0.45">
      <c r="A2343" t="s">
        <v>13</v>
      </c>
      <c r="B2343">
        <v>2502946</v>
      </c>
      <c r="C2343">
        <v>2503794</v>
      </c>
      <c r="E2343" t="s">
        <v>96</v>
      </c>
      <c r="F2343" t="s">
        <v>1462</v>
      </c>
      <c r="H2343">
        <v>0</v>
      </c>
      <c r="I2343" t="s">
        <v>17</v>
      </c>
      <c r="K2343" t="s">
        <v>6358</v>
      </c>
      <c r="L2343">
        <v>282</v>
      </c>
      <c r="M2343" t="s">
        <v>6359</v>
      </c>
    </row>
    <row r="2344" spans="1:13" x14ac:dyDescent="0.45">
      <c r="A2344" t="s">
        <v>13</v>
      </c>
      <c r="B2344">
        <v>2503813</v>
      </c>
      <c r="C2344">
        <v>2504700</v>
      </c>
      <c r="E2344" t="s">
        <v>96</v>
      </c>
      <c r="F2344" t="s">
        <v>4536</v>
      </c>
      <c r="H2344">
        <v>0</v>
      </c>
      <c r="I2344" t="s">
        <v>17</v>
      </c>
      <c r="K2344" t="s">
        <v>6360</v>
      </c>
      <c r="L2344">
        <v>295</v>
      </c>
      <c r="M2344" t="s">
        <v>6361</v>
      </c>
    </row>
    <row r="2345" spans="1:13" x14ac:dyDescent="0.45">
      <c r="A2345" t="s">
        <v>13</v>
      </c>
      <c r="B2345">
        <v>2504758</v>
      </c>
      <c r="C2345">
        <v>2505561</v>
      </c>
      <c r="E2345" t="s">
        <v>96</v>
      </c>
      <c r="F2345" t="s">
        <v>6362</v>
      </c>
      <c r="H2345">
        <v>0</v>
      </c>
      <c r="I2345" t="s">
        <v>17</v>
      </c>
      <c r="K2345" t="s">
        <v>6363</v>
      </c>
      <c r="L2345">
        <v>267</v>
      </c>
      <c r="M2345" t="s">
        <v>6364</v>
      </c>
    </row>
    <row r="2346" spans="1:13" x14ac:dyDescent="0.45">
      <c r="A2346" t="s">
        <v>13</v>
      </c>
      <c r="B2346">
        <v>2505721</v>
      </c>
      <c r="C2346">
        <v>2506173</v>
      </c>
      <c r="E2346" t="s">
        <v>96</v>
      </c>
      <c r="F2346" t="s">
        <v>6365</v>
      </c>
      <c r="H2346">
        <v>0</v>
      </c>
      <c r="I2346" t="s">
        <v>17</v>
      </c>
      <c r="K2346" t="s">
        <v>6366</v>
      </c>
      <c r="L2346">
        <v>150</v>
      </c>
      <c r="M2346" t="s">
        <v>6367</v>
      </c>
    </row>
    <row r="2347" spans="1:13" x14ac:dyDescent="0.45">
      <c r="A2347" t="s">
        <v>13</v>
      </c>
      <c r="B2347">
        <v>2506303</v>
      </c>
      <c r="C2347">
        <v>2507805</v>
      </c>
      <c r="E2347" t="s">
        <v>96</v>
      </c>
      <c r="F2347" t="s">
        <v>6368</v>
      </c>
      <c r="H2347">
        <v>0</v>
      </c>
      <c r="I2347" t="s">
        <v>17</v>
      </c>
      <c r="K2347" t="s">
        <v>6369</v>
      </c>
      <c r="L2347">
        <v>500</v>
      </c>
      <c r="M2347" t="s">
        <v>6370</v>
      </c>
    </row>
    <row r="2348" spans="1:13" x14ac:dyDescent="0.45">
      <c r="A2348" t="s">
        <v>13</v>
      </c>
      <c r="B2348">
        <v>2507838</v>
      </c>
      <c r="C2348">
        <v>2508719</v>
      </c>
      <c r="E2348" t="s">
        <v>96</v>
      </c>
      <c r="F2348" t="s">
        <v>6371</v>
      </c>
      <c r="H2348">
        <v>0</v>
      </c>
      <c r="I2348" t="s">
        <v>17</v>
      </c>
      <c r="K2348" t="s">
        <v>6372</v>
      </c>
      <c r="L2348">
        <v>293</v>
      </c>
      <c r="M2348" t="s">
        <v>6373</v>
      </c>
    </row>
    <row r="2349" spans="1:13" x14ac:dyDescent="0.45">
      <c r="A2349" t="s">
        <v>13</v>
      </c>
      <c r="B2349">
        <v>2508789</v>
      </c>
      <c r="C2349">
        <v>2509460</v>
      </c>
      <c r="E2349" t="s">
        <v>96</v>
      </c>
      <c r="F2349" t="s">
        <v>6374</v>
      </c>
      <c r="H2349">
        <v>0</v>
      </c>
      <c r="I2349" t="s">
        <v>17</v>
      </c>
      <c r="K2349" t="s">
        <v>6375</v>
      </c>
      <c r="L2349">
        <v>223</v>
      </c>
      <c r="M2349" t="s">
        <v>6376</v>
      </c>
    </row>
    <row r="2350" spans="1:13" x14ac:dyDescent="0.45">
      <c r="A2350" t="s">
        <v>13</v>
      </c>
      <c r="B2350">
        <v>2509733</v>
      </c>
      <c r="C2350">
        <v>2510224</v>
      </c>
      <c r="E2350" t="s">
        <v>96</v>
      </c>
      <c r="F2350" t="s">
        <v>2720</v>
      </c>
      <c r="H2350">
        <v>0</v>
      </c>
      <c r="I2350" t="s">
        <v>17</v>
      </c>
      <c r="K2350" t="s">
        <v>6377</v>
      </c>
      <c r="L2350">
        <v>163</v>
      </c>
      <c r="M2350" t="s">
        <v>6378</v>
      </c>
    </row>
    <row r="2351" spans="1:13" x14ac:dyDescent="0.45">
      <c r="A2351" t="s">
        <v>13</v>
      </c>
      <c r="B2351">
        <v>2510246</v>
      </c>
      <c r="C2351">
        <v>2511610</v>
      </c>
      <c r="E2351" t="s">
        <v>96</v>
      </c>
      <c r="F2351" t="s">
        <v>2720</v>
      </c>
      <c r="H2351">
        <v>0</v>
      </c>
      <c r="I2351" t="s">
        <v>17</v>
      </c>
      <c r="K2351" t="s">
        <v>6379</v>
      </c>
      <c r="L2351">
        <v>454</v>
      </c>
      <c r="M2351" t="s">
        <v>6380</v>
      </c>
    </row>
    <row r="2352" spans="1:13" x14ac:dyDescent="0.45">
      <c r="A2352" t="s">
        <v>13</v>
      </c>
      <c r="B2352">
        <v>2512029</v>
      </c>
      <c r="C2352">
        <v>2513204</v>
      </c>
      <c r="E2352" t="s">
        <v>14</v>
      </c>
      <c r="F2352" t="s">
        <v>838</v>
      </c>
      <c r="H2352">
        <v>0</v>
      </c>
      <c r="I2352" t="s">
        <v>17</v>
      </c>
      <c r="K2352" t="s">
        <v>6381</v>
      </c>
      <c r="L2352">
        <v>391</v>
      </c>
      <c r="M2352" t="s">
        <v>6382</v>
      </c>
    </row>
    <row r="2353" spans="1:13" x14ac:dyDescent="0.45">
      <c r="A2353" t="s">
        <v>13</v>
      </c>
      <c r="B2353">
        <v>2513377</v>
      </c>
      <c r="C2353">
        <v>2514774</v>
      </c>
      <c r="E2353" t="s">
        <v>96</v>
      </c>
      <c r="F2353" t="s">
        <v>6383</v>
      </c>
      <c r="G2353" t="s">
        <v>6384</v>
      </c>
      <c r="H2353">
        <v>0</v>
      </c>
      <c r="I2353" t="s">
        <v>17</v>
      </c>
      <c r="K2353" t="s">
        <v>6385</v>
      </c>
      <c r="L2353">
        <v>465</v>
      </c>
      <c r="M2353" t="s">
        <v>6386</v>
      </c>
    </row>
    <row r="2354" spans="1:13" x14ac:dyDescent="0.45">
      <c r="A2354" t="s">
        <v>13</v>
      </c>
      <c r="B2354">
        <v>2515253</v>
      </c>
      <c r="C2354">
        <v>2515447</v>
      </c>
      <c r="E2354" t="s">
        <v>96</v>
      </c>
      <c r="F2354" t="s">
        <v>6387</v>
      </c>
      <c r="H2354">
        <v>0</v>
      </c>
      <c r="I2354" t="s">
        <v>17</v>
      </c>
      <c r="K2354" t="s">
        <v>6388</v>
      </c>
      <c r="L2354">
        <v>64</v>
      </c>
      <c r="M2354" t="s">
        <v>6389</v>
      </c>
    </row>
    <row r="2355" spans="1:13" x14ac:dyDescent="0.45">
      <c r="A2355" t="s">
        <v>13</v>
      </c>
      <c r="B2355">
        <v>2515721</v>
      </c>
      <c r="C2355">
        <v>2517394</v>
      </c>
      <c r="E2355" t="s">
        <v>96</v>
      </c>
      <c r="F2355" t="s">
        <v>6390</v>
      </c>
      <c r="G2355" t="s">
        <v>6391</v>
      </c>
      <c r="H2355">
        <v>0</v>
      </c>
      <c r="I2355" t="s">
        <v>17</v>
      </c>
      <c r="K2355" t="s">
        <v>6392</v>
      </c>
      <c r="L2355">
        <v>557</v>
      </c>
      <c r="M2355" t="s">
        <v>6393</v>
      </c>
    </row>
    <row r="2356" spans="1:13" x14ac:dyDescent="0.45">
      <c r="A2356" t="s">
        <v>13</v>
      </c>
      <c r="B2356">
        <v>2517404</v>
      </c>
      <c r="C2356">
        <v>2520802</v>
      </c>
      <c r="E2356" t="s">
        <v>96</v>
      </c>
      <c r="F2356" t="s">
        <v>6394</v>
      </c>
      <c r="G2356" t="s">
        <v>6395</v>
      </c>
      <c r="H2356">
        <v>0</v>
      </c>
      <c r="I2356" t="s">
        <v>17</v>
      </c>
      <c r="K2356" t="s">
        <v>6396</v>
      </c>
      <c r="L2356">
        <v>1132</v>
      </c>
      <c r="M2356" t="s">
        <v>6397</v>
      </c>
    </row>
    <row r="2357" spans="1:13" x14ac:dyDescent="0.45">
      <c r="A2357" t="s">
        <v>13</v>
      </c>
      <c r="B2357">
        <v>2520968</v>
      </c>
      <c r="C2357">
        <v>2522164</v>
      </c>
      <c r="E2357" t="s">
        <v>96</v>
      </c>
      <c r="F2357" t="s">
        <v>6398</v>
      </c>
      <c r="H2357">
        <v>0</v>
      </c>
      <c r="I2357" t="s">
        <v>17</v>
      </c>
      <c r="K2357" t="s">
        <v>6399</v>
      </c>
      <c r="L2357">
        <v>398</v>
      </c>
      <c r="M2357" t="s">
        <v>6400</v>
      </c>
    </row>
    <row r="2358" spans="1:13" x14ac:dyDescent="0.45">
      <c r="A2358" t="s">
        <v>13</v>
      </c>
      <c r="B2358">
        <v>2522185</v>
      </c>
      <c r="C2358">
        <v>2523006</v>
      </c>
      <c r="E2358" t="s">
        <v>96</v>
      </c>
      <c r="F2358" t="s">
        <v>1227</v>
      </c>
      <c r="H2358">
        <v>0</v>
      </c>
      <c r="I2358" t="s">
        <v>17</v>
      </c>
      <c r="K2358" t="s">
        <v>6401</v>
      </c>
      <c r="L2358">
        <v>273</v>
      </c>
      <c r="M2358" t="s">
        <v>6402</v>
      </c>
    </row>
    <row r="2359" spans="1:13" x14ac:dyDescent="0.45">
      <c r="A2359" t="s">
        <v>13</v>
      </c>
      <c r="B2359">
        <v>2523566</v>
      </c>
      <c r="C2359">
        <v>2524564</v>
      </c>
      <c r="E2359" t="s">
        <v>14</v>
      </c>
      <c r="F2359" t="s">
        <v>2834</v>
      </c>
      <c r="H2359">
        <v>0</v>
      </c>
      <c r="I2359" t="s">
        <v>17</v>
      </c>
      <c r="K2359" t="s">
        <v>6403</v>
      </c>
      <c r="L2359">
        <v>332</v>
      </c>
      <c r="M2359" t="s">
        <v>6404</v>
      </c>
    </row>
    <row r="2360" spans="1:13" x14ac:dyDescent="0.45">
      <c r="A2360" t="s">
        <v>13</v>
      </c>
      <c r="B2360">
        <v>2524715</v>
      </c>
      <c r="C2360">
        <v>2525071</v>
      </c>
      <c r="E2360" t="s">
        <v>14</v>
      </c>
      <c r="F2360" t="s">
        <v>43</v>
      </c>
      <c r="H2360">
        <v>0</v>
      </c>
      <c r="I2360" t="s">
        <v>17</v>
      </c>
      <c r="K2360" t="s">
        <v>6405</v>
      </c>
      <c r="L2360">
        <v>118</v>
      </c>
      <c r="M2360" t="s">
        <v>6406</v>
      </c>
    </row>
    <row r="2361" spans="1:13" x14ac:dyDescent="0.45">
      <c r="A2361" t="s">
        <v>13</v>
      </c>
      <c r="B2361">
        <v>2525164</v>
      </c>
      <c r="C2361">
        <v>2526432</v>
      </c>
      <c r="E2361" t="s">
        <v>96</v>
      </c>
      <c r="F2361" t="s">
        <v>6407</v>
      </c>
      <c r="G2361" t="s">
        <v>6408</v>
      </c>
      <c r="H2361">
        <v>0</v>
      </c>
      <c r="I2361" t="s">
        <v>17</v>
      </c>
      <c r="K2361" t="s">
        <v>6409</v>
      </c>
      <c r="L2361">
        <v>422</v>
      </c>
      <c r="M2361" t="s">
        <v>6410</v>
      </c>
    </row>
    <row r="2362" spans="1:13" x14ac:dyDescent="0.45">
      <c r="A2362" t="s">
        <v>13</v>
      </c>
      <c r="B2362">
        <v>2526834</v>
      </c>
      <c r="C2362">
        <v>2528216</v>
      </c>
      <c r="E2362" t="s">
        <v>96</v>
      </c>
      <c r="F2362" t="s">
        <v>2917</v>
      </c>
      <c r="H2362">
        <v>0</v>
      </c>
      <c r="I2362" t="s">
        <v>17</v>
      </c>
      <c r="K2362" t="s">
        <v>6411</v>
      </c>
      <c r="L2362">
        <v>460</v>
      </c>
      <c r="M2362" t="s">
        <v>6412</v>
      </c>
    </row>
    <row r="2363" spans="1:13" x14ac:dyDescent="0.45">
      <c r="A2363" t="s">
        <v>13</v>
      </c>
      <c r="B2363">
        <v>2528341</v>
      </c>
      <c r="C2363">
        <v>2529027</v>
      </c>
      <c r="E2363" t="s">
        <v>14</v>
      </c>
      <c r="F2363" t="s">
        <v>5834</v>
      </c>
      <c r="H2363">
        <v>0</v>
      </c>
      <c r="I2363" t="s">
        <v>17</v>
      </c>
      <c r="K2363" t="s">
        <v>6413</v>
      </c>
      <c r="L2363">
        <v>228</v>
      </c>
      <c r="M2363" t="s">
        <v>6414</v>
      </c>
    </row>
    <row r="2364" spans="1:13" x14ac:dyDescent="0.45">
      <c r="A2364" t="s">
        <v>13</v>
      </c>
      <c r="B2364">
        <v>2529213</v>
      </c>
      <c r="C2364">
        <v>2530748</v>
      </c>
      <c r="E2364" t="s">
        <v>96</v>
      </c>
      <c r="F2364" t="s">
        <v>43</v>
      </c>
      <c r="H2364">
        <v>0</v>
      </c>
      <c r="I2364" t="s">
        <v>17</v>
      </c>
      <c r="K2364" t="s">
        <v>6415</v>
      </c>
      <c r="L2364">
        <v>511</v>
      </c>
      <c r="M2364" t="s">
        <v>6416</v>
      </c>
    </row>
    <row r="2365" spans="1:13" x14ac:dyDescent="0.45">
      <c r="A2365" t="s">
        <v>13</v>
      </c>
      <c r="B2365">
        <v>2531023</v>
      </c>
      <c r="C2365">
        <v>2532072</v>
      </c>
      <c r="E2365" t="s">
        <v>14</v>
      </c>
      <c r="F2365" t="s">
        <v>6417</v>
      </c>
      <c r="H2365">
        <v>0</v>
      </c>
      <c r="I2365" t="s">
        <v>17</v>
      </c>
      <c r="K2365" t="s">
        <v>6418</v>
      </c>
      <c r="L2365">
        <v>349</v>
      </c>
      <c r="M2365" t="s">
        <v>6419</v>
      </c>
    </row>
    <row r="2366" spans="1:13" x14ac:dyDescent="0.45">
      <c r="A2366" t="s">
        <v>13</v>
      </c>
      <c r="B2366">
        <v>2532121</v>
      </c>
      <c r="C2366">
        <v>2533155</v>
      </c>
      <c r="E2366" t="s">
        <v>96</v>
      </c>
      <c r="F2366" t="s">
        <v>6420</v>
      </c>
      <c r="H2366">
        <v>0</v>
      </c>
      <c r="I2366" t="s">
        <v>17</v>
      </c>
      <c r="K2366" t="s">
        <v>6421</v>
      </c>
      <c r="L2366">
        <v>344</v>
      </c>
      <c r="M2366" t="s">
        <v>6422</v>
      </c>
    </row>
    <row r="2367" spans="1:13" x14ac:dyDescent="0.45">
      <c r="A2367" t="s">
        <v>13</v>
      </c>
      <c r="B2367">
        <v>2533173</v>
      </c>
      <c r="C2367">
        <v>2533520</v>
      </c>
      <c r="E2367" t="s">
        <v>96</v>
      </c>
      <c r="F2367" t="s">
        <v>4707</v>
      </c>
      <c r="H2367">
        <v>0</v>
      </c>
      <c r="I2367" t="s">
        <v>17</v>
      </c>
      <c r="K2367" t="s">
        <v>6423</v>
      </c>
      <c r="L2367">
        <v>115</v>
      </c>
      <c r="M2367" t="s">
        <v>6424</v>
      </c>
    </row>
    <row r="2368" spans="1:13" x14ac:dyDescent="0.45">
      <c r="A2368" t="s">
        <v>13</v>
      </c>
      <c r="B2368">
        <v>2533778</v>
      </c>
      <c r="C2368">
        <v>2535160</v>
      </c>
      <c r="E2368" t="s">
        <v>14</v>
      </c>
      <c r="F2368" t="s">
        <v>6425</v>
      </c>
      <c r="H2368">
        <v>0</v>
      </c>
      <c r="I2368" t="s">
        <v>17</v>
      </c>
      <c r="K2368" t="s">
        <v>6426</v>
      </c>
      <c r="L2368">
        <v>460</v>
      </c>
      <c r="M2368" t="s">
        <v>6427</v>
      </c>
    </row>
    <row r="2369" spans="1:13" x14ac:dyDescent="0.45">
      <c r="A2369" t="s">
        <v>13</v>
      </c>
      <c r="B2369">
        <v>2535241</v>
      </c>
      <c r="C2369">
        <v>2537034</v>
      </c>
      <c r="E2369" t="s">
        <v>96</v>
      </c>
      <c r="F2369" t="s">
        <v>6428</v>
      </c>
      <c r="H2369">
        <v>0</v>
      </c>
      <c r="I2369" t="s">
        <v>17</v>
      </c>
      <c r="K2369" t="s">
        <v>6429</v>
      </c>
      <c r="L2369">
        <v>597</v>
      </c>
      <c r="M2369" t="s">
        <v>6430</v>
      </c>
    </row>
    <row r="2370" spans="1:13" x14ac:dyDescent="0.45">
      <c r="A2370" t="s">
        <v>13</v>
      </c>
      <c r="B2370">
        <v>2537287</v>
      </c>
      <c r="C2370">
        <v>2538678</v>
      </c>
      <c r="E2370" t="s">
        <v>96</v>
      </c>
      <c r="F2370" t="s">
        <v>6425</v>
      </c>
      <c r="H2370">
        <v>0</v>
      </c>
      <c r="I2370" t="s">
        <v>17</v>
      </c>
      <c r="K2370" t="s">
        <v>6431</v>
      </c>
      <c r="L2370">
        <v>463</v>
      </c>
      <c r="M2370" t="s">
        <v>6432</v>
      </c>
    </row>
    <row r="2371" spans="1:13" x14ac:dyDescent="0.45">
      <c r="A2371" t="s">
        <v>13</v>
      </c>
      <c r="B2371">
        <v>2539132</v>
      </c>
      <c r="C2371">
        <v>2540274</v>
      </c>
      <c r="E2371" t="s">
        <v>96</v>
      </c>
      <c r="F2371" t="s">
        <v>1254</v>
      </c>
      <c r="H2371">
        <v>0</v>
      </c>
      <c r="I2371" t="s">
        <v>17</v>
      </c>
      <c r="K2371" t="s">
        <v>6433</v>
      </c>
      <c r="L2371">
        <v>380</v>
      </c>
      <c r="M2371" t="s">
        <v>6434</v>
      </c>
    </row>
    <row r="2372" spans="1:13" x14ac:dyDescent="0.45">
      <c r="A2372" t="s">
        <v>13</v>
      </c>
      <c r="B2372">
        <v>2540385</v>
      </c>
      <c r="C2372">
        <v>2541428</v>
      </c>
      <c r="E2372" t="s">
        <v>96</v>
      </c>
      <c r="F2372" t="s">
        <v>43</v>
      </c>
      <c r="H2372">
        <v>0</v>
      </c>
      <c r="I2372" t="s">
        <v>17</v>
      </c>
      <c r="K2372" t="s">
        <v>6435</v>
      </c>
      <c r="L2372">
        <v>347</v>
      </c>
      <c r="M2372" t="s">
        <v>6436</v>
      </c>
    </row>
    <row r="2373" spans="1:13" x14ac:dyDescent="0.45">
      <c r="A2373" t="s">
        <v>13</v>
      </c>
      <c r="B2373">
        <v>2541957</v>
      </c>
      <c r="C2373">
        <v>2542508</v>
      </c>
      <c r="E2373" t="s">
        <v>96</v>
      </c>
      <c r="F2373" t="s">
        <v>43</v>
      </c>
      <c r="H2373">
        <v>0</v>
      </c>
      <c r="I2373" t="s">
        <v>17</v>
      </c>
      <c r="K2373" t="s">
        <v>6437</v>
      </c>
      <c r="L2373">
        <v>183</v>
      </c>
      <c r="M2373" t="s">
        <v>6438</v>
      </c>
    </row>
    <row r="2374" spans="1:13" x14ac:dyDescent="0.45">
      <c r="A2374" t="s">
        <v>13</v>
      </c>
      <c r="B2374">
        <v>2542536</v>
      </c>
      <c r="C2374">
        <v>2544062</v>
      </c>
      <c r="E2374" t="s">
        <v>96</v>
      </c>
      <c r="F2374" t="s">
        <v>4646</v>
      </c>
      <c r="H2374">
        <v>0</v>
      </c>
      <c r="I2374" t="s">
        <v>17</v>
      </c>
      <c r="K2374" t="s">
        <v>6439</v>
      </c>
      <c r="L2374">
        <v>508</v>
      </c>
      <c r="M2374" t="s">
        <v>6440</v>
      </c>
    </row>
    <row r="2375" spans="1:13" x14ac:dyDescent="0.45">
      <c r="A2375" t="s">
        <v>13</v>
      </c>
      <c r="B2375">
        <v>2544442</v>
      </c>
      <c r="C2375">
        <v>2545404</v>
      </c>
      <c r="E2375" t="s">
        <v>96</v>
      </c>
      <c r="F2375" t="s">
        <v>689</v>
      </c>
      <c r="H2375">
        <v>0</v>
      </c>
      <c r="I2375" t="s">
        <v>17</v>
      </c>
      <c r="K2375" t="s">
        <v>6441</v>
      </c>
      <c r="L2375">
        <v>320</v>
      </c>
      <c r="M2375" t="s">
        <v>6442</v>
      </c>
    </row>
    <row r="2376" spans="1:13" x14ac:dyDescent="0.45">
      <c r="A2376" t="s">
        <v>13</v>
      </c>
      <c r="B2376">
        <v>2545979</v>
      </c>
      <c r="C2376">
        <v>2547898</v>
      </c>
      <c r="E2376" t="s">
        <v>96</v>
      </c>
      <c r="F2376" t="s">
        <v>6443</v>
      </c>
      <c r="H2376">
        <v>0</v>
      </c>
      <c r="I2376" t="s">
        <v>17</v>
      </c>
      <c r="K2376" t="s">
        <v>6444</v>
      </c>
      <c r="L2376">
        <v>639</v>
      </c>
      <c r="M2376" t="s">
        <v>6445</v>
      </c>
    </row>
    <row r="2377" spans="1:13" x14ac:dyDescent="0.45">
      <c r="A2377" t="s">
        <v>13</v>
      </c>
      <c r="B2377">
        <v>2547935</v>
      </c>
      <c r="C2377">
        <v>2548852</v>
      </c>
      <c r="E2377" t="s">
        <v>96</v>
      </c>
      <c r="F2377" t="s">
        <v>6446</v>
      </c>
      <c r="G2377" t="s">
        <v>6447</v>
      </c>
      <c r="H2377">
        <v>0</v>
      </c>
      <c r="I2377" t="s">
        <v>17</v>
      </c>
      <c r="K2377" t="s">
        <v>6448</v>
      </c>
      <c r="L2377">
        <v>305</v>
      </c>
      <c r="M2377" t="s">
        <v>6449</v>
      </c>
    </row>
    <row r="2378" spans="1:13" x14ac:dyDescent="0.45">
      <c r="A2378" t="s">
        <v>13</v>
      </c>
      <c r="B2378">
        <v>2549019</v>
      </c>
      <c r="C2378">
        <v>2550797</v>
      </c>
      <c r="E2378" t="s">
        <v>96</v>
      </c>
      <c r="F2378" t="s">
        <v>613</v>
      </c>
      <c r="H2378">
        <v>0</v>
      </c>
      <c r="I2378" t="s">
        <v>17</v>
      </c>
      <c r="K2378" t="s">
        <v>6450</v>
      </c>
      <c r="L2378">
        <v>592</v>
      </c>
      <c r="M2378" t="s">
        <v>6451</v>
      </c>
    </row>
    <row r="2379" spans="1:13" x14ac:dyDescent="0.45">
      <c r="A2379" t="s">
        <v>13</v>
      </c>
      <c r="B2379">
        <v>2550809</v>
      </c>
      <c r="C2379">
        <v>2551549</v>
      </c>
      <c r="E2379" t="s">
        <v>96</v>
      </c>
      <c r="F2379" t="s">
        <v>6452</v>
      </c>
      <c r="H2379">
        <v>0</v>
      </c>
      <c r="I2379" t="s">
        <v>17</v>
      </c>
      <c r="K2379" t="s">
        <v>6453</v>
      </c>
      <c r="L2379">
        <v>246</v>
      </c>
      <c r="M2379" t="s">
        <v>6454</v>
      </c>
    </row>
    <row r="2380" spans="1:13" x14ac:dyDescent="0.45">
      <c r="A2380" t="s">
        <v>13</v>
      </c>
      <c r="B2380">
        <v>2551823</v>
      </c>
      <c r="C2380">
        <v>2552884</v>
      </c>
      <c r="E2380" t="s">
        <v>14</v>
      </c>
      <c r="F2380" t="s">
        <v>6455</v>
      </c>
      <c r="G2380" t="s">
        <v>6456</v>
      </c>
      <c r="H2380">
        <v>0</v>
      </c>
      <c r="I2380" t="s">
        <v>17</v>
      </c>
      <c r="K2380" t="s">
        <v>6457</v>
      </c>
      <c r="L2380">
        <v>353</v>
      </c>
      <c r="M2380" t="s">
        <v>6458</v>
      </c>
    </row>
    <row r="2381" spans="1:13" x14ac:dyDescent="0.45">
      <c r="A2381" t="s">
        <v>13</v>
      </c>
      <c r="B2381">
        <v>2553038</v>
      </c>
      <c r="C2381">
        <v>2554291</v>
      </c>
      <c r="E2381" t="s">
        <v>96</v>
      </c>
      <c r="F2381" t="s">
        <v>43</v>
      </c>
      <c r="H2381">
        <v>0</v>
      </c>
      <c r="I2381" t="s">
        <v>17</v>
      </c>
      <c r="K2381" t="s">
        <v>6459</v>
      </c>
      <c r="L2381">
        <v>417</v>
      </c>
      <c r="M2381" t="s">
        <v>6460</v>
      </c>
    </row>
    <row r="2382" spans="1:13" x14ac:dyDescent="0.45">
      <c r="A2382" t="s">
        <v>13</v>
      </c>
      <c r="B2382">
        <v>2554395</v>
      </c>
      <c r="C2382">
        <v>2556515</v>
      </c>
      <c r="E2382" t="s">
        <v>96</v>
      </c>
      <c r="F2382" t="s">
        <v>6461</v>
      </c>
      <c r="H2382">
        <v>0</v>
      </c>
      <c r="I2382" t="s">
        <v>17</v>
      </c>
      <c r="K2382" t="s">
        <v>6462</v>
      </c>
      <c r="L2382">
        <v>706</v>
      </c>
      <c r="M2382" t="s">
        <v>6463</v>
      </c>
    </row>
    <row r="2383" spans="1:13" x14ac:dyDescent="0.45">
      <c r="A2383" t="s">
        <v>13</v>
      </c>
      <c r="B2383">
        <v>2557221</v>
      </c>
      <c r="C2383">
        <v>2558588</v>
      </c>
      <c r="E2383" t="s">
        <v>14</v>
      </c>
      <c r="F2383" t="s">
        <v>4843</v>
      </c>
      <c r="H2383">
        <v>0</v>
      </c>
      <c r="I2383" t="s">
        <v>17</v>
      </c>
      <c r="K2383" t="s">
        <v>6464</v>
      </c>
      <c r="L2383">
        <v>455</v>
      </c>
      <c r="M2383" t="s">
        <v>6465</v>
      </c>
    </row>
    <row r="2384" spans="1:13" x14ac:dyDescent="0.45">
      <c r="A2384" t="s">
        <v>13</v>
      </c>
      <c r="B2384">
        <v>2558761</v>
      </c>
      <c r="C2384">
        <v>2559408</v>
      </c>
      <c r="E2384" t="s">
        <v>96</v>
      </c>
      <c r="F2384" t="s">
        <v>238</v>
      </c>
      <c r="H2384">
        <v>0</v>
      </c>
      <c r="I2384" t="s">
        <v>17</v>
      </c>
      <c r="K2384" t="s">
        <v>6466</v>
      </c>
      <c r="L2384">
        <v>215</v>
      </c>
      <c r="M2384" t="s">
        <v>6467</v>
      </c>
    </row>
    <row r="2385" spans="1:13" x14ac:dyDescent="0.45">
      <c r="A2385" t="s">
        <v>13</v>
      </c>
      <c r="B2385">
        <v>2559426</v>
      </c>
      <c r="C2385">
        <v>2560112</v>
      </c>
      <c r="E2385" t="s">
        <v>96</v>
      </c>
      <c r="F2385" t="s">
        <v>6468</v>
      </c>
      <c r="G2385" t="s">
        <v>6469</v>
      </c>
      <c r="H2385">
        <v>0</v>
      </c>
      <c r="I2385" t="s">
        <v>17</v>
      </c>
      <c r="K2385" t="s">
        <v>6470</v>
      </c>
      <c r="L2385">
        <v>228</v>
      </c>
      <c r="M2385" t="s">
        <v>6471</v>
      </c>
    </row>
    <row r="2386" spans="1:13" x14ac:dyDescent="0.45">
      <c r="A2386" t="s">
        <v>13</v>
      </c>
      <c r="B2386">
        <v>2560187</v>
      </c>
      <c r="C2386">
        <v>2561245</v>
      </c>
      <c r="E2386" t="s">
        <v>96</v>
      </c>
      <c r="F2386" t="s">
        <v>1532</v>
      </c>
      <c r="H2386">
        <v>0</v>
      </c>
      <c r="I2386" t="s">
        <v>17</v>
      </c>
      <c r="K2386" t="s">
        <v>6472</v>
      </c>
      <c r="L2386">
        <v>352</v>
      </c>
      <c r="M2386" t="s">
        <v>6473</v>
      </c>
    </row>
    <row r="2387" spans="1:13" x14ac:dyDescent="0.45">
      <c r="A2387" t="s">
        <v>13</v>
      </c>
      <c r="B2387">
        <v>2561589</v>
      </c>
      <c r="C2387">
        <v>2562995</v>
      </c>
      <c r="E2387" t="s">
        <v>96</v>
      </c>
      <c r="F2387" t="s">
        <v>233</v>
      </c>
      <c r="H2387">
        <v>0</v>
      </c>
      <c r="I2387" t="s">
        <v>17</v>
      </c>
      <c r="K2387" t="s">
        <v>6474</v>
      </c>
      <c r="L2387">
        <v>468</v>
      </c>
      <c r="M2387" t="s">
        <v>6475</v>
      </c>
    </row>
    <row r="2388" spans="1:13" x14ac:dyDescent="0.45">
      <c r="A2388" t="s">
        <v>13</v>
      </c>
      <c r="B2388">
        <v>2563176</v>
      </c>
      <c r="C2388">
        <v>2563478</v>
      </c>
      <c r="E2388" t="s">
        <v>96</v>
      </c>
      <c r="F2388" t="s">
        <v>230</v>
      </c>
      <c r="H2388">
        <v>0</v>
      </c>
      <c r="I2388" t="s">
        <v>17</v>
      </c>
      <c r="K2388" t="s">
        <v>6476</v>
      </c>
      <c r="L2388">
        <v>100</v>
      </c>
      <c r="M2388" t="s">
        <v>6477</v>
      </c>
    </row>
    <row r="2389" spans="1:13" x14ac:dyDescent="0.45">
      <c r="A2389" t="s">
        <v>13</v>
      </c>
      <c r="B2389">
        <v>2563601</v>
      </c>
      <c r="C2389">
        <v>2564047</v>
      </c>
      <c r="E2389" t="s">
        <v>96</v>
      </c>
      <c r="F2389" t="s">
        <v>227</v>
      </c>
      <c r="H2389">
        <v>0</v>
      </c>
      <c r="I2389" t="s">
        <v>17</v>
      </c>
      <c r="K2389" t="s">
        <v>6478</v>
      </c>
      <c r="L2389">
        <v>148</v>
      </c>
      <c r="M2389" t="s">
        <v>6479</v>
      </c>
    </row>
    <row r="2390" spans="1:13" x14ac:dyDescent="0.45">
      <c r="A2390" t="s">
        <v>13</v>
      </c>
      <c r="B2390">
        <v>2564080</v>
      </c>
      <c r="C2390">
        <v>2566983</v>
      </c>
      <c r="E2390" t="s">
        <v>96</v>
      </c>
      <c r="F2390" t="s">
        <v>224</v>
      </c>
      <c r="H2390">
        <v>0</v>
      </c>
      <c r="I2390" t="s">
        <v>17</v>
      </c>
      <c r="K2390" t="s">
        <v>6480</v>
      </c>
      <c r="L2390">
        <v>967</v>
      </c>
      <c r="M2390" t="s">
        <v>6481</v>
      </c>
    </row>
    <row r="2391" spans="1:13" x14ac:dyDescent="0.45">
      <c r="A2391" t="s">
        <v>13</v>
      </c>
      <c r="B2391">
        <v>2567461</v>
      </c>
      <c r="C2391">
        <v>2567883</v>
      </c>
      <c r="E2391" t="s">
        <v>14</v>
      </c>
      <c r="F2391" t="s">
        <v>6482</v>
      </c>
      <c r="H2391">
        <v>0</v>
      </c>
      <c r="I2391" t="s">
        <v>17</v>
      </c>
      <c r="K2391" t="s">
        <v>6483</v>
      </c>
      <c r="L2391">
        <v>140</v>
      </c>
      <c r="M2391" t="s">
        <v>6484</v>
      </c>
    </row>
    <row r="2392" spans="1:13" x14ac:dyDescent="0.45">
      <c r="A2392" t="s">
        <v>13</v>
      </c>
      <c r="B2392">
        <v>2568402</v>
      </c>
      <c r="C2392">
        <v>2568779</v>
      </c>
      <c r="E2392" t="s">
        <v>14</v>
      </c>
      <c r="F2392" t="s">
        <v>1479</v>
      </c>
      <c r="H2392">
        <v>0</v>
      </c>
      <c r="I2392" t="s">
        <v>17</v>
      </c>
      <c r="K2392" t="s">
        <v>6485</v>
      </c>
      <c r="L2392">
        <v>125</v>
      </c>
      <c r="M2392" t="s">
        <v>6486</v>
      </c>
    </row>
    <row r="2393" spans="1:13" x14ac:dyDescent="0.45">
      <c r="A2393" t="s">
        <v>13</v>
      </c>
      <c r="B2393">
        <v>2569053</v>
      </c>
      <c r="C2393">
        <v>2570030</v>
      </c>
      <c r="E2393" t="s">
        <v>14</v>
      </c>
      <c r="F2393" t="s">
        <v>767</v>
      </c>
      <c r="H2393">
        <v>0</v>
      </c>
      <c r="I2393" t="s">
        <v>17</v>
      </c>
      <c r="K2393" t="s">
        <v>6487</v>
      </c>
      <c r="L2393">
        <v>325</v>
      </c>
      <c r="M2393" t="s">
        <v>6488</v>
      </c>
    </row>
    <row r="2394" spans="1:13" x14ac:dyDescent="0.45">
      <c r="A2394" t="s">
        <v>13</v>
      </c>
      <c r="B2394">
        <v>2570138</v>
      </c>
      <c r="C2394">
        <v>2571523</v>
      </c>
      <c r="E2394" t="s">
        <v>14</v>
      </c>
      <c r="F2394" t="s">
        <v>2917</v>
      </c>
      <c r="H2394">
        <v>0</v>
      </c>
      <c r="I2394" t="s">
        <v>17</v>
      </c>
      <c r="K2394" t="s">
        <v>6489</v>
      </c>
      <c r="L2394">
        <v>461</v>
      </c>
      <c r="M2394" t="s">
        <v>6490</v>
      </c>
    </row>
    <row r="2395" spans="1:13" x14ac:dyDescent="0.45">
      <c r="A2395" t="s">
        <v>13</v>
      </c>
      <c r="B2395">
        <v>2571801</v>
      </c>
      <c r="C2395">
        <v>2572502</v>
      </c>
      <c r="E2395" t="s">
        <v>14</v>
      </c>
      <c r="F2395" t="s">
        <v>6491</v>
      </c>
      <c r="H2395">
        <v>0</v>
      </c>
      <c r="I2395" t="s">
        <v>17</v>
      </c>
      <c r="K2395" t="s">
        <v>6492</v>
      </c>
      <c r="L2395">
        <v>233</v>
      </c>
      <c r="M2395" t="s">
        <v>6493</v>
      </c>
    </row>
    <row r="2396" spans="1:13" x14ac:dyDescent="0.45">
      <c r="A2396" t="s">
        <v>13</v>
      </c>
      <c r="B2396">
        <v>2572495</v>
      </c>
      <c r="C2396">
        <v>2572818</v>
      </c>
      <c r="E2396" t="s">
        <v>14</v>
      </c>
      <c r="F2396" t="s">
        <v>6494</v>
      </c>
      <c r="H2396">
        <v>0</v>
      </c>
      <c r="I2396" t="s">
        <v>17</v>
      </c>
      <c r="K2396" t="s">
        <v>6495</v>
      </c>
      <c r="L2396">
        <v>107</v>
      </c>
      <c r="M2396" t="s">
        <v>6496</v>
      </c>
    </row>
    <row r="2397" spans="1:13" x14ac:dyDescent="0.45">
      <c r="A2397" t="s">
        <v>13</v>
      </c>
      <c r="B2397">
        <v>2573024</v>
      </c>
      <c r="C2397">
        <v>2575084</v>
      </c>
      <c r="E2397" t="s">
        <v>96</v>
      </c>
      <c r="F2397" t="s">
        <v>1219</v>
      </c>
      <c r="H2397">
        <v>0</v>
      </c>
      <c r="I2397" t="s">
        <v>17</v>
      </c>
      <c r="K2397" t="s">
        <v>6497</v>
      </c>
      <c r="L2397">
        <v>686</v>
      </c>
      <c r="M2397" t="s">
        <v>6498</v>
      </c>
    </row>
    <row r="2398" spans="1:13" x14ac:dyDescent="0.45">
      <c r="A2398" t="s">
        <v>13</v>
      </c>
      <c r="B2398">
        <v>2575280</v>
      </c>
      <c r="C2398">
        <v>2575972</v>
      </c>
      <c r="E2398" t="s">
        <v>96</v>
      </c>
      <c r="F2398" t="s">
        <v>1222</v>
      </c>
      <c r="H2398">
        <v>0</v>
      </c>
      <c r="I2398" t="s">
        <v>17</v>
      </c>
      <c r="K2398" t="s">
        <v>6499</v>
      </c>
      <c r="L2398">
        <v>230</v>
      </c>
      <c r="M2398" t="s">
        <v>6500</v>
      </c>
    </row>
    <row r="2399" spans="1:13" x14ac:dyDescent="0.45">
      <c r="A2399" t="s">
        <v>13</v>
      </c>
      <c r="B2399">
        <v>2576584</v>
      </c>
      <c r="C2399">
        <v>2576959</v>
      </c>
      <c r="E2399" t="s">
        <v>96</v>
      </c>
      <c r="F2399" t="s">
        <v>271</v>
      </c>
      <c r="H2399">
        <v>0</v>
      </c>
      <c r="I2399" t="s">
        <v>272</v>
      </c>
      <c r="M2399" t="s">
        <v>6501</v>
      </c>
    </row>
    <row r="2400" spans="1:13" x14ac:dyDescent="0.45">
      <c r="A2400" t="s">
        <v>13</v>
      </c>
      <c r="B2400">
        <v>2577064</v>
      </c>
      <c r="C2400">
        <v>2577441</v>
      </c>
      <c r="E2400" t="s">
        <v>96</v>
      </c>
      <c r="F2400" t="s">
        <v>1479</v>
      </c>
      <c r="H2400">
        <v>0</v>
      </c>
      <c r="I2400" t="s">
        <v>17</v>
      </c>
      <c r="K2400" t="s">
        <v>6502</v>
      </c>
      <c r="L2400">
        <v>125</v>
      </c>
      <c r="M2400" t="s">
        <v>6503</v>
      </c>
    </row>
    <row r="2401" spans="1:13" x14ac:dyDescent="0.45">
      <c r="A2401" t="s">
        <v>13</v>
      </c>
      <c r="B2401">
        <v>2578248</v>
      </c>
      <c r="C2401">
        <v>2578742</v>
      </c>
      <c r="E2401" t="s">
        <v>14</v>
      </c>
      <c r="F2401" t="s">
        <v>2236</v>
      </c>
      <c r="H2401">
        <v>0</v>
      </c>
      <c r="I2401" t="s">
        <v>17</v>
      </c>
      <c r="K2401" t="s">
        <v>6504</v>
      </c>
      <c r="L2401">
        <v>164</v>
      </c>
      <c r="M2401" t="s">
        <v>6505</v>
      </c>
    </row>
    <row r="2402" spans="1:13" x14ac:dyDescent="0.45">
      <c r="A2402" t="s">
        <v>13</v>
      </c>
      <c r="B2402">
        <v>2579133</v>
      </c>
      <c r="C2402">
        <v>2579282</v>
      </c>
      <c r="E2402" t="s">
        <v>14</v>
      </c>
      <c r="F2402" t="s">
        <v>271</v>
      </c>
      <c r="H2402">
        <v>0</v>
      </c>
      <c r="I2402" t="s">
        <v>272</v>
      </c>
      <c r="M2402" t="s">
        <v>6506</v>
      </c>
    </row>
    <row r="2403" spans="1:13" x14ac:dyDescent="0.45">
      <c r="A2403" t="s">
        <v>13</v>
      </c>
      <c r="B2403">
        <v>2579765</v>
      </c>
      <c r="C2403">
        <v>2579953</v>
      </c>
      <c r="E2403" t="s">
        <v>96</v>
      </c>
      <c r="F2403" t="s">
        <v>6507</v>
      </c>
      <c r="H2403">
        <v>0</v>
      </c>
      <c r="I2403" t="s">
        <v>17</v>
      </c>
      <c r="K2403" t="s">
        <v>6508</v>
      </c>
      <c r="L2403">
        <v>62</v>
      </c>
      <c r="M2403" t="s">
        <v>6509</v>
      </c>
    </row>
    <row r="2404" spans="1:13" x14ac:dyDescent="0.45">
      <c r="A2404" t="s">
        <v>13</v>
      </c>
      <c r="B2404">
        <v>2580115</v>
      </c>
      <c r="C2404">
        <v>2580465</v>
      </c>
      <c r="E2404" t="s">
        <v>14</v>
      </c>
      <c r="F2404" t="s">
        <v>6510</v>
      </c>
      <c r="H2404">
        <v>0</v>
      </c>
      <c r="I2404" t="s">
        <v>17</v>
      </c>
      <c r="K2404" t="s">
        <v>6511</v>
      </c>
      <c r="L2404">
        <v>116</v>
      </c>
      <c r="M2404" t="s">
        <v>6512</v>
      </c>
    </row>
    <row r="2405" spans="1:13" x14ac:dyDescent="0.45">
      <c r="A2405" t="s">
        <v>13</v>
      </c>
      <c r="B2405">
        <v>2580467</v>
      </c>
      <c r="C2405">
        <v>2580667</v>
      </c>
      <c r="E2405" t="s">
        <v>14</v>
      </c>
      <c r="F2405" t="s">
        <v>1432</v>
      </c>
      <c r="H2405">
        <v>0</v>
      </c>
      <c r="I2405" t="s">
        <v>17</v>
      </c>
      <c r="K2405" t="s">
        <v>6513</v>
      </c>
      <c r="L2405">
        <v>66</v>
      </c>
      <c r="M2405" t="s">
        <v>6514</v>
      </c>
    </row>
    <row r="2406" spans="1:13" x14ac:dyDescent="0.45">
      <c r="A2406" t="s">
        <v>13</v>
      </c>
      <c r="B2406">
        <v>2580923</v>
      </c>
      <c r="C2406">
        <v>2581822</v>
      </c>
      <c r="E2406" t="s">
        <v>96</v>
      </c>
      <c r="F2406" t="s">
        <v>1390</v>
      </c>
      <c r="H2406">
        <v>0</v>
      </c>
      <c r="I2406" t="s">
        <v>17</v>
      </c>
      <c r="K2406" t="s">
        <v>6515</v>
      </c>
      <c r="L2406">
        <v>299</v>
      </c>
      <c r="M2406" t="s">
        <v>6516</v>
      </c>
    </row>
    <row r="2407" spans="1:13" x14ac:dyDescent="0.45">
      <c r="A2407" t="s">
        <v>13</v>
      </c>
      <c r="B2407">
        <v>2581816</v>
      </c>
      <c r="C2407">
        <v>2582487</v>
      </c>
      <c r="E2407" t="s">
        <v>96</v>
      </c>
      <c r="F2407" t="s">
        <v>1134</v>
      </c>
      <c r="H2407">
        <v>0</v>
      </c>
      <c r="I2407" t="s">
        <v>17</v>
      </c>
      <c r="K2407" t="s">
        <v>6517</v>
      </c>
      <c r="L2407">
        <v>223</v>
      </c>
      <c r="M2407" t="s">
        <v>6518</v>
      </c>
    </row>
    <row r="2408" spans="1:13" x14ac:dyDescent="0.45">
      <c r="A2408" t="s">
        <v>13</v>
      </c>
      <c r="B2408">
        <v>2582815</v>
      </c>
      <c r="C2408">
        <v>2582991</v>
      </c>
      <c r="E2408" t="s">
        <v>14</v>
      </c>
      <c r="F2408" t="s">
        <v>43</v>
      </c>
      <c r="H2408">
        <v>0</v>
      </c>
      <c r="I2408" t="s">
        <v>17</v>
      </c>
      <c r="K2408" t="s">
        <v>6519</v>
      </c>
      <c r="L2408">
        <v>58</v>
      </c>
      <c r="M2408" t="s">
        <v>6520</v>
      </c>
    </row>
    <row r="2409" spans="1:13" x14ac:dyDescent="0.45">
      <c r="A2409" t="s">
        <v>13</v>
      </c>
      <c r="B2409">
        <v>2583216</v>
      </c>
      <c r="C2409">
        <v>2583416</v>
      </c>
      <c r="E2409" t="s">
        <v>14</v>
      </c>
      <c r="F2409" t="s">
        <v>2616</v>
      </c>
      <c r="H2409">
        <v>0</v>
      </c>
      <c r="I2409" t="s">
        <v>17</v>
      </c>
      <c r="K2409" t="s">
        <v>6521</v>
      </c>
      <c r="L2409">
        <v>66</v>
      </c>
      <c r="M2409" t="s">
        <v>6522</v>
      </c>
    </row>
    <row r="2410" spans="1:13" x14ac:dyDescent="0.45">
      <c r="A2410" t="s">
        <v>13</v>
      </c>
      <c r="B2410">
        <v>2584051</v>
      </c>
      <c r="C2410">
        <v>2584863</v>
      </c>
      <c r="E2410" t="s">
        <v>14</v>
      </c>
      <c r="F2410" t="s">
        <v>2543</v>
      </c>
      <c r="G2410" t="s">
        <v>2544</v>
      </c>
      <c r="H2410">
        <v>0</v>
      </c>
      <c r="I2410" t="s">
        <v>17</v>
      </c>
      <c r="K2410" t="s">
        <v>6523</v>
      </c>
      <c r="L2410">
        <v>270</v>
      </c>
      <c r="M2410" t="s">
        <v>6524</v>
      </c>
    </row>
    <row r="2411" spans="1:13" x14ac:dyDescent="0.45">
      <c r="A2411" t="s">
        <v>13</v>
      </c>
      <c r="B2411">
        <v>2584999</v>
      </c>
      <c r="C2411">
        <v>2585664</v>
      </c>
      <c r="E2411" t="s">
        <v>14</v>
      </c>
      <c r="F2411" t="s">
        <v>1143</v>
      </c>
      <c r="H2411">
        <v>0</v>
      </c>
      <c r="I2411" t="s">
        <v>17</v>
      </c>
      <c r="K2411" t="s">
        <v>6525</v>
      </c>
      <c r="L2411">
        <v>221</v>
      </c>
      <c r="M2411" t="s">
        <v>6526</v>
      </c>
    </row>
    <row r="2412" spans="1:13" x14ac:dyDescent="0.45">
      <c r="A2412" t="s">
        <v>13</v>
      </c>
      <c r="B2412">
        <v>2585666</v>
      </c>
      <c r="C2412">
        <v>2586361</v>
      </c>
      <c r="E2412" t="s">
        <v>14</v>
      </c>
      <c r="F2412" t="s">
        <v>700</v>
      </c>
      <c r="H2412">
        <v>0</v>
      </c>
      <c r="I2412" t="s">
        <v>17</v>
      </c>
      <c r="K2412" t="s">
        <v>6527</v>
      </c>
      <c r="L2412">
        <v>231</v>
      </c>
      <c r="M2412" t="s">
        <v>6528</v>
      </c>
    </row>
    <row r="2413" spans="1:13" x14ac:dyDescent="0.45">
      <c r="A2413" t="s">
        <v>13</v>
      </c>
      <c r="B2413">
        <v>2586348</v>
      </c>
      <c r="C2413">
        <v>2587079</v>
      </c>
      <c r="E2413" t="s">
        <v>14</v>
      </c>
      <c r="F2413" t="s">
        <v>6529</v>
      </c>
      <c r="H2413">
        <v>0</v>
      </c>
      <c r="I2413" t="s">
        <v>17</v>
      </c>
      <c r="K2413" t="s">
        <v>6530</v>
      </c>
      <c r="L2413">
        <v>243</v>
      </c>
      <c r="M2413" t="s">
        <v>6531</v>
      </c>
    </row>
    <row r="2414" spans="1:13" x14ac:dyDescent="0.45">
      <c r="A2414" t="s">
        <v>13</v>
      </c>
      <c r="B2414">
        <v>2587394</v>
      </c>
      <c r="C2414">
        <v>2588194</v>
      </c>
      <c r="E2414" t="s">
        <v>14</v>
      </c>
      <c r="F2414" t="s">
        <v>6532</v>
      </c>
      <c r="H2414">
        <v>0</v>
      </c>
      <c r="I2414" t="s">
        <v>17</v>
      </c>
      <c r="K2414" t="s">
        <v>6533</v>
      </c>
      <c r="L2414">
        <v>266</v>
      </c>
      <c r="M2414" t="s">
        <v>6534</v>
      </c>
    </row>
    <row r="2415" spans="1:13" x14ac:dyDescent="0.45">
      <c r="A2415" t="s">
        <v>13</v>
      </c>
      <c r="B2415">
        <v>2588735</v>
      </c>
      <c r="C2415">
        <v>2589451</v>
      </c>
      <c r="E2415" t="s">
        <v>14</v>
      </c>
      <c r="F2415" t="s">
        <v>1222</v>
      </c>
      <c r="H2415">
        <v>0</v>
      </c>
      <c r="I2415" t="s">
        <v>17</v>
      </c>
      <c r="K2415" t="s">
        <v>6535</v>
      </c>
      <c r="L2415">
        <v>238</v>
      </c>
      <c r="M2415" t="s">
        <v>6536</v>
      </c>
    </row>
    <row r="2416" spans="1:13" x14ac:dyDescent="0.45">
      <c r="A2416" t="s">
        <v>13</v>
      </c>
      <c r="B2416">
        <v>2589420</v>
      </c>
      <c r="C2416">
        <v>2591012</v>
      </c>
      <c r="E2416" t="s">
        <v>14</v>
      </c>
      <c r="F2416" t="s">
        <v>4781</v>
      </c>
      <c r="H2416">
        <v>0</v>
      </c>
      <c r="I2416" t="s">
        <v>17</v>
      </c>
      <c r="K2416" t="s">
        <v>6537</v>
      </c>
      <c r="L2416">
        <v>530</v>
      </c>
      <c r="M2416" t="s">
        <v>6538</v>
      </c>
    </row>
    <row r="2417" spans="1:13" x14ac:dyDescent="0.45">
      <c r="A2417" t="s">
        <v>13</v>
      </c>
      <c r="B2417">
        <v>2591324</v>
      </c>
      <c r="C2417">
        <v>2592826</v>
      </c>
      <c r="E2417" t="s">
        <v>96</v>
      </c>
      <c r="F2417" t="s">
        <v>6539</v>
      </c>
      <c r="H2417">
        <v>0</v>
      </c>
      <c r="I2417" t="s">
        <v>17</v>
      </c>
      <c r="K2417" t="s">
        <v>6540</v>
      </c>
      <c r="L2417">
        <v>500</v>
      </c>
      <c r="M2417" t="s">
        <v>6541</v>
      </c>
    </row>
    <row r="2418" spans="1:13" x14ac:dyDescent="0.45">
      <c r="A2418" t="s">
        <v>13</v>
      </c>
      <c r="B2418">
        <v>2592936</v>
      </c>
      <c r="C2418">
        <v>2593601</v>
      </c>
      <c r="E2418" t="s">
        <v>96</v>
      </c>
      <c r="F2418" t="s">
        <v>6542</v>
      </c>
      <c r="H2418">
        <v>0</v>
      </c>
      <c r="I2418" t="s">
        <v>17</v>
      </c>
      <c r="K2418" t="s">
        <v>6543</v>
      </c>
      <c r="L2418">
        <v>221</v>
      </c>
      <c r="M2418" t="s">
        <v>6544</v>
      </c>
    </row>
    <row r="2419" spans="1:13" x14ac:dyDescent="0.45">
      <c r="A2419" t="s">
        <v>13</v>
      </c>
      <c r="B2419">
        <v>2593640</v>
      </c>
      <c r="C2419">
        <v>2594086</v>
      </c>
      <c r="E2419" t="s">
        <v>96</v>
      </c>
      <c r="F2419" t="s">
        <v>6545</v>
      </c>
      <c r="G2419" t="s">
        <v>6546</v>
      </c>
      <c r="H2419">
        <v>0</v>
      </c>
      <c r="I2419" t="s">
        <v>17</v>
      </c>
      <c r="K2419" t="s">
        <v>6547</v>
      </c>
      <c r="L2419">
        <v>148</v>
      </c>
      <c r="M2419" t="s">
        <v>6548</v>
      </c>
    </row>
    <row r="2420" spans="1:13" x14ac:dyDescent="0.45">
      <c r="A2420" t="s">
        <v>13</v>
      </c>
      <c r="B2420">
        <v>2594261</v>
      </c>
      <c r="C2420">
        <v>2595181</v>
      </c>
      <c r="E2420" t="s">
        <v>96</v>
      </c>
      <c r="F2420" t="s">
        <v>6549</v>
      </c>
      <c r="H2420">
        <v>0</v>
      </c>
      <c r="I2420" t="s">
        <v>17</v>
      </c>
      <c r="K2420" t="s">
        <v>6550</v>
      </c>
      <c r="L2420">
        <v>306</v>
      </c>
      <c r="M2420" t="s">
        <v>6551</v>
      </c>
    </row>
    <row r="2421" spans="1:13" x14ac:dyDescent="0.45">
      <c r="A2421" t="s">
        <v>13</v>
      </c>
      <c r="B2421">
        <v>2595184</v>
      </c>
      <c r="C2421">
        <v>2595996</v>
      </c>
      <c r="E2421" t="s">
        <v>96</v>
      </c>
      <c r="F2421" t="s">
        <v>6552</v>
      </c>
      <c r="H2421">
        <v>0</v>
      </c>
      <c r="I2421" t="s">
        <v>17</v>
      </c>
      <c r="K2421" t="s">
        <v>6553</v>
      </c>
      <c r="L2421">
        <v>270</v>
      </c>
      <c r="M2421" t="s">
        <v>6554</v>
      </c>
    </row>
    <row r="2422" spans="1:13" x14ac:dyDescent="0.45">
      <c r="A2422" t="s">
        <v>13</v>
      </c>
      <c r="B2422">
        <v>2596088</v>
      </c>
      <c r="C2422">
        <v>2597119</v>
      </c>
      <c r="E2422" t="s">
        <v>96</v>
      </c>
      <c r="F2422" t="s">
        <v>6555</v>
      </c>
      <c r="H2422">
        <v>0</v>
      </c>
      <c r="I2422" t="s">
        <v>17</v>
      </c>
      <c r="K2422" t="s">
        <v>6556</v>
      </c>
      <c r="L2422">
        <v>343</v>
      </c>
      <c r="M2422" t="s">
        <v>6557</v>
      </c>
    </row>
    <row r="2423" spans="1:13" x14ac:dyDescent="0.45">
      <c r="A2423" t="s">
        <v>13</v>
      </c>
      <c r="B2423">
        <v>2597119</v>
      </c>
      <c r="C2423">
        <v>2598171</v>
      </c>
      <c r="E2423" t="s">
        <v>96</v>
      </c>
      <c r="F2423" t="s">
        <v>1532</v>
      </c>
      <c r="H2423">
        <v>0</v>
      </c>
      <c r="I2423" t="s">
        <v>17</v>
      </c>
      <c r="K2423" t="s">
        <v>6558</v>
      </c>
      <c r="L2423">
        <v>350</v>
      </c>
      <c r="M2423" t="s">
        <v>6559</v>
      </c>
    </row>
    <row r="2424" spans="1:13" x14ac:dyDescent="0.45">
      <c r="A2424" t="s">
        <v>13</v>
      </c>
      <c r="B2424">
        <v>2598301</v>
      </c>
      <c r="C2424">
        <v>2599575</v>
      </c>
      <c r="E2424" t="s">
        <v>96</v>
      </c>
      <c r="F2424" t="s">
        <v>233</v>
      </c>
      <c r="H2424">
        <v>0</v>
      </c>
      <c r="I2424" t="s">
        <v>17</v>
      </c>
      <c r="K2424" t="s">
        <v>6560</v>
      </c>
      <c r="L2424">
        <v>424</v>
      </c>
      <c r="M2424" t="s">
        <v>6561</v>
      </c>
    </row>
    <row r="2425" spans="1:13" x14ac:dyDescent="0.45">
      <c r="A2425" t="s">
        <v>13</v>
      </c>
      <c r="B2425">
        <v>2599634</v>
      </c>
      <c r="C2425">
        <v>2599909</v>
      </c>
      <c r="E2425" t="s">
        <v>96</v>
      </c>
      <c r="F2425" t="s">
        <v>230</v>
      </c>
      <c r="H2425">
        <v>0</v>
      </c>
      <c r="I2425" t="s">
        <v>17</v>
      </c>
      <c r="K2425" t="s">
        <v>6562</v>
      </c>
      <c r="L2425">
        <v>91</v>
      </c>
      <c r="M2425" t="s">
        <v>6563</v>
      </c>
    </row>
    <row r="2426" spans="1:13" x14ac:dyDescent="0.45">
      <c r="A2426" t="s">
        <v>13</v>
      </c>
      <c r="B2426">
        <v>2599970</v>
      </c>
      <c r="C2426">
        <v>2600428</v>
      </c>
      <c r="E2426" t="s">
        <v>96</v>
      </c>
      <c r="F2426" t="s">
        <v>227</v>
      </c>
      <c r="H2426">
        <v>0</v>
      </c>
      <c r="I2426" t="s">
        <v>17</v>
      </c>
      <c r="K2426" t="s">
        <v>6564</v>
      </c>
      <c r="L2426">
        <v>152</v>
      </c>
      <c r="M2426" t="s">
        <v>6565</v>
      </c>
    </row>
    <row r="2427" spans="1:13" x14ac:dyDescent="0.45">
      <c r="A2427" t="s">
        <v>13</v>
      </c>
      <c r="B2427">
        <v>2601017</v>
      </c>
      <c r="C2427">
        <v>2603941</v>
      </c>
      <c r="E2427" t="s">
        <v>96</v>
      </c>
      <c r="F2427" t="s">
        <v>224</v>
      </c>
      <c r="H2427">
        <v>0</v>
      </c>
      <c r="I2427" t="s">
        <v>17</v>
      </c>
      <c r="K2427" t="s">
        <v>6566</v>
      </c>
      <c r="L2427">
        <v>974</v>
      </c>
      <c r="M2427" t="s">
        <v>6567</v>
      </c>
    </row>
    <row r="2428" spans="1:13" x14ac:dyDescent="0.45">
      <c r="A2428" t="s">
        <v>13</v>
      </c>
      <c r="B2428">
        <v>2604093</v>
      </c>
      <c r="C2428">
        <v>2604743</v>
      </c>
      <c r="E2428" t="s">
        <v>96</v>
      </c>
      <c r="F2428" t="s">
        <v>6034</v>
      </c>
      <c r="G2428" t="s">
        <v>6035</v>
      </c>
      <c r="H2428">
        <v>0</v>
      </c>
      <c r="I2428" t="s">
        <v>17</v>
      </c>
      <c r="K2428" t="s">
        <v>6568</v>
      </c>
      <c r="L2428">
        <v>216</v>
      </c>
      <c r="M2428" t="s">
        <v>6569</v>
      </c>
    </row>
    <row r="2429" spans="1:13" x14ac:dyDescent="0.45">
      <c r="A2429" t="s">
        <v>13</v>
      </c>
      <c r="B2429">
        <v>2604807</v>
      </c>
      <c r="C2429">
        <v>2605379</v>
      </c>
      <c r="E2429" t="s">
        <v>96</v>
      </c>
      <c r="F2429" t="s">
        <v>6570</v>
      </c>
      <c r="H2429">
        <v>0</v>
      </c>
      <c r="I2429" t="s">
        <v>17</v>
      </c>
      <c r="K2429" t="s">
        <v>6571</v>
      </c>
      <c r="L2429">
        <v>190</v>
      </c>
      <c r="M2429" t="s">
        <v>6572</v>
      </c>
    </row>
    <row r="2430" spans="1:13" x14ac:dyDescent="0.45">
      <c r="A2430" t="s">
        <v>13</v>
      </c>
      <c r="B2430">
        <v>2605769</v>
      </c>
      <c r="C2430">
        <v>2606920</v>
      </c>
      <c r="E2430" t="s">
        <v>96</v>
      </c>
      <c r="F2430" t="s">
        <v>6573</v>
      </c>
      <c r="H2430">
        <v>0</v>
      </c>
      <c r="I2430" t="s">
        <v>17</v>
      </c>
      <c r="K2430" t="s">
        <v>6574</v>
      </c>
      <c r="L2430">
        <v>383</v>
      </c>
      <c r="M2430" t="s">
        <v>6575</v>
      </c>
    </row>
    <row r="2431" spans="1:13" x14ac:dyDescent="0.45">
      <c r="A2431" t="s">
        <v>13</v>
      </c>
      <c r="B2431">
        <v>2606939</v>
      </c>
      <c r="C2431">
        <v>2607361</v>
      </c>
      <c r="E2431" t="s">
        <v>96</v>
      </c>
      <c r="F2431" t="s">
        <v>227</v>
      </c>
      <c r="H2431">
        <v>0</v>
      </c>
      <c r="I2431" t="s">
        <v>17</v>
      </c>
      <c r="K2431" t="s">
        <v>6576</v>
      </c>
      <c r="L2431">
        <v>140</v>
      </c>
      <c r="M2431" t="s">
        <v>6577</v>
      </c>
    </row>
    <row r="2432" spans="1:13" x14ac:dyDescent="0.45">
      <c r="A2432" t="s">
        <v>13</v>
      </c>
      <c r="B2432">
        <v>2607391</v>
      </c>
      <c r="C2432">
        <v>2609529</v>
      </c>
      <c r="E2432" t="s">
        <v>96</v>
      </c>
      <c r="F2432" t="s">
        <v>613</v>
      </c>
      <c r="H2432">
        <v>0</v>
      </c>
      <c r="I2432" t="s">
        <v>17</v>
      </c>
      <c r="K2432" t="s">
        <v>6578</v>
      </c>
      <c r="L2432">
        <v>712</v>
      </c>
      <c r="M2432" t="s">
        <v>6579</v>
      </c>
    </row>
    <row r="2433" spans="1:13" x14ac:dyDescent="0.45">
      <c r="A2433" t="s">
        <v>13</v>
      </c>
      <c r="B2433">
        <v>2609555</v>
      </c>
      <c r="C2433">
        <v>2610979</v>
      </c>
      <c r="E2433" t="s">
        <v>96</v>
      </c>
      <c r="F2433" t="s">
        <v>6580</v>
      </c>
      <c r="H2433">
        <v>0</v>
      </c>
      <c r="I2433" t="s">
        <v>17</v>
      </c>
      <c r="K2433" t="s">
        <v>6581</v>
      </c>
      <c r="L2433">
        <v>474</v>
      </c>
      <c r="M2433" t="s">
        <v>6582</v>
      </c>
    </row>
    <row r="2434" spans="1:13" x14ac:dyDescent="0.45">
      <c r="A2434" t="s">
        <v>13</v>
      </c>
      <c r="B2434">
        <v>2611575</v>
      </c>
      <c r="C2434">
        <v>2613074</v>
      </c>
      <c r="E2434" t="s">
        <v>14</v>
      </c>
      <c r="F2434" t="s">
        <v>6583</v>
      </c>
      <c r="H2434">
        <v>0</v>
      </c>
      <c r="I2434" t="s">
        <v>17</v>
      </c>
      <c r="K2434" t="s">
        <v>6584</v>
      </c>
      <c r="L2434">
        <v>499</v>
      </c>
      <c r="M2434" t="s">
        <v>6585</v>
      </c>
    </row>
    <row r="2435" spans="1:13" x14ac:dyDescent="0.45">
      <c r="A2435" t="s">
        <v>13</v>
      </c>
      <c r="B2435">
        <v>2613159</v>
      </c>
      <c r="C2435">
        <v>2614316</v>
      </c>
      <c r="E2435" t="s">
        <v>96</v>
      </c>
      <c r="F2435" t="s">
        <v>4693</v>
      </c>
      <c r="H2435">
        <v>0</v>
      </c>
      <c r="I2435" t="s">
        <v>17</v>
      </c>
      <c r="K2435" t="s">
        <v>6586</v>
      </c>
      <c r="L2435">
        <v>385</v>
      </c>
      <c r="M2435" t="s">
        <v>6587</v>
      </c>
    </row>
    <row r="2436" spans="1:13" x14ac:dyDescent="0.45">
      <c r="A2436" t="s">
        <v>13</v>
      </c>
      <c r="B2436">
        <v>2614431</v>
      </c>
      <c r="C2436">
        <v>2615351</v>
      </c>
      <c r="E2436" t="s">
        <v>96</v>
      </c>
      <c r="F2436" t="s">
        <v>6588</v>
      </c>
      <c r="H2436">
        <v>0</v>
      </c>
      <c r="I2436" t="s">
        <v>17</v>
      </c>
      <c r="K2436" t="s">
        <v>6589</v>
      </c>
      <c r="L2436">
        <v>306</v>
      </c>
      <c r="M2436" t="s">
        <v>6590</v>
      </c>
    </row>
    <row r="2437" spans="1:13" x14ac:dyDescent="0.45">
      <c r="A2437" t="s">
        <v>13</v>
      </c>
      <c r="B2437">
        <v>2615638</v>
      </c>
      <c r="C2437">
        <v>2616756</v>
      </c>
      <c r="E2437" t="s">
        <v>96</v>
      </c>
      <c r="F2437" t="s">
        <v>6591</v>
      </c>
      <c r="H2437">
        <v>0</v>
      </c>
      <c r="I2437" t="s">
        <v>17</v>
      </c>
      <c r="K2437" t="s">
        <v>6592</v>
      </c>
      <c r="L2437">
        <v>372</v>
      </c>
      <c r="M2437" t="s">
        <v>6593</v>
      </c>
    </row>
    <row r="2438" spans="1:13" x14ac:dyDescent="0.45">
      <c r="A2438" t="s">
        <v>13</v>
      </c>
      <c r="B2438">
        <v>2616776</v>
      </c>
      <c r="C2438">
        <v>2618083</v>
      </c>
      <c r="E2438" t="s">
        <v>96</v>
      </c>
      <c r="F2438" t="s">
        <v>6594</v>
      </c>
      <c r="H2438">
        <v>0</v>
      </c>
      <c r="I2438" t="s">
        <v>17</v>
      </c>
      <c r="K2438" t="s">
        <v>6595</v>
      </c>
      <c r="L2438">
        <v>435</v>
      </c>
      <c r="M2438" t="s">
        <v>6596</v>
      </c>
    </row>
    <row r="2439" spans="1:13" x14ac:dyDescent="0.45">
      <c r="A2439" t="s">
        <v>13</v>
      </c>
      <c r="B2439">
        <v>2618107</v>
      </c>
      <c r="C2439">
        <v>2618382</v>
      </c>
      <c r="E2439" t="s">
        <v>96</v>
      </c>
      <c r="F2439" t="s">
        <v>43</v>
      </c>
      <c r="H2439">
        <v>0</v>
      </c>
      <c r="I2439" t="s">
        <v>17</v>
      </c>
      <c r="K2439" t="s">
        <v>6597</v>
      </c>
      <c r="L2439">
        <v>91</v>
      </c>
      <c r="M2439" t="s">
        <v>6598</v>
      </c>
    </row>
    <row r="2440" spans="1:13" x14ac:dyDescent="0.45">
      <c r="A2440" t="s">
        <v>13</v>
      </c>
      <c r="B2440">
        <v>2618517</v>
      </c>
      <c r="C2440">
        <v>2620013</v>
      </c>
      <c r="E2440" t="s">
        <v>96</v>
      </c>
      <c r="F2440" t="s">
        <v>6599</v>
      </c>
      <c r="G2440" t="s">
        <v>6600</v>
      </c>
      <c r="H2440">
        <v>0</v>
      </c>
      <c r="I2440" t="s">
        <v>17</v>
      </c>
      <c r="K2440" t="s">
        <v>6601</v>
      </c>
      <c r="L2440">
        <v>498</v>
      </c>
      <c r="M2440" t="s">
        <v>6602</v>
      </c>
    </row>
    <row r="2441" spans="1:13" x14ac:dyDescent="0.45">
      <c r="A2441" t="s">
        <v>13</v>
      </c>
      <c r="B2441">
        <v>2620206</v>
      </c>
      <c r="C2441">
        <v>2621597</v>
      </c>
      <c r="E2441" t="s">
        <v>96</v>
      </c>
      <c r="F2441" t="s">
        <v>6603</v>
      </c>
      <c r="H2441">
        <v>0</v>
      </c>
      <c r="I2441" t="s">
        <v>17</v>
      </c>
      <c r="K2441" t="s">
        <v>6604</v>
      </c>
      <c r="L2441">
        <v>463</v>
      </c>
      <c r="M2441" t="s">
        <v>6605</v>
      </c>
    </row>
    <row r="2442" spans="1:13" x14ac:dyDescent="0.45">
      <c r="A2442" t="s">
        <v>13</v>
      </c>
      <c r="B2442">
        <v>2621628</v>
      </c>
      <c r="C2442">
        <v>2623172</v>
      </c>
      <c r="E2442" t="s">
        <v>96</v>
      </c>
      <c r="F2442" t="s">
        <v>6594</v>
      </c>
      <c r="H2442">
        <v>0</v>
      </c>
      <c r="I2442" t="s">
        <v>17</v>
      </c>
      <c r="K2442" t="s">
        <v>6606</v>
      </c>
      <c r="L2442">
        <v>514</v>
      </c>
      <c r="M2442" t="s">
        <v>6607</v>
      </c>
    </row>
    <row r="2443" spans="1:13" x14ac:dyDescent="0.45">
      <c r="A2443" t="s">
        <v>13</v>
      </c>
      <c r="B2443">
        <v>2623199</v>
      </c>
      <c r="C2443">
        <v>2624602</v>
      </c>
      <c r="E2443" t="s">
        <v>96</v>
      </c>
      <c r="F2443" t="s">
        <v>604</v>
      </c>
      <c r="H2443">
        <v>0</v>
      </c>
      <c r="I2443" t="s">
        <v>17</v>
      </c>
      <c r="K2443" t="s">
        <v>6608</v>
      </c>
      <c r="L2443">
        <v>467</v>
      </c>
      <c r="M2443" t="s">
        <v>6609</v>
      </c>
    </row>
    <row r="2444" spans="1:13" x14ac:dyDescent="0.45">
      <c r="A2444" t="s">
        <v>13</v>
      </c>
      <c r="B2444">
        <v>2625019</v>
      </c>
      <c r="C2444">
        <v>2625891</v>
      </c>
      <c r="E2444" t="s">
        <v>14</v>
      </c>
      <c r="F2444" t="s">
        <v>792</v>
      </c>
      <c r="H2444">
        <v>0</v>
      </c>
      <c r="I2444" t="s">
        <v>17</v>
      </c>
      <c r="K2444" t="s">
        <v>6610</v>
      </c>
      <c r="L2444">
        <v>290</v>
      </c>
      <c r="M2444" t="s">
        <v>6611</v>
      </c>
    </row>
    <row r="2445" spans="1:13" x14ac:dyDescent="0.45">
      <c r="A2445" t="s">
        <v>13</v>
      </c>
      <c r="B2445">
        <v>2626078</v>
      </c>
      <c r="C2445">
        <v>2626677</v>
      </c>
      <c r="E2445" t="s">
        <v>96</v>
      </c>
      <c r="F2445" t="s">
        <v>43</v>
      </c>
      <c r="H2445">
        <v>0</v>
      </c>
      <c r="I2445" t="s">
        <v>17</v>
      </c>
      <c r="K2445" t="s">
        <v>6612</v>
      </c>
      <c r="L2445">
        <v>199</v>
      </c>
      <c r="M2445" t="s">
        <v>6613</v>
      </c>
    </row>
    <row r="2446" spans="1:13" x14ac:dyDescent="0.45">
      <c r="A2446" t="s">
        <v>13</v>
      </c>
      <c r="B2446">
        <v>2626790</v>
      </c>
      <c r="C2446">
        <v>2627869</v>
      </c>
      <c r="E2446" t="s">
        <v>96</v>
      </c>
      <c r="F2446" t="s">
        <v>6614</v>
      </c>
      <c r="H2446">
        <v>0</v>
      </c>
      <c r="I2446" t="s">
        <v>17</v>
      </c>
      <c r="K2446" t="s">
        <v>6615</v>
      </c>
      <c r="L2446">
        <v>359</v>
      </c>
      <c r="M2446" t="s">
        <v>6616</v>
      </c>
    </row>
    <row r="2447" spans="1:13" x14ac:dyDescent="0.45">
      <c r="A2447" t="s">
        <v>13</v>
      </c>
      <c r="B2447">
        <v>2628179</v>
      </c>
      <c r="C2447">
        <v>2629324</v>
      </c>
      <c r="E2447" t="s">
        <v>96</v>
      </c>
      <c r="F2447" t="s">
        <v>6617</v>
      </c>
      <c r="G2447" t="s">
        <v>6618</v>
      </c>
      <c r="H2447">
        <v>0</v>
      </c>
      <c r="I2447" t="s">
        <v>17</v>
      </c>
      <c r="K2447" t="s">
        <v>6619</v>
      </c>
      <c r="L2447">
        <v>381</v>
      </c>
      <c r="M2447" t="s">
        <v>6620</v>
      </c>
    </row>
    <row r="2448" spans="1:13" x14ac:dyDescent="0.45">
      <c r="A2448" t="s">
        <v>13</v>
      </c>
      <c r="B2448">
        <v>2629335</v>
      </c>
      <c r="C2448">
        <v>2630867</v>
      </c>
      <c r="E2448" t="s">
        <v>96</v>
      </c>
      <c r="F2448" t="s">
        <v>6621</v>
      </c>
      <c r="G2448" t="s">
        <v>6622</v>
      </c>
      <c r="H2448">
        <v>0</v>
      </c>
      <c r="I2448" t="s">
        <v>17</v>
      </c>
      <c r="K2448" t="s">
        <v>6623</v>
      </c>
      <c r="L2448">
        <v>510</v>
      </c>
      <c r="M2448" t="s">
        <v>6624</v>
      </c>
    </row>
    <row r="2449" spans="1:13" x14ac:dyDescent="0.45">
      <c r="A2449" t="s">
        <v>13</v>
      </c>
      <c r="B2449">
        <v>2631124</v>
      </c>
      <c r="C2449">
        <v>2632434</v>
      </c>
      <c r="E2449" t="s">
        <v>96</v>
      </c>
      <c r="F2449" t="s">
        <v>6625</v>
      </c>
      <c r="G2449" t="s">
        <v>6626</v>
      </c>
      <c r="H2449">
        <v>0</v>
      </c>
      <c r="I2449" t="s">
        <v>17</v>
      </c>
      <c r="K2449" t="s">
        <v>6627</v>
      </c>
      <c r="L2449">
        <v>436</v>
      </c>
      <c r="M2449" t="s">
        <v>6628</v>
      </c>
    </row>
    <row r="2450" spans="1:13" x14ac:dyDescent="0.45">
      <c r="A2450" t="s">
        <v>13</v>
      </c>
      <c r="B2450">
        <v>2632466</v>
      </c>
      <c r="C2450">
        <v>2632939</v>
      </c>
      <c r="E2450" t="s">
        <v>96</v>
      </c>
      <c r="F2450" t="s">
        <v>6629</v>
      </c>
      <c r="G2450" t="s">
        <v>6630</v>
      </c>
      <c r="H2450">
        <v>0</v>
      </c>
      <c r="I2450" t="s">
        <v>17</v>
      </c>
      <c r="K2450" t="s">
        <v>6631</v>
      </c>
      <c r="L2450">
        <v>157</v>
      </c>
      <c r="M2450" t="s">
        <v>6632</v>
      </c>
    </row>
    <row r="2451" spans="1:13" x14ac:dyDescent="0.45">
      <c r="A2451" t="s">
        <v>13</v>
      </c>
      <c r="B2451">
        <v>2633051</v>
      </c>
      <c r="C2451">
        <v>2634337</v>
      </c>
      <c r="E2451" t="s">
        <v>96</v>
      </c>
      <c r="F2451" t="s">
        <v>6633</v>
      </c>
      <c r="H2451">
        <v>0</v>
      </c>
      <c r="I2451" t="s">
        <v>17</v>
      </c>
      <c r="K2451" t="s">
        <v>6634</v>
      </c>
      <c r="L2451">
        <v>428</v>
      </c>
      <c r="M2451" t="s">
        <v>6635</v>
      </c>
    </row>
    <row r="2452" spans="1:13" x14ac:dyDescent="0.45">
      <c r="A2452" t="s">
        <v>13</v>
      </c>
      <c r="B2452">
        <v>2634606</v>
      </c>
      <c r="C2452">
        <v>2634923</v>
      </c>
      <c r="E2452" t="s">
        <v>96</v>
      </c>
      <c r="F2452" t="s">
        <v>6636</v>
      </c>
      <c r="G2452" t="s">
        <v>4828</v>
      </c>
      <c r="H2452">
        <v>0</v>
      </c>
      <c r="I2452" t="s">
        <v>17</v>
      </c>
      <c r="K2452" t="s">
        <v>6637</v>
      </c>
      <c r="L2452">
        <v>105</v>
      </c>
      <c r="M2452" t="s">
        <v>6638</v>
      </c>
    </row>
    <row r="2453" spans="1:13" x14ac:dyDescent="0.45">
      <c r="A2453" t="s">
        <v>13</v>
      </c>
      <c r="B2453">
        <v>2635008</v>
      </c>
      <c r="C2453">
        <v>2635955</v>
      </c>
      <c r="E2453" t="s">
        <v>96</v>
      </c>
      <c r="F2453" t="s">
        <v>6056</v>
      </c>
      <c r="G2453" t="s">
        <v>6057</v>
      </c>
      <c r="H2453">
        <v>0</v>
      </c>
      <c r="I2453" t="s">
        <v>17</v>
      </c>
      <c r="K2453" t="s">
        <v>6639</v>
      </c>
      <c r="L2453">
        <v>315</v>
      </c>
      <c r="M2453" t="s">
        <v>6640</v>
      </c>
    </row>
    <row r="2454" spans="1:13" x14ac:dyDescent="0.45">
      <c r="A2454" t="s">
        <v>13</v>
      </c>
      <c r="B2454">
        <v>2636051</v>
      </c>
      <c r="C2454">
        <v>2636422</v>
      </c>
      <c r="E2454" t="s">
        <v>96</v>
      </c>
      <c r="F2454" t="s">
        <v>6641</v>
      </c>
      <c r="H2454">
        <v>0</v>
      </c>
      <c r="I2454" t="s">
        <v>17</v>
      </c>
      <c r="K2454" t="s">
        <v>6642</v>
      </c>
      <c r="L2454">
        <v>123</v>
      </c>
      <c r="M2454" t="s">
        <v>6643</v>
      </c>
    </row>
    <row r="2455" spans="1:13" x14ac:dyDescent="0.45">
      <c r="A2455" t="s">
        <v>13</v>
      </c>
      <c r="B2455">
        <v>2636968</v>
      </c>
      <c r="C2455">
        <v>2638662</v>
      </c>
      <c r="E2455" t="s">
        <v>96</v>
      </c>
      <c r="F2455" t="s">
        <v>6644</v>
      </c>
      <c r="H2455">
        <v>0</v>
      </c>
      <c r="I2455" t="s">
        <v>17</v>
      </c>
      <c r="K2455" t="s">
        <v>6645</v>
      </c>
      <c r="L2455">
        <v>564</v>
      </c>
      <c r="M2455" t="s">
        <v>6646</v>
      </c>
    </row>
    <row r="2456" spans="1:13" x14ac:dyDescent="0.45">
      <c r="A2456" t="s">
        <v>13</v>
      </c>
      <c r="B2456">
        <v>2639154</v>
      </c>
      <c r="C2456">
        <v>2639975</v>
      </c>
      <c r="E2456" t="s">
        <v>14</v>
      </c>
      <c r="F2456" t="s">
        <v>6647</v>
      </c>
      <c r="G2456" t="s">
        <v>6648</v>
      </c>
      <c r="H2456">
        <v>0</v>
      </c>
      <c r="I2456" t="s">
        <v>17</v>
      </c>
      <c r="K2456" t="s">
        <v>6649</v>
      </c>
      <c r="L2456">
        <v>273</v>
      </c>
      <c r="M2456" t="s">
        <v>6650</v>
      </c>
    </row>
    <row r="2457" spans="1:13" x14ac:dyDescent="0.45">
      <c r="A2457" t="s">
        <v>13</v>
      </c>
      <c r="B2457">
        <v>2640111</v>
      </c>
      <c r="C2457">
        <v>2640752</v>
      </c>
      <c r="E2457" t="s">
        <v>96</v>
      </c>
      <c r="F2457" t="s">
        <v>6651</v>
      </c>
      <c r="G2457" t="s">
        <v>6652</v>
      </c>
      <c r="H2457">
        <v>0</v>
      </c>
      <c r="I2457" t="s">
        <v>17</v>
      </c>
      <c r="K2457" t="s">
        <v>6653</v>
      </c>
      <c r="L2457">
        <v>213</v>
      </c>
      <c r="M2457" t="s">
        <v>6654</v>
      </c>
    </row>
    <row r="2458" spans="1:13" x14ac:dyDescent="0.45">
      <c r="A2458" t="s">
        <v>13</v>
      </c>
      <c r="B2458">
        <v>2640765</v>
      </c>
      <c r="C2458">
        <v>2641517</v>
      </c>
      <c r="E2458" t="s">
        <v>96</v>
      </c>
      <c r="F2458" t="s">
        <v>6655</v>
      </c>
      <c r="G2458" t="s">
        <v>6656</v>
      </c>
      <c r="H2458">
        <v>0</v>
      </c>
      <c r="I2458" t="s">
        <v>17</v>
      </c>
      <c r="K2458" t="s">
        <v>6657</v>
      </c>
      <c r="L2458">
        <v>250</v>
      </c>
      <c r="M2458" t="s">
        <v>6658</v>
      </c>
    </row>
    <row r="2459" spans="1:13" x14ac:dyDescent="0.45">
      <c r="A2459" t="s">
        <v>13</v>
      </c>
      <c r="B2459">
        <v>2641517</v>
      </c>
      <c r="C2459">
        <v>2642260</v>
      </c>
      <c r="E2459" t="s">
        <v>96</v>
      </c>
      <c r="F2459" t="s">
        <v>6659</v>
      </c>
      <c r="G2459" t="s">
        <v>6660</v>
      </c>
      <c r="H2459">
        <v>0</v>
      </c>
      <c r="I2459" t="s">
        <v>17</v>
      </c>
      <c r="K2459" t="s">
        <v>6661</v>
      </c>
      <c r="L2459">
        <v>247</v>
      </c>
      <c r="M2459" t="s">
        <v>6662</v>
      </c>
    </row>
    <row r="2460" spans="1:13" x14ac:dyDescent="0.45">
      <c r="A2460" t="s">
        <v>13</v>
      </c>
      <c r="B2460">
        <v>2642284</v>
      </c>
      <c r="C2460">
        <v>2643072</v>
      </c>
      <c r="E2460" t="s">
        <v>96</v>
      </c>
      <c r="F2460" t="s">
        <v>6663</v>
      </c>
      <c r="G2460" t="s">
        <v>6664</v>
      </c>
      <c r="H2460">
        <v>0</v>
      </c>
      <c r="I2460" t="s">
        <v>17</v>
      </c>
      <c r="K2460" t="s">
        <v>6665</v>
      </c>
      <c r="L2460">
        <v>262</v>
      </c>
      <c r="M2460" t="s">
        <v>6666</v>
      </c>
    </row>
    <row r="2461" spans="1:13" x14ac:dyDescent="0.45">
      <c r="A2461" t="s">
        <v>13</v>
      </c>
      <c r="B2461">
        <v>2643086</v>
      </c>
      <c r="C2461">
        <v>2644177</v>
      </c>
      <c r="E2461" t="s">
        <v>96</v>
      </c>
      <c r="F2461" t="s">
        <v>6667</v>
      </c>
      <c r="G2461" t="s">
        <v>6668</v>
      </c>
      <c r="H2461">
        <v>0</v>
      </c>
      <c r="I2461" t="s">
        <v>17</v>
      </c>
      <c r="K2461" t="s">
        <v>6669</v>
      </c>
      <c r="L2461">
        <v>363</v>
      </c>
      <c r="M2461" t="s">
        <v>6670</v>
      </c>
    </row>
    <row r="2462" spans="1:13" x14ac:dyDescent="0.45">
      <c r="A2462" t="s">
        <v>13</v>
      </c>
      <c r="B2462">
        <v>2644212</v>
      </c>
      <c r="C2462">
        <v>2644670</v>
      </c>
      <c r="E2462" t="s">
        <v>96</v>
      </c>
      <c r="F2462" t="s">
        <v>6671</v>
      </c>
      <c r="G2462" t="s">
        <v>6672</v>
      </c>
      <c r="H2462">
        <v>0</v>
      </c>
      <c r="I2462" t="s">
        <v>17</v>
      </c>
      <c r="K2462" t="s">
        <v>6673</v>
      </c>
      <c r="L2462">
        <v>152</v>
      </c>
      <c r="M2462" t="s">
        <v>6674</v>
      </c>
    </row>
    <row r="2463" spans="1:13" x14ac:dyDescent="0.45">
      <c r="A2463" t="s">
        <v>13</v>
      </c>
      <c r="B2463">
        <v>2644663</v>
      </c>
      <c r="C2463">
        <v>2645748</v>
      </c>
      <c r="E2463" t="s">
        <v>96</v>
      </c>
      <c r="F2463" t="s">
        <v>6675</v>
      </c>
      <c r="G2463" t="s">
        <v>6676</v>
      </c>
      <c r="H2463">
        <v>0</v>
      </c>
      <c r="I2463" t="s">
        <v>17</v>
      </c>
      <c r="K2463" t="s">
        <v>6677</v>
      </c>
      <c r="L2463">
        <v>361</v>
      </c>
      <c r="M2463" t="s">
        <v>6678</v>
      </c>
    </row>
    <row r="2464" spans="1:13" x14ac:dyDescent="0.45">
      <c r="A2464" t="s">
        <v>13</v>
      </c>
      <c r="B2464">
        <v>2645775</v>
      </c>
      <c r="C2464">
        <v>2646032</v>
      </c>
      <c r="E2464" t="s">
        <v>96</v>
      </c>
      <c r="F2464" t="s">
        <v>6679</v>
      </c>
      <c r="G2464" t="s">
        <v>6680</v>
      </c>
      <c r="H2464">
        <v>0</v>
      </c>
      <c r="I2464" t="s">
        <v>17</v>
      </c>
      <c r="K2464" t="s">
        <v>6681</v>
      </c>
      <c r="L2464">
        <v>85</v>
      </c>
      <c r="M2464" t="s">
        <v>6682</v>
      </c>
    </row>
    <row r="2465" spans="1:13" x14ac:dyDescent="0.45">
      <c r="A2465" t="s">
        <v>13</v>
      </c>
      <c r="B2465">
        <v>2646122</v>
      </c>
      <c r="C2465">
        <v>2646454</v>
      </c>
      <c r="E2465" t="s">
        <v>96</v>
      </c>
      <c r="F2465" t="s">
        <v>6683</v>
      </c>
      <c r="G2465" t="s">
        <v>6684</v>
      </c>
      <c r="H2465">
        <v>0</v>
      </c>
      <c r="I2465" t="s">
        <v>17</v>
      </c>
      <c r="K2465" t="s">
        <v>6685</v>
      </c>
      <c r="L2465">
        <v>110</v>
      </c>
      <c r="M2465" t="s">
        <v>6686</v>
      </c>
    </row>
    <row r="2466" spans="1:13" x14ac:dyDescent="0.45">
      <c r="A2466" t="s">
        <v>13</v>
      </c>
      <c r="B2466">
        <v>2646710</v>
      </c>
      <c r="C2466">
        <v>2647546</v>
      </c>
      <c r="E2466" t="s">
        <v>96</v>
      </c>
      <c r="F2466" t="s">
        <v>6687</v>
      </c>
      <c r="G2466" t="s">
        <v>6688</v>
      </c>
      <c r="H2466">
        <v>0</v>
      </c>
      <c r="I2466" t="s">
        <v>17</v>
      </c>
      <c r="K2466" t="s">
        <v>6689</v>
      </c>
      <c r="L2466">
        <v>278</v>
      </c>
      <c r="M2466" t="s">
        <v>6690</v>
      </c>
    </row>
    <row r="2467" spans="1:13" x14ac:dyDescent="0.45">
      <c r="A2467" t="s">
        <v>13</v>
      </c>
      <c r="B2467">
        <v>2647527</v>
      </c>
      <c r="C2467">
        <v>2648828</v>
      </c>
      <c r="E2467" t="s">
        <v>96</v>
      </c>
      <c r="F2467" t="s">
        <v>6691</v>
      </c>
      <c r="H2467">
        <v>0</v>
      </c>
      <c r="I2467" t="s">
        <v>17</v>
      </c>
      <c r="K2467" t="s">
        <v>6692</v>
      </c>
      <c r="L2467">
        <v>433</v>
      </c>
      <c r="M2467" t="s">
        <v>6693</v>
      </c>
    </row>
    <row r="2468" spans="1:13" x14ac:dyDescent="0.45">
      <c r="A2468" t="s">
        <v>13</v>
      </c>
      <c r="B2468">
        <v>2648841</v>
      </c>
      <c r="C2468">
        <v>2649755</v>
      </c>
      <c r="E2468" t="s">
        <v>96</v>
      </c>
      <c r="F2468" t="s">
        <v>6694</v>
      </c>
      <c r="G2468" t="s">
        <v>6695</v>
      </c>
      <c r="H2468">
        <v>0</v>
      </c>
      <c r="I2468" t="s">
        <v>17</v>
      </c>
      <c r="K2468" t="s">
        <v>6696</v>
      </c>
      <c r="L2468">
        <v>304</v>
      </c>
      <c r="M2468" t="s">
        <v>6697</v>
      </c>
    </row>
    <row r="2469" spans="1:13" x14ac:dyDescent="0.45">
      <c r="A2469" t="s">
        <v>13</v>
      </c>
      <c r="B2469">
        <v>2650173</v>
      </c>
      <c r="C2469">
        <v>2651630</v>
      </c>
      <c r="E2469" t="s">
        <v>14</v>
      </c>
      <c r="F2469" t="s">
        <v>6698</v>
      </c>
      <c r="H2469">
        <v>0</v>
      </c>
      <c r="I2469" t="s">
        <v>17</v>
      </c>
      <c r="K2469" t="s">
        <v>6699</v>
      </c>
      <c r="L2469">
        <v>485</v>
      </c>
      <c r="M2469" t="s">
        <v>6700</v>
      </c>
    </row>
    <row r="2470" spans="1:13" x14ac:dyDescent="0.45">
      <c r="A2470" t="s">
        <v>13</v>
      </c>
      <c r="B2470">
        <v>2651853</v>
      </c>
      <c r="C2470">
        <v>2652281</v>
      </c>
      <c r="E2470" t="s">
        <v>14</v>
      </c>
      <c r="F2470" t="s">
        <v>43</v>
      </c>
      <c r="H2470">
        <v>0</v>
      </c>
      <c r="I2470" t="s">
        <v>17</v>
      </c>
      <c r="K2470" t="s">
        <v>6701</v>
      </c>
      <c r="L2470">
        <v>142</v>
      </c>
      <c r="M2470" t="s">
        <v>6702</v>
      </c>
    </row>
    <row r="2471" spans="1:13" x14ac:dyDescent="0.45">
      <c r="A2471" t="s">
        <v>13</v>
      </c>
      <c r="B2471">
        <v>2652341</v>
      </c>
      <c r="C2471">
        <v>2652649</v>
      </c>
      <c r="E2471" t="s">
        <v>14</v>
      </c>
      <c r="F2471" t="s">
        <v>6703</v>
      </c>
      <c r="H2471">
        <v>0</v>
      </c>
      <c r="I2471" t="s">
        <v>17</v>
      </c>
      <c r="K2471" t="s">
        <v>6704</v>
      </c>
      <c r="L2471">
        <v>102</v>
      </c>
      <c r="M2471" t="s">
        <v>6705</v>
      </c>
    </row>
    <row r="2472" spans="1:13" x14ac:dyDescent="0.45">
      <c r="A2472" t="s">
        <v>13</v>
      </c>
      <c r="B2472">
        <v>2652796</v>
      </c>
      <c r="C2472">
        <v>2653818</v>
      </c>
      <c r="E2472" t="s">
        <v>96</v>
      </c>
      <c r="F2472" t="s">
        <v>2834</v>
      </c>
      <c r="H2472">
        <v>0</v>
      </c>
      <c r="I2472" t="s">
        <v>17</v>
      </c>
      <c r="K2472" t="s">
        <v>6706</v>
      </c>
      <c r="L2472">
        <v>340</v>
      </c>
      <c r="M2472" t="s">
        <v>6707</v>
      </c>
    </row>
    <row r="2473" spans="1:13" x14ac:dyDescent="0.45">
      <c r="A2473" t="s">
        <v>13</v>
      </c>
      <c r="B2473">
        <v>2653993</v>
      </c>
      <c r="C2473">
        <v>2654499</v>
      </c>
      <c r="E2473" t="s">
        <v>96</v>
      </c>
      <c r="F2473" t="s">
        <v>2084</v>
      </c>
      <c r="H2473">
        <v>0</v>
      </c>
      <c r="I2473" t="s">
        <v>17</v>
      </c>
      <c r="K2473" t="s">
        <v>6708</v>
      </c>
      <c r="L2473">
        <v>168</v>
      </c>
      <c r="M2473" t="s">
        <v>6709</v>
      </c>
    </row>
    <row r="2474" spans="1:13" x14ac:dyDescent="0.45">
      <c r="A2474" t="s">
        <v>13</v>
      </c>
      <c r="B2474">
        <v>2654558</v>
      </c>
      <c r="C2474">
        <v>2655259</v>
      </c>
      <c r="E2474" t="s">
        <v>96</v>
      </c>
      <c r="F2474" t="s">
        <v>2768</v>
      </c>
      <c r="H2474">
        <v>0</v>
      </c>
      <c r="I2474" t="s">
        <v>17</v>
      </c>
      <c r="K2474" t="s">
        <v>6710</v>
      </c>
      <c r="L2474">
        <v>233</v>
      </c>
      <c r="M2474" t="s">
        <v>6711</v>
      </c>
    </row>
    <row r="2475" spans="1:13" x14ac:dyDescent="0.45">
      <c r="A2475" t="s">
        <v>13</v>
      </c>
      <c r="B2475">
        <v>2655477</v>
      </c>
      <c r="C2475">
        <v>2656547</v>
      </c>
      <c r="E2475" t="s">
        <v>96</v>
      </c>
      <c r="F2475" t="s">
        <v>542</v>
      </c>
      <c r="G2475" t="s">
        <v>543</v>
      </c>
      <c r="H2475">
        <v>0</v>
      </c>
      <c r="I2475" t="s">
        <v>17</v>
      </c>
      <c r="K2475" t="s">
        <v>6712</v>
      </c>
      <c r="L2475">
        <v>356</v>
      </c>
      <c r="M2475" t="s">
        <v>6713</v>
      </c>
    </row>
    <row r="2476" spans="1:13" x14ac:dyDescent="0.45">
      <c r="A2476" t="s">
        <v>13</v>
      </c>
      <c r="B2476">
        <v>2656600</v>
      </c>
      <c r="C2476">
        <v>2657175</v>
      </c>
      <c r="E2476" t="s">
        <v>96</v>
      </c>
      <c r="F2476" t="s">
        <v>6714</v>
      </c>
      <c r="H2476">
        <v>0</v>
      </c>
      <c r="I2476" t="s">
        <v>17</v>
      </c>
      <c r="K2476" t="s">
        <v>6715</v>
      </c>
      <c r="L2476">
        <v>191</v>
      </c>
      <c r="M2476" t="s">
        <v>6716</v>
      </c>
    </row>
    <row r="2477" spans="1:13" x14ac:dyDescent="0.45">
      <c r="A2477" t="s">
        <v>13</v>
      </c>
      <c r="B2477">
        <v>2657177</v>
      </c>
      <c r="C2477">
        <v>2658964</v>
      </c>
      <c r="E2477" t="s">
        <v>96</v>
      </c>
      <c r="F2477" t="s">
        <v>6717</v>
      </c>
      <c r="G2477" t="s">
        <v>6718</v>
      </c>
      <c r="H2477">
        <v>0</v>
      </c>
      <c r="I2477" t="s">
        <v>17</v>
      </c>
      <c r="K2477" t="s">
        <v>6719</v>
      </c>
      <c r="L2477">
        <v>595</v>
      </c>
      <c r="M2477" t="s">
        <v>6720</v>
      </c>
    </row>
    <row r="2478" spans="1:13" x14ac:dyDescent="0.45">
      <c r="A2478" t="s">
        <v>13</v>
      </c>
      <c r="B2478">
        <v>2659025</v>
      </c>
      <c r="C2478">
        <v>2660284</v>
      </c>
      <c r="E2478" t="s">
        <v>96</v>
      </c>
      <c r="F2478" t="s">
        <v>509</v>
      </c>
      <c r="H2478">
        <v>0</v>
      </c>
      <c r="I2478" t="s">
        <v>17</v>
      </c>
      <c r="K2478" t="s">
        <v>6721</v>
      </c>
      <c r="L2478">
        <v>419</v>
      </c>
      <c r="M2478" t="s">
        <v>6722</v>
      </c>
    </row>
    <row r="2479" spans="1:13" x14ac:dyDescent="0.45">
      <c r="A2479" t="s">
        <v>13</v>
      </c>
      <c r="B2479">
        <v>2660546</v>
      </c>
      <c r="C2479">
        <v>2662546</v>
      </c>
      <c r="E2479" t="s">
        <v>96</v>
      </c>
      <c r="F2479" t="s">
        <v>224</v>
      </c>
      <c r="H2479">
        <v>0</v>
      </c>
      <c r="I2479" t="s">
        <v>17</v>
      </c>
      <c r="K2479" t="s">
        <v>6723</v>
      </c>
      <c r="L2479">
        <v>666</v>
      </c>
      <c r="M2479" t="s">
        <v>6724</v>
      </c>
    </row>
    <row r="2480" spans="1:13" x14ac:dyDescent="0.45">
      <c r="A2480" t="s">
        <v>13</v>
      </c>
      <c r="B2480">
        <v>2662554</v>
      </c>
      <c r="C2480">
        <v>2664383</v>
      </c>
      <c r="E2480" t="s">
        <v>96</v>
      </c>
      <c r="F2480" t="s">
        <v>1606</v>
      </c>
      <c r="H2480">
        <v>0</v>
      </c>
      <c r="I2480" t="s">
        <v>17</v>
      </c>
      <c r="K2480" t="s">
        <v>6725</v>
      </c>
      <c r="L2480">
        <v>609</v>
      </c>
      <c r="M2480" t="s">
        <v>6726</v>
      </c>
    </row>
    <row r="2481" spans="1:13" x14ac:dyDescent="0.45">
      <c r="A2481" t="s">
        <v>13</v>
      </c>
      <c r="B2481">
        <v>2664467</v>
      </c>
      <c r="C2481">
        <v>2666308</v>
      </c>
      <c r="E2481" t="s">
        <v>96</v>
      </c>
      <c r="F2481" t="s">
        <v>838</v>
      </c>
      <c r="H2481">
        <v>0</v>
      </c>
      <c r="I2481" t="s">
        <v>17</v>
      </c>
      <c r="K2481" t="s">
        <v>6727</v>
      </c>
      <c r="L2481">
        <v>613</v>
      </c>
      <c r="M2481" t="s">
        <v>6728</v>
      </c>
    </row>
    <row r="2482" spans="1:13" x14ac:dyDescent="0.45">
      <c r="A2482" t="s">
        <v>13</v>
      </c>
      <c r="B2482">
        <v>2666439</v>
      </c>
      <c r="C2482">
        <v>2666858</v>
      </c>
      <c r="E2482" t="s">
        <v>96</v>
      </c>
      <c r="F2482" t="s">
        <v>6729</v>
      </c>
      <c r="H2482">
        <v>0</v>
      </c>
      <c r="I2482" t="s">
        <v>17</v>
      </c>
      <c r="K2482" t="s">
        <v>6730</v>
      </c>
      <c r="L2482">
        <v>139</v>
      </c>
      <c r="M2482" t="s">
        <v>6731</v>
      </c>
    </row>
    <row r="2483" spans="1:13" x14ac:dyDescent="0.45">
      <c r="A2483" t="s">
        <v>13</v>
      </c>
      <c r="B2483">
        <v>2667171</v>
      </c>
      <c r="C2483">
        <v>2667353</v>
      </c>
      <c r="E2483" t="s">
        <v>14</v>
      </c>
      <c r="F2483" t="s">
        <v>43</v>
      </c>
      <c r="H2483">
        <v>0</v>
      </c>
      <c r="I2483" t="s">
        <v>17</v>
      </c>
      <c r="K2483" t="s">
        <v>6732</v>
      </c>
      <c r="L2483">
        <v>60</v>
      </c>
      <c r="M2483" t="s">
        <v>6733</v>
      </c>
    </row>
    <row r="2484" spans="1:13" x14ac:dyDescent="0.45">
      <c r="A2484" t="s">
        <v>13</v>
      </c>
      <c r="B2484">
        <v>2667684</v>
      </c>
      <c r="C2484">
        <v>2668706</v>
      </c>
      <c r="E2484" t="s">
        <v>14</v>
      </c>
      <c r="F2484" t="s">
        <v>3438</v>
      </c>
      <c r="H2484">
        <v>0</v>
      </c>
      <c r="I2484" t="s">
        <v>17</v>
      </c>
      <c r="K2484" t="s">
        <v>6734</v>
      </c>
      <c r="L2484">
        <v>340</v>
      </c>
      <c r="M2484" t="s">
        <v>6735</v>
      </c>
    </row>
    <row r="2485" spans="1:13" x14ac:dyDescent="0.45">
      <c r="A2485" t="s">
        <v>13</v>
      </c>
      <c r="B2485">
        <v>2668791</v>
      </c>
      <c r="C2485">
        <v>2668964</v>
      </c>
      <c r="E2485" t="s">
        <v>96</v>
      </c>
      <c r="F2485" t="s">
        <v>6736</v>
      </c>
      <c r="H2485">
        <v>0</v>
      </c>
      <c r="I2485" t="s">
        <v>17</v>
      </c>
      <c r="K2485" t="s">
        <v>6737</v>
      </c>
      <c r="L2485">
        <v>57</v>
      </c>
      <c r="M2485" t="s">
        <v>6738</v>
      </c>
    </row>
    <row r="2486" spans="1:13" x14ac:dyDescent="0.45">
      <c r="A2486" t="s">
        <v>13</v>
      </c>
      <c r="B2486">
        <v>2669180</v>
      </c>
      <c r="C2486">
        <v>2669257</v>
      </c>
      <c r="E2486" t="s">
        <v>96</v>
      </c>
      <c r="F2486" t="s">
        <v>43</v>
      </c>
      <c r="H2486">
        <v>0</v>
      </c>
      <c r="I2486" t="s">
        <v>17</v>
      </c>
      <c r="K2486" t="s">
        <v>6739</v>
      </c>
      <c r="L2486">
        <v>25</v>
      </c>
      <c r="M2486" t="s">
        <v>6740</v>
      </c>
    </row>
    <row r="2487" spans="1:13" x14ac:dyDescent="0.45">
      <c r="A2487" t="s">
        <v>13</v>
      </c>
      <c r="B2487">
        <v>2669443</v>
      </c>
      <c r="C2487">
        <v>2670477</v>
      </c>
      <c r="E2487" t="s">
        <v>96</v>
      </c>
      <c r="F2487" t="s">
        <v>767</v>
      </c>
      <c r="H2487">
        <v>0</v>
      </c>
      <c r="I2487" t="s">
        <v>17</v>
      </c>
      <c r="K2487" t="s">
        <v>6741</v>
      </c>
      <c r="L2487">
        <v>344</v>
      </c>
      <c r="M2487" t="s">
        <v>6742</v>
      </c>
    </row>
    <row r="2488" spans="1:13" x14ac:dyDescent="0.45">
      <c r="A2488" t="s">
        <v>13</v>
      </c>
      <c r="B2488">
        <v>2670470</v>
      </c>
      <c r="C2488">
        <v>2670847</v>
      </c>
      <c r="E2488" t="s">
        <v>96</v>
      </c>
      <c r="F2488" t="s">
        <v>1479</v>
      </c>
      <c r="H2488">
        <v>0</v>
      </c>
      <c r="I2488" t="s">
        <v>17</v>
      </c>
      <c r="K2488" t="s">
        <v>6743</v>
      </c>
      <c r="L2488">
        <v>125</v>
      </c>
      <c r="M2488" t="s">
        <v>6744</v>
      </c>
    </row>
    <row r="2489" spans="1:13" x14ac:dyDescent="0.45">
      <c r="A2489" t="s">
        <v>13</v>
      </c>
      <c r="B2489">
        <v>2671362</v>
      </c>
      <c r="C2489">
        <v>2672423</v>
      </c>
      <c r="E2489" t="s">
        <v>14</v>
      </c>
      <c r="F2489" t="s">
        <v>271</v>
      </c>
      <c r="H2489">
        <v>0</v>
      </c>
      <c r="I2489" t="s">
        <v>272</v>
      </c>
      <c r="M2489" t="s">
        <v>6745</v>
      </c>
    </row>
    <row r="2490" spans="1:13" x14ac:dyDescent="0.45">
      <c r="A2490" t="s">
        <v>13</v>
      </c>
      <c r="B2490">
        <v>2672594</v>
      </c>
      <c r="C2490">
        <v>2673181</v>
      </c>
      <c r="E2490" t="s">
        <v>96</v>
      </c>
      <c r="F2490" t="s">
        <v>6736</v>
      </c>
      <c r="H2490">
        <v>0</v>
      </c>
      <c r="I2490" t="s">
        <v>17</v>
      </c>
      <c r="K2490" t="s">
        <v>6746</v>
      </c>
      <c r="L2490">
        <v>195</v>
      </c>
      <c r="M2490" t="s">
        <v>6747</v>
      </c>
    </row>
    <row r="2491" spans="1:13" x14ac:dyDescent="0.45">
      <c r="A2491" t="s">
        <v>13</v>
      </c>
      <c r="B2491">
        <v>2673247</v>
      </c>
      <c r="C2491">
        <v>2674281</v>
      </c>
      <c r="E2491" t="s">
        <v>96</v>
      </c>
      <c r="F2491" t="s">
        <v>767</v>
      </c>
      <c r="H2491">
        <v>0</v>
      </c>
      <c r="I2491" t="s">
        <v>17</v>
      </c>
      <c r="K2491" t="s">
        <v>6748</v>
      </c>
      <c r="L2491">
        <v>344</v>
      </c>
      <c r="M2491" t="s">
        <v>6749</v>
      </c>
    </row>
    <row r="2492" spans="1:13" x14ac:dyDescent="0.45">
      <c r="A2492" t="s">
        <v>13</v>
      </c>
      <c r="B2492">
        <v>2674274</v>
      </c>
      <c r="C2492">
        <v>2674648</v>
      </c>
      <c r="E2492" t="s">
        <v>96</v>
      </c>
      <c r="F2492" t="s">
        <v>1479</v>
      </c>
      <c r="H2492">
        <v>0</v>
      </c>
      <c r="I2492" t="s">
        <v>17</v>
      </c>
      <c r="K2492" t="s">
        <v>6750</v>
      </c>
      <c r="L2492">
        <v>124</v>
      </c>
      <c r="M2492" t="s">
        <v>6751</v>
      </c>
    </row>
    <row r="2493" spans="1:13" x14ac:dyDescent="0.45">
      <c r="A2493" t="s">
        <v>13</v>
      </c>
      <c r="B2493">
        <v>2675291</v>
      </c>
      <c r="C2493">
        <v>2675770</v>
      </c>
      <c r="E2493" t="s">
        <v>96</v>
      </c>
      <c r="F2493" t="s">
        <v>5870</v>
      </c>
      <c r="H2493">
        <v>0</v>
      </c>
      <c r="I2493" t="s">
        <v>17</v>
      </c>
      <c r="K2493" t="s">
        <v>6752</v>
      </c>
      <c r="L2493">
        <v>159</v>
      </c>
      <c r="M2493" t="s">
        <v>6753</v>
      </c>
    </row>
    <row r="2494" spans="1:13" x14ac:dyDescent="0.45">
      <c r="A2494" t="s">
        <v>13</v>
      </c>
      <c r="B2494">
        <v>2676065</v>
      </c>
      <c r="C2494">
        <v>2676769</v>
      </c>
      <c r="E2494" t="s">
        <v>96</v>
      </c>
      <c r="F2494" t="s">
        <v>5036</v>
      </c>
      <c r="H2494">
        <v>0</v>
      </c>
      <c r="I2494" t="s">
        <v>17</v>
      </c>
      <c r="K2494" t="s">
        <v>6754</v>
      </c>
      <c r="L2494">
        <v>234</v>
      </c>
      <c r="M2494" t="s">
        <v>6755</v>
      </c>
    </row>
    <row r="2495" spans="1:13" x14ac:dyDescent="0.45">
      <c r="A2495" t="s">
        <v>13</v>
      </c>
      <c r="B2495">
        <v>2677123</v>
      </c>
      <c r="C2495">
        <v>2678139</v>
      </c>
      <c r="E2495" t="s">
        <v>96</v>
      </c>
      <c r="F2495" t="s">
        <v>6756</v>
      </c>
      <c r="H2495">
        <v>0</v>
      </c>
      <c r="I2495" t="s">
        <v>17</v>
      </c>
      <c r="K2495" t="s">
        <v>6757</v>
      </c>
      <c r="L2495">
        <v>338</v>
      </c>
      <c r="M2495" t="s">
        <v>6758</v>
      </c>
    </row>
    <row r="2496" spans="1:13" x14ac:dyDescent="0.45">
      <c r="A2496" t="s">
        <v>13</v>
      </c>
      <c r="B2496">
        <v>2678267</v>
      </c>
      <c r="C2496">
        <v>2678773</v>
      </c>
      <c r="E2496" t="s">
        <v>96</v>
      </c>
      <c r="F2496" t="s">
        <v>3564</v>
      </c>
      <c r="H2496">
        <v>0</v>
      </c>
      <c r="I2496" t="s">
        <v>17</v>
      </c>
      <c r="K2496" t="s">
        <v>6759</v>
      </c>
      <c r="L2496">
        <v>168</v>
      </c>
      <c r="M2496" t="s">
        <v>6760</v>
      </c>
    </row>
    <row r="2497" spans="1:13" x14ac:dyDescent="0.45">
      <c r="A2497" t="s">
        <v>13</v>
      </c>
      <c r="B2497">
        <v>2678932</v>
      </c>
      <c r="C2497">
        <v>2679600</v>
      </c>
      <c r="E2497" t="s">
        <v>96</v>
      </c>
      <c r="F2497" t="s">
        <v>3965</v>
      </c>
      <c r="H2497">
        <v>0</v>
      </c>
      <c r="I2497" t="s">
        <v>17</v>
      </c>
      <c r="K2497" t="s">
        <v>6761</v>
      </c>
      <c r="L2497">
        <v>222</v>
      </c>
      <c r="M2497" t="s">
        <v>6762</v>
      </c>
    </row>
    <row r="2498" spans="1:13" x14ac:dyDescent="0.45">
      <c r="A2498" t="s">
        <v>13</v>
      </c>
      <c r="B2498">
        <v>2680013</v>
      </c>
      <c r="C2498">
        <v>2680519</v>
      </c>
      <c r="E2498" t="s">
        <v>96</v>
      </c>
      <c r="F2498" t="s">
        <v>6763</v>
      </c>
      <c r="H2498">
        <v>0</v>
      </c>
      <c r="I2498" t="s">
        <v>17</v>
      </c>
      <c r="K2498" t="s">
        <v>6764</v>
      </c>
      <c r="L2498">
        <v>168</v>
      </c>
      <c r="M2498" t="s">
        <v>6765</v>
      </c>
    </row>
    <row r="2499" spans="1:13" x14ac:dyDescent="0.45">
      <c r="A2499" t="s">
        <v>13</v>
      </c>
      <c r="B2499">
        <v>2680889</v>
      </c>
      <c r="C2499">
        <v>2681917</v>
      </c>
      <c r="E2499" t="s">
        <v>96</v>
      </c>
      <c r="F2499" t="s">
        <v>3681</v>
      </c>
      <c r="H2499">
        <v>0</v>
      </c>
      <c r="I2499" t="s">
        <v>17</v>
      </c>
      <c r="K2499" t="s">
        <v>6766</v>
      </c>
      <c r="L2499">
        <v>342</v>
      </c>
      <c r="M2499" t="s">
        <v>6767</v>
      </c>
    </row>
    <row r="2500" spans="1:13" x14ac:dyDescent="0.45">
      <c r="A2500" t="s">
        <v>13</v>
      </c>
      <c r="B2500">
        <v>2681965</v>
      </c>
      <c r="C2500">
        <v>2682825</v>
      </c>
      <c r="E2500" t="s">
        <v>96</v>
      </c>
      <c r="F2500" t="s">
        <v>6768</v>
      </c>
      <c r="H2500">
        <v>0</v>
      </c>
      <c r="I2500" t="s">
        <v>17</v>
      </c>
      <c r="K2500" t="s">
        <v>6769</v>
      </c>
      <c r="L2500">
        <v>286</v>
      </c>
      <c r="M2500" t="s">
        <v>6770</v>
      </c>
    </row>
    <row r="2501" spans="1:13" x14ac:dyDescent="0.45">
      <c r="A2501" t="s">
        <v>13</v>
      </c>
      <c r="B2501">
        <v>2683104</v>
      </c>
      <c r="C2501">
        <v>2683313</v>
      </c>
      <c r="E2501" t="s">
        <v>14</v>
      </c>
      <c r="F2501" t="s">
        <v>1780</v>
      </c>
      <c r="H2501">
        <v>0</v>
      </c>
      <c r="I2501" t="s">
        <v>17</v>
      </c>
      <c r="K2501" t="s">
        <v>6771</v>
      </c>
      <c r="L2501">
        <v>69</v>
      </c>
      <c r="M2501" t="s">
        <v>6772</v>
      </c>
    </row>
    <row r="2502" spans="1:13" x14ac:dyDescent="0.45">
      <c r="A2502" t="s">
        <v>13</v>
      </c>
      <c r="B2502">
        <v>2683313</v>
      </c>
      <c r="C2502">
        <v>2683579</v>
      </c>
      <c r="E2502" t="s">
        <v>14</v>
      </c>
      <c r="F2502" t="s">
        <v>1783</v>
      </c>
      <c r="H2502">
        <v>0</v>
      </c>
      <c r="I2502" t="s">
        <v>17</v>
      </c>
      <c r="K2502" t="s">
        <v>6773</v>
      </c>
      <c r="L2502">
        <v>88</v>
      </c>
      <c r="M2502" t="s">
        <v>6774</v>
      </c>
    </row>
    <row r="2503" spans="1:13" x14ac:dyDescent="0.45">
      <c r="A2503" t="s">
        <v>13</v>
      </c>
      <c r="B2503">
        <v>2683608</v>
      </c>
      <c r="C2503">
        <v>2684180</v>
      </c>
      <c r="E2503" t="s">
        <v>14</v>
      </c>
      <c r="F2503" t="s">
        <v>1786</v>
      </c>
      <c r="H2503">
        <v>0</v>
      </c>
      <c r="I2503" t="s">
        <v>17</v>
      </c>
      <c r="K2503" t="s">
        <v>6775</v>
      </c>
      <c r="L2503">
        <v>190</v>
      </c>
      <c r="M2503" t="s">
        <v>6776</v>
      </c>
    </row>
    <row r="2504" spans="1:13" x14ac:dyDescent="0.45">
      <c r="A2504" t="s">
        <v>13</v>
      </c>
      <c r="B2504">
        <v>2684414</v>
      </c>
      <c r="C2504">
        <v>2685604</v>
      </c>
      <c r="E2504" t="s">
        <v>96</v>
      </c>
      <c r="F2504" t="s">
        <v>772</v>
      </c>
      <c r="H2504">
        <v>0</v>
      </c>
      <c r="I2504" t="s">
        <v>17</v>
      </c>
      <c r="K2504" t="s">
        <v>6777</v>
      </c>
      <c r="L2504">
        <v>396</v>
      </c>
      <c r="M2504" t="s">
        <v>6778</v>
      </c>
    </row>
    <row r="2505" spans="1:13" x14ac:dyDescent="0.45">
      <c r="A2505" t="s">
        <v>13</v>
      </c>
      <c r="B2505">
        <v>2685864</v>
      </c>
      <c r="C2505">
        <v>2686295</v>
      </c>
      <c r="E2505" t="s">
        <v>96</v>
      </c>
      <c r="F2505" t="s">
        <v>6779</v>
      </c>
      <c r="G2505" t="s">
        <v>6780</v>
      </c>
      <c r="H2505">
        <v>0</v>
      </c>
      <c r="I2505" t="s">
        <v>17</v>
      </c>
      <c r="K2505" t="s">
        <v>6781</v>
      </c>
      <c r="L2505">
        <v>143</v>
      </c>
      <c r="M2505" t="s">
        <v>6782</v>
      </c>
    </row>
    <row r="2506" spans="1:13" x14ac:dyDescent="0.45">
      <c r="A2506" t="s">
        <v>13</v>
      </c>
      <c r="B2506">
        <v>2686408</v>
      </c>
      <c r="C2506">
        <v>2688636</v>
      </c>
      <c r="E2506" t="s">
        <v>14</v>
      </c>
      <c r="F2506" t="s">
        <v>6783</v>
      </c>
      <c r="H2506">
        <v>0</v>
      </c>
      <c r="I2506" t="s">
        <v>17</v>
      </c>
      <c r="K2506" t="s">
        <v>6784</v>
      </c>
      <c r="L2506">
        <v>742</v>
      </c>
      <c r="M2506" t="s">
        <v>6785</v>
      </c>
    </row>
    <row r="2507" spans="1:13" x14ac:dyDescent="0.45">
      <c r="A2507" t="s">
        <v>13</v>
      </c>
      <c r="B2507">
        <v>2688747</v>
      </c>
      <c r="C2507">
        <v>2689232</v>
      </c>
      <c r="E2507" t="s">
        <v>96</v>
      </c>
      <c r="F2507" t="s">
        <v>1485</v>
      </c>
      <c r="H2507">
        <v>0</v>
      </c>
      <c r="I2507" t="s">
        <v>17</v>
      </c>
      <c r="K2507" t="s">
        <v>6786</v>
      </c>
      <c r="L2507">
        <v>161</v>
      </c>
      <c r="M2507" t="s">
        <v>6787</v>
      </c>
    </row>
    <row r="2508" spans="1:13" x14ac:dyDescent="0.45">
      <c r="A2508" t="s">
        <v>13</v>
      </c>
      <c r="B2508">
        <v>2689484</v>
      </c>
      <c r="C2508">
        <v>2690707</v>
      </c>
      <c r="E2508" t="s">
        <v>14</v>
      </c>
      <c r="F2508" t="s">
        <v>4210</v>
      </c>
      <c r="H2508">
        <v>0</v>
      </c>
      <c r="I2508" t="s">
        <v>17</v>
      </c>
      <c r="K2508" t="s">
        <v>6788</v>
      </c>
      <c r="L2508">
        <v>407</v>
      </c>
      <c r="M2508" t="s">
        <v>6789</v>
      </c>
    </row>
    <row r="2509" spans="1:13" x14ac:dyDescent="0.45">
      <c r="A2509" t="s">
        <v>13</v>
      </c>
      <c r="B2509">
        <v>2690711</v>
      </c>
      <c r="C2509">
        <v>2693845</v>
      </c>
      <c r="E2509" t="s">
        <v>14</v>
      </c>
      <c r="F2509" t="s">
        <v>6790</v>
      </c>
      <c r="H2509">
        <v>0</v>
      </c>
      <c r="I2509" t="s">
        <v>17</v>
      </c>
      <c r="K2509" t="s">
        <v>6791</v>
      </c>
      <c r="L2509">
        <v>1044</v>
      </c>
      <c r="M2509" t="s">
        <v>6792</v>
      </c>
    </row>
    <row r="2510" spans="1:13" x14ac:dyDescent="0.45">
      <c r="A2510" t="s">
        <v>13</v>
      </c>
      <c r="B2510">
        <v>2693867</v>
      </c>
      <c r="C2510">
        <v>2695177</v>
      </c>
      <c r="E2510" t="s">
        <v>14</v>
      </c>
      <c r="F2510" t="s">
        <v>6793</v>
      </c>
      <c r="H2510">
        <v>0</v>
      </c>
      <c r="I2510" t="s">
        <v>17</v>
      </c>
      <c r="K2510" t="s">
        <v>6794</v>
      </c>
      <c r="L2510">
        <v>436</v>
      </c>
      <c r="M2510" t="s">
        <v>6795</v>
      </c>
    </row>
    <row r="2511" spans="1:13" x14ac:dyDescent="0.45">
      <c r="A2511" t="s">
        <v>13</v>
      </c>
      <c r="B2511">
        <v>2695387</v>
      </c>
      <c r="C2511">
        <v>2696283</v>
      </c>
      <c r="E2511" t="s">
        <v>96</v>
      </c>
      <c r="F2511" t="s">
        <v>1390</v>
      </c>
      <c r="H2511">
        <v>0</v>
      </c>
      <c r="I2511" t="s">
        <v>17</v>
      </c>
      <c r="K2511" t="s">
        <v>6796</v>
      </c>
      <c r="L2511">
        <v>298</v>
      </c>
      <c r="M2511" t="s">
        <v>6797</v>
      </c>
    </row>
    <row r="2512" spans="1:13" x14ac:dyDescent="0.45">
      <c r="A2512" t="s">
        <v>13</v>
      </c>
      <c r="B2512">
        <v>2696241</v>
      </c>
      <c r="C2512">
        <v>2696558</v>
      </c>
      <c r="E2512" t="s">
        <v>96</v>
      </c>
      <c r="F2512" t="s">
        <v>6507</v>
      </c>
      <c r="H2512">
        <v>0</v>
      </c>
      <c r="I2512" t="s">
        <v>17</v>
      </c>
      <c r="K2512" t="s">
        <v>6798</v>
      </c>
      <c r="L2512">
        <v>105</v>
      </c>
      <c r="M2512" t="s">
        <v>6799</v>
      </c>
    </row>
    <row r="2513" spans="1:13" x14ac:dyDescent="0.45">
      <c r="A2513" t="s">
        <v>13</v>
      </c>
      <c r="B2513">
        <v>2696770</v>
      </c>
      <c r="C2513">
        <v>2697015</v>
      </c>
      <c r="E2513" t="s">
        <v>96</v>
      </c>
      <c r="F2513" t="s">
        <v>2720</v>
      </c>
      <c r="H2513">
        <v>0</v>
      </c>
      <c r="I2513" t="s">
        <v>17</v>
      </c>
      <c r="K2513" t="s">
        <v>6800</v>
      </c>
      <c r="L2513">
        <v>81</v>
      </c>
      <c r="M2513" t="s">
        <v>6801</v>
      </c>
    </row>
    <row r="2514" spans="1:13" x14ac:dyDescent="0.45">
      <c r="A2514" t="s">
        <v>13</v>
      </c>
      <c r="B2514">
        <v>2697229</v>
      </c>
      <c r="C2514">
        <v>2699856</v>
      </c>
      <c r="E2514" t="s">
        <v>96</v>
      </c>
      <c r="F2514" t="s">
        <v>6802</v>
      </c>
      <c r="G2514" t="s">
        <v>6803</v>
      </c>
      <c r="H2514">
        <v>0</v>
      </c>
      <c r="I2514" t="s">
        <v>17</v>
      </c>
      <c r="K2514" t="s">
        <v>6804</v>
      </c>
      <c r="L2514">
        <v>875</v>
      </c>
      <c r="M2514" t="s">
        <v>6805</v>
      </c>
    </row>
    <row r="2515" spans="1:13" x14ac:dyDescent="0.45">
      <c r="A2515" t="s">
        <v>13</v>
      </c>
      <c r="B2515">
        <v>2699917</v>
      </c>
      <c r="C2515">
        <v>2700759</v>
      </c>
      <c r="E2515" t="s">
        <v>96</v>
      </c>
      <c r="F2515" t="s">
        <v>6806</v>
      </c>
      <c r="H2515">
        <v>0</v>
      </c>
      <c r="I2515" t="s">
        <v>17</v>
      </c>
      <c r="K2515" t="s">
        <v>6807</v>
      </c>
      <c r="L2515">
        <v>280</v>
      </c>
      <c r="M2515" t="s">
        <v>6808</v>
      </c>
    </row>
    <row r="2516" spans="1:13" x14ac:dyDescent="0.45">
      <c r="A2516" t="s">
        <v>13</v>
      </c>
      <c r="B2516">
        <v>2700766</v>
      </c>
      <c r="C2516">
        <v>2701404</v>
      </c>
      <c r="E2516" t="s">
        <v>96</v>
      </c>
      <c r="F2516" t="s">
        <v>1432</v>
      </c>
      <c r="H2516">
        <v>0</v>
      </c>
      <c r="I2516" t="s">
        <v>17</v>
      </c>
      <c r="K2516" t="s">
        <v>6809</v>
      </c>
      <c r="L2516">
        <v>212</v>
      </c>
      <c r="M2516" t="s">
        <v>6810</v>
      </c>
    </row>
    <row r="2517" spans="1:13" x14ac:dyDescent="0.45">
      <c r="A2517" t="s">
        <v>13</v>
      </c>
      <c r="B2517">
        <v>2701840</v>
      </c>
      <c r="C2517">
        <v>2703132</v>
      </c>
      <c r="E2517" t="s">
        <v>96</v>
      </c>
      <c r="F2517" t="s">
        <v>6811</v>
      </c>
      <c r="H2517">
        <v>0</v>
      </c>
      <c r="I2517" t="s">
        <v>17</v>
      </c>
      <c r="K2517" t="s">
        <v>6812</v>
      </c>
      <c r="L2517">
        <v>430</v>
      </c>
      <c r="M2517" t="s">
        <v>6813</v>
      </c>
    </row>
    <row r="2518" spans="1:13" x14ac:dyDescent="0.45">
      <c r="A2518" t="s">
        <v>13</v>
      </c>
      <c r="B2518">
        <v>2703169</v>
      </c>
      <c r="C2518">
        <v>2703525</v>
      </c>
      <c r="E2518" t="s">
        <v>96</v>
      </c>
      <c r="F2518" t="s">
        <v>2271</v>
      </c>
      <c r="H2518">
        <v>0</v>
      </c>
      <c r="I2518" t="s">
        <v>17</v>
      </c>
      <c r="K2518" t="s">
        <v>6814</v>
      </c>
      <c r="L2518">
        <v>118</v>
      </c>
      <c r="M2518" t="s">
        <v>6815</v>
      </c>
    </row>
    <row r="2519" spans="1:13" x14ac:dyDescent="0.45">
      <c r="A2519" t="s">
        <v>13</v>
      </c>
      <c r="B2519">
        <v>2703560</v>
      </c>
      <c r="C2519">
        <v>2703919</v>
      </c>
      <c r="E2519" t="s">
        <v>96</v>
      </c>
      <c r="F2519" t="s">
        <v>2262</v>
      </c>
      <c r="H2519">
        <v>0</v>
      </c>
      <c r="I2519" t="s">
        <v>17</v>
      </c>
      <c r="K2519" t="s">
        <v>6816</v>
      </c>
      <c r="L2519">
        <v>119</v>
      </c>
      <c r="M2519" t="s">
        <v>6817</v>
      </c>
    </row>
    <row r="2520" spans="1:13" x14ac:dyDescent="0.45">
      <c r="A2520" t="s">
        <v>13</v>
      </c>
      <c r="B2520">
        <v>2703988</v>
      </c>
      <c r="C2520">
        <v>2705961</v>
      </c>
      <c r="E2520" t="s">
        <v>96</v>
      </c>
      <c r="F2520" t="s">
        <v>613</v>
      </c>
      <c r="H2520">
        <v>0</v>
      </c>
      <c r="I2520" t="s">
        <v>17</v>
      </c>
      <c r="K2520" t="s">
        <v>6818</v>
      </c>
      <c r="L2520">
        <v>657</v>
      </c>
      <c r="M2520" t="s">
        <v>6819</v>
      </c>
    </row>
    <row r="2521" spans="1:13" x14ac:dyDescent="0.45">
      <c r="A2521" t="s">
        <v>13</v>
      </c>
      <c r="B2521">
        <v>2706183</v>
      </c>
      <c r="C2521">
        <v>2707196</v>
      </c>
      <c r="E2521" t="s">
        <v>96</v>
      </c>
      <c r="F2521" t="s">
        <v>6820</v>
      </c>
      <c r="H2521">
        <v>0</v>
      </c>
      <c r="I2521" t="s">
        <v>17</v>
      </c>
      <c r="K2521" t="s">
        <v>6821</v>
      </c>
      <c r="L2521">
        <v>337</v>
      </c>
      <c r="M2521" t="s">
        <v>6822</v>
      </c>
    </row>
    <row r="2522" spans="1:13" x14ac:dyDescent="0.45">
      <c r="A2522" t="s">
        <v>13</v>
      </c>
      <c r="B2522">
        <v>2707209</v>
      </c>
      <c r="C2522">
        <v>2707754</v>
      </c>
      <c r="E2522" t="s">
        <v>96</v>
      </c>
      <c r="F2522" t="s">
        <v>2265</v>
      </c>
      <c r="H2522">
        <v>0</v>
      </c>
      <c r="I2522" t="s">
        <v>17</v>
      </c>
      <c r="K2522" t="s">
        <v>6823</v>
      </c>
      <c r="L2522">
        <v>181</v>
      </c>
      <c r="M2522" t="s">
        <v>6824</v>
      </c>
    </row>
    <row r="2523" spans="1:13" x14ac:dyDescent="0.45">
      <c r="A2523" t="s">
        <v>13</v>
      </c>
      <c r="B2523">
        <v>2708130</v>
      </c>
      <c r="C2523">
        <v>2708999</v>
      </c>
      <c r="E2523" t="s">
        <v>96</v>
      </c>
      <c r="F2523" t="s">
        <v>196</v>
      </c>
      <c r="H2523">
        <v>0</v>
      </c>
      <c r="I2523" t="s">
        <v>17</v>
      </c>
      <c r="K2523" t="s">
        <v>6825</v>
      </c>
      <c r="L2523">
        <v>289</v>
      </c>
      <c r="M2523" t="s">
        <v>6826</v>
      </c>
    </row>
    <row r="2524" spans="1:13" x14ac:dyDescent="0.45">
      <c r="A2524" t="s">
        <v>13</v>
      </c>
      <c r="B2524">
        <v>2709151</v>
      </c>
      <c r="C2524">
        <v>2710266</v>
      </c>
      <c r="E2524" t="s">
        <v>96</v>
      </c>
      <c r="F2524" t="s">
        <v>6827</v>
      </c>
      <c r="H2524">
        <v>0</v>
      </c>
      <c r="I2524" t="s">
        <v>17</v>
      </c>
      <c r="K2524" t="s">
        <v>6828</v>
      </c>
      <c r="L2524">
        <v>371</v>
      </c>
      <c r="M2524" t="s">
        <v>6829</v>
      </c>
    </row>
    <row r="2525" spans="1:13" x14ac:dyDescent="0.45">
      <c r="A2525" t="s">
        <v>13</v>
      </c>
      <c r="B2525">
        <v>2710502</v>
      </c>
      <c r="C2525">
        <v>2711638</v>
      </c>
      <c r="E2525" t="s">
        <v>96</v>
      </c>
      <c r="F2525" t="s">
        <v>1128</v>
      </c>
      <c r="H2525">
        <v>0</v>
      </c>
      <c r="I2525" t="s">
        <v>17</v>
      </c>
      <c r="K2525" t="s">
        <v>6830</v>
      </c>
      <c r="L2525">
        <v>378</v>
      </c>
      <c r="M2525" t="s">
        <v>6831</v>
      </c>
    </row>
    <row r="2526" spans="1:13" x14ac:dyDescent="0.45">
      <c r="A2526" t="s">
        <v>13</v>
      </c>
      <c r="B2526">
        <v>2711694</v>
      </c>
      <c r="C2526">
        <v>2713157</v>
      </c>
      <c r="E2526" t="s">
        <v>96</v>
      </c>
      <c r="F2526" t="s">
        <v>4843</v>
      </c>
      <c r="H2526">
        <v>0</v>
      </c>
      <c r="I2526" t="s">
        <v>17</v>
      </c>
      <c r="K2526" t="s">
        <v>6832</v>
      </c>
      <c r="L2526">
        <v>487</v>
      </c>
      <c r="M2526" t="s">
        <v>6833</v>
      </c>
    </row>
    <row r="2527" spans="1:13" x14ac:dyDescent="0.45">
      <c r="A2527" t="s">
        <v>13</v>
      </c>
      <c r="B2527">
        <v>2713733</v>
      </c>
      <c r="C2527">
        <v>2714995</v>
      </c>
      <c r="E2527" t="s">
        <v>96</v>
      </c>
      <c r="F2527" t="s">
        <v>205</v>
      </c>
      <c r="H2527">
        <v>0</v>
      </c>
      <c r="I2527" t="s">
        <v>17</v>
      </c>
      <c r="K2527" t="s">
        <v>6834</v>
      </c>
      <c r="L2527">
        <v>420</v>
      </c>
      <c r="M2527" t="s">
        <v>6835</v>
      </c>
    </row>
    <row r="2528" spans="1:13" x14ac:dyDescent="0.45">
      <c r="A2528" t="s">
        <v>13</v>
      </c>
      <c r="B2528">
        <v>2715019</v>
      </c>
      <c r="C2528">
        <v>2716227</v>
      </c>
      <c r="E2528" t="s">
        <v>96</v>
      </c>
      <c r="F2528" t="s">
        <v>2917</v>
      </c>
      <c r="H2528">
        <v>0</v>
      </c>
      <c r="I2528" t="s">
        <v>17</v>
      </c>
      <c r="K2528" t="s">
        <v>6836</v>
      </c>
      <c r="L2528">
        <v>402</v>
      </c>
      <c r="M2528" t="s">
        <v>6837</v>
      </c>
    </row>
    <row r="2529" spans="1:13" x14ac:dyDescent="0.45">
      <c r="A2529" t="s">
        <v>13</v>
      </c>
      <c r="B2529">
        <v>2716257</v>
      </c>
      <c r="C2529">
        <v>2717150</v>
      </c>
      <c r="E2529" t="s">
        <v>96</v>
      </c>
      <c r="F2529" t="s">
        <v>2115</v>
      </c>
      <c r="H2529">
        <v>0</v>
      </c>
      <c r="I2529" t="s">
        <v>17</v>
      </c>
      <c r="K2529" t="s">
        <v>6838</v>
      </c>
      <c r="L2529">
        <v>297</v>
      </c>
      <c r="M2529" t="s">
        <v>6839</v>
      </c>
    </row>
    <row r="2530" spans="1:13" x14ac:dyDescent="0.45">
      <c r="A2530" t="s">
        <v>13</v>
      </c>
      <c r="B2530">
        <v>2717168</v>
      </c>
      <c r="C2530">
        <v>2718226</v>
      </c>
      <c r="E2530" t="s">
        <v>96</v>
      </c>
      <c r="F2530" t="s">
        <v>542</v>
      </c>
      <c r="G2530" t="s">
        <v>543</v>
      </c>
      <c r="H2530">
        <v>0</v>
      </c>
      <c r="I2530" t="s">
        <v>17</v>
      </c>
      <c r="K2530" t="s">
        <v>6840</v>
      </c>
      <c r="L2530">
        <v>352</v>
      </c>
      <c r="M2530" t="s">
        <v>6841</v>
      </c>
    </row>
    <row r="2531" spans="1:13" x14ac:dyDescent="0.45">
      <c r="A2531" t="s">
        <v>13</v>
      </c>
      <c r="B2531">
        <v>2718383</v>
      </c>
      <c r="C2531">
        <v>2718922</v>
      </c>
      <c r="E2531" t="s">
        <v>96</v>
      </c>
      <c r="F2531" t="s">
        <v>557</v>
      </c>
      <c r="H2531">
        <v>0</v>
      </c>
      <c r="I2531" t="s">
        <v>17</v>
      </c>
      <c r="K2531" t="s">
        <v>6842</v>
      </c>
      <c r="L2531">
        <v>179</v>
      </c>
      <c r="M2531" t="s">
        <v>6843</v>
      </c>
    </row>
    <row r="2532" spans="1:13" x14ac:dyDescent="0.45">
      <c r="A2532" t="s">
        <v>13</v>
      </c>
      <c r="B2532">
        <v>2718935</v>
      </c>
      <c r="C2532">
        <v>2719654</v>
      </c>
      <c r="E2532" t="s">
        <v>96</v>
      </c>
      <c r="F2532" t="s">
        <v>554</v>
      </c>
      <c r="H2532">
        <v>0</v>
      </c>
      <c r="I2532" t="s">
        <v>17</v>
      </c>
      <c r="K2532" t="s">
        <v>6844</v>
      </c>
      <c r="L2532">
        <v>239</v>
      </c>
      <c r="M2532" t="s">
        <v>6845</v>
      </c>
    </row>
    <row r="2533" spans="1:13" x14ac:dyDescent="0.45">
      <c r="A2533" t="s">
        <v>13</v>
      </c>
      <c r="B2533">
        <v>2719657</v>
      </c>
      <c r="C2533">
        <v>2720733</v>
      </c>
      <c r="E2533" t="s">
        <v>96</v>
      </c>
      <c r="F2533" t="s">
        <v>551</v>
      </c>
      <c r="G2533" t="s">
        <v>6285</v>
      </c>
      <c r="H2533">
        <v>0</v>
      </c>
      <c r="I2533" t="s">
        <v>17</v>
      </c>
      <c r="K2533" t="s">
        <v>6846</v>
      </c>
      <c r="L2533">
        <v>358</v>
      </c>
      <c r="M2533" t="s">
        <v>6847</v>
      </c>
    </row>
    <row r="2534" spans="1:13" x14ac:dyDescent="0.45">
      <c r="A2534" t="s">
        <v>13</v>
      </c>
      <c r="B2534">
        <v>2720762</v>
      </c>
      <c r="C2534">
        <v>2720959</v>
      </c>
      <c r="E2534" t="s">
        <v>96</v>
      </c>
      <c r="F2534" t="s">
        <v>548</v>
      </c>
      <c r="H2534">
        <v>0</v>
      </c>
      <c r="I2534" t="s">
        <v>17</v>
      </c>
      <c r="K2534" t="s">
        <v>6848</v>
      </c>
      <c r="L2534">
        <v>65</v>
      </c>
      <c r="M2534" t="s">
        <v>6849</v>
      </c>
    </row>
    <row r="2535" spans="1:13" x14ac:dyDescent="0.45">
      <c r="A2535" t="s">
        <v>13</v>
      </c>
      <c r="B2535">
        <v>2721242</v>
      </c>
      <c r="C2535">
        <v>2722009</v>
      </c>
      <c r="E2535" t="s">
        <v>96</v>
      </c>
      <c r="F2535" t="s">
        <v>6850</v>
      </c>
      <c r="H2535">
        <v>0</v>
      </c>
      <c r="I2535" t="s">
        <v>17</v>
      </c>
      <c r="K2535" t="s">
        <v>6851</v>
      </c>
      <c r="L2535">
        <v>255</v>
      </c>
      <c r="M2535" t="s">
        <v>6852</v>
      </c>
    </row>
    <row r="2536" spans="1:13" x14ac:dyDescent="0.45">
      <c r="A2536" t="s">
        <v>13</v>
      </c>
      <c r="B2536">
        <v>2722289</v>
      </c>
      <c r="C2536">
        <v>2723836</v>
      </c>
      <c r="E2536" t="s">
        <v>14</v>
      </c>
      <c r="F2536" t="s">
        <v>6853</v>
      </c>
      <c r="H2536">
        <v>0</v>
      </c>
      <c r="I2536" t="s">
        <v>17</v>
      </c>
      <c r="K2536" t="s">
        <v>6854</v>
      </c>
      <c r="L2536">
        <v>515</v>
      </c>
      <c r="M2536" t="s">
        <v>6855</v>
      </c>
    </row>
    <row r="2537" spans="1:13" x14ac:dyDescent="0.45">
      <c r="A2537" t="s">
        <v>13</v>
      </c>
      <c r="B2537">
        <v>2724002</v>
      </c>
      <c r="C2537">
        <v>2726068</v>
      </c>
      <c r="E2537" t="s">
        <v>96</v>
      </c>
      <c r="F2537" t="s">
        <v>6856</v>
      </c>
      <c r="G2537" t="s">
        <v>6857</v>
      </c>
      <c r="H2537">
        <v>0</v>
      </c>
      <c r="I2537" t="s">
        <v>17</v>
      </c>
      <c r="K2537" t="s">
        <v>6858</v>
      </c>
      <c r="L2537">
        <v>688</v>
      </c>
      <c r="M2537" t="s">
        <v>6859</v>
      </c>
    </row>
    <row r="2538" spans="1:13" x14ac:dyDescent="0.45">
      <c r="A2538" t="s">
        <v>13</v>
      </c>
      <c r="B2538">
        <v>2726068</v>
      </c>
      <c r="C2538">
        <v>2726946</v>
      </c>
      <c r="E2538" t="s">
        <v>96</v>
      </c>
      <c r="F2538" t="s">
        <v>6860</v>
      </c>
      <c r="G2538" t="s">
        <v>6861</v>
      </c>
      <c r="H2538">
        <v>0</v>
      </c>
      <c r="I2538" t="s">
        <v>17</v>
      </c>
      <c r="K2538" t="s">
        <v>6862</v>
      </c>
      <c r="L2538">
        <v>292</v>
      </c>
      <c r="M2538" t="s">
        <v>6863</v>
      </c>
    </row>
    <row r="2539" spans="1:13" x14ac:dyDescent="0.45">
      <c r="A2539" t="s">
        <v>13</v>
      </c>
      <c r="B2539">
        <v>2727106</v>
      </c>
      <c r="C2539">
        <v>2727705</v>
      </c>
      <c r="E2539" t="s">
        <v>96</v>
      </c>
      <c r="F2539" t="s">
        <v>6864</v>
      </c>
      <c r="H2539">
        <v>0</v>
      </c>
      <c r="I2539" t="s">
        <v>17</v>
      </c>
      <c r="K2539" t="s">
        <v>6865</v>
      </c>
      <c r="L2539">
        <v>199</v>
      </c>
      <c r="M2539" t="s">
        <v>6866</v>
      </c>
    </row>
    <row r="2540" spans="1:13" x14ac:dyDescent="0.45">
      <c r="A2540" t="s">
        <v>13</v>
      </c>
      <c r="B2540">
        <v>2727698</v>
      </c>
      <c r="C2540">
        <v>2728471</v>
      </c>
      <c r="E2540" t="s">
        <v>96</v>
      </c>
      <c r="F2540" t="s">
        <v>6867</v>
      </c>
      <c r="G2540" t="s">
        <v>6868</v>
      </c>
      <c r="H2540">
        <v>0</v>
      </c>
      <c r="I2540" t="s">
        <v>17</v>
      </c>
      <c r="K2540" t="s">
        <v>6869</v>
      </c>
      <c r="L2540">
        <v>257</v>
      </c>
      <c r="M2540" t="s">
        <v>6870</v>
      </c>
    </row>
    <row r="2541" spans="1:13" x14ac:dyDescent="0.45">
      <c r="A2541" t="s">
        <v>13</v>
      </c>
      <c r="B2541">
        <v>2728437</v>
      </c>
      <c r="C2541">
        <v>2728592</v>
      </c>
      <c r="E2541" t="s">
        <v>96</v>
      </c>
      <c r="F2541" t="s">
        <v>6871</v>
      </c>
      <c r="H2541">
        <v>0</v>
      </c>
      <c r="I2541" t="s">
        <v>17</v>
      </c>
      <c r="K2541" t="s">
        <v>6872</v>
      </c>
      <c r="L2541">
        <v>51</v>
      </c>
      <c r="M2541" t="s">
        <v>6873</v>
      </c>
    </row>
    <row r="2542" spans="1:13" x14ac:dyDescent="0.45">
      <c r="A2542" t="s">
        <v>13</v>
      </c>
      <c r="B2542">
        <v>2728665</v>
      </c>
      <c r="C2542">
        <v>2730044</v>
      </c>
      <c r="E2542" t="s">
        <v>96</v>
      </c>
      <c r="F2542" t="s">
        <v>6874</v>
      </c>
      <c r="G2542" t="s">
        <v>6875</v>
      </c>
      <c r="H2542">
        <v>0</v>
      </c>
      <c r="I2542" t="s">
        <v>17</v>
      </c>
      <c r="K2542" t="s">
        <v>6876</v>
      </c>
      <c r="L2542">
        <v>459</v>
      </c>
      <c r="M2542" t="s">
        <v>6877</v>
      </c>
    </row>
    <row r="2543" spans="1:13" x14ac:dyDescent="0.45">
      <c r="A2543" t="s">
        <v>13</v>
      </c>
      <c r="B2543">
        <v>2730056</v>
      </c>
      <c r="C2543">
        <v>2730949</v>
      </c>
      <c r="E2543" t="s">
        <v>96</v>
      </c>
      <c r="F2543" t="s">
        <v>6878</v>
      </c>
      <c r="G2543" t="s">
        <v>6879</v>
      </c>
      <c r="H2543">
        <v>0</v>
      </c>
      <c r="I2543" t="s">
        <v>17</v>
      </c>
      <c r="K2543" t="s">
        <v>6880</v>
      </c>
      <c r="L2543">
        <v>297</v>
      </c>
      <c r="M2543" t="s">
        <v>6881</v>
      </c>
    </row>
    <row r="2544" spans="1:13" x14ac:dyDescent="0.45">
      <c r="A2544" t="s">
        <v>13</v>
      </c>
      <c r="B2544">
        <v>2731013</v>
      </c>
      <c r="C2544">
        <v>2731414</v>
      </c>
      <c r="E2544" t="s">
        <v>96</v>
      </c>
      <c r="F2544" t="s">
        <v>2318</v>
      </c>
      <c r="H2544">
        <v>0</v>
      </c>
      <c r="I2544" t="s">
        <v>17</v>
      </c>
      <c r="K2544" t="s">
        <v>6882</v>
      </c>
      <c r="L2544">
        <v>133</v>
      </c>
      <c r="M2544" t="s">
        <v>6883</v>
      </c>
    </row>
    <row r="2545" spans="1:13" x14ac:dyDescent="0.45">
      <c r="A2545" t="s">
        <v>13</v>
      </c>
      <c r="B2545">
        <v>2731533</v>
      </c>
      <c r="C2545">
        <v>2732252</v>
      </c>
      <c r="E2545" t="s">
        <v>96</v>
      </c>
      <c r="F2545" t="s">
        <v>6884</v>
      </c>
      <c r="H2545">
        <v>0</v>
      </c>
      <c r="I2545" t="s">
        <v>17</v>
      </c>
      <c r="K2545" t="s">
        <v>6885</v>
      </c>
      <c r="L2545">
        <v>239</v>
      </c>
      <c r="M2545" t="s">
        <v>6886</v>
      </c>
    </row>
    <row r="2546" spans="1:13" x14ac:dyDescent="0.45">
      <c r="A2546" t="s">
        <v>13</v>
      </c>
      <c r="B2546">
        <v>2732258</v>
      </c>
      <c r="C2546">
        <v>2732719</v>
      </c>
      <c r="E2546" t="s">
        <v>96</v>
      </c>
      <c r="F2546" t="s">
        <v>6887</v>
      </c>
      <c r="G2546" t="s">
        <v>6888</v>
      </c>
      <c r="H2546">
        <v>0</v>
      </c>
      <c r="I2546" t="s">
        <v>17</v>
      </c>
      <c r="K2546" t="s">
        <v>6889</v>
      </c>
      <c r="L2546">
        <v>153</v>
      </c>
      <c r="M2546" t="s">
        <v>6890</v>
      </c>
    </row>
    <row r="2547" spans="1:13" x14ac:dyDescent="0.45">
      <c r="A2547" t="s">
        <v>13</v>
      </c>
      <c r="B2547">
        <v>2732776</v>
      </c>
      <c r="C2547">
        <v>2733891</v>
      </c>
      <c r="E2547" t="s">
        <v>96</v>
      </c>
      <c r="F2547" t="s">
        <v>6891</v>
      </c>
      <c r="H2547">
        <v>0</v>
      </c>
      <c r="I2547" t="s">
        <v>17</v>
      </c>
      <c r="K2547" t="s">
        <v>6892</v>
      </c>
      <c r="L2547">
        <v>371</v>
      </c>
      <c r="M2547" t="s">
        <v>6893</v>
      </c>
    </row>
    <row r="2548" spans="1:13" x14ac:dyDescent="0.45">
      <c r="A2548" t="s">
        <v>13</v>
      </c>
      <c r="B2548">
        <v>2733830</v>
      </c>
      <c r="C2548">
        <v>2735173</v>
      </c>
      <c r="E2548" t="s">
        <v>96</v>
      </c>
      <c r="F2548" t="s">
        <v>6894</v>
      </c>
      <c r="G2548" t="s">
        <v>6895</v>
      </c>
      <c r="H2548">
        <v>0</v>
      </c>
      <c r="I2548" t="s">
        <v>17</v>
      </c>
      <c r="K2548" t="s">
        <v>6896</v>
      </c>
      <c r="L2548">
        <v>447</v>
      </c>
      <c r="M2548" t="s">
        <v>6897</v>
      </c>
    </row>
    <row r="2549" spans="1:13" x14ac:dyDescent="0.45">
      <c r="A2549" t="s">
        <v>13</v>
      </c>
      <c r="B2549">
        <v>2735186</v>
      </c>
      <c r="C2549">
        <v>2735422</v>
      </c>
      <c r="E2549" t="s">
        <v>96</v>
      </c>
      <c r="F2549" t="s">
        <v>6898</v>
      </c>
      <c r="H2549">
        <v>0</v>
      </c>
      <c r="I2549" t="s">
        <v>17</v>
      </c>
      <c r="K2549" t="s">
        <v>6899</v>
      </c>
      <c r="L2549">
        <v>78</v>
      </c>
      <c r="M2549" t="s">
        <v>6900</v>
      </c>
    </row>
    <row r="2550" spans="1:13" x14ac:dyDescent="0.45">
      <c r="A2550" t="s">
        <v>13</v>
      </c>
      <c r="B2550">
        <v>2735635</v>
      </c>
      <c r="C2550">
        <v>2736198</v>
      </c>
      <c r="E2550" t="s">
        <v>96</v>
      </c>
      <c r="F2550" t="s">
        <v>637</v>
      </c>
      <c r="G2550" t="s">
        <v>638</v>
      </c>
      <c r="H2550">
        <v>0</v>
      </c>
      <c r="I2550" t="s">
        <v>17</v>
      </c>
      <c r="K2550" t="s">
        <v>6901</v>
      </c>
      <c r="L2550">
        <v>187</v>
      </c>
      <c r="M2550" t="s">
        <v>6902</v>
      </c>
    </row>
    <row r="2551" spans="1:13" x14ac:dyDescent="0.45">
      <c r="A2551" t="s">
        <v>13</v>
      </c>
      <c r="B2551">
        <v>2736391</v>
      </c>
      <c r="C2551">
        <v>2736888</v>
      </c>
      <c r="E2551" t="s">
        <v>96</v>
      </c>
      <c r="F2551" t="s">
        <v>6903</v>
      </c>
      <c r="H2551">
        <v>0</v>
      </c>
      <c r="I2551" t="s">
        <v>17</v>
      </c>
      <c r="K2551" t="s">
        <v>6904</v>
      </c>
      <c r="L2551">
        <v>165</v>
      </c>
      <c r="M2551" t="s">
        <v>6905</v>
      </c>
    </row>
    <row r="2552" spans="1:13" x14ac:dyDescent="0.45">
      <c r="A2552" t="s">
        <v>13</v>
      </c>
      <c r="B2552">
        <v>2736999</v>
      </c>
      <c r="C2552">
        <v>2737442</v>
      </c>
      <c r="E2552" t="s">
        <v>96</v>
      </c>
      <c r="F2552" t="s">
        <v>6906</v>
      </c>
      <c r="H2552">
        <v>0</v>
      </c>
      <c r="I2552" t="s">
        <v>17</v>
      </c>
      <c r="K2552" t="s">
        <v>6907</v>
      </c>
      <c r="L2552">
        <v>147</v>
      </c>
      <c r="M2552" t="s">
        <v>6908</v>
      </c>
    </row>
    <row r="2553" spans="1:13" x14ac:dyDescent="0.45">
      <c r="A2553" t="s">
        <v>13</v>
      </c>
      <c r="B2553">
        <v>2737472</v>
      </c>
      <c r="C2553">
        <v>2737651</v>
      </c>
      <c r="E2553" t="s">
        <v>96</v>
      </c>
      <c r="F2553" t="s">
        <v>6909</v>
      </c>
      <c r="G2553" t="s">
        <v>6910</v>
      </c>
      <c r="H2553">
        <v>0</v>
      </c>
      <c r="I2553" t="s">
        <v>17</v>
      </c>
      <c r="K2553" t="s">
        <v>6911</v>
      </c>
      <c r="L2553">
        <v>59</v>
      </c>
      <c r="M2553" t="s">
        <v>6912</v>
      </c>
    </row>
    <row r="2554" spans="1:13" x14ac:dyDescent="0.45">
      <c r="A2554" t="s">
        <v>13</v>
      </c>
      <c r="B2554">
        <v>2737814</v>
      </c>
      <c r="C2554">
        <v>2738164</v>
      </c>
      <c r="E2554" t="s">
        <v>96</v>
      </c>
      <c r="F2554" t="s">
        <v>6913</v>
      </c>
      <c r="H2554">
        <v>0</v>
      </c>
      <c r="I2554" t="s">
        <v>17</v>
      </c>
      <c r="K2554" t="s">
        <v>6914</v>
      </c>
      <c r="L2554">
        <v>116</v>
      </c>
      <c r="M2554" t="s">
        <v>6915</v>
      </c>
    </row>
    <row r="2555" spans="1:13" x14ac:dyDescent="0.45">
      <c r="A2555" t="s">
        <v>13</v>
      </c>
      <c r="B2555">
        <v>2738207</v>
      </c>
      <c r="C2555">
        <v>2739505</v>
      </c>
      <c r="E2555" t="s">
        <v>96</v>
      </c>
      <c r="F2555" t="s">
        <v>6916</v>
      </c>
      <c r="G2555" t="s">
        <v>6917</v>
      </c>
      <c r="H2555">
        <v>0</v>
      </c>
      <c r="I2555" t="s">
        <v>17</v>
      </c>
      <c r="K2555" t="s">
        <v>6918</v>
      </c>
      <c r="L2555">
        <v>432</v>
      </c>
      <c r="M2555" t="s">
        <v>6919</v>
      </c>
    </row>
    <row r="2556" spans="1:13" x14ac:dyDescent="0.45">
      <c r="A2556" t="s">
        <v>13</v>
      </c>
      <c r="B2556">
        <v>2739507</v>
      </c>
      <c r="C2556">
        <v>2740265</v>
      </c>
      <c r="E2556" t="s">
        <v>96</v>
      </c>
      <c r="F2556" t="s">
        <v>6920</v>
      </c>
      <c r="H2556">
        <v>0</v>
      </c>
      <c r="I2556" t="s">
        <v>17</v>
      </c>
      <c r="K2556" t="s">
        <v>6921</v>
      </c>
      <c r="L2556">
        <v>252</v>
      </c>
      <c r="M2556" t="s">
        <v>6922</v>
      </c>
    </row>
    <row r="2557" spans="1:13" x14ac:dyDescent="0.45">
      <c r="A2557" t="s">
        <v>13</v>
      </c>
      <c r="B2557">
        <v>2740284</v>
      </c>
      <c r="C2557">
        <v>2741231</v>
      </c>
      <c r="E2557" t="s">
        <v>96</v>
      </c>
      <c r="F2557" t="s">
        <v>6923</v>
      </c>
      <c r="G2557" t="s">
        <v>6924</v>
      </c>
      <c r="H2557">
        <v>0</v>
      </c>
      <c r="I2557" t="s">
        <v>17</v>
      </c>
      <c r="K2557" t="s">
        <v>6925</v>
      </c>
      <c r="L2557">
        <v>315</v>
      </c>
      <c r="M2557" t="s">
        <v>6926</v>
      </c>
    </row>
    <row r="2558" spans="1:13" x14ac:dyDescent="0.45">
      <c r="A2558" t="s">
        <v>13</v>
      </c>
      <c r="B2558">
        <v>2741672</v>
      </c>
      <c r="C2558">
        <v>2744080</v>
      </c>
      <c r="E2558" t="s">
        <v>96</v>
      </c>
      <c r="F2558" t="s">
        <v>6927</v>
      </c>
      <c r="H2558">
        <v>0</v>
      </c>
      <c r="I2558" t="s">
        <v>17</v>
      </c>
      <c r="K2558" t="s">
        <v>6928</v>
      </c>
      <c r="L2558">
        <v>802</v>
      </c>
      <c r="M2558" t="s">
        <v>6929</v>
      </c>
    </row>
    <row r="2559" spans="1:13" x14ac:dyDescent="0.45">
      <c r="A2559" t="s">
        <v>13</v>
      </c>
      <c r="B2559">
        <v>2744107</v>
      </c>
      <c r="C2559">
        <v>2744913</v>
      </c>
      <c r="E2559" t="s">
        <v>96</v>
      </c>
      <c r="F2559" t="s">
        <v>6930</v>
      </c>
      <c r="G2559" t="s">
        <v>6931</v>
      </c>
      <c r="H2559">
        <v>0</v>
      </c>
      <c r="I2559" t="s">
        <v>17</v>
      </c>
      <c r="K2559" t="s">
        <v>6932</v>
      </c>
      <c r="L2559">
        <v>268</v>
      </c>
      <c r="M2559" t="s">
        <v>6933</v>
      </c>
    </row>
    <row r="2560" spans="1:13" x14ac:dyDescent="0.45">
      <c r="A2560" t="s">
        <v>13</v>
      </c>
      <c r="B2560">
        <v>2744929</v>
      </c>
      <c r="C2560">
        <v>2745942</v>
      </c>
      <c r="E2560" t="s">
        <v>96</v>
      </c>
      <c r="F2560" t="s">
        <v>6934</v>
      </c>
      <c r="H2560">
        <v>0</v>
      </c>
      <c r="I2560" t="s">
        <v>17</v>
      </c>
      <c r="K2560" t="s">
        <v>6935</v>
      </c>
      <c r="L2560">
        <v>337</v>
      </c>
      <c r="M2560" t="s">
        <v>6936</v>
      </c>
    </row>
    <row r="2561" spans="1:13" x14ac:dyDescent="0.45">
      <c r="A2561" t="s">
        <v>13</v>
      </c>
      <c r="B2561">
        <v>2745962</v>
      </c>
      <c r="C2561">
        <v>2747437</v>
      </c>
      <c r="E2561" t="s">
        <v>96</v>
      </c>
      <c r="F2561" t="s">
        <v>43</v>
      </c>
      <c r="H2561">
        <v>0</v>
      </c>
      <c r="I2561" t="s">
        <v>17</v>
      </c>
      <c r="K2561" t="s">
        <v>6937</v>
      </c>
      <c r="L2561">
        <v>491</v>
      </c>
      <c r="M2561" t="s">
        <v>6938</v>
      </c>
    </row>
    <row r="2562" spans="1:13" x14ac:dyDescent="0.45">
      <c r="A2562" t="s">
        <v>13</v>
      </c>
      <c r="B2562">
        <v>2747442</v>
      </c>
      <c r="C2562">
        <v>2748179</v>
      </c>
      <c r="E2562" t="s">
        <v>96</v>
      </c>
      <c r="F2562" t="s">
        <v>6939</v>
      </c>
      <c r="G2562" t="s">
        <v>6940</v>
      </c>
      <c r="H2562">
        <v>0</v>
      </c>
      <c r="I2562" t="s">
        <v>17</v>
      </c>
      <c r="K2562" t="s">
        <v>6941</v>
      </c>
      <c r="L2562">
        <v>245</v>
      </c>
      <c r="M2562" t="s">
        <v>6942</v>
      </c>
    </row>
    <row r="2563" spans="1:13" x14ac:dyDescent="0.45">
      <c r="A2563" t="s">
        <v>13</v>
      </c>
      <c r="B2563">
        <v>2748438</v>
      </c>
      <c r="C2563">
        <v>2749547</v>
      </c>
      <c r="E2563" t="s">
        <v>14</v>
      </c>
      <c r="F2563" t="s">
        <v>1140</v>
      </c>
      <c r="H2563">
        <v>0</v>
      </c>
      <c r="I2563" t="s">
        <v>17</v>
      </c>
      <c r="K2563" t="s">
        <v>6943</v>
      </c>
      <c r="L2563">
        <v>369</v>
      </c>
      <c r="M2563" t="s">
        <v>6944</v>
      </c>
    </row>
    <row r="2564" spans="1:13" x14ac:dyDescent="0.45">
      <c r="A2564" t="s">
        <v>13</v>
      </c>
      <c r="B2564">
        <v>2749577</v>
      </c>
      <c r="C2564">
        <v>2750344</v>
      </c>
      <c r="E2564" t="s">
        <v>14</v>
      </c>
      <c r="F2564" t="s">
        <v>6945</v>
      </c>
      <c r="H2564">
        <v>0</v>
      </c>
      <c r="I2564" t="s">
        <v>17</v>
      </c>
      <c r="K2564" t="s">
        <v>6946</v>
      </c>
      <c r="L2564">
        <v>255</v>
      </c>
      <c r="M2564" t="s">
        <v>6947</v>
      </c>
    </row>
    <row r="2565" spans="1:13" x14ac:dyDescent="0.45">
      <c r="A2565" t="s">
        <v>13</v>
      </c>
      <c r="B2565">
        <v>2750532</v>
      </c>
      <c r="C2565">
        <v>2751905</v>
      </c>
      <c r="E2565" t="s">
        <v>96</v>
      </c>
      <c r="F2565" t="s">
        <v>205</v>
      </c>
      <c r="H2565">
        <v>0</v>
      </c>
      <c r="I2565" t="s">
        <v>17</v>
      </c>
      <c r="K2565" t="s">
        <v>6948</v>
      </c>
      <c r="L2565">
        <v>457</v>
      </c>
      <c r="M2565" t="s">
        <v>6949</v>
      </c>
    </row>
    <row r="2566" spans="1:13" x14ac:dyDescent="0.45">
      <c r="A2566" t="s">
        <v>13</v>
      </c>
      <c r="B2566">
        <v>2751941</v>
      </c>
      <c r="C2566">
        <v>2752876</v>
      </c>
      <c r="E2566" t="s">
        <v>96</v>
      </c>
      <c r="F2566" t="s">
        <v>4536</v>
      </c>
      <c r="H2566">
        <v>0</v>
      </c>
      <c r="I2566" t="s">
        <v>17</v>
      </c>
      <c r="K2566" t="s">
        <v>6950</v>
      </c>
      <c r="L2566">
        <v>311</v>
      </c>
      <c r="M2566" t="s">
        <v>6951</v>
      </c>
    </row>
    <row r="2567" spans="1:13" x14ac:dyDescent="0.45">
      <c r="A2567" t="s">
        <v>13</v>
      </c>
      <c r="B2567">
        <v>2753842</v>
      </c>
      <c r="C2567">
        <v>2754996</v>
      </c>
      <c r="E2567" t="s">
        <v>96</v>
      </c>
      <c r="F2567" t="s">
        <v>6952</v>
      </c>
      <c r="G2567" t="s">
        <v>6953</v>
      </c>
      <c r="H2567">
        <v>0</v>
      </c>
      <c r="I2567" t="s">
        <v>17</v>
      </c>
      <c r="K2567" t="s">
        <v>6954</v>
      </c>
      <c r="L2567">
        <v>384</v>
      </c>
      <c r="M2567" t="s">
        <v>6955</v>
      </c>
    </row>
    <row r="2568" spans="1:13" x14ac:dyDescent="0.45">
      <c r="A2568" t="s">
        <v>13</v>
      </c>
      <c r="B2568">
        <v>2755207</v>
      </c>
      <c r="C2568">
        <v>2757054</v>
      </c>
      <c r="E2568" t="s">
        <v>96</v>
      </c>
      <c r="F2568" t="s">
        <v>6956</v>
      </c>
      <c r="G2568" t="s">
        <v>6957</v>
      </c>
      <c r="H2568">
        <v>0</v>
      </c>
      <c r="I2568" t="s">
        <v>17</v>
      </c>
      <c r="K2568" t="s">
        <v>6958</v>
      </c>
      <c r="L2568">
        <v>615</v>
      </c>
      <c r="M2568" t="s">
        <v>6959</v>
      </c>
    </row>
    <row r="2569" spans="1:13" x14ac:dyDescent="0.45">
      <c r="A2569" t="s">
        <v>13</v>
      </c>
      <c r="B2569">
        <v>2757146</v>
      </c>
      <c r="C2569">
        <v>2757766</v>
      </c>
      <c r="E2569" t="s">
        <v>96</v>
      </c>
      <c r="F2569" t="s">
        <v>6960</v>
      </c>
      <c r="G2569" t="s">
        <v>6961</v>
      </c>
      <c r="H2569">
        <v>0</v>
      </c>
      <c r="I2569" t="s">
        <v>17</v>
      </c>
      <c r="K2569" t="s">
        <v>6962</v>
      </c>
      <c r="L2569">
        <v>206</v>
      </c>
      <c r="M2569" t="s">
        <v>6963</v>
      </c>
    </row>
    <row r="2570" spans="1:13" x14ac:dyDescent="0.45">
      <c r="A2570" t="s">
        <v>13</v>
      </c>
      <c r="B2570">
        <v>2757796</v>
      </c>
      <c r="C2570">
        <v>2758815</v>
      </c>
      <c r="E2570" t="s">
        <v>96</v>
      </c>
      <c r="F2570" t="s">
        <v>6964</v>
      </c>
      <c r="G2570" t="s">
        <v>6965</v>
      </c>
      <c r="H2570">
        <v>0</v>
      </c>
      <c r="I2570" t="s">
        <v>17</v>
      </c>
      <c r="K2570" t="s">
        <v>6966</v>
      </c>
      <c r="L2570">
        <v>339</v>
      </c>
      <c r="M2570" t="s">
        <v>6967</v>
      </c>
    </row>
    <row r="2571" spans="1:13" x14ac:dyDescent="0.45">
      <c r="A2571" t="s">
        <v>13</v>
      </c>
      <c r="B2571">
        <v>2758918</v>
      </c>
      <c r="C2571">
        <v>2760093</v>
      </c>
      <c r="E2571" t="s">
        <v>96</v>
      </c>
      <c r="F2571" t="s">
        <v>6968</v>
      </c>
      <c r="G2571" t="s">
        <v>6969</v>
      </c>
      <c r="H2571">
        <v>0</v>
      </c>
      <c r="I2571" t="s">
        <v>17</v>
      </c>
      <c r="K2571" t="s">
        <v>6970</v>
      </c>
      <c r="L2571">
        <v>391</v>
      </c>
      <c r="M2571" t="s">
        <v>6971</v>
      </c>
    </row>
    <row r="2572" spans="1:13" x14ac:dyDescent="0.45">
      <c r="A2572" t="s">
        <v>13</v>
      </c>
      <c r="B2572">
        <v>2760265</v>
      </c>
      <c r="C2572">
        <v>2761578</v>
      </c>
      <c r="E2572" t="s">
        <v>96</v>
      </c>
      <c r="F2572" t="s">
        <v>717</v>
      </c>
      <c r="H2572">
        <v>0</v>
      </c>
      <c r="I2572" t="s">
        <v>17</v>
      </c>
      <c r="K2572" t="s">
        <v>6972</v>
      </c>
      <c r="L2572">
        <v>437</v>
      </c>
      <c r="M2572" t="s">
        <v>6973</v>
      </c>
    </row>
    <row r="2573" spans="1:13" x14ac:dyDescent="0.45">
      <c r="A2573" t="s">
        <v>13</v>
      </c>
      <c r="B2573">
        <v>2761811</v>
      </c>
      <c r="C2573">
        <v>2763148</v>
      </c>
      <c r="E2573" t="s">
        <v>96</v>
      </c>
      <c r="F2573" t="s">
        <v>6974</v>
      </c>
      <c r="H2573">
        <v>0</v>
      </c>
      <c r="I2573" t="s">
        <v>17</v>
      </c>
      <c r="K2573" t="s">
        <v>6975</v>
      </c>
      <c r="L2573">
        <v>445</v>
      </c>
      <c r="M2573" t="s">
        <v>6976</v>
      </c>
    </row>
    <row r="2574" spans="1:13" x14ac:dyDescent="0.45">
      <c r="A2574" t="s">
        <v>13</v>
      </c>
      <c r="B2574">
        <v>2763299</v>
      </c>
      <c r="C2574">
        <v>2765104</v>
      </c>
      <c r="E2574" t="s">
        <v>96</v>
      </c>
      <c r="F2574" t="s">
        <v>6977</v>
      </c>
      <c r="G2574" t="s">
        <v>6978</v>
      </c>
      <c r="H2574">
        <v>0</v>
      </c>
      <c r="I2574" t="s">
        <v>17</v>
      </c>
      <c r="K2574" t="s">
        <v>6979</v>
      </c>
      <c r="L2574">
        <v>601</v>
      </c>
      <c r="M2574" t="s">
        <v>6980</v>
      </c>
    </row>
    <row r="2575" spans="1:13" x14ac:dyDescent="0.45">
      <c r="A2575" t="s">
        <v>13</v>
      </c>
      <c r="B2575">
        <v>2765386</v>
      </c>
      <c r="C2575">
        <v>2765637</v>
      </c>
      <c r="E2575" t="s">
        <v>96</v>
      </c>
      <c r="F2575" t="s">
        <v>43</v>
      </c>
      <c r="H2575">
        <v>0</v>
      </c>
      <c r="I2575" t="s">
        <v>17</v>
      </c>
      <c r="K2575" t="s">
        <v>6981</v>
      </c>
      <c r="L2575">
        <v>83</v>
      </c>
      <c r="M2575" t="s">
        <v>6982</v>
      </c>
    </row>
    <row r="2576" spans="1:13" x14ac:dyDescent="0.45">
      <c r="A2576" t="s">
        <v>13</v>
      </c>
      <c r="B2576">
        <v>2765668</v>
      </c>
      <c r="C2576">
        <v>2766687</v>
      </c>
      <c r="E2576" t="s">
        <v>96</v>
      </c>
      <c r="F2576" t="s">
        <v>6983</v>
      </c>
      <c r="G2576" t="s">
        <v>6984</v>
      </c>
      <c r="H2576">
        <v>0</v>
      </c>
      <c r="I2576" t="s">
        <v>17</v>
      </c>
      <c r="K2576" t="s">
        <v>6985</v>
      </c>
      <c r="L2576">
        <v>339</v>
      </c>
      <c r="M2576" t="s">
        <v>6986</v>
      </c>
    </row>
    <row r="2577" spans="1:13" x14ac:dyDescent="0.45">
      <c r="A2577" t="s">
        <v>13</v>
      </c>
      <c r="B2577">
        <v>2766705</v>
      </c>
      <c r="C2577">
        <v>2767658</v>
      </c>
      <c r="E2577" t="s">
        <v>96</v>
      </c>
      <c r="F2577" t="s">
        <v>6987</v>
      </c>
      <c r="G2577" t="s">
        <v>6988</v>
      </c>
      <c r="H2577">
        <v>0</v>
      </c>
      <c r="I2577" t="s">
        <v>17</v>
      </c>
      <c r="K2577" t="s">
        <v>6989</v>
      </c>
      <c r="L2577">
        <v>317</v>
      </c>
      <c r="M2577" t="s">
        <v>6990</v>
      </c>
    </row>
    <row r="2578" spans="1:13" x14ac:dyDescent="0.45">
      <c r="A2578" t="s">
        <v>13</v>
      </c>
      <c r="B2578">
        <v>2768001</v>
      </c>
      <c r="C2578">
        <v>2768777</v>
      </c>
      <c r="E2578" t="s">
        <v>96</v>
      </c>
      <c r="F2578" t="s">
        <v>2536</v>
      </c>
      <c r="H2578">
        <v>0</v>
      </c>
      <c r="I2578" t="s">
        <v>17</v>
      </c>
      <c r="K2578" t="s">
        <v>6991</v>
      </c>
      <c r="L2578">
        <v>258</v>
      </c>
      <c r="M2578" t="s">
        <v>6992</v>
      </c>
    </row>
    <row r="2579" spans="1:13" x14ac:dyDescent="0.45">
      <c r="A2579" t="s">
        <v>13</v>
      </c>
      <c r="B2579">
        <v>2768811</v>
      </c>
      <c r="C2579">
        <v>2769332</v>
      </c>
      <c r="E2579" t="s">
        <v>96</v>
      </c>
      <c r="F2579" t="s">
        <v>1134</v>
      </c>
      <c r="H2579">
        <v>0</v>
      </c>
      <c r="I2579" t="s">
        <v>17</v>
      </c>
      <c r="K2579" t="s">
        <v>6993</v>
      </c>
      <c r="L2579">
        <v>173</v>
      </c>
      <c r="M2579" t="s">
        <v>6994</v>
      </c>
    </row>
    <row r="2580" spans="1:13" x14ac:dyDescent="0.45">
      <c r="A2580" t="s">
        <v>13</v>
      </c>
      <c r="B2580">
        <v>2769931</v>
      </c>
      <c r="C2580">
        <v>2770197</v>
      </c>
      <c r="E2580" t="s">
        <v>14</v>
      </c>
      <c r="F2580" t="s">
        <v>6995</v>
      </c>
      <c r="G2580" t="s">
        <v>6996</v>
      </c>
      <c r="H2580">
        <v>0</v>
      </c>
      <c r="I2580" t="s">
        <v>17</v>
      </c>
      <c r="K2580" t="s">
        <v>6997</v>
      </c>
      <c r="L2580">
        <v>88</v>
      </c>
      <c r="M2580" t="s">
        <v>6998</v>
      </c>
    </row>
    <row r="2581" spans="1:13" x14ac:dyDescent="0.45">
      <c r="A2581" t="s">
        <v>13</v>
      </c>
      <c r="B2581">
        <v>2770384</v>
      </c>
      <c r="C2581">
        <v>2771427</v>
      </c>
      <c r="E2581" t="s">
        <v>96</v>
      </c>
      <c r="F2581" t="s">
        <v>6999</v>
      </c>
      <c r="G2581" t="s">
        <v>7000</v>
      </c>
      <c r="H2581">
        <v>0</v>
      </c>
      <c r="I2581" t="s">
        <v>17</v>
      </c>
      <c r="K2581" t="s">
        <v>7001</v>
      </c>
      <c r="L2581">
        <v>347</v>
      </c>
      <c r="M2581" t="s">
        <v>7002</v>
      </c>
    </row>
    <row r="2582" spans="1:13" x14ac:dyDescent="0.45">
      <c r="A2582" t="s">
        <v>13</v>
      </c>
      <c r="B2582">
        <v>2771381</v>
      </c>
      <c r="C2582">
        <v>2772683</v>
      </c>
      <c r="E2582" t="s">
        <v>96</v>
      </c>
      <c r="F2582" t="s">
        <v>271</v>
      </c>
      <c r="H2582">
        <v>0</v>
      </c>
      <c r="I2582" t="s">
        <v>272</v>
      </c>
      <c r="M2582" t="s">
        <v>7003</v>
      </c>
    </row>
    <row r="2583" spans="1:13" x14ac:dyDescent="0.45">
      <c r="A2583" t="s">
        <v>13</v>
      </c>
      <c r="B2583">
        <v>2772798</v>
      </c>
      <c r="C2583">
        <v>2773982</v>
      </c>
      <c r="E2583" t="s">
        <v>96</v>
      </c>
      <c r="F2583" t="s">
        <v>1183</v>
      </c>
      <c r="H2583">
        <v>0</v>
      </c>
      <c r="I2583" t="s">
        <v>17</v>
      </c>
      <c r="K2583" t="s">
        <v>7004</v>
      </c>
      <c r="L2583">
        <v>394</v>
      </c>
      <c r="M2583" t="s">
        <v>7005</v>
      </c>
    </row>
    <row r="2584" spans="1:13" x14ac:dyDescent="0.45">
      <c r="A2584" t="s">
        <v>13</v>
      </c>
      <c r="B2584">
        <v>2773991</v>
      </c>
      <c r="C2584">
        <v>2774896</v>
      </c>
      <c r="E2584" t="s">
        <v>96</v>
      </c>
      <c r="F2584" t="s">
        <v>7006</v>
      </c>
      <c r="H2584">
        <v>0</v>
      </c>
      <c r="I2584" t="s">
        <v>17</v>
      </c>
      <c r="K2584" t="s">
        <v>7007</v>
      </c>
      <c r="L2584">
        <v>301</v>
      </c>
      <c r="M2584" t="s">
        <v>7008</v>
      </c>
    </row>
    <row r="2585" spans="1:13" x14ac:dyDescent="0.45">
      <c r="A2585" t="s">
        <v>13</v>
      </c>
      <c r="B2585">
        <v>2775084</v>
      </c>
      <c r="C2585">
        <v>2775920</v>
      </c>
      <c r="E2585" t="s">
        <v>14</v>
      </c>
      <c r="F2585" t="s">
        <v>5587</v>
      </c>
      <c r="H2585">
        <v>0</v>
      </c>
      <c r="I2585" t="s">
        <v>17</v>
      </c>
      <c r="K2585" t="s">
        <v>7009</v>
      </c>
      <c r="L2585">
        <v>278</v>
      </c>
      <c r="M2585" t="s">
        <v>7010</v>
      </c>
    </row>
    <row r="2586" spans="1:13" x14ac:dyDescent="0.45">
      <c r="A2586" t="s">
        <v>13</v>
      </c>
      <c r="B2586">
        <v>2776062</v>
      </c>
      <c r="C2586">
        <v>2776769</v>
      </c>
      <c r="E2586" t="s">
        <v>96</v>
      </c>
      <c r="F2586" t="s">
        <v>7011</v>
      </c>
      <c r="H2586">
        <v>0</v>
      </c>
      <c r="I2586" t="s">
        <v>17</v>
      </c>
      <c r="K2586" t="s">
        <v>7012</v>
      </c>
      <c r="L2586">
        <v>235</v>
      </c>
      <c r="M2586" t="s">
        <v>7013</v>
      </c>
    </row>
    <row r="2587" spans="1:13" x14ac:dyDescent="0.45">
      <c r="A2587" t="s">
        <v>13</v>
      </c>
      <c r="B2587">
        <v>2776920</v>
      </c>
      <c r="C2587">
        <v>2777016</v>
      </c>
      <c r="E2587" t="s">
        <v>96</v>
      </c>
      <c r="F2587" t="s">
        <v>7014</v>
      </c>
      <c r="H2587">
        <v>0</v>
      </c>
      <c r="I2587" t="s">
        <v>77</v>
      </c>
      <c r="M2587" t="s">
        <v>7015</v>
      </c>
    </row>
    <row r="2588" spans="1:13" x14ac:dyDescent="0.45">
      <c r="A2588" t="s">
        <v>13</v>
      </c>
      <c r="B2588">
        <v>2777259</v>
      </c>
      <c r="C2588">
        <v>2778098</v>
      </c>
      <c r="E2588" t="s">
        <v>96</v>
      </c>
      <c r="F2588" t="s">
        <v>7016</v>
      </c>
      <c r="H2588">
        <v>0</v>
      </c>
      <c r="I2588" t="s">
        <v>17</v>
      </c>
      <c r="K2588" t="s">
        <v>7017</v>
      </c>
      <c r="L2588">
        <v>279</v>
      </c>
      <c r="M2588" t="s">
        <v>7018</v>
      </c>
    </row>
    <row r="2589" spans="1:13" x14ac:dyDescent="0.45">
      <c r="A2589" t="s">
        <v>13</v>
      </c>
      <c r="B2589">
        <v>2778347</v>
      </c>
      <c r="C2589">
        <v>2779021</v>
      </c>
      <c r="E2589" t="s">
        <v>96</v>
      </c>
      <c r="F2589" t="s">
        <v>7019</v>
      </c>
      <c r="H2589">
        <v>0</v>
      </c>
      <c r="I2589" t="s">
        <v>17</v>
      </c>
      <c r="K2589" t="s">
        <v>7020</v>
      </c>
      <c r="L2589">
        <v>224</v>
      </c>
      <c r="M2589" t="s">
        <v>7021</v>
      </c>
    </row>
    <row r="2590" spans="1:13" x14ac:dyDescent="0.45">
      <c r="A2590" t="s">
        <v>13</v>
      </c>
      <c r="B2590">
        <v>2779058</v>
      </c>
      <c r="C2590">
        <v>2779429</v>
      </c>
      <c r="E2590" t="s">
        <v>96</v>
      </c>
      <c r="F2590" t="s">
        <v>7022</v>
      </c>
      <c r="H2590">
        <v>0</v>
      </c>
      <c r="I2590" t="s">
        <v>17</v>
      </c>
      <c r="K2590" t="s">
        <v>7023</v>
      </c>
      <c r="L2590">
        <v>123</v>
      </c>
      <c r="M2590" t="s">
        <v>7024</v>
      </c>
    </row>
    <row r="2591" spans="1:13" x14ac:dyDescent="0.45">
      <c r="A2591" t="s">
        <v>13</v>
      </c>
      <c r="B2591">
        <v>2779496</v>
      </c>
      <c r="C2591">
        <v>2780554</v>
      </c>
      <c r="E2591" t="s">
        <v>14</v>
      </c>
      <c r="F2591" t="s">
        <v>7025</v>
      </c>
      <c r="H2591">
        <v>0</v>
      </c>
      <c r="I2591" t="s">
        <v>17</v>
      </c>
      <c r="K2591" t="s">
        <v>7026</v>
      </c>
      <c r="L2591">
        <v>352</v>
      </c>
      <c r="M2591" t="s">
        <v>7027</v>
      </c>
    </row>
    <row r="2592" spans="1:13" x14ac:dyDescent="0.45">
      <c r="A2592" t="s">
        <v>13</v>
      </c>
      <c r="B2592">
        <v>2780745</v>
      </c>
      <c r="C2592">
        <v>2781923</v>
      </c>
      <c r="E2592" t="s">
        <v>96</v>
      </c>
      <c r="F2592" t="s">
        <v>5578</v>
      </c>
      <c r="H2592">
        <v>0</v>
      </c>
      <c r="I2592" t="s">
        <v>17</v>
      </c>
      <c r="K2592" t="s">
        <v>7028</v>
      </c>
      <c r="L2592">
        <v>392</v>
      </c>
      <c r="M2592" t="s">
        <v>7029</v>
      </c>
    </row>
    <row r="2593" spans="1:13" x14ac:dyDescent="0.45">
      <c r="A2593" t="s">
        <v>13</v>
      </c>
      <c r="B2593">
        <v>2781977</v>
      </c>
      <c r="C2593">
        <v>2783041</v>
      </c>
      <c r="E2593" t="s">
        <v>96</v>
      </c>
      <c r="F2593" t="s">
        <v>6428</v>
      </c>
      <c r="H2593">
        <v>0</v>
      </c>
      <c r="I2593" t="s">
        <v>17</v>
      </c>
      <c r="K2593" t="s">
        <v>7030</v>
      </c>
      <c r="L2593">
        <v>354</v>
      </c>
      <c r="M2593" t="s">
        <v>7031</v>
      </c>
    </row>
    <row r="2594" spans="1:13" x14ac:dyDescent="0.45">
      <c r="A2594" t="s">
        <v>13</v>
      </c>
      <c r="B2594">
        <v>2783146</v>
      </c>
      <c r="C2594">
        <v>2784408</v>
      </c>
      <c r="E2594" t="s">
        <v>96</v>
      </c>
      <c r="F2594" t="s">
        <v>7032</v>
      </c>
      <c r="H2594">
        <v>0</v>
      </c>
      <c r="I2594" t="s">
        <v>17</v>
      </c>
      <c r="K2594" t="s">
        <v>7033</v>
      </c>
      <c r="L2594">
        <v>420</v>
      </c>
      <c r="M2594" t="s">
        <v>7034</v>
      </c>
    </row>
    <row r="2595" spans="1:13" x14ac:dyDescent="0.45">
      <c r="A2595" t="s">
        <v>13</v>
      </c>
      <c r="B2595">
        <v>2784433</v>
      </c>
      <c r="C2595">
        <v>2784750</v>
      </c>
      <c r="E2595" t="s">
        <v>96</v>
      </c>
      <c r="F2595" t="s">
        <v>7035</v>
      </c>
      <c r="H2595">
        <v>0</v>
      </c>
      <c r="I2595" t="s">
        <v>17</v>
      </c>
      <c r="K2595" t="s">
        <v>7036</v>
      </c>
      <c r="L2595">
        <v>105</v>
      </c>
      <c r="M2595" t="s">
        <v>7037</v>
      </c>
    </row>
    <row r="2596" spans="1:13" x14ac:dyDescent="0.45">
      <c r="A2596" t="s">
        <v>13</v>
      </c>
      <c r="B2596">
        <v>2784809</v>
      </c>
      <c r="C2596">
        <v>2785264</v>
      </c>
      <c r="E2596" t="s">
        <v>96</v>
      </c>
      <c r="F2596" t="s">
        <v>227</v>
      </c>
      <c r="H2596">
        <v>0</v>
      </c>
      <c r="I2596" t="s">
        <v>17</v>
      </c>
      <c r="K2596" t="s">
        <v>7038</v>
      </c>
      <c r="L2596">
        <v>151</v>
      </c>
      <c r="M2596" t="s">
        <v>7039</v>
      </c>
    </row>
    <row r="2597" spans="1:13" x14ac:dyDescent="0.45">
      <c r="A2597" t="s">
        <v>13</v>
      </c>
      <c r="B2597">
        <v>2785279</v>
      </c>
      <c r="C2597">
        <v>2787168</v>
      </c>
      <c r="E2597" t="s">
        <v>96</v>
      </c>
      <c r="F2597" t="s">
        <v>613</v>
      </c>
      <c r="H2597">
        <v>0</v>
      </c>
      <c r="I2597" t="s">
        <v>17</v>
      </c>
      <c r="K2597" t="s">
        <v>7040</v>
      </c>
      <c r="L2597">
        <v>629</v>
      </c>
      <c r="M2597" t="s">
        <v>7041</v>
      </c>
    </row>
    <row r="2598" spans="1:13" x14ac:dyDescent="0.45">
      <c r="A2598" t="s">
        <v>13</v>
      </c>
      <c r="B2598">
        <v>2787256</v>
      </c>
      <c r="C2598">
        <v>2788617</v>
      </c>
      <c r="E2598" t="s">
        <v>96</v>
      </c>
      <c r="F2598" t="s">
        <v>1128</v>
      </c>
      <c r="H2598">
        <v>0</v>
      </c>
      <c r="I2598" t="s">
        <v>17</v>
      </c>
      <c r="K2598" t="s">
        <v>7042</v>
      </c>
      <c r="L2598">
        <v>453</v>
      </c>
      <c r="M2598" t="s">
        <v>7043</v>
      </c>
    </row>
    <row r="2599" spans="1:13" x14ac:dyDescent="0.45">
      <c r="A2599" t="s">
        <v>13</v>
      </c>
      <c r="B2599">
        <v>2788790</v>
      </c>
      <c r="C2599">
        <v>2789734</v>
      </c>
      <c r="E2599" t="s">
        <v>14</v>
      </c>
      <c r="F2599" t="s">
        <v>7044</v>
      </c>
      <c r="G2599" t="s">
        <v>7045</v>
      </c>
      <c r="H2599">
        <v>0</v>
      </c>
      <c r="I2599" t="s">
        <v>17</v>
      </c>
      <c r="K2599" t="s">
        <v>7046</v>
      </c>
      <c r="L2599">
        <v>314</v>
      </c>
      <c r="M2599" t="s">
        <v>7047</v>
      </c>
    </row>
    <row r="2600" spans="1:13" x14ac:dyDescent="0.45">
      <c r="A2600" t="s">
        <v>13</v>
      </c>
      <c r="B2600">
        <v>2789853</v>
      </c>
      <c r="C2600">
        <v>2792591</v>
      </c>
      <c r="E2600" t="s">
        <v>96</v>
      </c>
      <c r="F2600" t="s">
        <v>7048</v>
      </c>
      <c r="H2600">
        <v>0</v>
      </c>
      <c r="I2600" t="s">
        <v>17</v>
      </c>
      <c r="K2600" t="s">
        <v>7049</v>
      </c>
      <c r="L2600">
        <v>912</v>
      </c>
      <c r="M2600" t="s">
        <v>7050</v>
      </c>
    </row>
    <row r="2601" spans="1:13" x14ac:dyDescent="0.45">
      <c r="A2601" t="s">
        <v>13</v>
      </c>
      <c r="B2601">
        <v>2792696</v>
      </c>
      <c r="C2601">
        <v>2794579</v>
      </c>
      <c r="E2601" t="s">
        <v>96</v>
      </c>
      <c r="F2601" t="s">
        <v>7051</v>
      </c>
      <c r="G2601" t="s">
        <v>7052</v>
      </c>
      <c r="H2601">
        <v>0</v>
      </c>
      <c r="I2601" t="s">
        <v>17</v>
      </c>
      <c r="K2601" t="s">
        <v>7053</v>
      </c>
      <c r="L2601">
        <v>627</v>
      </c>
      <c r="M2601" t="s">
        <v>7054</v>
      </c>
    </row>
    <row r="2602" spans="1:13" x14ac:dyDescent="0.45">
      <c r="A2602" t="s">
        <v>13</v>
      </c>
      <c r="B2602">
        <v>2794693</v>
      </c>
      <c r="C2602">
        <v>2796072</v>
      </c>
      <c r="E2602" t="s">
        <v>96</v>
      </c>
      <c r="F2602" t="s">
        <v>7055</v>
      </c>
      <c r="G2602" t="s">
        <v>7056</v>
      </c>
      <c r="H2602">
        <v>0</v>
      </c>
      <c r="I2602" t="s">
        <v>17</v>
      </c>
      <c r="K2602" t="s">
        <v>7057</v>
      </c>
      <c r="L2602">
        <v>459</v>
      </c>
      <c r="M2602" t="s">
        <v>7058</v>
      </c>
    </row>
    <row r="2603" spans="1:13" x14ac:dyDescent="0.45">
      <c r="A2603" t="s">
        <v>13</v>
      </c>
      <c r="B2603">
        <v>2796123</v>
      </c>
      <c r="C2603">
        <v>2797169</v>
      </c>
      <c r="E2603" t="s">
        <v>96</v>
      </c>
      <c r="F2603" t="s">
        <v>7059</v>
      </c>
      <c r="G2603" t="s">
        <v>7060</v>
      </c>
      <c r="H2603">
        <v>0</v>
      </c>
      <c r="I2603" t="s">
        <v>17</v>
      </c>
      <c r="K2603" t="s">
        <v>7061</v>
      </c>
      <c r="L2603">
        <v>348</v>
      </c>
      <c r="M2603" t="s">
        <v>7062</v>
      </c>
    </row>
    <row r="2604" spans="1:13" x14ac:dyDescent="0.45">
      <c r="A2604" t="s">
        <v>13</v>
      </c>
      <c r="B2604">
        <v>2797261</v>
      </c>
      <c r="C2604">
        <v>2797965</v>
      </c>
      <c r="E2604" t="s">
        <v>96</v>
      </c>
      <c r="F2604" t="s">
        <v>7063</v>
      </c>
      <c r="H2604">
        <v>0</v>
      </c>
      <c r="I2604" t="s">
        <v>17</v>
      </c>
      <c r="K2604" t="s">
        <v>7064</v>
      </c>
      <c r="L2604">
        <v>234</v>
      </c>
      <c r="M2604" t="s">
        <v>7065</v>
      </c>
    </row>
    <row r="2605" spans="1:13" x14ac:dyDescent="0.45">
      <c r="A2605" t="s">
        <v>13</v>
      </c>
      <c r="B2605">
        <v>2798045</v>
      </c>
      <c r="C2605">
        <v>2799334</v>
      </c>
      <c r="E2605" t="s">
        <v>14</v>
      </c>
      <c r="F2605" t="s">
        <v>1550</v>
      </c>
      <c r="H2605">
        <v>0</v>
      </c>
      <c r="I2605" t="s">
        <v>17</v>
      </c>
      <c r="K2605" t="s">
        <v>7066</v>
      </c>
      <c r="L2605">
        <v>429</v>
      </c>
      <c r="M2605" t="s">
        <v>7067</v>
      </c>
    </row>
    <row r="2606" spans="1:13" x14ac:dyDescent="0.45">
      <c r="A2606" t="s">
        <v>13</v>
      </c>
      <c r="B2606">
        <v>2799461</v>
      </c>
      <c r="C2606">
        <v>2799799</v>
      </c>
      <c r="E2606" t="s">
        <v>96</v>
      </c>
      <c r="F2606" t="s">
        <v>7068</v>
      </c>
      <c r="H2606">
        <v>0</v>
      </c>
      <c r="I2606" t="s">
        <v>17</v>
      </c>
      <c r="K2606" t="s">
        <v>7069</v>
      </c>
      <c r="L2606">
        <v>112</v>
      </c>
      <c r="M2606" t="s">
        <v>7070</v>
      </c>
    </row>
    <row r="2607" spans="1:13" x14ac:dyDescent="0.45">
      <c r="A2607" t="s">
        <v>13</v>
      </c>
      <c r="B2607">
        <v>2800048</v>
      </c>
      <c r="C2607">
        <v>2801364</v>
      </c>
      <c r="E2607" t="s">
        <v>96</v>
      </c>
      <c r="F2607" t="s">
        <v>7071</v>
      </c>
      <c r="G2607" t="s">
        <v>7072</v>
      </c>
      <c r="H2607">
        <v>0</v>
      </c>
      <c r="I2607" t="s">
        <v>17</v>
      </c>
      <c r="K2607" t="s">
        <v>7073</v>
      </c>
      <c r="L2607">
        <v>438</v>
      </c>
      <c r="M2607" t="s">
        <v>7074</v>
      </c>
    </row>
    <row r="2608" spans="1:13" x14ac:dyDescent="0.45">
      <c r="A2608" t="s">
        <v>13</v>
      </c>
      <c r="B2608">
        <v>2801741</v>
      </c>
      <c r="C2608">
        <v>2802562</v>
      </c>
      <c r="E2608" t="s">
        <v>96</v>
      </c>
      <c r="F2608" t="s">
        <v>1467</v>
      </c>
      <c r="H2608">
        <v>0</v>
      </c>
      <c r="I2608" t="s">
        <v>17</v>
      </c>
      <c r="K2608" t="s">
        <v>7075</v>
      </c>
      <c r="L2608">
        <v>273</v>
      </c>
      <c r="M2608" t="s">
        <v>7076</v>
      </c>
    </row>
    <row r="2609" spans="1:13" x14ac:dyDescent="0.45">
      <c r="A2609" t="s">
        <v>13</v>
      </c>
      <c r="B2609">
        <v>2802923</v>
      </c>
      <c r="C2609">
        <v>2804026</v>
      </c>
      <c r="E2609" t="s">
        <v>14</v>
      </c>
      <c r="F2609" t="s">
        <v>509</v>
      </c>
      <c r="H2609">
        <v>0</v>
      </c>
      <c r="I2609" t="s">
        <v>17</v>
      </c>
      <c r="K2609" t="s">
        <v>7077</v>
      </c>
      <c r="L2609">
        <v>367</v>
      </c>
      <c r="M2609" t="s">
        <v>7078</v>
      </c>
    </row>
    <row r="2610" spans="1:13" x14ac:dyDescent="0.45">
      <c r="A2610" t="s">
        <v>13</v>
      </c>
      <c r="B2610">
        <v>2804084</v>
      </c>
      <c r="C2610">
        <v>2806723</v>
      </c>
      <c r="E2610" t="s">
        <v>96</v>
      </c>
      <c r="F2610" t="s">
        <v>5193</v>
      </c>
      <c r="H2610">
        <v>0</v>
      </c>
      <c r="I2610" t="s">
        <v>17</v>
      </c>
      <c r="K2610" t="s">
        <v>7079</v>
      </c>
      <c r="L2610">
        <v>879</v>
      </c>
      <c r="M2610" t="s">
        <v>7080</v>
      </c>
    </row>
    <row r="2611" spans="1:13" x14ac:dyDescent="0.45">
      <c r="A2611" t="s">
        <v>13</v>
      </c>
      <c r="B2611">
        <v>2807048</v>
      </c>
      <c r="C2611">
        <v>2807695</v>
      </c>
      <c r="E2611" t="s">
        <v>96</v>
      </c>
      <c r="F2611" t="s">
        <v>3861</v>
      </c>
      <c r="H2611">
        <v>0</v>
      </c>
      <c r="I2611" t="s">
        <v>17</v>
      </c>
      <c r="K2611" t="s">
        <v>7081</v>
      </c>
      <c r="L2611">
        <v>215</v>
      </c>
      <c r="M2611" t="s">
        <v>7082</v>
      </c>
    </row>
    <row r="2612" spans="1:13" x14ac:dyDescent="0.45">
      <c r="A2612" t="s">
        <v>13</v>
      </c>
      <c r="B2612">
        <v>2807974</v>
      </c>
      <c r="C2612">
        <v>2808864</v>
      </c>
      <c r="E2612" t="s">
        <v>14</v>
      </c>
      <c r="F2612" t="s">
        <v>1178</v>
      </c>
      <c r="H2612">
        <v>0</v>
      </c>
      <c r="I2612" t="s">
        <v>17</v>
      </c>
      <c r="K2612" t="s">
        <v>7083</v>
      </c>
      <c r="L2612">
        <v>296</v>
      </c>
      <c r="M2612" t="s">
        <v>7084</v>
      </c>
    </row>
    <row r="2613" spans="1:13" x14ac:dyDescent="0.45">
      <c r="A2613" t="s">
        <v>13</v>
      </c>
      <c r="B2613">
        <v>2808868</v>
      </c>
      <c r="C2613">
        <v>2810268</v>
      </c>
      <c r="E2613" t="s">
        <v>14</v>
      </c>
      <c r="F2613" t="s">
        <v>3785</v>
      </c>
      <c r="H2613">
        <v>0</v>
      </c>
      <c r="I2613" t="s">
        <v>17</v>
      </c>
      <c r="K2613" t="s">
        <v>7085</v>
      </c>
      <c r="L2613">
        <v>466</v>
      </c>
      <c r="M2613" t="s">
        <v>7086</v>
      </c>
    </row>
    <row r="2614" spans="1:13" x14ac:dyDescent="0.45">
      <c r="A2614" t="s">
        <v>13</v>
      </c>
      <c r="B2614">
        <v>2810392</v>
      </c>
      <c r="C2614">
        <v>2811111</v>
      </c>
      <c r="E2614" t="s">
        <v>96</v>
      </c>
      <c r="F2614" t="s">
        <v>3094</v>
      </c>
      <c r="H2614">
        <v>0</v>
      </c>
      <c r="I2614" t="s">
        <v>17</v>
      </c>
      <c r="K2614" t="s">
        <v>7087</v>
      </c>
      <c r="L2614">
        <v>239</v>
      </c>
      <c r="M2614" t="s">
        <v>7088</v>
      </c>
    </row>
    <row r="2615" spans="1:13" x14ac:dyDescent="0.45">
      <c r="A2615" t="s">
        <v>13</v>
      </c>
      <c r="B2615">
        <v>2811158</v>
      </c>
      <c r="C2615">
        <v>2811916</v>
      </c>
      <c r="E2615" t="s">
        <v>96</v>
      </c>
      <c r="F2615" t="s">
        <v>1432</v>
      </c>
      <c r="H2615">
        <v>0</v>
      </c>
      <c r="I2615" t="s">
        <v>17</v>
      </c>
      <c r="K2615" t="s">
        <v>7089</v>
      </c>
      <c r="L2615">
        <v>252</v>
      </c>
      <c r="M2615" t="s">
        <v>7090</v>
      </c>
    </row>
    <row r="2616" spans="1:13" x14ac:dyDescent="0.45">
      <c r="A2616" t="s">
        <v>13</v>
      </c>
      <c r="B2616">
        <v>2812047</v>
      </c>
      <c r="C2616">
        <v>2813399</v>
      </c>
      <c r="E2616" t="s">
        <v>96</v>
      </c>
      <c r="F2616" t="s">
        <v>2530</v>
      </c>
      <c r="H2616">
        <v>0</v>
      </c>
      <c r="I2616" t="s">
        <v>17</v>
      </c>
      <c r="K2616" t="s">
        <v>7091</v>
      </c>
      <c r="L2616">
        <v>450</v>
      </c>
      <c r="M2616" t="s">
        <v>7092</v>
      </c>
    </row>
    <row r="2617" spans="1:13" x14ac:dyDescent="0.45">
      <c r="A2617" t="s">
        <v>13</v>
      </c>
      <c r="B2617">
        <v>2813496</v>
      </c>
      <c r="C2617">
        <v>2815046</v>
      </c>
      <c r="E2617" t="s">
        <v>96</v>
      </c>
      <c r="F2617" t="s">
        <v>3665</v>
      </c>
      <c r="H2617">
        <v>0</v>
      </c>
      <c r="I2617" t="s">
        <v>17</v>
      </c>
      <c r="K2617" t="s">
        <v>7093</v>
      </c>
      <c r="L2617">
        <v>516</v>
      </c>
      <c r="M2617" t="s">
        <v>7094</v>
      </c>
    </row>
    <row r="2618" spans="1:13" x14ac:dyDescent="0.45">
      <c r="A2618" t="s">
        <v>13</v>
      </c>
      <c r="B2618">
        <v>2815097</v>
      </c>
      <c r="C2618">
        <v>2815912</v>
      </c>
      <c r="E2618" t="s">
        <v>96</v>
      </c>
      <c r="F2618" t="s">
        <v>1317</v>
      </c>
      <c r="H2618">
        <v>0</v>
      </c>
      <c r="I2618" t="s">
        <v>17</v>
      </c>
      <c r="K2618" t="s">
        <v>7095</v>
      </c>
      <c r="L2618">
        <v>271</v>
      </c>
      <c r="M2618" t="s">
        <v>7096</v>
      </c>
    </row>
    <row r="2619" spans="1:13" x14ac:dyDescent="0.45">
      <c r="A2619" t="s">
        <v>13</v>
      </c>
      <c r="B2619">
        <v>2815933</v>
      </c>
      <c r="C2619">
        <v>2816415</v>
      </c>
      <c r="E2619" t="s">
        <v>96</v>
      </c>
      <c r="F2619" t="s">
        <v>227</v>
      </c>
      <c r="H2619">
        <v>0</v>
      </c>
      <c r="I2619" t="s">
        <v>17</v>
      </c>
      <c r="K2619" t="s">
        <v>7097</v>
      </c>
      <c r="L2619">
        <v>160</v>
      </c>
      <c r="M2619" t="s">
        <v>7098</v>
      </c>
    </row>
    <row r="2620" spans="1:13" x14ac:dyDescent="0.45">
      <c r="A2620" t="s">
        <v>13</v>
      </c>
      <c r="B2620">
        <v>2816699</v>
      </c>
      <c r="C2620">
        <v>2817079</v>
      </c>
      <c r="E2620" t="s">
        <v>96</v>
      </c>
      <c r="F2620" t="s">
        <v>3819</v>
      </c>
      <c r="H2620">
        <v>0</v>
      </c>
      <c r="I2620" t="s">
        <v>17</v>
      </c>
      <c r="K2620" t="s">
        <v>7099</v>
      </c>
      <c r="L2620">
        <v>126</v>
      </c>
      <c r="M2620" t="s">
        <v>7100</v>
      </c>
    </row>
    <row r="2621" spans="1:13" x14ac:dyDescent="0.45">
      <c r="A2621" t="s">
        <v>13</v>
      </c>
      <c r="B2621">
        <v>2817174</v>
      </c>
      <c r="C2621">
        <v>2818391</v>
      </c>
      <c r="E2621" t="s">
        <v>96</v>
      </c>
      <c r="F2621" t="s">
        <v>7101</v>
      </c>
      <c r="G2621" t="s">
        <v>7102</v>
      </c>
      <c r="H2621">
        <v>0</v>
      </c>
      <c r="I2621" t="s">
        <v>17</v>
      </c>
      <c r="K2621" t="s">
        <v>7103</v>
      </c>
      <c r="L2621">
        <v>405</v>
      </c>
      <c r="M2621" t="s">
        <v>7104</v>
      </c>
    </row>
    <row r="2622" spans="1:13" x14ac:dyDescent="0.45">
      <c r="A2622" t="s">
        <v>13</v>
      </c>
      <c r="B2622">
        <v>2819050</v>
      </c>
      <c r="C2622">
        <v>2820678</v>
      </c>
      <c r="E2622" t="s">
        <v>14</v>
      </c>
      <c r="F2622" t="s">
        <v>7105</v>
      </c>
      <c r="G2622" t="s">
        <v>7106</v>
      </c>
      <c r="H2622">
        <v>0</v>
      </c>
      <c r="I2622" t="s">
        <v>17</v>
      </c>
      <c r="K2622" t="s">
        <v>7107</v>
      </c>
      <c r="L2622">
        <v>542</v>
      </c>
      <c r="M2622" t="s">
        <v>7108</v>
      </c>
    </row>
    <row r="2623" spans="1:13" x14ac:dyDescent="0.45">
      <c r="A2623" t="s">
        <v>13</v>
      </c>
      <c r="B2623">
        <v>2820799</v>
      </c>
      <c r="C2623">
        <v>2821794</v>
      </c>
      <c r="E2623" t="s">
        <v>14</v>
      </c>
      <c r="F2623" t="s">
        <v>7109</v>
      </c>
      <c r="H2623">
        <v>0</v>
      </c>
      <c r="I2623" t="s">
        <v>17</v>
      </c>
      <c r="K2623" t="s">
        <v>7110</v>
      </c>
      <c r="L2623">
        <v>331</v>
      </c>
      <c r="M2623" t="s">
        <v>7111</v>
      </c>
    </row>
    <row r="2624" spans="1:13" x14ac:dyDescent="0.45">
      <c r="A2624" t="s">
        <v>13</v>
      </c>
      <c r="B2624">
        <v>2821952</v>
      </c>
      <c r="C2624">
        <v>2822620</v>
      </c>
      <c r="E2624" t="s">
        <v>96</v>
      </c>
      <c r="F2624" t="s">
        <v>5801</v>
      </c>
      <c r="H2624">
        <v>0</v>
      </c>
      <c r="I2624" t="s">
        <v>17</v>
      </c>
      <c r="K2624" t="s">
        <v>7112</v>
      </c>
      <c r="L2624">
        <v>222</v>
      </c>
      <c r="M2624" t="s">
        <v>7113</v>
      </c>
    </row>
    <row r="2625" spans="1:13" x14ac:dyDescent="0.45">
      <c r="A2625" t="s">
        <v>13</v>
      </c>
      <c r="B2625">
        <v>2822719</v>
      </c>
      <c r="C2625">
        <v>2822850</v>
      </c>
      <c r="E2625" t="s">
        <v>96</v>
      </c>
      <c r="F2625" t="s">
        <v>43</v>
      </c>
      <c r="H2625">
        <v>0</v>
      </c>
      <c r="I2625" t="s">
        <v>17</v>
      </c>
      <c r="K2625" t="s">
        <v>7114</v>
      </c>
      <c r="L2625">
        <v>43</v>
      </c>
      <c r="M2625" t="s">
        <v>7115</v>
      </c>
    </row>
    <row r="2626" spans="1:13" x14ac:dyDescent="0.45">
      <c r="A2626" t="s">
        <v>13</v>
      </c>
      <c r="B2626">
        <v>2823458</v>
      </c>
      <c r="C2626">
        <v>2825878</v>
      </c>
      <c r="E2626" t="s">
        <v>96</v>
      </c>
      <c r="F2626" t="s">
        <v>7116</v>
      </c>
      <c r="G2626" t="s">
        <v>7117</v>
      </c>
      <c r="H2626">
        <v>0</v>
      </c>
      <c r="I2626" t="s">
        <v>17</v>
      </c>
      <c r="K2626" t="s">
        <v>7118</v>
      </c>
      <c r="L2626">
        <v>806</v>
      </c>
      <c r="M2626" t="s">
        <v>7119</v>
      </c>
    </row>
    <row r="2627" spans="1:13" x14ac:dyDescent="0.45">
      <c r="A2627" t="s">
        <v>13</v>
      </c>
      <c r="B2627">
        <v>2826232</v>
      </c>
      <c r="C2627">
        <v>2826582</v>
      </c>
      <c r="E2627" t="s">
        <v>96</v>
      </c>
      <c r="F2627" t="s">
        <v>7120</v>
      </c>
      <c r="G2627" t="s">
        <v>7121</v>
      </c>
      <c r="H2627">
        <v>0</v>
      </c>
      <c r="I2627" t="s">
        <v>17</v>
      </c>
      <c r="K2627" t="s">
        <v>7122</v>
      </c>
      <c r="L2627">
        <v>116</v>
      </c>
      <c r="M2627" t="s">
        <v>7123</v>
      </c>
    </row>
    <row r="2628" spans="1:13" x14ac:dyDescent="0.45">
      <c r="A2628" t="s">
        <v>13</v>
      </c>
      <c r="B2628">
        <v>2826699</v>
      </c>
      <c r="C2628">
        <v>2827271</v>
      </c>
      <c r="E2628" t="s">
        <v>96</v>
      </c>
      <c r="F2628" t="s">
        <v>7124</v>
      </c>
      <c r="G2628" t="s">
        <v>7125</v>
      </c>
      <c r="H2628">
        <v>0</v>
      </c>
      <c r="I2628" t="s">
        <v>17</v>
      </c>
      <c r="K2628" t="s">
        <v>7126</v>
      </c>
      <c r="L2628">
        <v>190</v>
      </c>
      <c r="M2628" t="s">
        <v>7127</v>
      </c>
    </row>
    <row r="2629" spans="1:13" x14ac:dyDescent="0.45">
      <c r="A2629" t="s">
        <v>13</v>
      </c>
      <c r="B2629">
        <v>2827272</v>
      </c>
      <c r="C2629">
        <v>2827961</v>
      </c>
      <c r="E2629" t="s">
        <v>96</v>
      </c>
      <c r="F2629" t="s">
        <v>7128</v>
      </c>
      <c r="G2629" t="s">
        <v>7129</v>
      </c>
      <c r="H2629">
        <v>0</v>
      </c>
      <c r="I2629" t="s">
        <v>17</v>
      </c>
      <c r="K2629" t="s">
        <v>7130</v>
      </c>
      <c r="L2629">
        <v>229</v>
      </c>
      <c r="M2629" t="s">
        <v>7131</v>
      </c>
    </row>
    <row r="2630" spans="1:13" x14ac:dyDescent="0.45">
      <c r="A2630" t="s">
        <v>13</v>
      </c>
      <c r="B2630">
        <v>2828237</v>
      </c>
      <c r="C2630">
        <v>2828875</v>
      </c>
      <c r="E2630" t="s">
        <v>14</v>
      </c>
      <c r="F2630" t="s">
        <v>7132</v>
      </c>
      <c r="G2630" t="s">
        <v>7133</v>
      </c>
      <c r="H2630">
        <v>0</v>
      </c>
      <c r="I2630" t="s">
        <v>17</v>
      </c>
      <c r="K2630" t="s">
        <v>7134</v>
      </c>
      <c r="L2630">
        <v>212</v>
      </c>
      <c r="M2630" t="s">
        <v>7135</v>
      </c>
    </row>
    <row r="2631" spans="1:13" x14ac:dyDescent="0.45">
      <c r="A2631" t="s">
        <v>13</v>
      </c>
      <c r="B2631">
        <v>2829028</v>
      </c>
      <c r="C2631">
        <v>2831031</v>
      </c>
      <c r="E2631" t="s">
        <v>14</v>
      </c>
      <c r="F2631" t="s">
        <v>7136</v>
      </c>
      <c r="H2631">
        <v>0</v>
      </c>
      <c r="I2631" t="s">
        <v>17</v>
      </c>
      <c r="K2631" t="s">
        <v>7137</v>
      </c>
      <c r="L2631">
        <v>667</v>
      </c>
      <c r="M2631" t="s">
        <v>7138</v>
      </c>
    </row>
    <row r="2632" spans="1:13" x14ac:dyDescent="0.45">
      <c r="A2632" t="s">
        <v>13</v>
      </c>
      <c r="B2632">
        <v>2831334</v>
      </c>
      <c r="C2632">
        <v>2831645</v>
      </c>
      <c r="E2632" t="s">
        <v>96</v>
      </c>
      <c r="F2632" t="s">
        <v>7139</v>
      </c>
      <c r="H2632">
        <v>0</v>
      </c>
      <c r="I2632" t="s">
        <v>17</v>
      </c>
      <c r="K2632" t="s">
        <v>7140</v>
      </c>
      <c r="L2632">
        <v>103</v>
      </c>
      <c r="M2632" t="s">
        <v>7141</v>
      </c>
    </row>
    <row r="2633" spans="1:13" x14ac:dyDescent="0.45">
      <c r="A2633" t="s">
        <v>13</v>
      </c>
      <c r="B2633">
        <v>2831723</v>
      </c>
      <c r="C2633">
        <v>2832541</v>
      </c>
      <c r="E2633" t="s">
        <v>96</v>
      </c>
      <c r="F2633" t="s">
        <v>1134</v>
      </c>
      <c r="H2633">
        <v>0</v>
      </c>
      <c r="I2633" t="s">
        <v>17</v>
      </c>
      <c r="K2633" t="s">
        <v>7142</v>
      </c>
      <c r="L2633">
        <v>272</v>
      </c>
      <c r="M2633" t="s">
        <v>7143</v>
      </c>
    </row>
    <row r="2634" spans="1:13" x14ac:dyDescent="0.45">
      <c r="A2634" t="s">
        <v>13</v>
      </c>
      <c r="B2634">
        <v>2832641</v>
      </c>
      <c r="C2634">
        <v>2833165</v>
      </c>
      <c r="E2634" t="s">
        <v>96</v>
      </c>
      <c r="F2634" t="s">
        <v>655</v>
      </c>
      <c r="H2634">
        <v>0</v>
      </c>
      <c r="I2634" t="s">
        <v>17</v>
      </c>
      <c r="K2634" t="s">
        <v>7144</v>
      </c>
      <c r="L2634">
        <v>174</v>
      </c>
      <c r="M2634" t="s">
        <v>7145</v>
      </c>
    </row>
    <row r="2635" spans="1:13" x14ac:dyDescent="0.45">
      <c r="A2635" t="s">
        <v>13</v>
      </c>
      <c r="B2635">
        <v>2833184</v>
      </c>
      <c r="C2635">
        <v>2834326</v>
      </c>
      <c r="E2635" t="s">
        <v>96</v>
      </c>
      <c r="F2635" t="s">
        <v>2190</v>
      </c>
      <c r="H2635">
        <v>0</v>
      </c>
      <c r="I2635" t="s">
        <v>17</v>
      </c>
      <c r="K2635" t="s">
        <v>7146</v>
      </c>
      <c r="L2635">
        <v>380</v>
      </c>
      <c r="M2635" t="s">
        <v>7147</v>
      </c>
    </row>
    <row r="2636" spans="1:13" x14ac:dyDescent="0.45">
      <c r="A2636" t="s">
        <v>13</v>
      </c>
      <c r="B2636">
        <v>2834605</v>
      </c>
      <c r="C2636">
        <v>2836992</v>
      </c>
      <c r="E2636" t="s">
        <v>96</v>
      </c>
      <c r="F2636" t="s">
        <v>1143</v>
      </c>
      <c r="H2636">
        <v>0</v>
      </c>
      <c r="I2636" t="s">
        <v>17</v>
      </c>
      <c r="K2636" t="s">
        <v>7148</v>
      </c>
      <c r="L2636">
        <v>795</v>
      </c>
      <c r="M2636" t="s">
        <v>7149</v>
      </c>
    </row>
    <row r="2637" spans="1:13" x14ac:dyDescent="0.45">
      <c r="A2637" t="s">
        <v>13</v>
      </c>
      <c r="B2637">
        <v>2836985</v>
      </c>
      <c r="C2637">
        <v>2837668</v>
      </c>
      <c r="E2637" t="s">
        <v>96</v>
      </c>
      <c r="F2637" t="s">
        <v>1140</v>
      </c>
      <c r="H2637">
        <v>0</v>
      </c>
      <c r="I2637" t="s">
        <v>17</v>
      </c>
      <c r="K2637" t="s">
        <v>7150</v>
      </c>
      <c r="L2637">
        <v>227</v>
      </c>
      <c r="M2637" t="s">
        <v>7151</v>
      </c>
    </row>
    <row r="2638" spans="1:13" x14ac:dyDescent="0.45">
      <c r="A2638" t="s">
        <v>13</v>
      </c>
      <c r="B2638">
        <v>2837785</v>
      </c>
      <c r="C2638">
        <v>2839095</v>
      </c>
      <c r="E2638" t="s">
        <v>96</v>
      </c>
      <c r="F2638" t="s">
        <v>1219</v>
      </c>
      <c r="H2638">
        <v>0</v>
      </c>
      <c r="I2638" t="s">
        <v>17</v>
      </c>
      <c r="K2638" t="s">
        <v>7152</v>
      </c>
      <c r="L2638">
        <v>436</v>
      </c>
      <c r="M2638" t="s">
        <v>7153</v>
      </c>
    </row>
    <row r="2639" spans="1:13" x14ac:dyDescent="0.45">
      <c r="A2639" t="s">
        <v>13</v>
      </c>
      <c r="B2639">
        <v>2839089</v>
      </c>
      <c r="C2639">
        <v>2839796</v>
      </c>
      <c r="E2639" t="s">
        <v>96</v>
      </c>
      <c r="F2639" t="s">
        <v>1222</v>
      </c>
      <c r="H2639">
        <v>0</v>
      </c>
      <c r="I2639" t="s">
        <v>17</v>
      </c>
      <c r="K2639" t="s">
        <v>7154</v>
      </c>
      <c r="L2639">
        <v>235</v>
      </c>
      <c r="M2639" t="s">
        <v>7155</v>
      </c>
    </row>
    <row r="2640" spans="1:13" x14ac:dyDescent="0.45">
      <c r="A2640" t="s">
        <v>13</v>
      </c>
      <c r="B2640">
        <v>2840100</v>
      </c>
      <c r="C2640">
        <v>2841941</v>
      </c>
      <c r="E2640" t="s">
        <v>96</v>
      </c>
      <c r="F2640" t="s">
        <v>7156</v>
      </c>
      <c r="H2640">
        <v>0</v>
      </c>
      <c r="I2640" t="s">
        <v>17</v>
      </c>
      <c r="K2640" t="s">
        <v>7157</v>
      </c>
      <c r="L2640">
        <v>613</v>
      </c>
      <c r="M2640" t="s">
        <v>7158</v>
      </c>
    </row>
    <row r="2641" spans="1:13" x14ac:dyDescent="0.45">
      <c r="A2641" t="s">
        <v>13</v>
      </c>
      <c r="B2641">
        <v>2842154</v>
      </c>
      <c r="C2641">
        <v>2843038</v>
      </c>
      <c r="E2641" t="s">
        <v>96</v>
      </c>
      <c r="F2641" t="s">
        <v>7159</v>
      </c>
      <c r="H2641">
        <v>0</v>
      </c>
      <c r="I2641" t="s">
        <v>17</v>
      </c>
      <c r="K2641" t="s">
        <v>7160</v>
      </c>
      <c r="L2641">
        <v>294</v>
      </c>
      <c r="M2641" t="s">
        <v>7161</v>
      </c>
    </row>
    <row r="2642" spans="1:13" x14ac:dyDescent="0.45">
      <c r="A2642" t="s">
        <v>13</v>
      </c>
      <c r="B2642">
        <v>2843246</v>
      </c>
      <c r="C2642">
        <v>2844163</v>
      </c>
      <c r="E2642" t="s">
        <v>14</v>
      </c>
      <c r="F2642" t="s">
        <v>7162</v>
      </c>
      <c r="H2642">
        <v>0</v>
      </c>
      <c r="I2642" t="s">
        <v>17</v>
      </c>
      <c r="K2642" t="s">
        <v>7163</v>
      </c>
      <c r="L2642">
        <v>305</v>
      </c>
      <c r="M2642" t="s">
        <v>7164</v>
      </c>
    </row>
    <row r="2643" spans="1:13" x14ac:dyDescent="0.45">
      <c r="A2643" t="s">
        <v>13</v>
      </c>
      <c r="B2643">
        <v>2844292</v>
      </c>
      <c r="C2643">
        <v>2845626</v>
      </c>
      <c r="E2643" t="s">
        <v>96</v>
      </c>
      <c r="F2643" t="s">
        <v>7165</v>
      </c>
      <c r="H2643">
        <v>0</v>
      </c>
      <c r="I2643" t="s">
        <v>17</v>
      </c>
      <c r="K2643" t="s">
        <v>7166</v>
      </c>
      <c r="L2643">
        <v>444</v>
      </c>
      <c r="M2643" t="s">
        <v>7167</v>
      </c>
    </row>
    <row r="2644" spans="1:13" x14ac:dyDescent="0.45">
      <c r="A2644" t="s">
        <v>13</v>
      </c>
      <c r="B2644">
        <v>2845968</v>
      </c>
      <c r="C2644">
        <v>2847356</v>
      </c>
      <c r="E2644" t="s">
        <v>14</v>
      </c>
      <c r="F2644" t="s">
        <v>7168</v>
      </c>
      <c r="H2644">
        <v>0</v>
      </c>
      <c r="I2644" t="s">
        <v>17</v>
      </c>
      <c r="K2644" t="s">
        <v>7169</v>
      </c>
      <c r="L2644">
        <v>462</v>
      </c>
      <c r="M2644" t="s">
        <v>7170</v>
      </c>
    </row>
    <row r="2645" spans="1:13" x14ac:dyDescent="0.45">
      <c r="A2645" t="s">
        <v>13</v>
      </c>
      <c r="B2645">
        <v>2847437</v>
      </c>
      <c r="C2645">
        <v>2848645</v>
      </c>
      <c r="E2645" t="s">
        <v>96</v>
      </c>
      <c r="F2645" t="s">
        <v>7171</v>
      </c>
      <c r="H2645">
        <v>0</v>
      </c>
      <c r="I2645" t="s">
        <v>17</v>
      </c>
      <c r="K2645" t="s">
        <v>7172</v>
      </c>
      <c r="L2645">
        <v>402</v>
      </c>
      <c r="M2645" t="s">
        <v>7173</v>
      </c>
    </row>
    <row r="2646" spans="1:13" x14ac:dyDescent="0.45">
      <c r="A2646" t="s">
        <v>13</v>
      </c>
      <c r="B2646">
        <v>2848660</v>
      </c>
      <c r="C2646">
        <v>2850078</v>
      </c>
      <c r="E2646" t="s">
        <v>96</v>
      </c>
      <c r="F2646" t="s">
        <v>3004</v>
      </c>
      <c r="H2646">
        <v>0</v>
      </c>
      <c r="I2646" t="s">
        <v>17</v>
      </c>
      <c r="K2646" t="s">
        <v>7174</v>
      </c>
      <c r="L2646">
        <v>472</v>
      </c>
      <c r="M2646" t="s">
        <v>7175</v>
      </c>
    </row>
    <row r="2647" spans="1:13" x14ac:dyDescent="0.45">
      <c r="A2647" t="s">
        <v>13</v>
      </c>
      <c r="B2647">
        <v>2850096</v>
      </c>
      <c r="C2647">
        <v>2851172</v>
      </c>
      <c r="E2647" t="s">
        <v>96</v>
      </c>
      <c r="F2647" t="s">
        <v>7176</v>
      </c>
      <c r="H2647">
        <v>0</v>
      </c>
      <c r="I2647" t="s">
        <v>17</v>
      </c>
      <c r="K2647" t="s">
        <v>7177</v>
      </c>
      <c r="L2647">
        <v>358</v>
      </c>
      <c r="M2647" t="s">
        <v>7178</v>
      </c>
    </row>
    <row r="2648" spans="1:13" x14ac:dyDescent="0.45">
      <c r="A2648" t="s">
        <v>13</v>
      </c>
      <c r="B2648">
        <v>2851183</v>
      </c>
      <c r="C2648">
        <v>2853489</v>
      </c>
      <c r="E2648" t="s">
        <v>96</v>
      </c>
      <c r="F2648" t="s">
        <v>960</v>
      </c>
      <c r="H2648">
        <v>0</v>
      </c>
      <c r="I2648" t="s">
        <v>17</v>
      </c>
      <c r="K2648" t="s">
        <v>7179</v>
      </c>
      <c r="L2648">
        <v>768</v>
      </c>
      <c r="M2648" t="s">
        <v>7180</v>
      </c>
    </row>
    <row r="2649" spans="1:13" x14ac:dyDescent="0.45">
      <c r="A2649" t="s">
        <v>13</v>
      </c>
      <c r="B2649">
        <v>2853494</v>
      </c>
      <c r="C2649">
        <v>2854474</v>
      </c>
      <c r="E2649" t="s">
        <v>96</v>
      </c>
      <c r="F2649" t="s">
        <v>199</v>
      </c>
      <c r="H2649">
        <v>0</v>
      </c>
      <c r="I2649" t="s">
        <v>17</v>
      </c>
      <c r="K2649" t="s">
        <v>7181</v>
      </c>
      <c r="L2649">
        <v>326</v>
      </c>
      <c r="M2649" t="s">
        <v>7182</v>
      </c>
    </row>
    <row r="2650" spans="1:13" x14ac:dyDescent="0.45">
      <c r="A2650" t="s">
        <v>13</v>
      </c>
      <c r="B2650">
        <v>2854779</v>
      </c>
      <c r="C2650">
        <v>2856527</v>
      </c>
      <c r="E2650" t="s">
        <v>96</v>
      </c>
      <c r="F2650" t="s">
        <v>7183</v>
      </c>
      <c r="H2650">
        <v>0</v>
      </c>
      <c r="I2650" t="s">
        <v>17</v>
      </c>
      <c r="K2650" t="s">
        <v>7184</v>
      </c>
      <c r="L2650">
        <v>582</v>
      </c>
      <c r="M2650" t="s">
        <v>7185</v>
      </c>
    </row>
    <row r="2651" spans="1:13" x14ac:dyDescent="0.45">
      <c r="A2651" t="s">
        <v>13</v>
      </c>
      <c r="B2651">
        <v>2856584</v>
      </c>
      <c r="C2651">
        <v>2857393</v>
      </c>
      <c r="E2651" t="s">
        <v>96</v>
      </c>
      <c r="F2651" t="s">
        <v>7186</v>
      </c>
      <c r="H2651">
        <v>0</v>
      </c>
      <c r="I2651" t="s">
        <v>17</v>
      </c>
      <c r="K2651" t="s">
        <v>7187</v>
      </c>
      <c r="L2651">
        <v>269</v>
      </c>
      <c r="M2651" t="s">
        <v>7188</v>
      </c>
    </row>
    <row r="2652" spans="1:13" x14ac:dyDescent="0.45">
      <c r="A2652" t="s">
        <v>13</v>
      </c>
      <c r="B2652">
        <v>2857409</v>
      </c>
      <c r="C2652">
        <v>2858326</v>
      </c>
      <c r="E2652" t="s">
        <v>96</v>
      </c>
      <c r="F2652" t="s">
        <v>7186</v>
      </c>
      <c r="H2652">
        <v>0</v>
      </c>
      <c r="I2652" t="s">
        <v>17</v>
      </c>
      <c r="K2652" t="s">
        <v>7189</v>
      </c>
      <c r="L2652">
        <v>305</v>
      </c>
      <c r="M2652" t="s">
        <v>7190</v>
      </c>
    </row>
    <row r="2653" spans="1:13" x14ac:dyDescent="0.45">
      <c r="A2653" t="s">
        <v>13</v>
      </c>
      <c r="B2653">
        <v>2858424</v>
      </c>
      <c r="C2653">
        <v>2859734</v>
      </c>
      <c r="E2653" t="s">
        <v>96</v>
      </c>
      <c r="F2653" t="s">
        <v>2510</v>
      </c>
      <c r="H2653">
        <v>0</v>
      </c>
      <c r="I2653" t="s">
        <v>17</v>
      </c>
      <c r="K2653" t="s">
        <v>7191</v>
      </c>
      <c r="L2653">
        <v>436</v>
      </c>
      <c r="M2653" t="s">
        <v>7192</v>
      </c>
    </row>
    <row r="2654" spans="1:13" x14ac:dyDescent="0.45">
      <c r="A2654" t="s">
        <v>13</v>
      </c>
      <c r="B2654">
        <v>2860057</v>
      </c>
      <c r="C2654">
        <v>2860797</v>
      </c>
      <c r="E2654" t="s">
        <v>96</v>
      </c>
      <c r="F2654" t="s">
        <v>7193</v>
      </c>
      <c r="H2654">
        <v>0</v>
      </c>
      <c r="I2654" t="s">
        <v>17</v>
      </c>
      <c r="K2654" t="s">
        <v>7194</v>
      </c>
      <c r="L2654">
        <v>246</v>
      </c>
      <c r="M2654" t="s">
        <v>7195</v>
      </c>
    </row>
    <row r="2655" spans="1:13" x14ac:dyDescent="0.45">
      <c r="A2655" t="s">
        <v>13</v>
      </c>
      <c r="B2655">
        <v>2860800</v>
      </c>
      <c r="C2655">
        <v>2862059</v>
      </c>
      <c r="E2655" t="s">
        <v>96</v>
      </c>
      <c r="F2655" t="s">
        <v>7196</v>
      </c>
      <c r="H2655">
        <v>0</v>
      </c>
      <c r="I2655" t="s">
        <v>17</v>
      </c>
      <c r="K2655" t="s">
        <v>7197</v>
      </c>
      <c r="L2655">
        <v>419</v>
      </c>
      <c r="M2655" t="s">
        <v>7198</v>
      </c>
    </row>
    <row r="2656" spans="1:13" x14ac:dyDescent="0.45">
      <c r="A2656" t="s">
        <v>13</v>
      </c>
      <c r="B2656">
        <v>2862192</v>
      </c>
      <c r="C2656">
        <v>2862479</v>
      </c>
      <c r="E2656" t="s">
        <v>96</v>
      </c>
      <c r="F2656" t="s">
        <v>230</v>
      </c>
      <c r="H2656">
        <v>0</v>
      </c>
      <c r="I2656" t="s">
        <v>17</v>
      </c>
      <c r="K2656" t="s">
        <v>7199</v>
      </c>
      <c r="L2656">
        <v>95</v>
      </c>
      <c r="M2656" t="s">
        <v>7200</v>
      </c>
    </row>
    <row r="2657" spans="1:13" x14ac:dyDescent="0.45">
      <c r="A2657" t="s">
        <v>13</v>
      </c>
      <c r="B2657">
        <v>2862492</v>
      </c>
      <c r="C2657">
        <v>2864411</v>
      </c>
      <c r="E2657" t="s">
        <v>96</v>
      </c>
      <c r="F2657" t="s">
        <v>613</v>
      </c>
      <c r="H2657">
        <v>0</v>
      </c>
      <c r="I2657" t="s">
        <v>17</v>
      </c>
      <c r="K2657" t="s">
        <v>7201</v>
      </c>
      <c r="L2657">
        <v>639</v>
      </c>
      <c r="M2657" t="s">
        <v>7202</v>
      </c>
    </row>
    <row r="2658" spans="1:13" x14ac:dyDescent="0.45">
      <c r="A2658" t="s">
        <v>13</v>
      </c>
      <c r="B2658">
        <v>2864755</v>
      </c>
      <c r="C2658">
        <v>2865279</v>
      </c>
      <c r="E2658" t="s">
        <v>96</v>
      </c>
      <c r="F2658" t="s">
        <v>43</v>
      </c>
      <c r="H2658">
        <v>0</v>
      </c>
      <c r="I2658" t="s">
        <v>17</v>
      </c>
      <c r="K2658" t="s">
        <v>7203</v>
      </c>
      <c r="L2658">
        <v>174</v>
      </c>
      <c r="M2658" t="s">
        <v>7204</v>
      </c>
    </row>
    <row r="2659" spans="1:13" x14ac:dyDescent="0.45">
      <c r="A2659" t="s">
        <v>13</v>
      </c>
      <c r="B2659">
        <v>2865283</v>
      </c>
      <c r="C2659">
        <v>2865780</v>
      </c>
      <c r="E2659" t="s">
        <v>96</v>
      </c>
      <c r="F2659" t="s">
        <v>7205</v>
      </c>
      <c r="G2659" t="s">
        <v>7206</v>
      </c>
      <c r="H2659">
        <v>0</v>
      </c>
      <c r="I2659" t="s">
        <v>17</v>
      </c>
      <c r="K2659" t="s">
        <v>7207</v>
      </c>
      <c r="L2659">
        <v>165</v>
      </c>
      <c r="M2659" t="s">
        <v>7208</v>
      </c>
    </row>
    <row r="2660" spans="1:13" x14ac:dyDescent="0.45">
      <c r="A2660" t="s">
        <v>13</v>
      </c>
      <c r="B2660">
        <v>2865782</v>
      </c>
      <c r="C2660">
        <v>2866336</v>
      </c>
      <c r="E2660" t="s">
        <v>96</v>
      </c>
      <c r="F2660" t="s">
        <v>7209</v>
      </c>
      <c r="G2660" t="s">
        <v>7210</v>
      </c>
      <c r="H2660">
        <v>0</v>
      </c>
      <c r="I2660" t="s">
        <v>17</v>
      </c>
      <c r="K2660" t="s">
        <v>7211</v>
      </c>
      <c r="L2660">
        <v>184</v>
      </c>
      <c r="M2660" t="s">
        <v>7212</v>
      </c>
    </row>
    <row r="2661" spans="1:13" x14ac:dyDescent="0.45">
      <c r="A2661" t="s">
        <v>13</v>
      </c>
      <c r="B2661">
        <v>2866395</v>
      </c>
      <c r="C2661">
        <v>2868452</v>
      </c>
      <c r="E2661" t="s">
        <v>96</v>
      </c>
      <c r="F2661" t="s">
        <v>7213</v>
      </c>
      <c r="G2661" t="s">
        <v>7214</v>
      </c>
      <c r="H2661">
        <v>0</v>
      </c>
      <c r="I2661" t="s">
        <v>17</v>
      </c>
      <c r="K2661" t="s">
        <v>7215</v>
      </c>
      <c r="L2661">
        <v>685</v>
      </c>
      <c r="M2661" t="s">
        <v>7216</v>
      </c>
    </row>
    <row r="2662" spans="1:13" x14ac:dyDescent="0.45">
      <c r="A2662" t="s">
        <v>13</v>
      </c>
      <c r="B2662">
        <v>2868533</v>
      </c>
      <c r="C2662">
        <v>2870176</v>
      </c>
      <c r="E2662" t="s">
        <v>96</v>
      </c>
      <c r="F2662" t="s">
        <v>7217</v>
      </c>
      <c r="H2662">
        <v>0</v>
      </c>
      <c r="I2662" t="s">
        <v>17</v>
      </c>
      <c r="K2662" t="s">
        <v>7218</v>
      </c>
      <c r="L2662">
        <v>547</v>
      </c>
      <c r="M2662" t="s">
        <v>7219</v>
      </c>
    </row>
    <row r="2663" spans="1:13" x14ac:dyDescent="0.45">
      <c r="A2663" t="s">
        <v>13</v>
      </c>
      <c r="B2663">
        <v>2870195</v>
      </c>
      <c r="C2663">
        <v>2870545</v>
      </c>
      <c r="E2663" t="s">
        <v>96</v>
      </c>
      <c r="F2663" t="s">
        <v>3236</v>
      </c>
      <c r="H2663">
        <v>0</v>
      </c>
      <c r="I2663" t="s">
        <v>17</v>
      </c>
      <c r="K2663" t="s">
        <v>7220</v>
      </c>
      <c r="L2663">
        <v>116</v>
      </c>
      <c r="M2663" t="s">
        <v>7221</v>
      </c>
    </row>
    <row r="2664" spans="1:13" x14ac:dyDescent="0.45">
      <c r="A2664" t="s">
        <v>13</v>
      </c>
      <c r="B2664">
        <v>2870906</v>
      </c>
      <c r="C2664">
        <v>2871094</v>
      </c>
      <c r="E2664" t="s">
        <v>14</v>
      </c>
      <c r="F2664" t="s">
        <v>7222</v>
      </c>
      <c r="G2664" t="s">
        <v>7223</v>
      </c>
      <c r="H2664">
        <v>0</v>
      </c>
      <c r="I2664" t="s">
        <v>17</v>
      </c>
      <c r="K2664" t="s">
        <v>7224</v>
      </c>
      <c r="L2664">
        <v>62</v>
      </c>
      <c r="M2664" t="s">
        <v>7225</v>
      </c>
    </row>
    <row r="2665" spans="1:13" x14ac:dyDescent="0.45">
      <c r="A2665" t="s">
        <v>13</v>
      </c>
      <c r="B2665">
        <v>2871254</v>
      </c>
      <c r="C2665">
        <v>2871406</v>
      </c>
      <c r="E2665" t="s">
        <v>96</v>
      </c>
      <c r="F2665" t="s">
        <v>43</v>
      </c>
      <c r="H2665">
        <v>0</v>
      </c>
      <c r="I2665" t="s">
        <v>17</v>
      </c>
      <c r="K2665" t="s">
        <v>7226</v>
      </c>
      <c r="L2665">
        <v>50</v>
      </c>
      <c r="M2665" t="s">
        <v>7227</v>
      </c>
    </row>
    <row r="2666" spans="1:13" x14ac:dyDescent="0.45">
      <c r="A2666" t="s">
        <v>13</v>
      </c>
      <c r="B2666">
        <v>2871504</v>
      </c>
      <c r="C2666">
        <v>2871980</v>
      </c>
      <c r="E2666" t="s">
        <v>96</v>
      </c>
      <c r="F2666" t="s">
        <v>1886</v>
      </c>
      <c r="H2666">
        <v>0</v>
      </c>
      <c r="I2666" t="s">
        <v>17</v>
      </c>
      <c r="K2666" t="s">
        <v>7228</v>
      </c>
      <c r="L2666">
        <v>158</v>
      </c>
      <c r="M2666" t="s">
        <v>7229</v>
      </c>
    </row>
    <row r="2667" spans="1:13" x14ac:dyDescent="0.45">
      <c r="A2667" t="s">
        <v>13</v>
      </c>
      <c r="B2667">
        <v>2872199</v>
      </c>
      <c r="C2667">
        <v>2872960</v>
      </c>
      <c r="E2667" t="s">
        <v>14</v>
      </c>
      <c r="F2667" t="s">
        <v>1827</v>
      </c>
      <c r="H2667">
        <v>0</v>
      </c>
      <c r="I2667" t="s">
        <v>17</v>
      </c>
      <c r="K2667" t="s">
        <v>7230</v>
      </c>
      <c r="L2667">
        <v>253</v>
      </c>
      <c r="M2667" t="s">
        <v>7231</v>
      </c>
    </row>
    <row r="2668" spans="1:13" x14ac:dyDescent="0.45">
      <c r="A2668" t="s">
        <v>13</v>
      </c>
      <c r="B2668">
        <v>2873220</v>
      </c>
      <c r="C2668">
        <v>2875148</v>
      </c>
      <c r="E2668" t="s">
        <v>96</v>
      </c>
      <c r="F2668" t="s">
        <v>613</v>
      </c>
      <c r="H2668">
        <v>0</v>
      </c>
      <c r="I2668" t="s">
        <v>17</v>
      </c>
      <c r="K2668" t="s">
        <v>7232</v>
      </c>
      <c r="L2668">
        <v>642</v>
      </c>
      <c r="M2668" t="s">
        <v>7233</v>
      </c>
    </row>
    <row r="2669" spans="1:13" x14ac:dyDescent="0.45">
      <c r="A2669" t="s">
        <v>13</v>
      </c>
      <c r="B2669">
        <v>2875382</v>
      </c>
      <c r="C2669">
        <v>2875834</v>
      </c>
      <c r="E2669" t="s">
        <v>14</v>
      </c>
      <c r="F2669" t="s">
        <v>227</v>
      </c>
      <c r="H2669">
        <v>0</v>
      </c>
      <c r="I2669" t="s">
        <v>17</v>
      </c>
      <c r="K2669" t="s">
        <v>7234</v>
      </c>
      <c r="L2669">
        <v>150</v>
      </c>
      <c r="M2669" t="s">
        <v>7235</v>
      </c>
    </row>
    <row r="2670" spans="1:13" x14ac:dyDescent="0.45">
      <c r="A2670" t="s">
        <v>13</v>
      </c>
      <c r="B2670">
        <v>2875837</v>
      </c>
      <c r="C2670">
        <v>2876145</v>
      </c>
      <c r="E2670" t="s">
        <v>14</v>
      </c>
      <c r="F2670" t="s">
        <v>7035</v>
      </c>
      <c r="H2670">
        <v>0</v>
      </c>
      <c r="I2670" t="s">
        <v>17</v>
      </c>
      <c r="K2670" t="s">
        <v>7236</v>
      </c>
      <c r="L2670">
        <v>102</v>
      </c>
      <c r="M2670" t="s">
        <v>7237</v>
      </c>
    </row>
    <row r="2671" spans="1:13" x14ac:dyDescent="0.45">
      <c r="A2671" t="s">
        <v>13</v>
      </c>
      <c r="B2671">
        <v>2876259</v>
      </c>
      <c r="C2671">
        <v>2877365</v>
      </c>
      <c r="E2671" t="s">
        <v>14</v>
      </c>
      <c r="F2671" t="s">
        <v>7032</v>
      </c>
      <c r="H2671">
        <v>0</v>
      </c>
      <c r="I2671" t="s">
        <v>17</v>
      </c>
      <c r="K2671" t="s">
        <v>7238</v>
      </c>
      <c r="L2671">
        <v>368</v>
      </c>
      <c r="M2671" t="s">
        <v>7239</v>
      </c>
    </row>
    <row r="2672" spans="1:13" x14ac:dyDescent="0.45">
      <c r="A2672" t="s">
        <v>13</v>
      </c>
      <c r="B2672">
        <v>2877440</v>
      </c>
      <c r="C2672">
        <v>2880118</v>
      </c>
      <c r="E2672" t="s">
        <v>14</v>
      </c>
      <c r="F2672" t="s">
        <v>7240</v>
      </c>
      <c r="G2672" t="s">
        <v>7241</v>
      </c>
      <c r="H2672">
        <v>0</v>
      </c>
      <c r="I2672" t="s">
        <v>17</v>
      </c>
      <c r="K2672" t="s">
        <v>7242</v>
      </c>
      <c r="L2672">
        <v>892</v>
      </c>
      <c r="M2672" t="s">
        <v>7243</v>
      </c>
    </row>
    <row r="2673" spans="1:13" x14ac:dyDescent="0.45">
      <c r="A2673" t="s">
        <v>13</v>
      </c>
      <c r="B2673">
        <v>2880435</v>
      </c>
      <c r="C2673">
        <v>2882771</v>
      </c>
      <c r="E2673" t="s">
        <v>96</v>
      </c>
      <c r="F2673" t="s">
        <v>4781</v>
      </c>
      <c r="H2673">
        <v>0</v>
      </c>
      <c r="I2673" t="s">
        <v>17</v>
      </c>
      <c r="K2673" t="s">
        <v>7244</v>
      </c>
      <c r="L2673">
        <v>778</v>
      </c>
      <c r="M2673" t="s">
        <v>7245</v>
      </c>
    </row>
    <row r="2674" spans="1:13" x14ac:dyDescent="0.45">
      <c r="A2674" t="s">
        <v>13</v>
      </c>
      <c r="B2674">
        <v>2882743</v>
      </c>
      <c r="C2674">
        <v>2883459</v>
      </c>
      <c r="E2674" t="s">
        <v>96</v>
      </c>
      <c r="F2674" t="s">
        <v>1222</v>
      </c>
      <c r="H2674">
        <v>0</v>
      </c>
      <c r="I2674" t="s">
        <v>17</v>
      </c>
      <c r="K2674" t="s">
        <v>7246</v>
      </c>
      <c r="L2674">
        <v>238</v>
      </c>
      <c r="M2674" t="s">
        <v>7247</v>
      </c>
    </row>
    <row r="2675" spans="1:13" x14ac:dyDescent="0.45">
      <c r="A2675" t="s">
        <v>13</v>
      </c>
      <c r="B2675">
        <v>2883874</v>
      </c>
      <c r="C2675">
        <v>2884530</v>
      </c>
      <c r="E2675" t="s">
        <v>96</v>
      </c>
      <c r="F2675" t="s">
        <v>862</v>
      </c>
      <c r="H2675">
        <v>0</v>
      </c>
      <c r="I2675" t="s">
        <v>17</v>
      </c>
      <c r="K2675" t="s">
        <v>7248</v>
      </c>
      <c r="L2675">
        <v>218</v>
      </c>
      <c r="M2675" t="s">
        <v>7249</v>
      </c>
    </row>
    <row r="2676" spans="1:13" x14ac:dyDescent="0.45">
      <c r="A2676" t="s">
        <v>13</v>
      </c>
      <c r="B2676">
        <v>2884585</v>
      </c>
      <c r="C2676">
        <v>2885214</v>
      </c>
      <c r="E2676" t="s">
        <v>96</v>
      </c>
      <c r="F2676" t="s">
        <v>854</v>
      </c>
      <c r="H2676">
        <v>0</v>
      </c>
      <c r="I2676" t="s">
        <v>17</v>
      </c>
      <c r="K2676" t="s">
        <v>7250</v>
      </c>
      <c r="L2676">
        <v>209</v>
      </c>
      <c r="M2676" t="s">
        <v>7251</v>
      </c>
    </row>
    <row r="2677" spans="1:13" x14ac:dyDescent="0.45">
      <c r="A2677" t="s">
        <v>13</v>
      </c>
      <c r="B2677">
        <v>2885345</v>
      </c>
      <c r="C2677">
        <v>2885986</v>
      </c>
      <c r="E2677" t="s">
        <v>96</v>
      </c>
      <c r="F2677" t="s">
        <v>7252</v>
      </c>
      <c r="H2677">
        <v>0</v>
      </c>
      <c r="I2677" t="s">
        <v>17</v>
      </c>
      <c r="K2677" t="s">
        <v>7253</v>
      </c>
      <c r="L2677">
        <v>213</v>
      </c>
      <c r="M2677" t="s">
        <v>7254</v>
      </c>
    </row>
    <row r="2678" spans="1:13" x14ac:dyDescent="0.45">
      <c r="A2678" t="s">
        <v>13</v>
      </c>
      <c r="B2678">
        <v>2885995</v>
      </c>
      <c r="C2678">
        <v>2886666</v>
      </c>
      <c r="E2678" t="s">
        <v>96</v>
      </c>
      <c r="F2678" t="s">
        <v>6542</v>
      </c>
      <c r="G2678" t="s">
        <v>7255</v>
      </c>
      <c r="H2678">
        <v>0</v>
      </c>
      <c r="I2678" t="s">
        <v>17</v>
      </c>
      <c r="K2678" t="s">
        <v>7256</v>
      </c>
      <c r="L2678">
        <v>223</v>
      </c>
      <c r="M2678" t="s">
        <v>7257</v>
      </c>
    </row>
    <row r="2679" spans="1:13" x14ac:dyDescent="0.45">
      <c r="A2679" t="s">
        <v>13</v>
      </c>
      <c r="B2679">
        <v>2886671</v>
      </c>
      <c r="C2679">
        <v>2887555</v>
      </c>
      <c r="E2679" t="s">
        <v>96</v>
      </c>
      <c r="F2679" t="s">
        <v>7258</v>
      </c>
      <c r="G2679" t="s">
        <v>7259</v>
      </c>
      <c r="H2679">
        <v>0</v>
      </c>
      <c r="I2679" t="s">
        <v>17</v>
      </c>
      <c r="K2679" t="s">
        <v>7260</v>
      </c>
      <c r="L2679">
        <v>294</v>
      </c>
      <c r="M2679" t="s">
        <v>7261</v>
      </c>
    </row>
    <row r="2680" spans="1:13" x14ac:dyDescent="0.45">
      <c r="A2680" t="s">
        <v>13</v>
      </c>
      <c r="B2680">
        <v>2887653</v>
      </c>
      <c r="C2680">
        <v>2888390</v>
      </c>
      <c r="E2680" t="s">
        <v>96</v>
      </c>
      <c r="F2680" t="s">
        <v>7262</v>
      </c>
      <c r="G2680" t="s">
        <v>7263</v>
      </c>
      <c r="H2680">
        <v>0</v>
      </c>
      <c r="I2680" t="s">
        <v>17</v>
      </c>
      <c r="K2680" t="s">
        <v>7264</v>
      </c>
      <c r="L2680">
        <v>245</v>
      </c>
      <c r="M2680" t="s">
        <v>7265</v>
      </c>
    </row>
    <row r="2681" spans="1:13" x14ac:dyDescent="0.45">
      <c r="A2681" t="s">
        <v>13</v>
      </c>
      <c r="B2681">
        <v>2888498</v>
      </c>
      <c r="C2681">
        <v>2890513</v>
      </c>
      <c r="E2681" t="s">
        <v>96</v>
      </c>
      <c r="F2681" t="s">
        <v>7266</v>
      </c>
      <c r="G2681" t="s">
        <v>7267</v>
      </c>
      <c r="H2681">
        <v>0</v>
      </c>
      <c r="I2681" t="s">
        <v>17</v>
      </c>
      <c r="K2681" t="s">
        <v>7268</v>
      </c>
      <c r="L2681">
        <v>671</v>
      </c>
      <c r="M2681" t="s">
        <v>7269</v>
      </c>
    </row>
    <row r="2682" spans="1:13" x14ac:dyDescent="0.45">
      <c r="A2682" t="s">
        <v>13</v>
      </c>
      <c r="B2682">
        <v>2890530</v>
      </c>
      <c r="C2682">
        <v>2891282</v>
      </c>
      <c r="E2682" t="s">
        <v>96</v>
      </c>
      <c r="F2682" t="s">
        <v>7270</v>
      </c>
      <c r="H2682">
        <v>0</v>
      </c>
      <c r="I2682" t="s">
        <v>17</v>
      </c>
      <c r="K2682" t="s">
        <v>7271</v>
      </c>
      <c r="L2682">
        <v>250</v>
      </c>
      <c r="M2682" t="s">
        <v>7272</v>
      </c>
    </row>
    <row r="2683" spans="1:13" x14ac:dyDescent="0.45">
      <c r="A2683" t="s">
        <v>13</v>
      </c>
      <c r="B2683">
        <v>2891302</v>
      </c>
      <c r="C2683">
        <v>2892333</v>
      </c>
      <c r="E2683" t="s">
        <v>96</v>
      </c>
      <c r="F2683" t="s">
        <v>5357</v>
      </c>
      <c r="G2683" t="s">
        <v>5358</v>
      </c>
      <c r="H2683">
        <v>0</v>
      </c>
      <c r="I2683" t="s">
        <v>17</v>
      </c>
      <c r="K2683" t="s">
        <v>7273</v>
      </c>
      <c r="L2683">
        <v>343</v>
      </c>
      <c r="M2683" t="s">
        <v>7274</v>
      </c>
    </row>
    <row r="2684" spans="1:13" x14ac:dyDescent="0.45">
      <c r="A2684" t="s">
        <v>13</v>
      </c>
      <c r="B2684">
        <v>2892341</v>
      </c>
      <c r="C2684">
        <v>2893666</v>
      </c>
      <c r="E2684" t="s">
        <v>96</v>
      </c>
      <c r="F2684" t="s">
        <v>7275</v>
      </c>
      <c r="G2684" t="s">
        <v>7276</v>
      </c>
      <c r="H2684">
        <v>0</v>
      </c>
      <c r="I2684" t="s">
        <v>17</v>
      </c>
      <c r="K2684" t="s">
        <v>7277</v>
      </c>
      <c r="L2684">
        <v>441</v>
      </c>
      <c r="M2684" t="s">
        <v>7278</v>
      </c>
    </row>
    <row r="2685" spans="1:13" x14ac:dyDescent="0.45">
      <c r="A2685" t="s">
        <v>13</v>
      </c>
      <c r="B2685">
        <v>2893728</v>
      </c>
      <c r="C2685">
        <v>2894429</v>
      </c>
      <c r="E2685" t="s">
        <v>96</v>
      </c>
      <c r="F2685" t="s">
        <v>7279</v>
      </c>
      <c r="H2685">
        <v>0</v>
      </c>
      <c r="I2685" t="s">
        <v>17</v>
      </c>
      <c r="K2685" t="s">
        <v>7280</v>
      </c>
      <c r="L2685">
        <v>233</v>
      </c>
      <c r="M2685" t="s">
        <v>7281</v>
      </c>
    </row>
    <row r="2686" spans="1:13" x14ac:dyDescent="0.45">
      <c r="A2686" t="s">
        <v>13</v>
      </c>
      <c r="B2686">
        <v>2894498</v>
      </c>
      <c r="C2686">
        <v>2895250</v>
      </c>
      <c r="E2686" t="s">
        <v>96</v>
      </c>
      <c r="F2686" t="s">
        <v>7282</v>
      </c>
      <c r="H2686">
        <v>0</v>
      </c>
      <c r="I2686" t="s">
        <v>17</v>
      </c>
      <c r="K2686" t="s">
        <v>7283</v>
      </c>
      <c r="L2686">
        <v>250</v>
      </c>
      <c r="M2686" t="s">
        <v>7284</v>
      </c>
    </row>
    <row r="2687" spans="1:13" x14ac:dyDescent="0.45">
      <c r="A2687" t="s">
        <v>13</v>
      </c>
      <c r="B2687">
        <v>2895260</v>
      </c>
      <c r="C2687">
        <v>2896189</v>
      </c>
      <c r="E2687" t="s">
        <v>96</v>
      </c>
      <c r="F2687" t="s">
        <v>7285</v>
      </c>
      <c r="G2687" t="s">
        <v>7286</v>
      </c>
      <c r="H2687">
        <v>0</v>
      </c>
      <c r="I2687" t="s">
        <v>17</v>
      </c>
      <c r="K2687" t="s">
        <v>7287</v>
      </c>
      <c r="L2687">
        <v>309</v>
      </c>
      <c r="M2687" t="s">
        <v>7288</v>
      </c>
    </row>
    <row r="2688" spans="1:13" x14ac:dyDescent="0.45">
      <c r="A2688" t="s">
        <v>13</v>
      </c>
      <c r="B2688">
        <v>2896204</v>
      </c>
      <c r="C2688">
        <v>2896644</v>
      </c>
      <c r="E2688" t="s">
        <v>96</v>
      </c>
      <c r="F2688" t="s">
        <v>5014</v>
      </c>
      <c r="G2688" t="s">
        <v>5015</v>
      </c>
      <c r="H2688">
        <v>0</v>
      </c>
      <c r="I2688" t="s">
        <v>17</v>
      </c>
      <c r="K2688" t="s">
        <v>7289</v>
      </c>
      <c r="L2688">
        <v>146</v>
      </c>
      <c r="M2688" t="s">
        <v>7290</v>
      </c>
    </row>
    <row r="2689" spans="1:13" x14ac:dyDescent="0.45">
      <c r="A2689" t="s">
        <v>13</v>
      </c>
      <c r="B2689">
        <v>2896662</v>
      </c>
      <c r="C2689">
        <v>2899151</v>
      </c>
      <c r="E2689" t="s">
        <v>96</v>
      </c>
      <c r="F2689" t="s">
        <v>7291</v>
      </c>
      <c r="G2689" t="s">
        <v>7292</v>
      </c>
      <c r="H2689">
        <v>0</v>
      </c>
      <c r="I2689" t="s">
        <v>17</v>
      </c>
      <c r="K2689" t="s">
        <v>7293</v>
      </c>
      <c r="L2689">
        <v>829</v>
      </c>
      <c r="M2689" t="s">
        <v>7294</v>
      </c>
    </row>
    <row r="2690" spans="1:13" x14ac:dyDescent="0.45">
      <c r="A2690" t="s">
        <v>13</v>
      </c>
      <c r="B2690">
        <v>2899426</v>
      </c>
      <c r="C2690">
        <v>2900625</v>
      </c>
      <c r="E2690" t="s">
        <v>96</v>
      </c>
      <c r="F2690" t="s">
        <v>7295</v>
      </c>
      <c r="G2690" t="s">
        <v>7296</v>
      </c>
      <c r="H2690">
        <v>0</v>
      </c>
      <c r="I2690" t="s">
        <v>17</v>
      </c>
      <c r="K2690" t="s">
        <v>7297</v>
      </c>
      <c r="L2690">
        <v>399</v>
      </c>
      <c r="M2690" t="s">
        <v>7298</v>
      </c>
    </row>
    <row r="2691" spans="1:13" x14ac:dyDescent="0.45">
      <c r="A2691" t="s">
        <v>13</v>
      </c>
      <c r="B2691">
        <v>2900630</v>
      </c>
      <c r="C2691">
        <v>2900896</v>
      </c>
      <c r="E2691" t="s">
        <v>96</v>
      </c>
      <c r="F2691" t="s">
        <v>7299</v>
      </c>
      <c r="G2691" t="s">
        <v>7300</v>
      </c>
      <c r="H2691">
        <v>0</v>
      </c>
      <c r="I2691" t="s">
        <v>17</v>
      </c>
      <c r="K2691" t="s">
        <v>7301</v>
      </c>
      <c r="L2691">
        <v>88</v>
      </c>
      <c r="M2691" t="s">
        <v>7302</v>
      </c>
    </row>
    <row r="2692" spans="1:13" x14ac:dyDescent="0.45">
      <c r="A2692" t="s">
        <v>13</v>
      </c>
      <c r="B2692">
        <v>2900899</v>
      </c>
      <c r="C2692">
        <v>2901516</v>
      </c>
      <c r="E2692" t="s">
        <v>96</v>
      </c>
      <c r="F2692" t="s">
        <v>7303</v>
      </c>
      <c r="G2692" t="s">
        <v>7304</v>
      </c>
      <c r="H2692">
        <v>0</v>
      </c>
      <c r="I2692" t="s">
        <v>17</v>
      </c>
      <c r="K2692" t="s">
        <v>7305</v>
      </c>
      <c r="L2692">
        <v>205</v>
      </c>
      <c r="M2692" t="s">
        <v>7306</v>
      </c>
    </row>
    <row r="2693" spans="1:13" x14ac:dyDescent="0.45">
      <c r="A2693" t="s">
        <v>13</v>
      </c>
      <c r="B2693">
        <v>2901546</v>
      </c>
      <c r="C2693">
        <v>2902427</v>
      </c>
      <c r="E2693" t="s">
        <v>96</v>
      </c>
      <c r="F2693" t="s">
        <v>7307</v>
      </c>
      <c r="H2693">
        <v>0</v>
      </c>
      <c r="I2693" t="s">
        <v>17</v>
      </c>
      <c r="K2693" t="s">
        <v>7308</v>
      </c>
      <c r="L2693">
        <v>293</v>
      </c>
      <c r="M2693" t="s">
        <v>7309</v>
      </c>
    </row>
    <row r="2694" spans="1:13" x14ac:dyDescent="0.45">
      <c r="A2694" t="s">
        <v>13</v>
      </c>
      <c r="B2694">
        <v>2902431</v>
      </c>
      <c r="C2694">
        <v>2903261</v>
      </c>
      <c r="E2694" t="s">
        <v>96</v>
      </c>
      <c r="F2694" t="s">
        <v>7310</v>
      </c>
      <c r="G2694" t="s">
        <v>7311</v>
      </c>
      <c r="H2694">
        <v>0</v>
      </c>
      <c r="I2694" t="s">
        <v>17</v>
      </c>
      <c r="K2694" t="s">
        <v>7312</v>
      </c>
      <c r="L2694">
        <v>276</v>
      </c>
      <c r="M2694" t="s">
        <v>7313</v>
      </c>
    </row>
    <row r="2695" spans="1:13" x14ac:dyDescent="0.45">
      <c r="A2695" t="s">
        <v>13</v>
      </c>
      <c r="B2695">
        <v>2903548</v>
      </c>
      <c r="C2695">
        <v>2904582</v>
      </c>
      <c r="E2695" t="s">
        <v>96</v>
      </c>
      <c r="F2695" t="s">
        <v>7314</v>
      </c>
      <c r="G2695" t="s">
        <v>7315</v>
      </c>
      <c r="H2695">
        <v>0</v>
      </c>
      <c r="I2695" t="s">
        <v>17</v>
      </c>
      <c r="K2695" t="s">
        <v>7316</v>
      </c>
      <c r="L2695">
        <v>344</v>
      </c>
      <c r="M2695" t="s">
        <v>7317</v>
      </c>
    </row>
    <row r="2696" spans="1:13" x14ac:dyDescent="0.45">
      <c r="A2696" t="s">
        <v>13</v>
      </c>
      <c r="B2696">
        <v>2904878</v>
      </c>
      <c r="C2696">
        <v>2906653</v>
      </c>
      <c r="E2696" t="s">
        <v>14</v>
      </c>
      <c r="F2696" t="s">
        <v>7318</v>
      </c>
      <c r="H2696">
        <v>0</v>
      </c>
      <c r="I2696" t="s">
        <v>17</v>
      </c>
      <c r="K2696" t="s">
        <v>7319</v>
      </c>
      <c r="L2696">
        <v>591</v>
      </c>
      <c r="M2696" t="s">
        <v>7320</v>
      </c>
    </row>
    <row r="2697" spans="1:13" x14ac:dyDescent="0.45">
      <c r="A2697" t="s">
        <v>13</v>
      </c>
      <c r="B2697">
        <v>2906868</v>
      </c>
      <c r="C2697">
        <v>2908520</v>
      </c>
      <c r="E2697" t="s">
        <v>96</v>
      </c>
      <c r="F2697" t="s">
        <v>7321</v>
      </c>
      <c r="G2697" t="s">
        <v>7322</v>
      </c>
      <c r="H2697">
        <v>0</v>
      </c>
      <c r="I2697" t="s">
        <v>17</v>
      </c>
      <c r="K2697" t="s">
        <v>7323</v>
      </c>
      <c r="L2697">
        <v>550</v>
      </c>
      <c r="M2697" t="s">
        <v>7324</v>
      </c>
    </row>
    <row r="2698" spans="1:13" x14ac:dyDescent="0.45">
      <c r="A2698" t="s">
        <v>13</v>
      </c>
      <c r="B2698">
        <v>2908819</v>
      </c>
      <c r="C2698">
        <v>2910030</v>
      </c>
      <c r="E2698" t="s">
        <v>96</v>
      </c>
      <c r="F2698" t="s">
        <v>5948</v>
      </c>
      <c r="H2698">
        <v>0</v>
      </c>
      <c r="I2698" t="s">
        <v>17</v>
      </c>
      <c r="K2698" t="s">
        <v>7325</v>
      </c>
      <c r="L2698">
        <v>403</v>
      </c>
      <c r="M2698" t="s">
        <v>7326</v>
      </c>
    </row>
    <row r="2699" spans="1:13" x14ac:dyDescent="0.45">
      <c r="A2699" t="s">
        <v>13</v>
      </c>
      <c r="B2699">
        <v>2910314</v>
      </c>
      <c r="C2699">
        <v>2910847</v>
      </c>
      <c r="E2699" t="s">
        <v>96</v>
      </c>
      <c r="F2699" t="s">
        <v>7327</v>
      </c>
      <c r="G2699" t="s">
        <v>7328</v>
      </c>
      <c r="H2699">
        <v>0</v>
      </c>
      <c r="I2699" t="s">
        <v>17</v>
      </c>
      <c r="K2699" t="s">
        <v>7329</v>
      </c>
      <c r="L2699">
        <v>177</v>
      </c>
      <c r="M2699" t="s">
        <v>7330</v>
      </c>
    </row>
    <row r="2700" spans="1:13" x14ac:dyDescent="0.45">
      <c r="A2700" t="s">
        <v>13</v>
      </c>
      <c r="B2700">
        <v>2911206</v>
      </c>
      <c r="C2700">
        <v>2912153</v>
      </c>
      <c r="E2700" t="s">
        <v>96</v>
      </c>
      <c r="F2700" t="s">
        <v>2877</v>
      </c>
      <c r="H2700">
        <v>0</v>
      </c>
      <c r="I2700" t="s">
        <v>17</v>
      </c>
      <c r="K2700" t="s">
        <v>7331</v>
      </c>
      <c r="L2700">
        <v>315</v>
      </c>
      <c r="M2700" t="s">
        <v>7332</v>
      </c>
    </row>
    <row r="2701" spans="1:13" x14ac:dyDescent="0.45">
      <c r="A2701" t="s">
        <v>13</v>
      </c>
      <c r="B2701">
        <v>2912122</v>
      </c>
      <c r="C2701">
        <v>2912568</v>
      </c>
      <c r="E2701" t="s">
        <v>96</v>
      </c>
      <c r="F2701" t="s">
        <v>7333</v>
      </c>
      <c r="G2701" t="s">
        <v>7334</v>
      </c>
      <c r="H2701">
        <v>0</v>
      </c>
      <c r="I2701" t="s">
        <v>17</v>
      </c>
      <c r="K2701" t="s">
        <v>7335</v>
      </c>
      <c r="L2701">
        <v>148</v>
      </c>
      <c r="M2701" t="s">
        <v>7336</v>
      </c>
    </row>
    <row r="2702" spans="1:13" x14ac:dyDescent="0.45">
      <c r="A2702" t="s">
        <v>13</v>
      </c>
      <c r="B2702">
        <v>2912878</v>
      </c>
      <c r="C2702">
        <v>2913657</v>
      </c>
      <c r="E2702" t="s">
        <v>96</v>
      </c>
      <c r="F2702" t="s">
        <v>3610</v>
      </c>
      <c r="H2702">
        <v>0</v>
      </c>
      <c r="I2702" t="s">
        <v>17</v>
      </c>
      <c r="K2702" t="s">
        <v>7337</v>
      </c>
      <c r="L2702">
        <v>259</v>
      </c>
      <c r="M2702" t="s">
        <v>7338</v>
      </c>
    </row>
    <row r="2703" spans="1:13" x14ac:dyDescent="0.45">
      <c r="A2703" t="s">
        <v>13</v>
      </c>
      <c r="B2703">
        <v>2913707</v>
      </c>
      <c r="C2703">
        <v>2914189</v>
      </c>
      <c r="E2703" t="s">
        <v>96</v>
      </c>
      <c r="F2703" t="s">
        <v>7339</v>
      </c>
      <c r="H2703">
        <v>0</v>
      </c>
      <c r="I2703" t="s">
        <v>17</v>
      </c>
      <c r="K2703" t="s">
        <v>7340</v>
      </c>
      <c r="L2703">
        <v>160</v>
      </c>
      <c r="M2703" t="s">
        <v>7341</v>
      </c>
    </row>
    <row r="2704" spans="1:13" x14ac:dyDescent="0.45">
      <c r="A2704" t="s">
        <v>13</v>
      </c>
      <c r="B2704">
        <v>2914373</v>
      </c>
      <c r="C2704">
        <v>2915794</v>
      </c>
      <c r="E2704" t="s">
        <v>96</v>
      </c>
      <c r="F2704" t="s">
        <v>6698</v>
      </c>
      <c r="H2704">
        <v>0</v>
      </c>
      <c r="I2704" t="s">
        <v>17</v>
      </c>
      <c r="K2704" t="s">
        <v>7342</v>
      </c>
      <c r="L2704">
        <v>473</v>
      </c>
      <c r="M2704" t="s">
        <v>7343</v>
      </c>
    </row>
    <row r="2705" spans="1:13" x14ac:dyDescent="0.45">
      <c r="A2705" t="s">
        <v>13</v>
      </c>
      <c r="B2705">
        <v>2915940</v>
      </c>
      <c r="C2705">
        <v>2916710</v>
      </c>
      <c r="E2705" t="s">
        <v>96</v>
      </c>
      <c r="F2705" t="s">
        <v>697</v>
      </c>
      <c r="H2705">
        <v>0</v>
      </c>
      <c r="I2705" t="s">
        <v>17</v>
      </c>
      <c r="K2705" t="s">
        <v>7344</v>
      </c>
      <c r="L2705">
        <v>256</v>
      </c>
      <c r="M2705" t="s">
        <v>7345</v>
      </c>
    </row>
    <row r="2706" spans="1:13" x14ac:dyDescent="0.45">
      <c r="A2706" t="s">
        <v>13</v>
      </c>
      <c r="B2706">
        <v>2916715</v>
      </c>
      <c r="C2706">
        <v>2917917</v>
      </c>
      <c r="E2706" t="s">
        <v>96</v>
      </c>
      <c r="F2706" t="s">
        <v>1219</v>
      </c>
      <c r="H2706">
        <v>0</v>
      </c>
      <c r="I2706" t="s">
        <v>17</v>
      </c>
      <c r="K2706" t="s">
        <v>7346</v>
      </c>
      <c r="L2706">
        <v>400</v>
      </c>
      <c r="M2706" t="s">
        <v>7347</v>
      </c>
    </row>
    <row r="2707" spans="1:13" x14ac:dyDescent="0.45">
      <c r="A2707" t="s">
        <v>13</v>
      </c>
      <c r="B2707">
        <v>2918789</v>
      </c>
      <c r="C2707">
        <v>2919535</v>
      </c>
      <c r="E2707" t="s">
        <v>14</v>
      </c>
      <c r="F2707" t="s">
        <v>7348</v>
      </c>
      <c r="G2707" t="s">
        <v>7349</v>
      </c>
      <c r="H2707">
        <v>0</v>
      </c>
      <c r="I2707" t="s">
        <v>17</v>
      </c>
      <c r="K2707" t="s">
        <v>7350</v>
      </c>
      <c r="L2707">
        <v>248</v>
      </c>
      <c r="M2707" t="s">
        <v>7351</v>
      </c>
    </row>
    <row r="2708" spans="1:13" x14ac:dyDescent="0.45">
      <c r="A2708" t="s">
        <v>13</v>
      </c>
      <c r="B2708">
        <v>2919925</v>
      </c>
      <c r="C2708">
        <v>2921316</v>
      </c>
      <c r="E2708" t="s">
        <v>14</v>
      </c>
      <c r="F2708" t="s">
        <v>7352</v>
      </c>
      <c r="G2708" t="s">
        <v>7353</v>
      </c>
      <c r="H2708">
        <v>0</v>
      </c>
      <c r="I2708" t="s">
        <v>17</v>
      </c>
      <c r="K2708" t="s">
        <v>7354</v>
      </c>
      <c r="L2708">
        <v>463</v>
      </c>
      <c r="M2708" t="s">
        <v>7355</v>
      </c>
    </row>
    <row r="2709" spans="1:13" x14ac:dyDescent="0.45">
      <c r="A2709" t="s">
        <v>13</v>
      </c>
      <c r="B2709">
        <v>2921369</v>
      </c>
      <c r="C2709">
        <v>2923999</v>
      </c>
      <c r="E2709" t="s">
        <v>14</v>
      </c>
      <c r="F2709" t="s">
        <v>7356</v>
      </c>
      <c r="G2709" t="s">
        <v>7357</v>
      </c>
      <c r="H2709">
        <v>0</v>
      </c>
      <c r="I2709" t="s">
        <v>17</v>
      </c>
      <c r="K2709" t="s">
        <v>7358</v>
      </c>
      <c r="L2709">
        <v>876</v>
      </c>
      <c r="M2709" t="s">
        <v>7359</v>
      </c>
    </row>
    <row r="2710" spans="1:13" x14ac:dyDescent="0.45">
      <c r="A2710" t="s">
        <v>13</v>
      </c>
      <c r="B2710">
        <v>2924651</v>
      </c>
      <c r="C2710">
        <v>2925652</v>
      </c>
      <c r="E2710" t="s">
        <v>96</v>
      </c>
      <c r="F2710" t="s">
        <v>7360</v>
      </c>
      <c r="G2710" t="s">
        <v>7361</v>
      </c>
      <c r="H2710">
        <v>0</v>
      </c>
      <c r="I2710" t="s">
        <v>17</v>
      </c>
      <c r="K2710" t="s">
        <v>7362</v>
      </c>
      <c r="L2710">
        <v>333</v>
      </c>
      <c r="M2710" t="s">
        <v>7363</v>
      </c>
    </row>
    <row r="2711" spans="1:13" x14ac:dyDescent="0.45">
      <c r="A2711" t="s">
        <v>13</v>
      </c>
      <c r="B2711">
        <v>2925675</v>
      </c>
      <c r="C2711">
        <v>2926373</v>
      </c>
      <c r="E2711" t="s">
        <v>96</v>
      </c>
      <c r="F2711" t="s">
        <v>7364</v>
      </c>
      <c r="H2711">
        <v>0</v>
      </c>
      <c r="I2711" t="s">
        <v>17</v>
      </c>
      <c r="K2711" t="s">
        <v>7365</v>
      </c>
      <c r="L2711">
        <v>232</v>
      </c>
      <c r="M2711" t="s">
        <v>7366</v>
      </c>
    </row>
    <row r="2712" spans="1:13" x14ac:dyDescent="0.45">
      <c r="A2712" t="s">
        <v>13</v>
      </c>
      <c r="B2712">
        <v>2926747</v>
      </c>
      <c r="C2712">
        <v>2928150</v>
      </c>
      <c r="E2712" t="s">
        <v>96</v>
      </c>
      <c r="F2712" t="s">
        <v>717</v>
      </c>
      <c r="H2712">
        <v>0</v>
      </c>
      <c r="I2712" t="s">
        <v>17</v>
      </c>
      <c r="K2712" t="s">
        <v>7367</v>
      </c>
      <c r="L2712">
        <v>467</v>
      </c>
      <c r="M2712" t="s">
        <v>7368</v>
      </c>
    </row>
    <row r="2713" spans="1:13" x14ac:dyDescent="0.45">
      <c r="A2713" t="s">
        <v>13</v>
      </c>
      <c r="B2713">
        <v>2928647</v>
      </c>
      <c r="C2713">
        <v>2929723</v>
      </c>
      <c r="E2713" t="s">
        <v>14</v>
      </c>
      <c r="F2713" t="s">
        <v>6614</v>
      </c>
      <c r="H2713">
        <v>0</v>
      </c>
      <c r="I2713" t="s">
        <v>17</v>
      </c>
      <c r="K2713" t="s">
        <v>7369</v>
      </c>
      <c r="L2713">
        <v>358</v>
      </c>
      <c r="M2713" t="s">
        <v>7370</v>
      </c>
    </row>
    <row r="2714" spans="1:13" x14ac:dyDescent="0.45">
      <c r="A2714" t="s">
        <v>13</v>
      </c>
      <c r="B2714">
        <v>2929826</v>
      </c>
      <c r="C2714">
        <v>2930668</v>
      </c>
      <c r="E2714" t="s">
        <v>96</v>
      </c>
      <c r="F2714" t="s">
        <v>1694</v>
      </c>
      <c r="H2714">
        <v>0</v>
      </c>
      <c r="I2714" t="s">
        <v>17</v>
      </c>
      <c r="K2714" t="s">
        <v>7371</v>
      </c>
      <c r="L2714">
        <v>280</v>
      </c>
      <c r="M2714" t="s">
        <v>7372</v>
      </c>
    </row>
    <row r="2715" spans="1:13" x14ac:dyDescent="0.45">
      <c r="A2715" t="s">
        <v>13</v>
      </c>
      <c r="B2715">
        <v>2930852</v>
      </c>
      <c r="C2715">
        <v>2931424</v>
      </c>
      <c r="E2715" t="s">
        <v>14</v>
      </c>
      <c r="F2715" t="s">
        <v>1178</v>
      </c>
      <c r="H2715">
        <v>0</v>
      </c>
      <c r="I2715" t="s">
        <v>17</v>
      </c>
      <c r="K2715" t="s">
        <v>7373</v>
      </c>
      <c r="L2715">
        <v>190</v>
      </c>
      <c r="M2715" t="s">
        <v>7374</v>
      </c>
    </row>
    <row r="2716" spans="1:13" x14ac:dyDescent="0.45">
      <c r="A2716" t="s">
        <v>13</v>
      </c>
      <c r="B2716">
        <v>2931587</v>
      </c>
      <c r="C2716">
        <v>2931859</v>
      </c>
      <c r="E2716" t="s">
        <v>96</v>
      </c>
      <c r="F2716" t="s">
        <v>43</v>
      </c>
      <c r="H2716">
        <v>0</v>
      </c>
      <c r="I2716" t="s">
        <v>17</v>
      </c>
      <c r="K2716" t="s">
        <v>7375</v>
      </c>
      <c r="L2716">
        <v>90</v>
      </c>
      <c r="M2716" t="s">
        <v>7376</v>
      </c>
    </row>
    <row r="2717" spans="1:13" x14ac:dyDescent="0.45">
      <c r="A2717" t="s">
        <v>13</v>
      </c>
      <c r="B2717">
        <v>2931986</v>
      </c>
      <c r="C2717">
        <v>2932786</v>
      </c>
      <c r="E2717" t="s">
        <v>96</v>
      </c>
      <c r="F2717" t="s">
        <v>3962</v>
      </c>
      <c r="H2717">
        <v>0</v>
      </c>
      <c r="I2717" t="s">
        <v>17</v>
      </c>
      <c r="K2717" t="s">
        <v>7377</v>
      </c>
      <c r="L2717">
        <v>266</v>
      </c>
      <c r="M2717" t="s">
        <v>7378</v>
      </c>
    </row>
    <row r="2718" spans="1:13" x14ac:dyDescent="0.45">
      <c r="A2718" t="s">
        <v>13</v>
      </c>
      <c r="B2718">
        <v>2932943</v>
      </c>
      <c r="C2718">
        <v>2934061</v>
      </c>
      <c r="E2718" t="s">
        <v>96</v>
      </c>
      <c r="F2718" t="s">
        <v>1370</v>
      </c>
      <c r="G2718" t="s">
        <v>1371</v>
      </c>
      <c r="H2718">
        <v>0</v>
      </c>
      <c r="I2718" t="s">
        <v>17</v>
      </c>
      <c r="K2718" t="s">
        <v>7379</v>
      </c>
      <c r="L2718">
        <v>372</v>
      </c>
      <c r="M2718" t="s">
        <v>7380</v>
      </c>
    </row>
    <row r="2719" spans="1:13" x14ac:dyDescent="0.45">
      <c r="A2719" t="s">
        <v>13</v>
      </c>
      <c r="B2719">
        <v>2935038</v>
      </c>
      <c r="C2719">
        <v>2938145</v>
      </c>
      <c r="E2719" t="s">
        <v>96</v>
      </c>
      <c r="F2719" t="s">
        <v>7381</v>
      </c>
      <c r="G2719" t="s">
        <v>7382</v>
      </c>
      <c r="H2719">
        <v>0</v>
      </c>
      <c r="I2719" t="s">
        <v>17</v>
      </c>
      <c r="K2719" t="s">
        <v>7383</v>
      </c>
      <c r="L2719">
        <v>1035</v>
      </c>
      <c r="M2719" t="s">
        <v>7384</v>
      </c>
    </row>
    <row r="2720" spans="1:13" x14ac:dyDescent="0.45">
      <c r="A2720" t="s">
        <v>13</v>
      </c>
      <c r="B2720">
        <v>2938645</v>
      </c>
      <c r="C2720">
        <v>2939172</v>
      </c>
      <c r="E2720" t="s">
        <v>96</v>
      </c>
      <c r="F2720" t="s">
        <v>7385</v>
      </c>
      <c r="H2720">
        <v>0</v>
      </c>
      <c r="I2720" t="s">
        <v>17</v>
      </c>
      <c r="K2720" t="s">
        <v>7386</v>
      </c>
      <c r="L2720">
        <v>175</v>
      </c>
      <c r="M2720" t="s">
        <v>7387</v>
      </c>
    </row>
    <row r="2721" spans="1:13" x14ac:dyDescent="0.45">
      <c r="A2721" t="s">
        <v>13</v>
      </c>
      <c r="B2721">
        <v>2939207</v>
      </c>
      <c r="C2721">
        <v>2939992</v>
      </c>
      <c r="E2721" t="s">
        <v>96</v>
      </c>
      <c r="F2721" t="s">
        <v>7388</v>
      </c>
      <c r="H2721">
        <v>0</v>
      </c>
      <c r="I2721" t="s">
        <v>17</v>
      </c>
      <c r="K2721" t="s">
        <v>7389</v>
      </c>
      <c r="L2721">
        <v>261</v>
      </c>
      <c r="M2721" t="s">
        <v>7390</v>
      </c>
    </row>
    <row r="2722" spans="1:13" x14ac:dyDescent="0.45">
      <c r="A2722" t="s">
        <v>13</v>
      </c>
      <c r="B2722">
        <v>2940002</v>
      </c>
      <c r="C2722">
        <v>2940259</v>
      </c>
      <c r="E2722" t="s">
        <v>96</v>
      </c>
      <c r="F2722" t="s">
        <v>7391</v>
      </c>
      <c r="H2722">
        <v>0</v>
      </c>
      <c r="I2722" t="s">
        <v>17</v>
      </c>
      <c r="K2722" t="s">
        <v>7392</v>
      </c>
      <c r="L2722">
        <v>85</v>
      </c>
      <c r="M2722" t="s">
        <v>7393</v>
      </c>
    </row>
    <row r="2723" spans="1:13" x14ac:dyDescent="0.45">
      <c r="A2723" t="s">
        <v>13</v>
      </c>
      <c r="B2723">
        <v>2940278</v>
      </c>
      <c r="C2723">
        <v>2940736</v>
      </c>
      <c r="E2723" t="s">
        <v>96</v>
      </c>
      <c r="F2723" t="s">
        <v>7394</v>
      </c>
      <c r="H2723">
        <v>0</v>
      </c>
      <c r="I2723" t="s">
        <v>17</v>
      </c>
      <c r="K2723" t="s">
        <v>7395</v>
      </c>
      <c r="L2723">
        <v>152</v>
      </c>
      <c r="M2723" t="s">
        <v>7396</v>
      </c>
    </row>
    <row r="2724" spans="1:13" x14ac:dyDescent="0.45">
      <c r="A2724" t="s">
        <v>13</v>
      </c>
      <c r="B2724">
        <v>2940776</v>
      </c>
      <c r="C2724">
        <v>2941480</v>
      </c>
      <c r="E2724" t="s">
        <v>96</v>
      </c>
      <c r="F2724" t="s">
        <v>7397</v>
      </c>
      <c r="H2724">
        <v>0</v>
      </c>
      <c r="I2724" t="s">
        <v>17</v>
      </c>
      <c r="K2724" t="s">
        <v>7398</v>
      </c>
      <c r="L2724">
        <v>234</v>
      </c>
      <c r="M2724" t="s">
        <v>7399</v>
      </c>
    </row>
    <row r="2725" spans="1:13" x14ac:dyDescent="0.45">
      <c r="A2725" t="s">
        <v>13</v>
      </c>
      <c r="B2725">
        <v>2941490</v>
      </c>
      <c r="C2725">
        <v>2942125</v>
      </c>
      <c r="E2725" t="s">
        <v>96</v>
      </c>
      <c r="F2725" t="s">
        <v>7400</v>
      </c>
      <c r="H2725">
        <v>0</v>
      </c>
      <c r="I2725" t="s">
        <v>17</v>
      </c>
      <c r="K2725" t="s">
        <v>7401</v>
      </c>
      <c r="L2725">
        <v>211</v>
      </c>
      <c r="M2725" t="s">
        <v>7402</v>
      </c>
    </row>
    <row r="2726" spans="1:13" x14ac:dyDescent="0.45">
      <c r="A2726" t="s">
        <v>13</v>
      </c>
      <c r="B2726">
        <v>2942506</v>
      </c>
      <c r="C2726">
        <v>2943546</v>
      </c>
      <c r="E2726" t="s">
        <v>14</v>
      </c>
      <c r="F2726" t="s">
        <v>2525</v>
      </c>
      <c r="H2726">
        <v>0</v>
      </c>
      <c r="I2726" t="s">
        <v>17</v>
      </c>
      <c r="K2726" t="s">
        <v>7403</v>
      </c>
      <c r="L2726">
        <v>346</v>
      </c>
      <c r="M2726" t="s">
        <v>7404</v>
      </c>
    </row>
    <row r="2727" spans="1:13" x14ac:dyDescent="0.45">
      <c r="A2727" t="s">
        <v>13</v>
      </c>
      <c r="B2727">
        <v>2944009</v>
      </c>
      <c r="C2727">
        <v>2945331</v>
      </c>
      <c r="E2727" t="s">
        <v>96</v>
      </c>
      <c r="F2727" t="s">
        <v>7405</v>
      </c>
      <c r="H2727">
        <v>0</v>
      </c>
      <c r="I2727" t="s">
        <v>17</v>
      </c>
      <c r="K2727" t="s">
        <v>7406</v>
      </c>
      <c r="L2727">
        <v>440</v>
      </c>
      <c r="M2727" t="s">
        <v>7407</v>
      </c>
    </row>
    <row r="2728" spans="1:13" x14ac:dyDescent="0.45">
      <c r="A2728" t="s">
        <v>13</v>
      </c>
      <c r="B2728">
        <v>2945390</v>
      </c>
      <c r="C2728">
        <v>2945659</v>
      </c>
      <c r="E2728" t="s">
        <v>96</v>
      </c>
      <c r="F2728" t="s">
        <v>4309</v>
      </c>
      <c r="H2728">
        <v>0</v>
      </c>
      <c r="I2728" t="s">
        <v>17</v>
      </c>
      <c r="K2728" t="s">
        <v>7408</v>
      </c>
      <c r="L2728">
        <v>89</v>
      </c>
      <c r="M2728" t="s">
        <v>7409</v>
      </c>
    </row>
    <row r="2729" spans="1:13" x14ac:dyDescent="0.45">
      <c r="A2729" t="s">
        <v>13</v>
      </c>
      <c r="B2729">
        <v>2945949</v>
      </c>
      <c r="C2729">
        <v>2947889</v>
      </c>
      <c r="E2729" t="s">
        <v>96</v>
      </c>
      <c r="F2729" t="s">
        <v>43</v>
      </c>
      <c r="H2729">
        <v>0</v>
      </c>
      <c r="I2729" t="s">
        <v>17</v>
      </c>
      <c r="K2729" t="s">
        <v>7410</v>
      </c>
      <c r="L2729">
        <v>646</v>
      </c>
      <c r="M2729" t="s">
        <v>7411</v>
      </c>
    </row>
    <row r="2730" spans="1:13" x14ac:dyDescent="0.45">
      <c r="A2730" t="s">
        <v>13</v>
      </c>
      <c r="B2730">
        <v>2948073</v>
      </c>
      <c r="C2730">
        <v>2949548</v>
      </c>
      <c r="E2730" t="s">
        <v>96</v>
      </c>
      <c r="F2730" t="s">
        <v>7412</v>
      </c>
      <c r="G2730" t="s">
        <v>7413</v>
      </c>
      <c r="H2730">
        <v>0</v>
      </c>
      <c r="I2730" t="s">
        <v>17</v>
      </c>
      <c r="K2730" t="s">
        <v>7414</v>
      </c>
      <c r="L2730">
        <v>491</v>
      </c>
      <c r="M2730" t="s">
        <v>7415</v>
      </c>
    </row>
    <row r="2731" spans="1:13" x14ac:dyDescent="0.45">
      <c r="A2731" t="s">
        <v>13</v>
      </c>
      <c r="B2731">
        <v>2949720</v>
      </c>
      <c r="C2731">
        <v>2951015</v>
      </c>
      <c r="E2731" t="s">
        <v>96</v>
      </c>
      <c r="F2731" t="s">
        <v>205</v>
      </c>
      <c r="H2731">
        <v>0</v>
      </c>
      <c r="I2731" t="s">
        <v>17</v>
      </c>
      <c r="K2731" t="s">
        <v>7416</v>
      </c>
      <c r="L2731">
        <v>431</v>
      </c>
      <c r="M2731" t="s">
        <v>7417</v>
      </c>
    </row>
    <row r="2732" spans="1:13" x14ac:dyDescent="0.45">
      <c r="A2732" t="s">
        <v>13</v>
      </c>
      <c r="B2732">
        <v>2951199</v>
      </c>
      <c r="C2732">
        <v>2952644</v>
      </c>
      <c r="E2732" t="s">
        <v>96</v>
      </c>
      <c r="F2732" t="s">
        <v>717</v>
      </c>
      <c r="H2732">
        <v>0</v>
      </c>
      <c r="I2732" t="s">
        <v>17</v>
      </c>
      <c r="K2732" t="s">
        <v>7418</v>
      </c>
      <c r="L2732">
        <v>481</v>
      </c>
      <c r="M2732" t="s">
        <v>7419</v>
      </c>
    </row>
    <row r="2733" spans="1:13" x14ac:dyDescent="0.45">
      <c r="A2733" t="s">
        <v>13</v>
      </c>
      <c r="B2733">
        <v>2952660</v>
      </c>
      <c r="C2733">
        <v>2953799</v>
      </c>
      <c r="E2733" t="s">
        <v>96</v>
      </c>
      <c r="F2733" t="s">
        <v>6614</v>
      </c>
      <c r="H2733">
        <v>0</v>
      </c>
      <c r="I2733" t="s">
        <v>17</v>
      </c>
      <c r="K2733" t="s">
        <v>7420</v>
      </c>
      <c r="L2733">
        <v>379</v>
      </c>
      <c r="M2733" t="s">
        <v>7421</v>
      </c>
    </row>
    <row r="2734" spans="1:13" x14ac:dyDescent="0.45">
      <c r="A2734" t="s">
        <v>13</v>
      </c>
      <c r="B2734">
        <v>2954118</v>
      </c>
      <c r="C2734">
        <v>2954768</v>
      </c>
      <c r="E2734" t="s">
        <v>14</v>
      </c>
      <c r="F2734" t="s">
        <v>1178</v>
      </c>
      <c r="H2734">
        <v>0</v>
      </c>
      <c r="I2734" t="s">
        <v>17</v>
      </c>
      <c r="K2734" t="s">
        <v>7422</v>
      </c>
      <c r="L2734">
        <v>216</v>
      </c>
      <c r="M2734" t="s">
        <v>7423</v>
      </c>
    </row>
    <row r="2735" spans="1:13" x14ac:dyDescent="0.45">
      <c r="A2735" t="s">
        <v>13</v>
      </c>
      <c r="B2735">
        <v>2954925</v>
      </c>
      <c r="C2735">
        <v>2955944</v>
      </c>
      <c r="E2735" t="s">
        <v>96</v>
      </c>
      <c r="F2735" t="s">
        <v>7424</v>
      </c>
      <c r="H2735">
        <v>0</v>
      </c>
      <c r="I2735" t="s">
        <v>17</v>
      </c>
      <c r="K2735" t="s">
        <v>7425</v>
      </c>
      <c r="L2735">
        <v>339</v>
      </c>
      <c r="M2735" t="s">
        <v>7426</v>
      </c>
    </row>
    <row r="2736" spans="1:13" x14ac:dyDescent="0.45">
      <c r="A2736" t="s">
        <v>13</v>
      </c>
      <c r="B2736">
        <v>2955975</v>
      </c>
      <c r="C2736">
        <v>2956589</v>
      </c>
      <c r="E2736" t="s">
        <v>96</v>
      </c>
      <c r="F2736" t="s">
        <v>7427</v>
      </c>
      <c r="G2736" t="s">
        <v>7428</v>
      </c>
      <c r="H2736">
        <v>0</v>
      </c>
      <c r="I2736" t="s">
        <v>17</v>
      </c>
      <c r="K2736" t="s">
        <v>7429</v>
      </c>
      <c r="L2736">
        <v>204</v>
      </c>
      <c r="M2736" t="s">
        <v>7430</v>
      </c>
    </row>
    <row r="2737" spans="1:13" x14ac:dyDescent="0.45">
      <c r="A2737" t="s">
        <v>13</v>
      </c>
      <c r="B2737">
        <v>2956624</v>
      </c>
      <c r="C2737">
        <v>2957949</v>
      </c>
      <c r="E2737" t="s">
        <v>96</v>
      </c>
      <c r="F2737" t="s">
        <v>7431</v>
      </c>
      <c r="G2737" t="s">
        <v>7432</v>
      </c>
      <c r="H2737">
        <v>0</v>
      </c>
      <c r="I2737" t="s">
        <v>17</v>
      </c>
      <c r="K2737" t="s">
        <v>7433</v>
      </c>
      <c r="L2737">
        <v>441</v>
      </c>
      <c r="M2737" t="s">
        <v>7434</v>
      </c>
    </row>
    <row r="2738" spans="1:13" x14ac:dyDescent="0.45">
      <c r="A2738" t="s">
        <v>13</v>
      </c>
      <c r="B2738">
        <v>2957977</v>
      </c>
      <c r="C2738">
        <v>2959305</v>
      </c>
      <c r="E2738" t="s">
        <v>96</v>
      </c>
      <c r="F2738" t="s">
        <v>7435</v>
      </c>
      <c r="H2738">
        <v>0</v>
      </c>
      <c r="I2738" t="s">
        <v>17</v>
      </c>
      <c r="K2738" t="s">
        <v>7436</v>
      </c>
      <c r="L2738">
        <v>442</v>
      </c>
      <c r="M2738" t="s">
        <v>7437</v>
      </c>
    </row>
    <row r="2739" spans="1:13" x14ac:dyDescent="0.45">
      <c r="A2739" t="s">
        <v>13</v>
      </c>
      <c r="B2739">
        <v>2959543</v>
      </c>
      <c r="C2739">
        <v>2959743</v>
      </c>
      <c r="E2739" t="s">
        <v>96</v>
      </c>
      <c r="F2739" t="s">
        <v>7438</v>
      </c>
      <c r="H2739">
        <v>0</v>
      </c>
      <c r="I2739" t="s">
        <v>17</v>
      </c>
      <c r="K2739" t="s">
        <v>7439</v>
      </c>
      <c r="L2739">
        <v>66</v>
      </c>
      <c r="M2739" t="s">
        <v>7440</v>
      </c>
    </row>
    <row r="2740" spans="1:13" x14ac:dyDescent="0.45">
      <c r="A2740" t="s">
        <v>13</v>
      </c>
      <c r="B2740">
        <v>2959745</v>
      </c>
      <c r="C2740">
        <v>2960677</v>
      </c>
      <c r="E2740" t="s">
        <v>96</v>
      </c>
      <c r="F2740" t="s">
        <v>7441</v>
      </c>
      <c r="H2740">
        <v>0</v>
      </c>
      <c r="I2740" t="s">
        <v>17</v>
      </c>
      <c r="K2740" t="s">
        <v>7442</v>
      </c>
      <c r="L2740">
        <v>310</v>
      </c>
      <c r="M2740" t="s">
        <v>7443</v>
      </c>
    </row>
    <row r="2741" spans="1:13" x14ac:dyDescent="0.45">
      <c r="A2741" t="s">
        <v>13</v>
      </c>
      <c r="B2741">
        <v>2960722</v>
      </c>
      <c r="C2741">
        <v>2961654</v>
      </c>
      <c r="E2741" t="s">
        <v>96</v>
      </c>
      <c r="F2741" t="s">
        <v>7441</v>
      </c>
      <c r="H2741">
        <v>0</v>
      </c>
      <c r="I2741" t="s">
        <v>17</v>
      </c>
      <c r="K2741" t="s">
        <v>7444</v>
      </c>
      <c r="L2741">
        <v>310</v>
      </c>
      <c r="M2741" t="s">
        <v>7445</v>
      </c>
    </row>
    <row r="2742" spans="1:13" x14ac:dyDescent="0.45">
      <c r="A2742" t="s">
        <v>13</v>
      </c>
      <c r="B2742">
        <v>2961709</v>
      </c>
      <c r="C2742">
        <v>2962998</v>
      </c>
      <c r="E2742" t="s">
        <v>96</v>
      </c>
      <c r="F2742" t="s">
        <v>4781</v>
      </c>
      <c r="H2742">
        <v>0</v>
      </c>
      <c r="I2742" t="s">
        <v>17</v>
      </c>
      <c r="K2742" t="s">
        <v>7446</v>
      </c>
      <c r="L2742">
        <v>429</v>
      </c>
      <c r="M2742" t="s">
        <v>7447</v>
      </c>
    </row>
    <row r="2743" spans="1:13" x14ac:dyDescent="0.45">
      <c r="A2743" t="s">
        <v>13</v>
      </c>
      <c r="B2743">
        <v>2963027</v>
      </c>
      <c r="C2743">
        <v>2963719</v>
      </c>
      <c r="E2743" t="s">
        <v>96</v>
      </c>
      <c r="F2743" t="s">
        <v>7448</v>
      </c>
      <c r="H2743">
        <v>0</v>
      </c>
      <c r="I2743" t="s">
        <v>17</v>
      </c>
      <c r="K2743" t="s">
        <v>7449</v>
      </c>
      <c r="L2743">
        <v>230</v>
      </c>
      <c r="M2743" t="s">
        <v>7450</v>
      </c>
    </row>
    <row r="2744" spans="1:13" x14ac:dyDescent="0.45">
      <c r="A2744" t="s">
        <v>13</v>
      </c>
      <c r="B2744">
        <v>2963734</v>
      </c>
      <c r="C2744">
        <v>2964495</v>
      </c>
      <c r="E2744" t="s">
        <v>96</v>
      </c>
      <c r="F2744" t="s">
        <v>7451</v>
      </c>
      <c r="G2744" t="s">
        <v>7452</v>
      </c>
      <c r="H2744">
        <v>0</v>
      </c>
      <c r="I2744" t="s">
        <v>17</v>
      </c>
      <c r="K2744" t="s">
        <v>7453</v>
      </c>
      <c r="L2744">
        <v>253</v>
      </c>
      <c r="M2744" t="s">
        <v>7454</v>
      </c>
    </row>
    <row r="2745" spans="1:13" x14ac:dyDescent="0.45">
      <c r="A2745" t="s">
        <v>13</v>
      </c>
      <c r="B2745">
        <v>2964492</v>
      </c>
      <c r="C2745">
        <v>2964953</v>
      </c>
      <c r="E2745" t="s">
        <v>96</v>
      </c>
      <c r="F2745" t="s">
        <v>7455</v>
      </c>
      <c r="G2745" t="s">
        <v>7456</v>
      </c>
      <c r="H2745">
        <v>0</v>
      </c>
      <c r="I2745" t="s">
        <v>17</v>
      </c>
      <c r="K2745" t="s">
        <v>7457</v>
      </c>
      <c r="L2745">
        <v>153</v>
      </c>
      <c r="M2745" t="s">
        <v>7458</v>
      </c>
    </row>
    <row r="2746" spans="1:13" x14ac:dyDescent="0.45">
      <c r="A2746" t="s">
        <v>13</v>
      </c>
      <c r="B2746">
        <v>2964975</v>
      </c>
      <c r="C2746">
        <v>2965238</v>
      </c>
      <c r="E2746" t="s">
        <v>96</v>
      </c>
      <c r="F2746" t="s">
        <v>3616</v>
      </c>
      <c r="H2746">
        <v>0</v>
      </c>
      <c r="I2746" t="s">
        <v>17</v>
      </c>
      <c r="K2746" t="s">
        <v>7459</v>
      </c>
      <c r="L2746">
        <v>87</v>
      </c>
      <c r="M2746" t="s">
        <v>7460</v>
      </c>
    </row>
    <row r="2747" spans="1:13" x14ac:dyDescent="0.45">
      <c r="A2747" t="s">
        <v>13</v>
      </c>
      <c r="B2747">
        <v>2965342</v>
      </c>
      <c r="C2747">
        <v>2966115</v>
      </c>
      <c r="E2747" t="s">
        <v>96</v>
      </c>
      <c r="F2747" t="s">
        <v>7461</v>
      </c>
      <c r="G2747" t="s">
        <v>7462</v>
      </c>
      <c r="H2747">
        <v>0</v>
      </c>
      <c r="I2747" t="s">
        <v>17</v>
      </c>
      <c r="K2747" t="s">
        <v>7463</v>
      </c>
      <c r="L2747">
        <v>257</v>
      </c>
      <c r="M2747" t="s">
        <v>7464</v>
      </c>
    </row>
    <row r="2748" spans="1:13" x14ac:dyDescent="0.45">
      <c r="A2748" t="s">
        <v>13</v>
      </c>
      <c r="B2748">
        <v>2966207</v>
      </c>
      <c r="C2748">
        <v>2966929</v>
      </c>
      <c r="E2748" t="s">
        <v>96</v>
      </c>
      <c r="F2748" t="s">
        <v>7465</v>
      </c>
      <c r="G2748" t="s">
        <v>7466</v>
      </c>
      <c r="H2748">
        <v>0</v>
      </c>
      <c r="I2748" t="s">
        <v>17</v>
      </c>
      <c r="K2748" t="s">
        <v>7467</v>
      </c>
      <c r="L2748">
        <v>240</v>
      </c>
      <c r="M2748" t="s">
        <v>7468</v>
      </c>
    </row>
    <row r="2749" spans="1:13" x14ac:dyDescent="0.45">
      <c r="A2749" t="s">
        <v>13</v>
      </c>
      <c r="B2749">
        <v>2966954</v>
      </c>
      <c r="C2749">
        <v>2967799</v>
      </c>
      <c r="E2749" t="s">
        <v>96</v>
      </c>
      <c r="F2749" t="s">
        <v>7469</v>
      </c>
      <c r="H2749">
        <v>0</v>
      </c>
      <c r="I2749" t="s">
        <v>17</v>
      </c>
      <c r="K2749" t="s">
        <v>7470</v>
      </c>
      <c r="L2749">
        <v>281</v>
      </c>
      <c r="M2749" t="s">
        <v>7471</v>
      </c>
    </row>
    <row r="2750" spans="1:13" x14ac:dyDescent="0.45">
      <c r="A2750" t="s">
        <v>13</v>
      </c>
      <c r="B2750">
        <v>2968117</v>
      </c>
      <c r="C2750">
        <v>2969391</v>
      </c>
      <c r="E2750" t="s">
        <v>96</v>
      </c>
      <c r="F2750" t="s">
        <v>2510</v>
      </c>
      <c r="H2750">
        <v>0</v>
      </c>
      <c r="I2750" t="s">
        <v>17</v>
      </c>
      <c r="K2750" t="s">
        <v>7472</v>
      </c>
      <c r="L2750">
        <v>424</v>
      </c>
      <c r="M2750" t="s">
        <v>7473</v>
      </c>
    </row>
    <row r="2751" spans="1:13" x14ac:dyDescent="0.45">
      <c r="A2751" t="s">
        <v>13</v>
      </c>
      <c r="B2751">
        <v>2969675</v>
      </c>
      <c r="C2751">
        <v>2970832</v>
      </c>
      <c r="E2751" t="s">
        <v>96</v>
      </c>
      <c r="F2751" t="s">
        <v>7474</v>
      </c>
      <c r="G2751" t="s">
        <v>7475</v>
      </c>
      <c r="H2751">
        <v>0</v>
      </c>
      <c r="I2751" t="s">
        <v>17</v>
      </c>
      <c r="K2751" t="s">
        <v>7476</v>
      </c>
      <c r="L2751">
        <v>385</v>
      </c>
      <c r="M2751" t="s">
        <v>7477</v>
      </c>
    </row>
    <row r="2752" spans="1:13" x14ac:dyDescent="0.45">
      <c r="A2752" t="s">
        <v>13</v>
      </c>
      <c r="B2752">
        <v>2971022</v>
      </c>
      <c r="C2752">
        <v>2971375</v>
      </c>
      <c r="E2752" t="s">
        <v>96</v>
      </c>
      <c r="F2752" t="s">
        <v>7478</v>
      </c>
      <c r="H2752">
        <v>0</v>
      </c>
      <c r="I2752" t="s">
        <v>17</v>
      </c>
      <c r="K2752" t="s">
        <v>7479</v>
      </c>
      <c r="L2752">
        <v>117</v>
      </c>
      <c r="M2752" t="s">
        <v>7480</v>
      </c>
    </row>
    <row r="2753" spans="1:13" x14ac:dyDescent="0.45">
      <c r="A2753" t="s">
        <v>13</v>
      </c>
      <c r="B2753">
        <v>2971474</v>
      </c>
      <c r="C2753">
        <v>2972148</v>
      </c>
      <c r="E2753" t="s">
        <v>96</v>
      </c>
      <c r="F2753" t="s">
        <v>7481</v>
      </c>
      <c r="H2753">
        <v>0</v>
      </c>
      <c r="I2753" t="s">
        <v>17</v>
      </c>
      <c r="K2753" t="s">
        <v>7482</v>
      </c>
      <c r="L2753">
        <v>224</v>
      </c>
      <c r="M2753" t="s">
        <v>7483</v>
      </c>
    </row>
    <row r="2754" spans="1:13" x14ac:dyDescent="0.45">
      <c r="A2754" t="s">
        <v>13</v>
      </c>
      <c r="B2754">
        <v>2972153</v>
      </c>
      <c r="C2754">
        <v>2972851</v>
      </c>
      <c r="E2754" t="s">
        <v>96</v>
      </c>
      <c r="F2754" t="s">
        <v>7481</v>
      </c>
      <c r="H2754">
        <v>0</v>
      </c>
      <c r="I2754" t="s">
        <v>17</v>
      </c>
      <c r="K2754" t="s">
        <v>7484</v>
      </c>
      <c r="L2754">
        <v>232</v>
      </c>
      <c r="M2754" t="s">
        <v>7485</v>
      </c>
    </row>
    <row r="2755" spans="1:13" x14ac:dyDescent="0.45">
      <c r="A2755" t="s">
        <v>13</v>
      </c>
      <c r="B2755">
        <v>2972874</v>
      </c>
      <c r="C2755">
        <v>2973614</v>
      </c>
      <c r="E2755" t="s">
        <v>96</v>
      </c>
      <c r="F2755" t="s">
        <v>7486</v>
      </c>
      <c r="H2755">
        <v>0</v>
      </c>
      <c r="I2755" t="s">
        <v>17</v>
      </c>
      <c r="K2755" t="s">
        <v>7487</v>
      </c>
      <c r="L2755">
        <v>246</v>
      </c>
      <c r="M2755" t="s">
        <v>7488</v>
      </c>
    </row>
    <row r="2756" spans="1:13" x14ac:dyDescent="0.45">
      <c r="A2756" t="s">
        <v>13</v>
      </c>
      <c r="B2756">
        <v>2973884</v>
      </c>
      <c r="C2756">
        <v>2975110</v>
      </c>
      <c r="E2756" t="s">
        <v>96</v>
      </c>
      <c r="F2756" t="s">
        <v>7489</v>
      </c>
      <c r="G2756" t="s">
        <v>7490</v>
      </c>
      <c r="H2756">
        <v>0</v>
      </c>
      <c r="I2756" t="s">
        <v>17</v>
      </c>
      <c r="K2756" t="s">
        <v>7491</v>
      </c>
      <c r="L2756">
        <v>408</v>
      </c>
      <c r="M2756" t="s">
        <v>7492</v>
      </c>
    </row>
    <row r="2757" spans="1:13" x14ac:dyDescent="0.45">
      <c r="A2757" t="s">
        <v>13</v>
      </c>
      <c r="B2757">
        <v>2975128</v>
      </c>
      <c r="C2757">
        <v>2976258</v>
      </c>
      <c r="E2757" t="s">
        <v>96</v>
      </c>
      <c r="F2757" t="s">
        <v>7493</v>
      </c>
      <c r="G2757" t="s">
        <v>7494</v>
      </c>
      <c r="H2757">
        <v>0</v>
      </c>
      <c r="I2757" t="s">
        <v>17</v>
      </c>
      <c r="K2757" t="s">
        <v>7495</v>
      </c>
      <c r="L2757">
        <v>376</v>
      </c>
      <c r="M2757" t="s">
        <v>7496</v>
      </c>
    </row>
    <row r="2758" spans="1:13" x14ac:dyDescent="0.45">
      <c r="A2758" t="s">
        <v>13</v>
      </c>
      <c r="B2758">
        <v>2976310</v>
      </c>
      <c r="C2758">
        <v>2977665</v>
      </c>
      <c r="E2758" t="s">
        <v>96</v>
      </c>
      <c r="F2758" t="s">
        <v>7497</v>
      </c>
      <c r="G2758" t="s">
        <v>7498</v>
      </c>
      <c r="H2758">
        <v>0</v>
      </c>
      <c r="I2758" t="s">
        <v>17</v>
      </c>
      <c r="K2758" t="s">
        <v>7499</v>
      </c>
      <c r="L2758">
        <v>451</v>
      </c>
      <c r="M2758" t="s">
        <v>7500</v>
      </c>
    </row>
    <row r="2759" spans="1:13" x14ac:dyDescent="0.45">
      <c r="A2759" t="s">
        <v>13</v>
      </c>
      <c r="B2759">
        <v>2977684</v>
      </c>
      <c r="C2759">
        <v>2978652</v>
      </c>
      <c r="E2759" t="s">
        <v>96</v>
      </c>
      <c r="F2759" t="s">
        <v>7501</v>
      </c>
      <c r="G2759" t="s">
        <v>7502</v>
      </c>
      <c r="H2759">
        <v>0</v>
      </c>
      <c r="I2759" t="s">
        <v>17</v>
      </c>
      <c r="K2759" t="s">
        <v>7503</v>
      </c>
      <c r="L2759">
        <v>322</v>
      </c>
      <c r="M2759" t="s">
        <v>7504</v>
      </c>
    </row>
    <row r="2760" spans="1:13" x14ac:dyDescent="0.45">
      <c r="A2760" t="s">
        <v>13</v>
      </c>
      <c r="B2760">
        <v>2978693</v>
      </c>
      <c r="C2760">
        <v>2980066</v>
      </c>
      <c r="E2760" t="s">
        <v>96</v>
      </c>
      <c r="F2760" t="s">
        <v>7505</v>
      </c>
      <c r="H2760">
        <v>0</v>
      </c>
      <c r="I2760" t="s">
        <v>17</v>
      </c>
      <c r="K2760" t="s">
        <v>7506</v>
      </c>
      <c r="L2760">
        <v>457</v>
      </c>
      <c r="M2760" t="s">
        <v>7507</v>
      </c>
    </row>
    <row r="2761" spans="1:13" x14ac:dyDescent="0.45">
      <c r="A2761" t="s">
        <v>13</v>
      </c>
      <c r="B2761">
        <v>2980233</v>
      </c>
      <c r="C2761">
        <v>2982212</v>
      </c>
      <c r="E2761" t="s">
        <v>96</v>
      </c>
      <c r="F2761" t="s">
        <v>7508</v>
      </c>
      <c r="H2761">
        <v>0</v>
      </c>
      <c r="I2761" t="s">
        <v>17</v>
      </c>
      <c r="K2761" t="s">
        <v>7509</v>
      </c>
      <c r="L2761">
        <v>659</v>
      </c>
      <c r="M2761" t="s">
        <v>7510</v>
      </c>
    </row>
    <row r="2762" spans="1:13" x14ac:dyDescent="0.45">
      <c r="A2762" t="s">
        <v>13</v>
      </c>
      <c r="B2762">
        <v>2982224</v>
      </c>
      <c r="C2762">
        <v>2982571</v>
      </c>
      <c r="E2762" t="s">
        <v>96</v>
      </c>
      <c r="F2762" t="s">
        <v>43</v>
      </c>
      <c r="H2762">
        <v>0</v>
      </c>
      <c r="I2762" t="s">
        <v>17</v>
      </c>
      <c r="K2762" t="s">
        <v>7511</v>
      </c>
      <c r="L2762">
        <v>115</v>
      </c>
      <c r="M2762" t="s">
        <v>7512</v>
      </c>
    </row>
    <row r="2763" spans="1:13" x14ac:dyDescent="0.45">
      <c r="A2763" t="s">
        <v>13</v>
      </c>
      <c r="B2763">
        <v>2983057</v>
      </c>
      <c r="C2763">
        <v>2983992</v>
      </c>
      <c r="E2763" t="s">
        <v>96</v>
      </c>
      <c r="F2763" t="s">
        <v>7513</v>
      </c>
      <c r="G2763" t="s">
        <v>7514</v>
      </c>
      <c r="H2763">
        <v>0</v>
      </c>
      <c r="I2763" t="s">
        <v>17</v>
      </c>
      <c r="K2763" t="s">
        <v>7515</v>
      </c>
      <c r="L2763">
        <v>311</v>
      </c>
      <c r="M2763" t="s">
        <v>7516</v>
      </c>
    </row>
    <row r="2764" spans="1:13" x14ac:dyDescent="0.45">
      <c r="A2764" t="s">
        <v>13</v>
      </c>
      <c r="B2764">
        <v>2984022</v>
      </c>
      <c r="C2764">
        <v>2984768</v>
      </c>
      <c r="E2764" t="s">
        <v>96</v>
      </c>
      <c r="F2764" t="s">
        <v>7517</v>
      </c>
      <c r="G2764" t="s">
        <v>7518</v>
      </c>
      <c r="H2764">
        <v>0</v>
      </c>
      <c r="I2764" t="s">
        <v>17</v>
      </c>
      <c r="K2764" t="s">
        <v>7519</v>
      </c>
      <c r="L2764">
        <v>248</v>
      </c>
      <c r="M2764" t="s">
        <v>7520</v>
      </c>
    </row>
    <row r="2765" spans="1:13" x14ac:dyDescent="0.45">
      <c r="A2765" t="s">
        <v>13</v>
      </c>
      <c r="B2765">
        <v>2985165</v>
      </c>
      <c r="C2765">
        <v>2986451</v>
      </c>
      <c r="E2765" t="s">
        <v>96</v>
      </c>
      <c r="F2765" t="s">
        <v>7521</v>
      </c>
      <c r="G2765" t="s">
        <v>7522</v>
      </c>
      <c r="H2765">
        <v>0</v>
      </c>
      <c r="I2765" t="s">
        <v>17</v>
      </c>
      <c r="K2765" t="s">
        <v>7523</v>
      </c>
      <c r="L2765">
        <v>428</v>
      </c>
      <c r="M2765" t="s">
        <v>7524</v>
      </c>
    </row>
    <row r="2766" spans="1:13" x14ac:dyDescent="0.45">
      <c r="A2766" t="s">
        <v>13</v>
      </c>
      <c r="B2766">
        <v>2986466</v>
      </c>
      <c r="C2766">
        <v>2987731</v>
      </c>
      <c r="E2766" t="s">
        <v>96</v>
      </c>
      <c r="F2766" t="s">
        <v>7525</v>
      </c>
      <c r="G2766" t="s">
        <v>7526</v>
      </c>
      <c r="H2766">
        <v>0</v>
      </c>
      <c r="I2766" t="s">
        <v>17</v>
      </c>
      <c r="K2766" t="s">
        <v>7527</v>
      </c>
      <c r="L2766">
        <v>421</v>
      </c>
      <c r="M2766" t="s">
        <v>7528</v>
      </c>
    </row>
    <row r="2767" spans="1:13" x14ac:dyDescent="0.45">
      <c r="A2767" t="s">
        <v>13</v>
      </c>
      <c r="B2767">
        <v>2988047</v>
      </c>
      <c r="C2767">
        <v>2989144</v>
      </c>
      <c r="E2767" t="s">
        <v>14</v>
      </c>
      <c r="F2767" t="s">
        <v>7529</v>
      </c>
      <c r="G2767" t="s">
        <v>7530</v>
      </c>
      <c r="H2767">
        <v>0</v>
      </c>
      <c r="I2767" t="s">
        <v>17</v>
      </c>
      <c r="K2767" t="s">
        <v>7531</v>
      </c>
      <c r="L2767">
        <v>365</v>
      </c>
      <c r="M2767" t="s">
        <v>7532</v>
      </c>
    </row>
    <row r="2768" spans="1:13" x14ac:dyDescent="0.45">
      <c r="A2768" t="s">
        <v>13</v>
      </c>
      <c r="B2768">
        <v>2989623</v>
      </c>
      <c r="C2768">
        <v>2991902</v>
      </c>
      <c r="E2768" t="s">
        <v>96</v>
      </c>
      <c r="F2768" t="s">
        <v>1748</v>
      </c>
      <c r="H2768">
        <v>0</v>
      </c>
      <c r="I2768" t="s">
        <v>17</v>
      </c>
      <c r="K2768" t="s">
        <v>7533</v>
      </c>
      <c r="L2768">
        <v>759</v>
      </c>
      <c r="M2768" t="s">
        <v>7534</v>
      </c>
    </row>
    <row r="2769" spans="1:13" x14ac:dyDescent="0.45">
      <c r="A2769" t="s">
        <v>13</v>
      </c>
      <c r="B2769">
        <v>2992173</v>
      </c>
      <c r="C2769">
        <v>2993627</v>
      </c>
      <c r="E2769" t="s">
        <v>96</v>
      </c>
      <c r="F2769" t="s">
        <v>7535</v>
      </c>
      <c r="H2769">
        <v>0</v>
      </c>
      <c r="I2769" t="s">
        <v>17</v>
      </c>
      <c r="K2769" t="s">
        <v>7536</v>
      </c>
      <c r="L2769">
        <v>484</v>
      </c>
      <c r="M2769" t="s">
        <v>7537</v>
      </c>
    </row>
    <row r="2770" spans="1:13" x14ac:dyDescent="0.45">
      <c r="A2770" t="s">
        <v>13</v>
      </c>
      <c r="B2770">
        <v>2993791</v>
      </c>
      <c r="C2770">
        <v>2994660</v>
      </c>
      <c r="E2770" t="s">
        <v>14</v>
      </c>
      <c r="F2770" t="s">
        <v>196</v>
      </c>
      <c r="H2770">
        <v>0</v>
      </c>
      <c r="I2770" t="s">
        <v>17</v>
      </c>
      <c r="K2770" t="s">
        <v>7538</v>
      </c>
      <c r="L2770">
        <v>289</v>
      </c>
      <c r="M2770" t="s">
        <v>7539</v>
      </c>
    </row>
    <row r="2771" spans="1:13" x14ac:dyDescent="0.45">
      <c r="A2771" t="s">
        <v>13</v>
      </c>
      <c r="B2771">
        <v>2994874</v>
      </c>
      <c r="C2771">
        <v>2996946</v>
      </c>
      <c r="E2771" t="s">
        <v>96</v>
      </c>
      <c r="F2771" t="s">
        <v>7540</v>
      </c>
      <c r="G2771" t="s">
        <v>7541</v>
      </c>
      <c r="H2771">
        <v>0</v>
      </c>
      <c r="I2771" t="s">
        <v>17</v>
      </c>
      <c r="K2771" t="s">
        <v>7542</v>
      </c>
      <c r="L2771">
        <v>690</v>
      </c>
      <c r="M2771" t="s">
        <v>7543</v>
      </c>
    </row>
    <row r="2772" spans="1:13" x14ac:dyDescent="0.45">
      <c r="A2772" t="s">
        <v>13</v>
      </c>
      <c r="B2772">
        <v>2997249</v>
      </c>
      <c r="C2772">
        <v>2998091</v>
      </c>
      <c r="E2772" t="s">
        <v>96</v>
      </c>
      <c r="F2772" t="s">
        <v>7544</v>
      </c>
      <c r="G2772" t="s">
        <v>7545</v>
      </c>
      <c r="H2772">
        <v>0</v>
      </c>
      <c r="I2772" t="s">
        <v>17</v>
      </c>
      <c r="K2772" t="s">
        <v>7546</v>
      </c>
      <c r="L2772">
        <v>280</v>
      </c>
      <c r="M2772" t="s">
        <v>7547</v>
      </c>
    </row>
    <row r="2773" spans="1:13" x14ac:dyDescent="0.45">
      <c r="A2773" t="s">
        <v>13</v>
      </c>
      <c r="B2773">
        <v>2998338</v>
      </c>
      <c r="C2773">
        <v>2998832</v>
      </c>
      <c r="E2773" t="s">
        <v>96</v>
      </c>
      <c r="F2773" t="s">
        <v>1932</v>
      </c>
      <c r="H2773">
        <v>0</v>
      </c>
      <c r="I2773" t="s">
        <v>17</v>
      </c>
      <c r="K2773" t="s">
        <v>7548</v>
      </c>
      <c r="L2773">
        <v>164</v>
      </c>
      <c r="M2773" t="s">
        <v>7549</v>
      </c>
    </row>
    <row r="2774" spans="1:13" x14ac:dyDescent="0.45">
      <c r="A2774" t="s">
        <v>13</v>
      </c>
      <c r="B2774">
        <v>2998984</v>
      </c>
      <c r="C2774">
        <v>2999955</v>
      </c>
      <c r="E2774" t="s">
        <v>96</v>
      </c>
      <c r="F2774" t="s">
        <v>1140</v>
      </c>
      <c r="H2774">
        <v>0</v>
      </c>
      <c r="I2774" t="s">
        <v>17</v>
      </c>
      <c r="K2774" t="s">
        <v>7550</v>
      </c>
      <c r="L2774">
        <v>323</v>
      </c>
      <c r="M2774" t="s">
        <v>7551</v>
      </c>
    </row>
    <row r="2775" spans="1:13" x14ac:dyDescent="0.45">
      <c r="A2775" t="s">
        <v>13</v>
      </c>
      <c r="B2775">
        <v>2999956</v>
      </c>
      <c r="C2775">
        <v>3000933</v>
      </c>
      <c r="E2775" t="s">
        <v>96</v>
      </c>
      <c r="F2775" t="s">
        <v>1140</v>
      </c>
      <c r="H2775">
        <v>0</v>
      </c>
      <c r="I2775" t="s">
        <v>17</v>
      </c>
      <c r="K2775" t="s">
        <v>7552</v>
      </c>
      <c r="L2775">
        <v>325</v>
      </c>
      <c r="M2775" t="s">
        <v>7553</v>
      </c>
    </row>
    <row r="2776" spans="1:13" x14ac:dyDescent="0.45">
      <c r="A2776" t="s">
        <v>13</v>
      </c>
      <c r="B2776">
        <v>3001152</v>
      </c>
      <c r="C2776">
        <v>3002711</v>
      </c>
      <c r="E2776" t="s">
        <v>14</v>
      </c>
      <c r="F2776" t="s">
        <v>2510</v>
      </c>
      <c r="H2776">
        <v>0</v>
      </c>
      <c r="I2776" t="s">
        <v>17</v>
      </c>
      <c r="K2776" t="s">
        <v>7554</v>
      </c>
      <c r="L2776">
        <v>519</v>
      </c>
      <c r="M2776" t="s">
        <v>7555</v>
      </c>
    </row>
    <row r="2777" spans="1:13" x14ac:dyDescent="0.45">
      <c r="A2777" t="s">
        <v>13</v>
      </c>
      <c r="B2777">
        <v>3002817</v>
      </c>
      <c r="C2777">
        <v>3003776</v>
      </c>
      <c r="E2777" t="s">
        <v>14</v>
      </c>
      <c r="F2777" t="s">
        <v>1143</v>
      </c>
      <c r="H2777">
        <v>0</v>
      </c>
      <c r="I2777" t="s">
        <v>17</v>
      </c>
      <c r="K2777" t="s">
        <v>7556</v>
      </c>
      <c r="L2777">
        <v>319</v>
      </c>
      <c r="M2777" t="s">
        <v>7557</v>
      </c>
    </row>
    <row r="2778" spans="1:13" x14ac:dyDescent="0.45">
      <c r="A2778" t="s">
        <v>13</v>
      </c>
      <c r="B2778">
        <v>3003779</v>
      </c>
      <c r="C2778">
        <v>3004591</v>
      </c>
      <c r="E2778" t="s">
        <v>14</v>
      </c>
      <c r="F2778" t="s">
        <v>1143</v>
      </c>
      <c r="H2778">
        <v>0</v>
      </c>
      <c r="I2778" t="s">
        <v>17</v>
      </c>
      <c r="K2778" t="s">
        <v>7558</v>
      </c>
      <c r="L2778">
        <v>270</v>
      </c>
      <c r="M2778" t="s">
        <v>7559</v>
      </c>
    </row>
    <row r="2779" spans="1:13" x14ac:dyDescent="0.45">
      <c r="A2779" t="s">
        <v>13</v>
      </c>
      <c r="B2779">
        <v>3004806</v>
      </c>
      <c r="C2779">
        <v>3005708</v>
      </c>
      <c r="E2779" t="s">
        <v>96</v>
      </c>
      <c r="F2779" t="s">
        <v>792</v>
      </c>
      <c r="H2779">
        <v>0</v>
      </c>
      <c r="I2779" t="s">
        <v>17</v>
      </c>
      <c r="K2779" t="s">
        <v>7560</v>
      </c>
      <c r="L2779">
        <v>300</v>
      </c>
      <c r="M2779" t="s">
        <v>7561</v>
      </c>
    </row>
    <row r="2780" spans="1:13" x14ac:dyDescent="0.45">
      <c r="A2780" t="s">
        <v>13</v>
      </c>
      <c r="B2780">
        <v>3006063</v>
      </c>
      <c r="C2780">
        <v>3007241</v>
      </c>
      <c r="E2780" t="s">
        <v>14</v>
      </c>
      <c r="F2780" t="s">
        <v>2874</v>
      </c>
      <c r="H2780">
        <v>0</v>
      </c>
      <c r="I2780" t="s">
        <v>17</v>
      </c>
      <c r="K2780" t="s">
        <v>7562</v>
      </c>
      <c r="L2780">
        <v>392</v>
      </c>
      <c r="M2780" t="s">
        <v>7563</v>
      </c>
    </row>
    <row r="2781" spans="1:13" x14ac:dyDescent="0.45">
      <c r="A2781" t="s">
        <v>13</v>
      </c>
      <c r="B2781">
        <v>3007250</v>
      </c>
      <c r="C2781">
        <v>3007906</v>
      </c>
      <c r="E2781" t="s">
        <v>14</v>
      </c>
      <c r="F2781" t="s">
        <v>7564</v>
      </c>
      <c r="H2781">
        <v>0</v>
      </c>
      <c r="I2781" t="s">
        <v>17</v>
      </c>
      <c r="K2781" t="s">
        <v>7565</v>
      </c>
      <c r="L2781">
        <v>218</v>
      </c>
      <c r="M2781" t="s">
        <v>7566</v>
      </c>
    </row>
    <row r="2782" spans="1:13" x14ac:dyDescent="0.45">
      <c r="A2782" t="s">
        <v>13</v>
      </c>
      <c r="B2782">
        <v>3007906</v>
      </c>
      <c r="C2782">
        <v>3008571</v>
      </c>
      <c r="E2782" t="s">
        <v>14</v>
      </c>
      <c r="F2782" t="s">
        <v>7567</v>
      </c>
      <c r="H2782">
        <v>0</v>
      </c>
      <c r="I2782" t="s">
        <v>17</v>
      </c>
      <c r="K2782" t="s">
        <v>7568</v>
      </c>
      <c r="L2782">
        <v>221</v>
      </c>
      <c r="M2782" t="s">
        <v>7569</v>
      </c>
    </row>
    <row r="2783" spans="1:13" x14ac:dyDescent="0.45">
      <c r="A2783" t="s">
        <v>13</v>
      </c>
      <c r="B2783">
        <v>3008676</v>
      </c>
      <c r="C2783">
        <v>3009452</v>
      </c>
      <c r="E2783" t="s">
        <v>14</v>
      </c>
      <c r="F2783" t="s">
        <v>7570</v>
      </c>
      <c r="H2783">
        <v>0</v>
      </c>
      <c r="I2783" t="s">
        <v>17</v>
      </c>
      <c r="K2783" t="s">
        <v>7571</v>
      </c>
      <c r="L2783">
        <v>258</v>
      </c>
      <c r="M2783" t="s">
        <v>7572</v>
      </c>
    </row>
    <row r="2784" spans="1:13" x14ac:dyDescent="0.45">
      <c r="A2784" t="s">
        <v>13</v>
      </c>
      <c r="B2784">
        <v>3009514</v>
      </c>
      <c r="C2784">
        <v>3010848</v>
      </c>
      <c r="E2784" t="s">
        <v>14</v>
      </c>
      <c r="F2784" t="s">
        <v>2381</v>
      </c>
      <c r="H2784">
        <v>0</v>
      </c>
      <c r="I2784" t="s">
        <v>17</v>
      </c>
      <c r="K2784" t="s">
        <v>7573</v>
      </c>
      <c r="L2784">
        <v>444</v>
      </c>
      <c r="M2784" t="s">
        <v>7574</v>
      </c>
    </row>
    <row r="2785" spans="1:13" x14ac:dyDescent="0.45">
      <c r="A2785" t="s">
        <v>13</v>
      </c>
      <c r="B2785">
        <v>3011345</v>
      </c>
      <c r="C2785">
        <v>3012271</v>
      </c>
      <c r="E2785" t="s">
        <v>14</v>
      </c>
      <c r="F2785" t="s">
        <v>3968</v>
      </c>
      <c r="H2785">
        <v>0</v>
      </c>
      <c r="I2785" t="s">
        <v>17</v>
      </c>
      <c r="K2785" t="s">
        <v>7575</v>
      </c>
      <c r="L2785">
        <v>308</v>
      </c>
      <c r="M2785" t="s">
        <v>7576</v>
      </c>
    </row>
    <row r="2786" spans="1:13" x14ac:dyDescent="0.45">
      <c r="A2786" t="s">
        <v>13</v>
      </c>
      <c r="B2786">
        <v>3012663</v>
      </c>
      <c r="C2786">
        <v>3016202</v>
      </c>
      <c r="E2786" t="s">
        <v>96</v>
      </c>
      <c r="F2786" t="s">
        <v>7577</v>
      </c>
      <c r="G2786" t="s">
        <v>7578</v>
      </c>
      <c r="H2786">
        <v>0</v>
      </c>
      <c r="I2786" t="s">
        <v>17</v>
      </c>
      <c r="K2786" t="s">
        <v>7579</v>
      </c>
      <c r="L2786">
        <v>1179</v>
      </c>
      <c r="M2786" t="s">
        <v>7580</v>
      </c>
    </row>
    <row r="2787" spans="1:13" x14ac:dyDescent="0.45">
      <c r="A2787" t="s">
        <v>13</v>
      </c>
      <c r="B2787">
        <v>3016720</v>
      </c>
      <c r="C2787">
        <v>3017289</v>
      </c>
      <c r="E2787" t="s">
        <v>96</v>
      </c>
      <c r="F2787" t="s">
        <v>7581</v>
      </c>
      <c r="G2787" t="s">
        <v>7582</v>
      </c>
      <c r="H2787">
        <v>0</v>
      </c>
      <c r="I2787" t="s">
        <v>17</v>
      </c>
      <c r="K2787" t="s">
        <v>7583</v>
      </c>
      <c r="L2787">
        <v>189</v>
      </c>
      <c r="M2787" t="s">
        <v>7584</v>
      </c>
    </row>
    <row r="2788" spans="1:13" x14ac:dyDescent="0.45">
      <c r="A2788" t="s">
        <v>13</v>
      </c>
      <c r="B2788">
        <v>3017361</v>
      </c>
      <c r="C2788">
        <v>3017969</v>
      </c>
      <c r="E2788" t="s">
        <v>96</v>
      </c>
      <c r="F2788" t="s">
        <v>1482</v>
      </c>
      <c r="H2788">
        <v>0</v>
      </c>
      <c r="I2788" t="s">
        <v>17</v>
      </c>
      <c r="K2788" t="s">
        <v>7585</v>
      </c>
      <c r="L2788">
        <v>202</v>
      </c>
      <c r="M2788" t="s">
        <v>7586</v>
      </c>
    </row>
    <row r="2789" spans="1:13" x14ac:dyDescent="0.45">
      <c r="A2789" t="s">
        <v>13</v>
      </c>
      <c r="B2789">
        <v>3017977</v>
      </c>
      <c r="C2789">
        <v>3019740</v>
      </c>
      <c r="E2789" t="s">
        <v>96</v>
      </c>
      <c r="F2789" t="s">
        <v>7587</v>
      </c>
      <c r="H2789">
        <v>0</v>
      </c>
      <c r="I2789" t="s">
        <v>17</v>
      </c>
      <c r="K2789" t="s">
        <v>7588</v>
      </c>
      <c r="L2789">
        <v>587</v>
      </c>
      <c r="M2789" t="s">
        <v>7589</v>
      </c>
    </row>
    <row r="2790" spans="1:13" x14ac:dyDescent="0.45">
      <c r="A2790" t="s">
        <v>13</v>
      </c>
      <c r="B2790">
        <v>3019783</v>
      </c>
      <c r="C2790">
        <v>3020244</v>
      </c>
      <c r="E2790" t="s">
        <v>96</v>
      </c>
      <c r="F2790" t="s">
        <v>43</v>
      </c>
      <c r="H2790">
        <v>0</v>
      </c>
      <c r="I2790" t="s">
        <v>17</v>
      </c>
      <c r="K2790" t="s">
        <v>7590</v>
      </c>
      <c r="L2790">
        <v>153</v>
      </c>
      <c r="M2790" t="s">
        <v>7591</v>
      </c>
    </row>
    <row r="2791" spans="1:13" x14ac:dyDescent="0.45">
      <c r="A2791" t="s">
        <v>13</v>
      </c>
      <c r="B2791">
        <v>3020433</v>
      </c>
      <c r="C2791">
        <v>3020894</v>
      </c>
      <c r="E2791" t="s">
        <v>14</v>
      </c>
      <c r="F2791" t="s">
        <v>43</v>
      </c>
      <c r="H2791">
        <v>0</v>
      </c>
      <c r="I2791" t="s">
        <v>17</v>
      </c>
      <c r="K2791" t="s">
        <v>7592</v>
      </c>
      <c r="L2791">
        <v>153</v>
      </c>
      <c r="M2791" t="s">
        <v>7593</v>
      </c>
    </row>
    <row r="2792" spans="1:13" x14ac:dyDescent="0.45">
      <c r="A2792" t="s">
        <v>13</v>
      </c>
      <c r="B2792">
        <v>3020987</v>
      </c>
      <c r="C2792">
        <v>3021157</v>
      </c>
      <c r="E2792" t="s">
        <v>96</v>
      </c>
      <c r="F2792" t="s">
        <v>43</v>
      </c>
      <c r="H2792">
        <v>0</v>
      </c>
      <c r="I2792" t="s">
        <v>17</v>
      </c>
      <c r="K2792" t="s">
        <v>7594</v>
      </c>
      <c r="L2792">
        <v>56</v>
      </c>
      <c r="M2792" t="s">
        <v>7595</v>
      </c>
    </row>
    <row r="2793" spans="1:13" x14ac:dyDescent="0.45">
      <c r="A2793" t="s">
        <v>13</v>
      </c>
      <c r="B2793">
        <v>3021346</v>
      </c>
      <c r="C2793">
        <v>3021567</v>
      </c>
      <c r="E2793" t="s">
        <v>96</v>
      </c>
      <c r="F2793" t="s">
        <v>7596</v>
      </c>
      <c r="H2793">
        <v>0</v>
      </c>
      <c r="I2793" t="s">
        <v>17</v>
      </c>
      <c r="K2793" t="s">
        <v>7597</v>
      </c>
      <c r="L2793">
        <v>73</v>
      </c>
      <c r="M2793" t="s">
        <v>7598</v>
      </c>
    </row>
    <row r="2794" spans="1:13" x14ac:dyDescent="0.45">
      <c r="A2794" t="s">
        <v>13</v>
      </c>
      <c r="B2794">
        <v>3021651</v>
      </c>
      <c r="C2794">
        <v>3022877</v>
      </c>
      <c r="E2794" t="s">
        <v>96</v>
      </c>
      <c r="F2794" t="s">
        <v>754</v>
      </c>
      <c r="H2794">
        <v>0</v>
      </c>
      <c r="I2794" t="s">
        <v>17</v>
      </c>
      <c r="K2794" t="s">
        <v>7599</v>
      </c>
      <c r="L2794">
        <v>408</v>
      </c>
      <c r="M2794" t="s">
        <v>7600</v>
      </c>
    </row>
    <row r="2795" spans="1:13" x14ac:dyDescent="0.45">
      <c r="A2795" t="s">
        <v>13</v>
      </c>
      <c r="B2795">
        <v>3022939</v>
      </c>
      <c r="C2795">
        <v>3023871</v>
      </c>
      <c r="E2795" t="s">
        <v>96</v>
      </c>
      <c r="F2795" t="s">
        <v>7601</v>
      </c>
      <c r="H2795">
        <v>0</v>
      </c>
      <c r="I2795" t="s">
        <v>17</v>
      </c>
      <c r="K2795" t="s">
        <v>7602</v>
      </c>
      <c r="L2795">
        <v>310</v>
      </c>
      <c r="M2795" t="s">
        <v>7603</v>
      </c>
    </row>
    <row r="2796" spans="1:13" x14ac:dyDescent="0.45">
      <c r="A2796" t="s">
        <v>13</v>
      </c>
      <c r="B2796">
        <v>3023960</v>
      </c>
      <c r="C2796">
        <v>3024487</v>
      </c>
      <c r="E2796" t="s">
        <v>96</v>
      </c>
      <c r="F2796" t="s">
        <v>7604</v>
      </c>
      <c r="G2796" t="s">
        <v>7605</v>
      </c>
      <c r="H2796">
        <v>0</v>
      </c>
      <c r="I2796" t="s">
        <v>17</v>
      </c>
      <c r="K2796" t="s">
        <v>7606</v>
      </c>
      <c r="L2796">
        <v>175</v>
      </c>
      <c r="M2796" t="s">
        <v>7607</v>
      </c>
    </row>
    <row r="2797" spans="1:13" x14ac:dyDescent="0.45">
      <c r="A2797" t="s">
        <v>13</v>
      </c>
      <c r="B2797">
        <v>3024716</v>
      </c>
      <c r="C2797">
        <v>3025792</v>
      </c>
      <c r="E2797" t="s">
        <v>14</v>
      </c>
      <c r="F2797" t="s">
        <v>509</v>
      </c>
      <c r="H2797">
        <v>0</v>
      </c>
      <c r="I2797" t="s">
        <v>17</v>
      </c>
      <c r="K2797" t="s">
        <v>7608</v>
      </c>
      <c r="L2797">
        <v>358</v>
      </c>
      <c r="M2797" t="s">
        <v>7609</v>
      </c>
    </row>
    <row r="2798" spans="1:13" x14ac:dyDescent="0.45">
      <c r="A2798" t="s">
        <v>13</v>
      </c>
      <c r="B2798">
        <v>3025879</v>
      </c>
      <c r="C2798">
        <v>3027087</v>
      </c>
      <c r="E2798" t="s">
        <v>96</v>
      </c>
      <c r="F2798" t="s">
        <v>7610</v>
      </c>
      <c r="H2798">
        <v>0</v>
      </c>
      <c r="I2798" t="s">
        <v>17</v>
      </c>
      <c r="K2798" t="s">
        <v>7611</v>
      </c>
      <c r="L2798">
        <v>402</v>
      </c>
      <c r="M2798" t="s">
        <v>7612</v>
      </c>
    </row>
    <row r="2799" spans="1:13" x14ac:dyDescent="0.45">
      <c r="A2799" t="s">
        <v>13</v>
      </c>
      <c r="B2799">
        <v>3027248</v>
      </c>
      <c r="C2799">
        <v>3027637</v>
      </c>
      <c r="E2799" t="s">
        <v>96</v>
      </c>
      <c r="F2799" t="s">
        <v>7613</v>
      </c>
      <c r="H2799">
        <v>0</v>
      </c>
      <c r="I2799" t="s">
        <v>17</v>
      </c>
      <c r="K2799" t="s">
        <v>7614</v>
      </c>
      <c r="L2799">
        <v>129</v>
      </c>
      <c r="M2799" t="s">
        <v>7615</v>
      </c>
    </row>
    <row r="2800" spans="1:13" x14ac:dyDescent="0.45">
      <c r="A2800" t="s">
        <v>13</v>
      </c>
      <c r="B2800">
        <v>3027741</v>
      </c>
      <c r="C2800">
        <v>3028742</v>
      </c>
      <c r="E2800" t="s">
        <v>96</v>
      </c>
      <c r="F2800" t="s">
        <v>7616</v>
      </c>
      <c r="G2800" t="s">
        <v>7617</v>
      </c>
      <c r="H2800">
        <v>0</v>
      </c>
      <c r="I2800" t="s">
        <v>17</v>
      </c>
      <c r="K2800" t="s">
        <v>7618</v>
      </c>
      <c r="L2800">
        <v>333</v>
      </c>
      <c r="M2800" t="s">
        <v>7619</v>
      </c>
    </row>
    <row r="2801" spans="1:13" x14ac:dyDescent="0.45">
      <c r="A2801" t="s">
        <v>13</v>
      </c>
      <c r="B2801">
        <v>3029190</v>
      </c>
      <c r="C2801">
        <v>3030380</v>
      </c>
      <c r="E2801" t="s">
        <v>96</v>
      </c>
      <c r="F2801" t="s">
        <v>5578</v>
      </c>
      <c r="H2801">
        <v>0</v>
      </c>
      <c r="I2801" t="s">
        <v>17</v>
      </c>
      <c r="K2801" t="s">
        <v>7620</v>
      </c>
      <c r="L2801">
        <v>396</v>
      </c>
      <c r="M2801" t="s">
        <v>7621</v>
      </c>
    </row>
    <row r="2802" spans="1:13" x14ac:dyDescent="0.45">
      <c r="A2802" t="s">
        <v>13</v>
      </c>
      <c r="B2802">
        <v>3030661</v>
      </c>
      <c r="C2802">
        <v>3031782</v>
      </c>
      <c r="E2802" t="s">
        <v>96</v>
      </c>
      <c r="F2802" t="s">
        <v>7622</v>
      </c>
      <c r="H2802">
        <v>0</v>
      </c>
      <c r="I2802" t="s">
        <v>17</v>
      </c>
      <c r="K2802" t="s">
        <v>7623</v>
      </c>
      <c r="L2802">
        <v>373</v>
      </c>
      <c r="M2802" t="s">
        <v>7624</v>
      </c>
    </row>
    <row r="2803" spans="1:13" x14ac:dyDescent="0.45">
      <c r="A2803" t="s">
        <v>13</v>
      </c>
      <c r="B2803">
        <v>3031843</v>
      </c>
      <c r="C2803">
        <v>3032328</v>
      </c>
      <c r="E2803" t="s">
        <v>96</v>
      </c>
      <c r="F2803" t="s">
        <v>7625</v>
      </c>
      <c r="H2803">
        <v>0</v>
      </c>
      <c r="I2803" t="s">
        <v>17</v>
      </c>
      <c r="K2803" t="s">
        <v>7626</v>
      </c>
      <c r="L2803">
        <v>161</v>
      </c>
      <c r="M2803" t="s">
        <v>7627</v>
      </c>
    </row>
    <row r="2804" spans="1:13" x14ac:dyDescent="0.45">
      <c r="A2804" t="s">
        <v>13</v>
      </c>
      <c r="B2804">
        <v>3032330</v>
      </c>
      <c r="C2804">
        <v>3032998</v>
      </c>
      <c r="E2804" t="s">
        <v>96</v>
      </c>
      <c r="F2804" t="s">
        <v>7628</v>
      </c>
      <c r="H2804">
        <v>0</v>
      </c>
      <c r="I2804" t="s">
        <v>17</v>
      </c>
      <c r="K2804" t="s">
        <v>7629</v>
      </c>
      <c r="L2804">
        <v>222</v>
      </c>
      <c r="M2804" t="s">
        <v>7630</v>
      </c>
    </row>
    <row r="2805" spans="1:13" x14ac:dyDescent="0.45">
      <c r="A2805" t="s">
        <v>13</v>
      </c>
      <c r="B2805">
        <v>3033388</v>
      </c>
      <c r="C2805">
        <v>3035412</v>
      </c>
      <c r="E2805" t="s">
        <v>14</v>
      </c>
      <c r="F2805" t="s">
        <v>723</v>
      </c>
      <c r="H2805">
        <v>0</v>
      </c>
      <c r="I2805" t="s">
        <v>17</v>
      </c>
      <c r="K2805" t="s">
        <v>7631</v>
      </c>
      <c r="L2805">
        <v>674</v>
      </c>
      <c r="M2805" t="s">
        <v>7632</v>
      </c>
    </row>
    <row r="2806" spans="1:13" x14ac:dyDescent="0.45">
      <c r="A2806" t="s">
        <v>13</v>
      </c>
      <c r="B2806">
        <v>3035642</v>
      </c>
      <c r="C2806">
        <v>3036829</v>
      </c>
      <c r="E2806" t="s">
        <v>96</v>
      </c>
      <c r="F2806" t="s">
        <v>7633</v>
      </c>
      <c r="H2806">
        <v>0</v>
      </c>
      <c r="I2806" t="s">
        <v>17</v>
      </c>
      <c r="K2806" t="s">
        <v>7634</v>
      </c>
      <c r="L2806">
        <v>395</v>
      </c>
      <c r="M2806" t="s">
        <v>7635</v>
      </c>
    </row>
    <row r="2807" spans="1:13" x14ac:dyDescent="0.45">
      <c r="A2807" t="s">
        <v>13</v>
      </c>
      <c r="B2807">
        <v>3037031</v>
      </c>
      <c r="C2807">
        <v>3038302</v>
      </c>
      <c r="E2807" t="s">
        <v>96</v>
      </c>
      <c r="F2807" t="s">
        <v>3426</v>
      </c>
      <c r="G2807" t="s">
        <v>3427</v>
      </c>
      <c r="H2807">
        <v>0</v>
      </c>
      <c r="I2807" t="s">
        <v>17</v>
      </c>
      <c r="K2807" t="s">
        <v>7636</v>
      </c>
      <c r="L2807">
        <v>423</v>
      </c>
      <c r="M2807" t="s">
        <v>7637</v>
      </c>
    </row>
    <row r="2808" spans="1:13" x14ac:dyDescent="0.45">
      <c r="A2808" t="s">
        <v>13</v>
      </c>
      <c r="B2808">
        <v>3038443</v>
      </c>
      <c r="C2808">
        <v>3039096</v>
      </c>
      <c r="E2808" t="s">
        <v>96</v>
      </c>
      <c r="F2808" t="s">
        <v>7638</v>
      </c>
      <c r="H2808">
        <v>0</v>
      </c>
      <c r="I2808" t="s">
        <v>17</v>
      </c>
      <c r="K2808" t="s">
        <v>7639</v>
      </c>
      <c r="L2808">
        <v>217</v>
      </c>
      <c r="M2808" t="s">
        <v>7640</v>
      </c>
    </row>
    <row r="2809" spans="1:13" x14ac:dyDescent="0.45">
      <c r="A2809" t="s">
        <v>13</v>
      </c>
      <c r="B2809">
        <v>3039600</v>
      </c>
      <c r="C2809">
        <v>3040943</v>
      </c>
      <c r="E2809" t="s">
        <v>14</v>
      </c>
      <c r="F2809" t="s">
        <v>6027</v>
      </c>
      <c r="H2809">
        <v>0</v>
      </c>
      <c r="I2809" t="s">
        <v>17</v>
      </c>
      <c r="K2809" t="s">
        <v>7641</v>
      </c>
      <c r="L2809">
        <v>447</v>
      </c>
      <c r="M2809" t="s">
        <v>7642</v>
      </c>
    </row>
    <row r="2810" spans="1:13" x14ac:dyDescent="0.45">
      <c r="A2810" t="s">
        <v>13</v>
      </c>
      <c r="B2810">
        <v>3041090</v>
      </c>
      <c r="C2810">
        <v>3042454</v>
      </c>
      <c r="E2810" t="s">
        <v>14</v>
      </c>
      <c r="F2810" t="s">
        <v>652</v>
      </c>
      <c r="H2810">
        <v>0</v>
      </c>
      <c r="I2810" t="s">
        <v>17</v>
      </c>
      <c r="K2810" t="s">
        <v>7643</v>
      </c>
      <c r="L2810">
        <v>454</v>
      </c>
      <c r="M2810" t="s">
        <v>7644</v>
      </c>
    </row>
    <row r="2811" spans="1:13" x14ac:dyDescent="0.45">
      <c r="A2811" t="s">
        <v>13</v>
      </c>
      <c r="B2811">
        <v>3042632</v>
      </c>
      <c r="C2811">
        <v>3044497</v>
      </c>
      <c r="E2811" t="s">
        <v>96</v>
      </c>
      <c r="F2811" t="s">
        <v>4322</v>
      </c>
      <c r="H2811">
        <v>0</v>
      </c>
      <c r="I2811" t="s">
        <v>17</v>
      </c>
      <c r="K2811" t="s">
        <v>7645</v>
      </c>
      <c r="L2811">
        <v>621</v>
      </c>
      <c r="M2811" t="s">
        <v>7646</v>
      </c>
    </row>
    <row r="2812" spans="1:13" x14ac:dyDescent="0.45">
      <c r="A2812" t="s">
        <v>13</v>
      </c>
      <c r="B2812">
        <v>3044733</v>
      </c>
      <c r="C2812">
        <v>3045950</v>
      </c>
      <c r="E2812" t="s">
        <v>96</v>
      </c>
      <c r="F2812" t="s">
        <v>205</v>
      </c>
      <c r="H2812">
        <v>0</v>
      </c>
      <c r="I2812" t="s">
        <v>17</v>
      </c>
      <c r="K2812" t="s">
        <v>7647</v>
      </c>
      <c r="L2812">
        <v>405</v>
      </c>
      <c r="M2812" t="s">
        <v>7648</v>
      </c>
    </row>
    <row r="2813" spans="1:13" x14ac:dyDescent="0.45">
      <c r="A2813" t="s">
        <v>13</v>
      </c>
      <c r="B2813">
        <v>3046150</v>
      </c>
      <c r="C2813">
        <v>3047013</v>
      </c>
      <c r="E2813" t="s">
        <v>96</v>
      </c>
      <c r="F2813" t="s">
        <v>5235</v>
      </c>
      <c r="G2813" t="s">
        <v>5236</v>
      </c>
      <c r="H2813">
        <v>0</v>
      </c>
      <c r="I2813" t="s">
        <v>17</v>
      </c>
      <c r="K2813" t="s">
        <v>7649</v>
      </c>
      <c r="L2813">
        <v>287</v>
      </c>
      <c r="M2813" t="s">
        <v>7650</v>
      </c>
    </row>
    <row r="2814" spans="1:13" x14ac:dyDescent="0.45">
      <c r="A2814" t="s">
        <v>13</v>
      </c>
      <c r="B2814">
        <v>3047095</v>
      </c>
      <c r="C2814">
        <v>3049017</v>
      </c>
      <c r="E2814" t="s">
        <v>96</v>
      </c>
      <c r="F2814" t="s">
        <v>4646</v>
      </c>
      <c r="H2814">
        <v>0</v>
      </c>
      <c r="I2814" t="s">
        <v>17</v>
      </c>
      <c r="K2814" t="s">
        <v>7651</v>
      </c>
      <c r="L2814">
        <v>640</v>
      </c>
      <c r="M2814" t="s">
        <v>7652</v>
      </c>
    </row>
    <row r="2815" spans="1:13" x14ac:dyDescent="0.45">
      <c r="A2815" t="s">
        <v>13</v>
      </c>
      <c r="B2815">
        <v>3049096</v>
      </c>
      <c r="C2815">
        <v>3049944</v>
      </c>
      <c r="E2815" t="s">
        <v>96</v>
      </c>
      <c r="F2815" t="s">
        <v>1659</v>
      </c>
      <c r="H2815">
        <v>0</v>
      </c>
      <c r="I2815" t="s">
        <v>17</v>
      </c>
      <c r="K2815" t="s">
        <v>7653</v>
      </c>
      <c r="L2815">
        <v>282</v>
      </c>
      <c r="M2815" t="s">
        <v>7654</v>
      </c>
    </row>
    <row r="2816" spans="1:13" x14ac:dyDescent="0.45">
      <c r="A2816" t="s">
        <v>13</v>
      </c>
      <c r="B2816">
        <v>3050357</v>
      </c>
      <c r="C2816">
        <v>3051238</v>
      </c>
      <c r="E2816" t="s">
        <v>14</v>
      </c>
      <c r="F2816" t="s">
        <v>792</v>
      </c>
      <c r="H2816">
        <v>0</v>
      </c>
      <c r="I2816" t="s">
        <v>17</v>
      </c>
      <c r="K2816" t="s">
        <v>7655</v>
      </c>
      <c r="L2816">
        <v>293</v>
      </c>
      <c r="M2816" t="s">
        <v>7656</v>
      </c>
    </row>
    <row r="2817" spans="1:13" x14ac:dyDescent="0.45">
      <c r="A2817" t="s">
        <v>13</v>
      </c>
      <c r="B2817">
        <v>3051446</v>
      </c>
      <c r="C2817">
        <v>3052309</v>
      </c>
      <c r="E2817" t="s">
        <v>96</v>
      </c>
      <c r="F2817" t="s">
        <v>7657</v>
      </c>
      <c r="H2817">
        <v>0</v>
      </c>
      <c r="I2817" t="s">
        <v>17</v>
      </c>
      <c r="K2817" t="s">
        <v>7658</v>
      </c>
      <c r="L2817">
        <v>287</v>
      </c>
      <c r="M2817" t="s">
        <v>7659</v>
      </c>
    </row>
    <row r="2818" spans="1:13" x14ac:dyDescent="0.45">
      <c r="A2818" t="s">
        <v>13</v>
      </c>
      <c r="B2818">
        <v>3052464</v>
      </c>
      <c r="C2818">
        <v>3054398</v>
      </c>
      <c r="E2818" t="s">
        <v>96</v>
      </c>
      <c r="F2818" t="s">
        <v>7660</v>
      </c>
      <c r="H2818">
        <v>0</v>
      </c>
      <c r="I2818" t="s">
        <v>17</v>
      </c>
      <c r="K2818" t="s">
        <v>7661</v>
      </c>
      <c r="L2818">
        <v>644</v>
      </c>
      <c r="M2818" t="s">
        <v>7662</v>
      </c>
    </row>
    <row r="2819" spans="1:13" x14ac:dyDescent="0.45">
      <c r="A2819" t="s">
        <v>13</v>
      </c>
      <c r="B2819">
        <v>3054510</v>
      </c>
      <c r="C2819">
        <v>3055523</v>
      </c>
      <c r="E2819" t="s">
        <v>96</v>
      </c>
      <c r="F2819" t="s">
        <v>7663</v>
      </c>
      <c r="G2819" t="s">
        <v>7664</v>
      </c>
      <c r="H2819">
        <v>0</v>
      </c>
      <c r="I2819" t="s">
        <v>17</v>
      </c>
      <c r="K2819" t="s">
        <v>7665</v>
      </c>
      <c r="L2819">
        <v>337</v>
      </c>
      <c r="M2819" t="s">
        <v>7666</v>
      </c>
    </row>
    <row r="2820" spans="1:13" x14ac:dyDescent="0.45">
      <c r="A2820" t="s">
        <v>13</v>
      </c>
      <c r="B2820">
        <v>3055548</v>
      </c>
      <c r="C2820">
        <v>3056423</v>
      </c>
      <c r="E2820" t="s">
        <v>96</v>
      </c>
      <c r="F2820" t="s">
        <v>7667</v>
      </c>
      <c r="G2820" t="s">
        <v>7668</v>
      </c>
      <c r="H2820">
        <v>0</v>
      </c>
      <c r="I2820" t="s">
        <v>17</v>
      </c>
      <c r="K2820" t="s">
        <v>7669</v>
      </c>
      <c r="L2820">
        <v>291</v>
      </c>
      <c r="M2820" t="s">
        <v>7670</v>
      </c>
    </row>
    <row r="2821" spans="1:13" x14ac:dyDescent="0.45">
      <c r="A2821" t="s">
        <v>13</v>
      </c>
      <c r="B2821">
        <v>3056615</v>
      </c>
      <c r="C2821">
        <v>3056935</v>
      </c>
      <c r="E2821" t="s">
        <v>96</v>
      </c>
      <c r="F2821" t="s">
        <v>43</v>
      </c>
      <c r="H2821">
        <v>0</v>
      </c>
      <c r="I2821" t="s">
        <v>17</v>
      </c>
      <c r="K2821" t="s">
        <v>7671</v>
      </c>
      <c r="L2821">
        <v>106</v>
      </c>
      <c r="M2821" t="s">
        <v>7672</v>
      </c>
    </row>
    <row r="2822" spans="1:13" x14ac:dyDescent="0.45">
      <c r="A2822" t="s">
        <v>13</v>
      </c>
      <c r="B2822">
        <v>3056925</v>
      </c>
      <c r="C2822">
        <v>3058916</v>
      </c>
      <c r="E2822" t="s">
        <v>96</v>
      </c>
      <c r="F2822" t="s">
        <v>43</v>
      </c>
      <c r="H2822">
        <v>0</v>
      </c>
      <c r="I2822" t="s">
        <v>17</v>
      </c>
      <c r="K2822" t="s">
        <v>7673</v>
      </c>
      <c r="L2822">
        <v>663</v>
      </c>
      <c r="M2822" t="s">
        <v>7674</v>
      </c>
    </row>
    <row r="2823" spans="1:13" x14ac:dyDescent="0.45">
      <c r="A2823" t="s">
        <v>13</v>
      </c>
      <c r="B2823">
        <v>3059038</v>
      </c>
      <c r="C2823">
        <v>3061581</v>
      </c>
      <c r="E2823" t="s">
        <v>96</v>
      </c>
      <c r="F2823" t="s">
        <v>7675</v>
      </c>
      <c r="H2823">
        <v>0</v>
      </c>
      <c r="I2823" t="s">
        <v>17</v>
      </c>
      <c r="K2823" t="s">
        <v>7676</v>
      </c>
      <c r="L2823">
        <v>847</v>
      </c>
      <c r="M2823" t="s">
        <v>7677</v>
      </c>
    </row>
    <row r="2824" spans="1:13" x14ac:dyDescent="0.45">
      <c r="A2824" t="s">
        <v>13</v>
      </c>
      <c r="B2824">
        <v>3061859</v>
      </c>
      <c r="C2824">
        <v>3062193</v>
      </c>
      <c r="E2824" t="s">
        <v>96</v>
      </c>
      <c r="F2824" t="s">
        <v>7678</v>
      </c>
      <c r="G2824" t="s">
        <v>7679</v>
      </c>
      <c r="H2824">
        <v>0</v>
      </c>
      <c r="I2824" t="s">
        <v>7680</v>
      </c>
      <c r="M2824" t="s">
        <v>7681</v>
      </c>
    </row>
    <row r="2825" spans="1:13" x14ac:dyDescent="0.45">
      <c r="A2825" t="s">
        <v>13</v>
      </c>
      <c r="B2825">
        <v>3062325</v>
      </c>
      <c r="C2825">
        <v>3063002</v>
      </c>
      <c r="E2825" t="s">
        <v>14</v>
      </c>
      <c r="F2825" t="s">
        <v>7682</v>
      </c>
      <c r="G2825" t="s">
        <v>7683</v>
      </c>
      <c r="H2825">
        <v>0</v>
      </c>
      <c r="I2825" t="s">
        <v>17</v>
      </c>
      <c r="K2825" t="s">
        <v>7684</v>
      </c>
      <c r="L2825">
        <v>225</v>
      </c>
      <c r="M2825" t="s">
        <v>7685</v>
      </c>
    </row>
    <row r="2826" spans="1:13" x14ac:dyDescent="0.45">
      <c r="A2826" t="s">
        <v>13</v>
      </c>
      <c r="B2826">
        <v>3063162</v>
      </c>
      <c r="C2826">
        <v>3063236</v>
      </c>
      <c r="E2826" t="s">
        <v>96</v>
      </c>
      <c r="F2826" t="s">
        <v>117</v>
      </c>
      <c r="H2826">
        <v>0</v>
      </c>
      <c r="I2826" t="s">
        <v>77</v>
      </c>
      <c r="M2826" t="s">
        <v>7686</v>
      </c>
    </row>
    <row r="2827" spans="1:13" x14ac:dyDescent="0.45">
      <c r="A2827" t="s">
        <v>13</v>
      </c>
      <c r="B2827">
        <v>3063332</v>
      </c>
      <c r="C2827">
        <v>3066229</v>
      </c>
      <c r="E2827" t="s">
        <v>96</v>
      </c>
      <c r="F2827" t="s">
        <v>58</v>
      </c>
      <c r="H2827">
        <v>0</v>
      </c>
      <c r="I2827" t="s">
        <v>56</v>
      </c>
      <c r="M2827" t="s">
        <v>7687</v>
      </c>
    </row>
    <row r="2828" spans="1:13" x14ac:dyDescent="0.45">
      <c r="A2828" t="s">
        <v>13</v>
      </c>
      <c r="B2828">
        <v>3066418</v>
      </c>
      <c r="C2828">
        <v>3067918</v>
      </c>
      <c r="E2828" t="s">
        <v>96</v>
      </c>
      <c r="F2828" t="s">
        <v>55</v>
      </c>
      <c r="H2828">
        <v>0</v>
      </c>
      <c r="I2828" t="s">
        <v>56</v>
      </c>
      <c r="M2828" t="s">
        <v>7688</v>
      </c>
    </row>
    <row r="2829" spans="1:13" x14ac:dyDescent="0.45">
      <c r="A2829" t="s">
        <v>13</v>
      </c>
      <c r="B2829">
        <v>3068261</v>
      </c>
      <c r="C2829">
        <v>3069199</v>
      </c>
      <c r="E2829" t="s">
        <v>14</v>
      </c>
      <c r="F2829" t="s">
        <v>3931</v>
      </c>
      <c r="G2829" t="s">
        <v>3932</v>
      </c>
      <c r="H2829">
        <v>0</v>
      </c>
      <c r="I2829" t="s">
        <v>17</v>
      </c>
      <c r="K2829" t="s">
        <v>7689</v>
      </c>
      <c r="L2829">
        <v>312</v>
      </c>
      <c r="M2829" t="s">
        <v>7690</v>
      </c>
    </row>
    <row r="2830" spans="1:13" x14ac:dyDescent="0.45">
      <c r="A2830" t="s">
        <v>13</v>
      </c>
      <c r="B2830">
        <v>3069572</v>
      </c>
      <c r="C2830">
        <v>3070945</v>
      </c>
      <c r="E2830" t="s">
        <v>96</v>
      </c>
      <c r="F2830" t="s">
        <v>43</v>
      </c>
      <c r="H2830">
        <v>0</v>
      </c>
      <c r="I2830" t="s">
        <v>17</v>
      </c>
      <c r="K2830" t="s">
        <v>7691</v>
      </c>
      <c r="L2830">
        <v>457</v>
      </c>
      <c r="M2830" t="s">
        <v>7692</v>
      </c>
    </row>
    <row r="2831" spans="1:13" x14ac:dyDescent="0.45">
      <c r="A2831" t="s">
        <v>13</v>
      </c>
      <c r="B2831">
        <v>3071132</v>
      </c>
      <c r="C2831">
        <v>3072454</v>
      </c>
      <c r="E2831" t="s">
        <v>96</v>
      </c>
      <c r="F2831" t="s">
        <v>4781</v>
      </c>
      <c r="H2831">
        <v>0</v>
      </c>
      <c r="I2831" t="s">
        <v>17</v>
      </c>
      <c r="K2831" t="s">
        <v>7693</v>
      </c>
      <c r="L2831">
        <v>440</v>
      </c>
      <c r="M2831" t="s">
        <v>7694</v>
      </c>
    </row>
    <row r="2832" spans="1:13" x14ac:dyDescent="0.45">
      <c r="A2832" t="s">
        <v>13</v>
      </c>
      <c r="B2832">
        <v>3072447</v>
      </c>
      <c r="C2832">
        <v>3073151</v>
      </c>
      <c r="E2832" t="s">
        <v>96</v>
      </c>
      <c r="F2832" t="s">
        <v>1222</v>
      </c>
      <c r="H2832">
        <v>0</v>
      </c>
      <c r="I2832" t="s">
        <v>17</v>
      </c>
      <c r="K2832" t="s">
        <v>7695</v>
      </c>
      <c r="L2832">
        <v>234</v>
      </c>
      <c r="M2832" t="s">
        <v>7696</v>
      </c>
    </row>
    <row r="2833" spans="1:13" x14ac:dyDescent="0.45">
      <c r="A2833" t="s">
        <v>13</v>
      </c>
      <c r="B2833">
        <v>3073334</v>
      </c>
      <c r="C2833">
        <v>3074398</v>
      </c>
      <c r="E2833" t="s">
        <v>96</v>
      </c>
      <c r="F2833" t="s">
        <v>6017</v>
      </c>
      <c r="H2833">
        <v>0</v>
      </c>
      <c r="I2833" t="s">
        <v>17</v>
      </c>
      <c r="K2833" t="s">
        <v>7697</v>
      </c>
      <c r="L2833">
        <v>354</v>
      </c>
      <c r="M2833" t="s">
        <v>7698</v>
      </c>
    </row>
    <row r="2834" spans="1:13" x14ac:dyDescent="0.45">
      <c r="A2834" t="s">
        <v>13</v>
      </c>
      <c r="B2834">
        <v>3074401</v>
      </c>
      <c r="C2834">
        <v>3075099</v>
      </c>
      <c r="E2834" t="s">
        <v>96</v>
      </c>
      <c r="F2834" t="s">
        <v>3610</v>
      </c>
      <c r="H2834">
        <v>0</v>
      </c>
      <c r="I2834" t="s">
        <v>17</v>
      </c>
      <c r="K2834" t="s">
        <v>7699</v>
      </c>
      <c r="L2834">
        <v>232</v>
      </c>
      <c r="M2834" t="s">
        <v>7700</v>
      </c>
    </row>
    <row r="2835" spans="1:13" x14ac:dyDescent="0.45">
      <c r="A2835" t="s">
        <v>13</v>
      </c>
      <c r="B2835">
        <v>3075090</v>
      </c>
      <c r="C2835">
        <v>3076187</v>
      </c>
      <c r="E2835" t="s">
        <v>96</v>
      </c>
      <c r="F2835" t="s">
        <v>97</v>
      </c>
      <c r="H2835">
        <v>0</v>
      </c>
      <c r="I2835" t="s">
        <v>17</v>
      </c>
      <c r="K2835" t="s">
        <v>7701</v>
      </c>
      <c r="L2835">
        <v>365</v>
      </c>
      <c r="M2835" t="s">
        <v>7702</v>
      </c>
    </row>
    <row r="2836" spans="1:13" x14ac:dyDescent="0.45">
      <c r="A2836" t="s">
        <v>13</v>
      </c>
      <c r="B2836">
        <v>3076510</v>
      </c>
      <c r="C2836">
        <v>3077754</v>
      </c>
      <c r="E2836" t="s">
        <v>96</v>
      </c>
      <c r="F2836" t="s">
        <v>7703</v>
      </c>
      <c r="G2836" t="s">
        <v>7704</v>
      </c>
      <c r="H2836">
        <v>0</v>
      </c>
      <c r="I2836" t="s">
        <v>17</v>
      </c>
      <c r="K2836" t="s">
        <v>7705</v>
      </c>
      <c r="L2836">
        <v>414</v>
      </c>
      <c r="M2836" t="s">
        <v>7706</v>
      </c>
    </row>
    <row r="2837" spans="1:13" x14ac:dyDescent="0.45">
      <c r="A2837" t="s">
        <v>13</v>
      </c>
      <c r="B2837">
        <v>3078083</v>
      </c>
      <c r="C2837">
        <v>3078871</v>
      </c>
      <c r="E2837" t="s">
        <v>14</v>
      </c>
      <c r="F2837" t="s">
        <v>1555</v>
      </c>
      <c r="H2837">
        <v>0</v>
      </c>
      <c r="I2837" t="s">
        <v>17</v>
      </c>
      <c r="K2837" t="s">
        <v>7707</v>
      </c>
      <c r="L2837">
        <v>262</v>
      </c>
      <c r="M2837" t="s">
        <v>7708</v>
      </c>
    </row>
    <row r="2838" spans="1:13" x14ac:dyDescent="0.45">
      <c r="A2838" t="s">
        <v>13</v>
      </c>
      <c r="B2838">
        <v>3078871</v>
      </c>
      <c r="C2838">
        <v>3079344</v>
      </c>
      <c r="E2838" t="s">
        <v>14</v>
      </c>
      <c r="F2838" t="s">
        <v>1555</v>
      </c>
      <c r="H2838">
        <v>0</v>
      </c>
      <c r="I2838" t="s">
        <v>17</v>
      </c>
      <c r="K2838" t="s">
        <v>7709</v>
      </c>
      <c r="L2838">
        <v>157</v>
      </c>
      <c r="M2838" t="s">
        <v>7710</v>
      </c>
    </row>
    <row r="2839" spans="1:13" x14ac:dyDescent="0.45">
      <c r="A2839" t="s">
        <v>13</v>
      </c>
      <c r="B2839">
        <v>3079436</v>
      </c>
      <c r="C2839">
        <v>3079876</v>
      </c>
      <c r="E2839" t="s">
        <v>96</v>
      </c>
      <c r="F2839" t="s">
        <v>7711</v>
      </c>
      <c r="H2839">
        <v>0</v>
      </c>
      <c r="I2839" t="s">
        <v>17</v>
      </c>
      <c r="K2839" t="s">
        <v>7712</v>
      </c>
      <c r="L2839">
        <v>146</v>
      </c>
      <c r="M2839" t="s">
        <v>7713</v>
      </c>
    </row>
    <row r="2840" spans="1:13" x14ac:dyDescent="0.45">
      <c r="A2840" t="s">
        <v>13</v>
      </c>
      <c r="B2840">
        <v>3079891</v>
      </c>
      <c r="C2840">
        <v>3080184</v>
      </c>
      <c r="E2840" t="s">
        <v>96</v>
      </c>
      <c r="F2840" t="s">
        <v>7714</v>
      </c>
      <c r="H2840">
        <v>0</v>
      </c>
      <c r="I2840" t="s">
        <v>17</v>
      </c>
      <c r="K2840" t="s">
        <v>7715</v>
      </c>
      <c r="L2840">
        <v>97</v>
      </c>
      <c r="M2840" t="s">
        <v>7716</v>
      </c>
    </row>
    <row r="2841" spans="1:13" x14ac:dyDescent="0.45">
      <c r="A2841" t="s">
        <v>13</v>
      </c>
      <c r="B2841">
        <v>3080227</v>
      </c>
      <c r="C2841">
        <v>3080628</v>
      </c>
      <c r="E2841" t="s">
        <v>96</v>
      </c>
      <c r="F2841" t="s">
        <v>43</v>
      </c>
      <c r="H2841">
        <v>0</v>
      </c>
      <c r="I2841" t="s">
        <v>17</v>
      </c>
      <c r="K2841" t="s">
        <v>7717</v>
      </c>
      <c r="L2841">
        <v>133</v>
      </c>
      <c r="M2841" t="s">
        <v>7718</v>
      </c>
    </row>
    <row r="2842" spans="1:13" x14ac:dyDescent="0.45">
      <c r="A2842" t="s">
        <v>13</v>
      </c>
      <c r="B2842">
        <v>3080861</v>
      </c>
      <c r="C2842">
        <v>3082981</v>
      </c>
      <c r="E2842" t="s">
        <v>14</v>
      </c>
      <c r="F2842" t="s">
        <v>723</v>
      </c>
      <c r="H2842">
        <v>0</v>
      </c>
      <c r="I2842" t="s">
        <v>17</v>
      </c>
      <c r="K2842" t="s">
        <v>7719</v>
      </c>
      <c r="L2842">
        <v>706</v>
      </c>
      <c r="M2842" t="s">
        <v>7720</v>
      </c>
    </row>
    <row r="2843" spans="1:13" x14ac:dyDescent="0.45">
      <c r="A2843" t="s">
        <v>13</v>
      </c>
      <c r="B2843">
        <v>3083206</v>
      </c>
      <c r="C2843">
        <v>3084372</v>
      </c>
      <c r="E2843" t="s">
        <v>14</v>
      </c>
      <c r="F2843" t="s">
        <v>5578</v>
      </c>
      <c r="H2843">
        <v>0</v>
      </c>
      <c r="I2843" t="s">
        <v>17</v>
      </c>
      <c r="K2843" t="s">
        <v>7721</v>
      </c>
      <c r="L2843">
        <v>388</v>
      </c>
      <c r="M2843" t="s">
        <v>7722</v>
      </c>
    </row>
    <row r="2844" spans="1:13" x14ac:dyDescent="0.45">
      <c r="A2844" t="s">
        <v>13</v>
      </c>
      <c r="B2844">
        <v>3084397</v>
      </c>
      <c r="C2844">
        <v>3085839</v>
      </c>
      <c r="E2844" t="s">
        <v>14</v>
      </c>
      <c r="F2844" t="s">
        <v>1423</v>
      </c>
      <c r="G2844" t="s">
        <v>1424</v>
      </c>
      <c r="H2844">
        <v>0</v>
      </c>
      <c r="I2844" t="s">
        <v>17</v>
      </c>
      <c r="K2844" t="s">
        <v>7723</v>
      </c>
      <c r="L2844">
        <v>480</v>
      </c>
      <c r="M2844" t="s">
        <v>7724</v>
      </c>
    </row>
    <row r="2845" spans="1:13" x14ac:dyDescent="0.45">
      <c r="A2845" t="s">
        <v>13</v>
      </c>
      <c r="B2845">
        <v>3085842</v>
      </c>
      <c r="C2845">
        <v>3086111</v>
      </c>
      <c r="E2845" t="s">
        <v>14</v>
      </c>
      <c r="F2845" t="s">
        <v>43</v>
      </c>
      <c r="H2845">
        <v>0</v>
      </c>
      <c r="I2845" t="s">
        <v>17</v>
      </c>
      <c r="K2845" t="s">
        <v>7725</v>
      </c>
      <c r="L2845">
        <v>89</v>
      </c>
      <c r="M2845" t="s">
        <v>7726</v>
      </c>
    </row>
    <row r="2846" spans="1:13" x14ac:dyDescent="0.45">
      <c r="A2846" t="s">
        <v>13</v>
      </c>
      <c r="B2846">
        <v>3086187</v>
      </c>
      <c r="C2846">
        <v>3087614</v>
      </c>
      <c r="E2846" t="s">
        <v>96</v>
      </c>
      <c r="F2846" t="s">
        <v>7727</v>
      </c>
      <c r="H2846">
        <v>0</v>
      </c>
      <c r="I2846" t="s">
        <v>17</v>
      </c>
      <c r="K2846" t="s">
        <v>7728</v>
      </c>
      <c r="L2846">
        <v>475</v>
      </c>
      <c r="M2846" t="s">
        <v>7729</v>
      </c>
    </row>
    <row r="2847" spans="1:13" x14ac:dyDescent="0.45">
      <c r="A2847" t="s">
        <v>13</v>
      </c>
      <c r="B2847">
        <v>3087985</v>
      </c>
      <c r="C2847">
        <v>3088854</v>
      </c>
      <c r="E2847" t="s">
        <v>14</v>
      </c>
      <c r="F2847" t="s">
        <v>792</v>
      </c>
      <c r="H2847">
        <v>0</v>
      </c>
      <c r="I2847" t="s">
        <v>17</v>
      </c>
      <c r="K2847" t="s">
        <v>7730</v>
      </c>
      <c r="L2847">
        <v>289</v>
      </c>
      <c r="M2847" t="s">
        <v>7731</v>
      </c>
    </row>
    <row r="2848" spans="1:13" x14ac:dyDescent="0.45">
      <c r="A2848" t="s">
        <v>13</v>
      </c>
      <c r="B2848">
        <v>3088966</v>
      </c>
      <c r="C2848">
        <v>3089772</v>
      </c>
      <c r="E2848" t="s">
        <v>96</v>
      </c>
      <c r="F2848" t="s">
        <v>7732</v>
      </c>
      <c r="H2848">
        <v>0</v>
      </c>
      <c r="I2848" t="s">
        <v>17</v>
      </c>
      <c r="K2848" t="s">
        <v>7733</v>
      </c>
      <c r="L2848">
        <v>268</v>
      </c>
      <c r="M2848" t="s">
        <v>7734</v>
      </c>
    </row>
    <row r="2849" spans="1:13" x14ac:dyDescent="0.45">
      <c r="A2849" t="s">
        <v>13</v>
      </c>
      <c r="B2849">
        <v>3089786</v>
      </c>
      <c r="C2849">
        <v>3091018</v>
      </c>
      <c r="E2849" t="s">
        <v>96</v>
      </c>
      <c r="F2849" t="s">
        <v>4912</v>
      </c>
      <c r="H2849">
        <v>0</v>
      </c>
      <c r="I2849" t="s">
        <v>17</v>
      </c>
      <c r="K2849" t="s">
        <v>7735</v>
      </c>
      <c r="L2849">
        <v>410</v>
      </c>
      <c r="M2849" t="s">
        <v>7736</v>
      </c>
    </row>
    <row r="2850" spans="1:13" x14ac:dyDescent="0.45">
      <c r="A2850" t="s">
        <v>13</v>
      </c>
      <c r="B2850">
        <v>3091477</v>
      </c>
      <c r="C2850">
        <v>3093264</v>
      </c>
      <c r="E2850" t="s">
        <v>96</v>
      </c>
      <c r="F2850" t="s">
        <v>7737</v>
      </c>
      <c r="G2850" t="s">
        <v>7738</v>
      </c>
      <c r="H2850">
        <v>0</v>
      </c>
      <c r="I2850" t="s">
        <v>17</v>
      </c>
      <c r="K2850" t="s">
        <v>7739</v>
      </c>
      <c r="L2850">
        <v>595</v>
      </c>
      <c r="M2850" t="s">
        <v>7740</v>
      </c>
    </row>
    <row r="2851" spans="1:13" x14ac:dyDescent="0.45">
      <c r="A2851" t="s">
        <v>13</v>
      </c>
      <c r="B2851">
        <v>3093338</v>
      </c>
      <c r="C2851">
        <v>3094600</v>
      </c>
      <c r="E2851" t="s">
        <v>96</v>
      </c>
      <c r="F2851" t="s">
        <v>7741</v>
      </c>
      <c r="G2851" t="s">
        <v>7742</v>
      </c>
      <c r="H2851">
        <v>0</v>
      </c>
      <c r="I2851" t="s">
        <v>17</v>
      </c>
      <c r="K2851" t="s">
        <v>7743</v>
      </c>
      <c r="L2851">
        <v>420</v>
      </c>
      <c r="M2851" t="s">
        <v>7744</v>
      </c>
    </row>
    <row r="2852" spans="1:13" x14ac:dyDescent="0.45">
      <c r="A2852" t="s">
        <v>13</v>
      </c>
      <c r="B2852">
        <v>3094590</v>
      </c>
      <c r="C2852">
        <v>3096146</v>
      </c>
      <c r="E2852" t="s">
        <v>96</v>
      </c>
      <c r="F2852" t="s">
        <v>7745</v>
      </c>
      <c r="H2852">
        <v>0</v>
      </c>
      <c r="I2852" t="s">
        <v>17</v>
      </c>
      <c r="K2852" t="s">
        <v>7746</v>
      </c>
      <c r="L2852">
        <v>518</v>
      </c>
      <c r="M2852" t="s">
        <v>7747</v>
      </c>
    </row>
    <row r="2853" spans="1:13" x14ac:dyDescent="0.45">
      <c r="A2853" t="s">
        <v>13</v>
      </c>
      <c r="B2853">
        <v>3096237</v>
      </c>
      <c r="C2853">
        <v>3096851</v>
      </c>
      <c r="E2853" t="s">
        <v>96</v>
      </c>
      <c r="F2853" t="s">
        <v>1285</v>
      </c>
      <c r="H2853">
        <v>0</v>
      </c>
      <c r="I2853" t="s">
        <v>17</v>
      </c>
      <c r="K2853" t="s">
        <v>7748</v>
      </c>
      <c r="L2853">
        <v>204</v>
      </c>
      <c r="M2853" t="s">
        <v>7749</v>
      </c>
    </row>
    <row r="2854" spans="1:13" x14ac:dyDescent="0.45">
      <c r="A2854" t="s">
        <v>13</v>
      </c>
      <c r="B2854">
        <v>3096866</v>
      </c>
      <c r="C2854">
        <v>3097315</v>
      </c>
      <c r="E2854" t="s">
        <v>96</v>
      </c>
      <c r="F2854" t="s">
        <v>1305</v>
      </c>
      <c r="G2854" t="s">
        <v>7750</v>
      </c>
      <c r="H2854">
        <v>0</v>
      </c>
      <c r="I2854" t="s">
        <v>17</v>
      </c>
      <c r="K2854" t="s">
        <v>7751</v>
      </c>
      <c r="L2854">
        <v>149</v>
      </c>
      <c r="M2854" t="s">
        <v>7752</v>
      </c>
    </row>
    <row r="2855" spans="1:13" x14ac:dyDescent="0.45">
      <c r="A2855" t="s">
        <v>13</v>
      </c>
      <c r="B2855">
        <v>3097340</v>
      </c>
      <c r="C2855">
        <v>3099547</v>
      </c>
      <c r="E2855" t="s">
        <v>96</v>
      </c>
      <c r="F2855" t="s">
        <v>7753</v>
      </c>
      <c r="H2855">
        <v>0</v>
      </c>
      <c r="I2855" t="s">
        <v>17</v>
      </c>
      <c r="K2855" t="s">
        <v>7754</v>
      </c>
      <c r="L2855">
        <v>735</v>
      </c>
      <c r="M2855" t="s">
        <v>7755</v>
      </c>
    </row>
    <row r="2856" spans="1:13" x14ac:dyDescent="0.45">
      <c r="A2856" t="s">
        <v>13</v>
      </c>
      <c r="B2856">
        <v>3099621</v>
      </c>
      <c r="C2856">
        <v>3100133</v>
      </c>
      <c r="E2856" t="s">
        <v>96</v>
      </c>
      <c r="F2856" t="s">
        <v>7756</v>
      </c>
      <c r="H2856">
        <v>0</v>
      </c>
      <c r="I2856" t="s">
        <v>17</v>
      </c>
      <c r="K2856" t="s">
        <v>7757</v>
      </c>
      <c r="L2856">
        <v>170</v>
      </c>
      <c r="M2856" t="s">
        <v>7758</v>
      </c>
    </row>
    <row r="2857" spans="1:13" x14ac:dyDescent="0.45">
      <c r="A2857" t="s">
        <v>13</v>
      </c>
      <c r="B2857">
        <v>3100146</v>
      </c>
      <c r="C2857">
        <v>3102596</v>
      </c>
      <c r="E2857" t="s">
        <v>96</v>
      </c>
      <c r="F2857" t="s">
        <v>7759</v>
      </c>
      <c r="G2857" t="s">
        <v>7760</v>
      </c>
      <c r="H2857">
        <v>0</v>
      </c>
      <c r="I2857" t="s">
        <v>17</v>
      </c>
      <c r="K2857" t="s">
        <v>7761</v>
      </c>
      <c r="L2857">
        <v>816</v>
      </c>
      <c r="M2857" t="s">
        <v>7762</v>
      </c>
    </row>
    <row r="2858" spans="1:13" x14ac:dyDescent="0.45">
      <c r="A2858" t="s">
        <v>13</v>
      </c>
      <c r="B2858">
        <v>3102609</v>
      </c>
      <c r="C2858">
        <v>3104273</v>
      </c>
      <c r="E2858" t="s">
        <v>96</v>
      </c>
      <c r="F2858" t="s">
        <v>7763</v>
      </c>
      <c r="H2858">
        <v>0</v>
      </c>
      <c r="I2858" t="s">
        <v>17</v>
      </c>
      <c r="K2858" t="s">
        <v>7764</v>
      </c>
      <c r="L2858">
        <v>554</v>
      </c>
      <c r="M2858" t="s">
        <v>7765</v>
      </c>
    </row>
    <row r="2859" spans="1:13" x14ac:dyDescent="0.45">
      <c r="A2859" t="s">
        <v>13</v>
      </c>
      <c r="B2859">
        <v>3104571</v>
      </c>
      <c r="C2859">
        <v>3105068</v>
      </c>
      <c r="E2859" t="s">
        <v>96</v>
      </c>
      <c r="F2859" t="s">
        <v>7766</v>
      </c>
      <c r="H2859">
        <v>0</v>
      </c>
      <c r="I2859" t="s">
        <v>17</v>
      </c>
      <c r="K2859" t="s">
        <v>7767</v>
      </c>
      <c r="L2859">
        <v>165</v>
      </c>
      <c r="M2859" t="s">
        <v>7768</v>
      </c>
    </row>
    <row r="2860" spans="1:13" x14ac:dyDescent="0.45">
      <c r="A2860" t="s">
        <v>13</v>
      </c>
      <c r="B2860">
        <v>3105097</v>
      </c>
      <c r="C2860">
        <v>3106476</v>
      </c>
      <c r="E2860" t="s">
        <v>96</v>
      </c>
      <c r="F2860" t="s">
        <v>7769</v>
      </c>
      <c r="G2860" t="s">
        <v>7770</v>
      </c>
      <c r="H2860">
        <v>0</v>
      </c>
      <c r="I2860" t="s">
        <v>17</v>
      </c>
      <c r="K2860" t="s">
        <v>7771</v>
      </c>
      <c r="L2860">
        <v>459</v>
      </c>
      <c r="M2860" t="s">
        <v>7772</v>
      </c>
    </row>
    <row r="2861" spans="1:13" x14ac:dyDescent="0.45">
      <c r="A2861" t="s">
        <v>13</v>
      </c>
      <c r="B2861">
        <v>3106781</v>
      </c>
      <c r="C2861">
        <v>3106903</v>
      </c>
      <c r="E2861" t="s">
        <v>96</v>
      </c>
      <c r="F2861" t="s">
        <v>7773</v>
      </c>
      <c r="H2861">
        <v>0</v>
      </c>
      <c r="I2861" t="s">
        <v>17</v>
      </c>
      <c r="K2861" t="s">
        <v>7774</v>
      </c>
      <c r="L2861">
        <v>40</v>
      </c>
      <c r="M2861" t="s">
        <v>7775</v>
      </c>
    </row>
    <row r="2862" spans="1:13" x14ac:dyDescent="0.45">
      <c r="A2862" t="s">
        <v>13</v>
      </c>
      <c r="B2862">
        <v>3106957</v>
      </c>
      <c r="C2862">
        <v>3107535</v>
      </c>
      <c r="E2862" t="s">
        <v>96</v>
      </c>
      <c r="F2862" t="s">
        <v>7776</v>
      </c>
      <c r="H2862">
        <v>0</v>
      </c>
      <c r="I2862" t="s">
        <v>17</v>
      </c>
      <c r="K2862" t="s">
        <v>7777</v>
      </c>
      <c r="L2862">
        <v>192</v>
      </c>
      <c r="M2862" t="s">
        <v>7778</v>
      </c>
    </row>
    <row r="2863" spans="1:13" x14ac:dyDescent="0.45">
      <c r="A2863" t="s">
        <v>13</v>
      </c>
      <c r="B2863">
        <v>3107903</v>
      </c>
      <c r="C2863">
        <v>3109333</v>
      </c>
      <c r="E2863" t="s">
        <v>96</v>
      </c>
      <c r="F2863" t="s">
        <v>658</v>
      </c>
      <c r="H2863">
        <v>0</v>
      </c>
      <c r="I2863" t="s">
        <v>17</v>
      </c>
      <c r="K2863" t="s">
        <v>7779</v>
      </c>
      <c r="L2863">
        <v>476</v>
      </c>
      <c r="M2863" t="s">
        <v>7780</v>
      </c>
    </row>
    <row r="2864" spans="1:13" x14ac:dyDescent="0.45">
      <c r="A2864" t="s">
        <v>13</v>
      </c>
      <c r="B2864">
        <v>3109677</v>
      </c>
      <c r="C2864">
        <v>3110342</v>
      </c>
      <c r="E2864" t="s">
        <v>14</v>
      </c>
      <c r="F2864" t="s">
        <v>43</v>
      </c>
      <c r="H2864">
        <v>0</v>
      </c>
      <c r="I2864" t="s">
        <v>17</v>
      </c>
      <c r="K2864" t="s">
        <v>7781</v>
      </c>
      <c r="L2864">
        <v>221</v>
      </c>
      <c r="M2864" t="s">
        <v>7782</v>
      </c>
    </row>
    <row r="2865" spans="1:13" x14ac:dyDescent="0.45">
      <c r="A2865" t="s">
        <v>13</v>
      </c>
      <c r="B2865">
        <v>3111134</v>
      </c>
      <c r="C2865">
        <v>3112846</v>
      </c>
      <c r="E2865" t="s">
        <v>96</v>
      </c>
      <c r="F2865" t="s">
        <v>7783</v>
      </c>
      <c r="G2865" t="s">
        <v>7784</v>
      </c>
      <c r="H2865">
        <v>0</v>
      </c>
      <c r="I2865" t="s">
        <v>17</v>
      </c>
      <c r="K2865" t="s">
        <v>7785</v>
      </c>
      <c r="L2865">
        <v>570</v>
      </c>
      <c r="M2865" t="s">
        <v>7786</v>
      </c>
    </row>
    <row r="2866" spans="1:13" x14ac:dyDescent="0.45">
      <c r="A2866" t="s">
        <v>13</v>
      </c>
      <c r="B2866">
        <v>3113199</v>
      </c>
      <c r="C2866">
        <v>3113459</v>
      </c>
      <c r="E2866" t="s">
        <v>96</v>
      </c>
      <c r="F2866" t="s">
        <v>7787</v>
      </c>
      <c r="H2866">
        <v>0</v>
      </c>
      <c r="I2866" t="s">
        <v>17</v>
      </c>
      <c r="K2866" t="s">
        <v>7788</v>
      </c>
      <c r="L2866">
        <v>86</v>
      </c>
      <c r="M2866" t="s">
        <v>7789</v>
      </c>
    </row>
    <row r="2867" spans="1:13" x14ac:dyDescent="0.45">
      <c r="A2867" t="s">
        <v>13</v>
      </c>
      <c r="B2867">
        <v>3113651</v>
      </c>
      <c r="C2867">
        <v>3114862</v>
      </c>
      <c r="E2867" t="s">
        <v>96</v>
      </c>
      <c r="F2867" t="s">
        <v>1251</v>
      </c>
      <c r="H2867">
        <v>0</v>
      </c>
      <c r="I2867" t="s">
        <v>17</v>
      </c>
      <c r="K2867" t="s">
        <v>7790</v>
      </c>
      <c r="L2867">
        <v>403</v>
      </c>
      <c r="M2867" t="s">
        <v>7791</v>
      </c>
    </row>
    <row r="2868" spans="1:13" x14ac:dyDescent="0.45">
      <c r="A2868" t="s">
        <v>13</v>
      </c>
      <c r="B2868">
        <v>3115094</v>
      </c>
      <c r="C2868">
        <v>3116827</v>
      </c>
      <c r="E2868" t="s">
        <v>96</v>
      </c>
      <c r="F2868" t="s">
        <v>7792</v>
      </c>
      <c r="H2868">
        <v>0</v>
      </c>
      <c r="I2868" t="s">
        <v>17</v>
      </c>
      <c r="K2868" t="s">
        <v>7793</v>
      </c>
      <c r="L2868">
        <v>577</v>
      </c>
      <c r="M2868" t="s">
        <v>7794</v>
      </c>
    </row>
    <row r="2869" spans="1:13" x14ac:dyDescent="0.45">
      <c r="A2869" t="s">
        <v>13</v>
      </c>
      <c r="B2869">
        <v>3116867</v>
      </c>
      <c r="C2869">
        <v>3117265</v>
      </c>
      <c r="E2869" t="s">
        <v>96</v>
      </c>
      <c r="F2869" t="s">
        <v>3479</v>
      </c>
      <c r="H2869">
        <v>0</v>
      </c>
      <c r="I2869" t="s">
        <v>17</v>
      </c>
      <c r="K2869" t="s">
        <v>7795</v>
      </c>
      <c r="L2869">
        <v>132</v>
      </c>
      <c r="M2869" t="s">
        <v>7796</v>
      </c>
    </row>
    <row r="2870" spans="1:13" x14ac:dyDescent="0.45">
      <c r="A2870" t="s">
        <v>13</v>
      </c>
      <c r="B2870">
        <v>3117268</v>
      </c>
      <c r="C2870">
        <v>3118815</v>
      </c>
      <c r="E2870" t="s">
        <v>96</v>
      </c>
      <c r="F2870" t="s">
        <v>4630</v>
      </c>
      <c r="H2870">
        <v>0</v>
      </c>
      <c r="I2870" t="s">
        <v>17</v>
      </c>
      <c r="K2870" t="s">
        <v>7797</v>
      </c>
      <c r="L2870">
        <v>515</v>
      </c>
      <c r="M2870" t="s">
        <v>7798</v>
      </c>
    </row>
    <row r="2871" spans="1:13" x14ac:dyDescent="0.45">
      <c r="A2871" t="s">
        <v>13</v>
      </c>
      <c r="B2871">
        <v>3119130</v>
      </c>
      <c r="C2871">
        <v>3119954</v>
      </c>
      <c r="E2871" t="s">
        <v>96</v>
      </c>
      <c r="F2871" t="s">
        <v>7799</v>
      </c>
      <c r="H2871">
        <v>0</v>
      </c>
      <c r="I2871" t="s">
        <v>17</v>
      </c>
      <c r="K2871" t="s">
        <v>7800</v>
      </c>
      <c r="L2871">
        <v>274</v>
      </c>
      <c r="M2871" t="s">
        <v>7801</v>
      </c>
    </row>
    <row r="2872" spans="1:13" x14ac:dyDescent="0.45">
      <c r="A2872" t="s">
        <v>13</v>
      </c>
      <c r="B2872">
        <v>3120078</v>
      </c>
      <c r="C2872">
        <v>3120722</v>
      </c>
      <c r="E2872" t="s">
        <v>96</v>
      </c>
      <c r="F2872" t="s">
        <v>7802</v>
      </c>
      <c r="G2872" t="s">
        <v>7803</v>
      </c>
      <c r="H2872">
        <v>0</v>
      </c>
      <c r="I2872" t="s">
        <v>17</v>
      </c>
      <c r="K2872" t="s">
        <v>7804</v>
      </c>
      <c r="L2872">
        <v>214</v>
      </c>
      <c r="M2872" t="s">
        <v>7805</v>
      </c>
    </row>
    <row r="2873" spans="1:13" x14ac:dyDescent="0.45">
      <c r="A2873" t="s">
        <v>13</v>
      </c>
      <c r="B2873">
        <v>3120861</v>
      </c>
      <c r="C2873">
        <v>3121331</v>
      </c>
      <c r="E2873" t="s">
        <v>14</v>
      </c>
      <c r="F2873" t="s">
        <v>7806</v>
      </c>
      <c r="H2873">
        <v>0</v>
      </c>
      <c r="I2873" t="s">
        <v>17</v>
      </c>
      <c r="K2873" t="s">
        <v>7807</v>
      </c>
      <c r="L2873">
        <v>156</v>
      </c>
      <c r="M2873" t="s">
        <v>7808</v>
      </c>
    </row>
    <row r="2874" spans="1:13" x14ac:dyDescent="0.45">
      <c r="A2874" t="s">
        <v>13</v>
      </c>
      <c r="B2874">
        <v>3121454</v>
      </c>
      <c r="C2874">
        <v>3122242</v>
      </c>
      <c r="E2874" t="s">
        <v>96</v>
      </c>
      <c r="F2874" t="s">
        <v>854</v>
      </c>
      <c r="H2874">
        <v>0</v>
      </c>
      <c r="I2874" t="s">
        <v>17</v>
      </c>
      <c r="K2874" t="s">
        <v>7809</v>
      </c>
      <c r="L2874">
        <v>262</v>
      </c>
      <c r="M2874" t="s">
        <v>7810</v>
      </c>
    </row>
    <row r="2875" spans="1:13" x14ac:dyDescent="0.45">
      <c r="A2875" t="s">
        <v>13</v>
      </c>
      <c r="B2875">
        <v>3122610</v>
      </c>
      <c r="C2875">
        <v>3123566</v>
      </c>
      <c r="E2875" t="s">
        <v>14</v>
      </c>
      <c r="F2875" t="s">
        <v>7811</v>
      </c>
      <c r="H2875">
        <v>0</v>
      </c>
      <c r="I2875" t="s">
        <v>17</v>
      </c>
      <c r="K2875" t="s">
        <v>7812</v>
      </c>
      <c r="L2875">
        <v>318</v>
      </c>
      <c r="M2875" t="s">
        <v>7813</v>
      </c>
    </row>
    <row r="2876" spans="1:13" x14ac:dyDescent="0.45">
      <c r="A2876" t="s">
        <v>13</v>
      </c>
      <c r="B2876">
        <v>3123851</v>
      </c>
      <c r="C2876">
        <v>3124816</v>
      </c>
      <c r="E2876" t="s">
        <v>14</v>
      </c>
      <c r="F2876" t="s">
        <v>7811</v>
      </c>
      <c r="H2876">
        <v>0</v>
      </c>
      <c r="I2876" t="s">
        <v>17</v>
      </c>
      <c r="K2876" t="s">
        <v>7814</v>
      </c>
      <c r="L2876">
        <v>321</v>
      </c>
      <c r="M2876" t="s">
        <v>7815</v>
      </c>
    </row>
    <row r="2877" spans="1:13" x14ac:dyDescent="0.45">
      <c r="A2877" t="s">
        <v>13</v>
      </c>
      <c r="B2877">
        <v>3125014</v>
      </c>
      <c r="C2877">
        <v>3127125</v>
      </c>
      <c r="E2877" t="s">
        <v>96</v>
      </c>
      <c r="F2877" t="s">
        <v>7816</v>
      </c>
      <c r="H2877">
        <v>0</v>
      </c>
      <c r="I2877" t="s">
        <v>17</v>
      </c>
      <c r="K2877" t="s">
        <v>7817</v>
      </c>
      <c r="L2877">
        <v>703</v>
      </c>
      <c r="M2877" t="s">
        <v>7818</v>
      </c>
    </row>
    <row r="2878" spans="1:13" x14ac:dyDescent="0.45">
      <c r="A2878" t="s">
        <v>13</v>
      </c>
      <c r="B2878">
        <v>3127427</v>
      </c>
      <c r="C2878">
        <v>3128134</v>
      </c>
      <c r="E2878" t="s">
        <v>96</v>
      </c>
      <c r="F2878" t="s">
        <v>772</v>
      </c>
      <c r="H2878">
        <v>0</v>
      </c>
      <c r="I2878" t="s">
        <v>17</v>
      </c>
      <c r="K2878" t="s">
        <v>7819</v>
      </c>
      <c r="L2878">
        <v>235</v>
      </c>
      <c r="M2878" t="s">
        <v>7820</v>
      </c>
    </row>
    <row r="2879" spans="1:13" x14ac:dyDescent="0.45">
      <c r="A2879" t="s">
        <v>13</v>
      </c>
      <c r="B2879">
        <v>3128333</v>
      </c>
      <c r="C2879">
        <v>3130246</v>
      </c>
      <c r="E2879" t="s">
        <v>96</v>
      </c>
      <c r="F2879" t="s">
        <v>2911</v>
      </c>
      <c r="H2879">
        <v>0</v>
      </c>
      <c r="I2879" t="s">
        <v>17</v>
      </c>
      <c r="K2879" t="s">
        <v>7821</v>
      </c>
      <c r="L2879">
        <v>637</v>
      </c>
      <c r="M2879" t="s">
        <v>7822</v>
      </c>
    </row>
    <row r="2880" spans="1:13" x14ac:dyDescent="0.45">
      <c r="A2880" t="s">
        <v>13</v>
      </c>
      <c r="B2880">
        <v>3130330</v>
      </c>
      <c r="C2880">
        <v>3131421</v>
      </c>
      <c r="E2880" t="s">
        <v>96</v>
      </c>
      <c r="F2880" t="s">
        <v>960</v>
      </c>
      <c r="H2880">
        <v>0</v>
      </c>
      <c r="I2880" t="s">
        <v>17</v>
      </c>
      <c r="K2880" t="s">
        <v>7823</v>
      </c>
      <c r="L2880">
        <v>363</v>
      </c>
      <c r="M2880" t="s">
        <v>7824</v>
      </c>
    </row>
    <row r="2881" spans="1:13" x14ac:dyDescent="0.45">
      <c r="A2881" t="s">
        <v>13</v>
      </c>
      <c r="B2881">
        <v>3131427</v>
      </c>
      <c r="C2881">
        <v>3132794</v>
      </c>
      <c r="E2881" t="s">
        <v>96</v>
      </c>
      <c r="F2881" t="s">
        <v>7825</v>
      </c>
      <c r="H2881">
        <v>0</v>
      </c>
      <c r="I2881" t="s">
        <v>17</v>
      </c>
      <c r="K2881" t="s">
        <v>7826</v>
      </c>
      <c r="L2881">
        <v>455</v>
      </c>
      <c r="M2881" t="s">
        <v>7827</v>
      </c>
    </row>
    <row r="2882" spans="1:13" x14ac:dyDescent="0.45">
      <c r="A2882" t="s">
        <v>13</v>
      </c>
      <c r="B2882">
        <v>3132748</v>
      </c>
      <c r="C2882">
        <v>3133500</v>
      </c>
      <c r="E2882" t="s">
        <v>96</v>
      </c>
      <c r="F2882" t="s">
        <v>3290</v>
      </c>
      <c r="H2882">
        <v>0</v>
      </c>
      <c r="I2882" t="s">
        <v>17</v>
      </c>
      <c r="K2882" t="s">
        <v>7828</v>
      </c>
      <c r="L2882">
        <v>250</v>
      </c>
      <c r="M2882" t="s">
        <v>7829</v>
      </c>
    </row>
    <row r="2883" spans="1:13" x14ac:dyDescent="0.45">
      <c r="A2883" t="s">
        <v>13</v>
      </c>
      <c r="B2883">
        <v>3133548</v>
      </c>
      <c r="C2883">
        <v>3134456</v>
      </c>
      <c r="E2883" t="s">
        <v>96</v>
      </c>
      <c r="F2883" t="s">
        <v>7830</v>
      </c>
      <c r="H2883">
        <v>0</v>
      </c>
      <c r="I2883" t="s">
        <v>17</v>
      </c>
      <c r="K2883" t="s">
        <v>7831</v>
      </c>
      <c r="L2883">
        <v>302</v>
      </c>
      <c r="M2883" t="s">
        <v>7832</v>
      </c>
    </row>
    <row r="2884" spans="1:13" x14ac:dyDescent="0.45">
      <c r="A2884" t="s">
        <v>13</v>
      </c>
      <c r="B2884">
        <v>3134478</v>
      </c>
      <c r="C2884">
        <v>3135227</v>
      </c>
      <c r="E2884" t="s">
        <v>96</v>
      </c>
      <c r="F2884" t="s">
        <v>3290</v>
      </c>
      <c r="H2884">
        <v>0</v>
      </c>
      <c r="I2884" t="s">
        <v>17</v>
      </c>
      <c r="K2884" t="s">
        <v>7833</v>
      </c>
      <c r="L2884">
        <v>249</v>
      </c>
      <c r="M2884" t="s">
        <v>7834</v>
      </c>
    </row>
    <row r="2885" spans="1:13" x14ac:dyDescent="0.45">
      <c r="A2885" t="s">
        <v>13</v>
      </c>
      <c r="B2885">
        <v>3135256</v>
      </c>
      <c r="C2885">
        <v>3136431</v>
      </c>
      <c r="E2885" t="s">
        <v>96</v>
      </c>
      <c r="F2885" t="s">
        <v>7835</v>
      </c>
      <c r="H2885">
        <v>0</v>
      </c>
      <c r="I2885" t="s">
        <v>17</v>
      </c>
      <c r="K2885" t="s">
        <v>7836</v>
      </c>
      <c r="L2885">
        <v>391</v>
      </c>
      <c r="M2885" t="s">
        <v>7837</v>
      </c>
    </row>
    <row r="2886" spans="1:13" x14ac:dyDescent="0.45">
      <c r="A2886" t="s">
        <v>13</v>
      </c>
      <c r="B2886">
        <v>3136446</v>
      </c>
      <c r="C2886">
        <v>3137285</v>
      </c>
      <c r="E2886" t="s">
        <v>96</v>
      </c>
      <c r="F2886" t="s">
        <v>3290</v>
      </c>
      <c r="H2886">
        <v>0</v>
      </c>
      <c r="I2886" t="s">
        <v>17</v>
      </c>
      <c r="K2886" t="s">
        <v>7838</v>
      </c>
      <c r="L2886">
        <v>279</v>
      </c>
      <c r="M2886" t="s">
        <v>7839</v>
      </c>
    </row>
    <row r="2887" spans="1:13" x14ac:dyDescent="0.45">
      <c r="A2887" t="s">
        <v>13</v>
      </c>
      <c r="B2887">
        <v>3137288</v>
      </c>
      <c r="C2887">
        <v>3138445</v>
      </c>
      <c r="E2887" t="s">
        <v>96</v>
      </c>
      <c r="F2887" t="s">
        <v>43</v>
      </c>
      <c r="H2887">
        <v>0</v>
      </c>
      <c r="I2887" t="s">
        <v>17</v>
      </c>
      <c r="K2887" t="s">
        <v>7840</v>
      </c>
      <c r="L2887">
        <v>385</v>
      </c>
      <c r="M2887" t="s">
        <v>7841</v>
      </c>
    </row>
    <row r="2888" spans="1:13" x14ac:dyDescent="0.45">
      <c r="A2888" t="s">
        <v>13</v>
      </c>
      <c r="B2888">
        <v>3138461</v>
      </c>
      <c r="C2888">
        <v>3139183</v>
      </c>
      <c r="E2888" t="s">
        <v>96</v>
      </c>
      <c r="F2888" t="s">
        <v>960</v>
      </c>
      <c r="H2888">
        <v>0</v>
      </c>
      <c r="I2888" t="s">
        <v>17</v>
      </c>
      <c r="K2888" t="s">
        <v>7842</v>
      </c>
      <c r="L2888">
        <v>240</v>
      </c>
      <c r="M2888" t="s">
        <v>7843</v>
      </c>
    </row>
    <row r="2889" spans="1:13" x14ac:dyDescent="0.45">
      <c r="A2889" t="s">
        <v>13</v>
      </c>
      <c r="B2889">
        <v>3139195</v>
      </c>
      <c r="C2889">
        <v>3140268</v>
      </c>
      <c r="E2889" t="s">
        <v>96</v>
      </c>
      <c r="F2889" t="s">
        <v>7844</v>
      </c>
      <c r="H2889">
        <v>0</v>
      </c>
      <c r="I2889" t="s">
        <v>17</v>
      </c>
      <c r="K2889" t="s">
        <v>7845</v>
      </c>
      <c r="L2889">
        <v>357</v>
      </c>
      <c r="M2889" t="s">
        <v>7846</v>
      </c>
    </row>
    <row r="2890" spans="1:13" x14ac:dyDescent="0.45">
      <c r="A2890" t="s">
        <v>13</v>
      </c>
      <c r="B2890">
        <v>3140290</v>
      </c>
      <c r="C2890">
        <v>3141996</v>
      </c>
      <c r="E2890" t="s">
        <v>96</v>
      </c>
      <c r="F2890" t="s">
        <v>4512</v>
      </c>
      <c r="H2890">
        <v>0</v>
      </c>
      <c r="I2890" t="s">
        <v>17</v>
      </c>
      <c r="K2890" t="s">
        <v>7847</v>
      </c>
      <c r="L2890">
        <v>568</v>
      </c>
      <c r="M2890" t="s">
        <v>7848</v>
      </c>
    </row>
    <row r="2891" spans="1:13" x14ac:dyDescent="0.45">
      <c r="A2891" t="s">
        <v>13</v>
      </c>
      <c r="B2891">
        <v>3142038</v>
      </c>
      <c r="C2891">
        <v>3143597</v>
      </c>
      <c r="E2891" t="s">
        <v>96</v>
      </c>
      <c r="F2891" t="s">
        <v>4127</v>
      </c>
      <c r="G2891" t="s">
        <v>4128</v>
      </c>
      <c r="H2891">
        <v>0</v>
      </c>
      <c r="I2891" t="s">
        <v>17</v>
      </c>
      <c r="K2891" t="s">
        <v>7849</v>
      </c>
      <c r="L2891">
        <v>519</v>
      </c>
      <c r="M2891" t="s">
        <v>7850</v>
      </c>
    </row>
    <row r="2892" spans="1:13" x14ac:dyDescent="0.45">
      <c r="A2892" t="s">
        <v>13</v>
      </c>
      <c r="B2892">
        <v>3143712</v>
      </c>
      <c r="C2892">
        <v>3144767</v>
      </c>
      <c r="E2892" t="s">
        <v>96</v>
      </c>
      <c r="F2892" t="s">
        <v>7851</v>
      </c>
      <c r="H2892">
        <v>0</v>
      </c>
      <c r="I2892" t="s">
        <v>17</v>
      </c>
      <c r="K2892" t="s">
        <v>7852</v>
      </c>
      <c r="L2892">
        <v>351</v>
      </c>
      <c r="M2892" t="s">
        <v>7853</v>
      </c>
    </row>
    <row r="2893" spans="1:13" x14ac:dyDescent="0.45">
      <c r="A2893" t="s">
        <v>13</v>
      </c>
      <c r="B2893">
        <v>3144862</v>
      </c>
      <c r="C2893">
        <v>3145548</v>
      </c>
      <c r="E2893" t="s">
        <v>96</v>
      </c>
      <c r="F2893" t="s">
        <v>7854</v>
      </c>
      <c r="H2893">
        <v>0</v>
      </c>
      <c r="I2893" t="s">
        <v>17</v>
      </c>
      <c r="K2893" t="s">
        <v>7855</v>
      </c>
      <c r="L2893">
        <v>228</v>
      </c>
      <c r="M2893" t="s">
        <v>7856</v>
      </c>
    </row>
    <row r="2894" spans="1:13" x14ac:dyDescent="0.45">
      <c r="A2894" t="s">
        <v>13</v>
      </c>
      <c r="B2894">
        <v>3145768</v>
      </c>
      <c r="C2894">
        <v>3147792</v>
      </c>
      <c r="E2894" t="s">
        <v>96</v>
      </c>
      <c r="F2894" t="s">
        <v>2331</v>
      </c>
      <c r="H2894">
        <v>0</v>
      </c>
      <c r="I2894" t="s">
        <v>17</v>
      </c>
      <c r="K2894" t="s">
        <v>7857</v>
      </c>
      <c r="L2894">
        <v>674</v>
      </c>
      <c r="M2894" t="s">
        <v>7858</v>
      </c>
    </row>
    <row r="2895" spans="1:13" x14ac:dyDescent="0.45">
      <c r="A2895" t="s">
        <v>13</v>
      </c>
      <c r="B2895">
        <v>3148046</v>
      </c>
      <c r="C2895">
        <v>3149533</v>
      </c>
      <c r="E2895" t="s">
        <v>96</v>
      </c>
      <c r="F2895" t="s">
        <v>7859</v>
      </c>
      <c r="H2895">
        <v>0</v>
      </c>
      <c r="I2895" t="s">
        <v>17</v>
      </c>
      <c r="K2895" t="s">
        <v>7860</v>
      </c>
      <c r="L2895">
        <v>495</v>
      </c>
      <c r="M2895" t="s">
        <v>7861</v>
      </c>
    </row>
    <row r="2896" spans="1:13" x14ac:dyDescent="0.45">
      <c r="A2896" t="s">
        <v>13</v>
      </c>
      <c r="B2896">
        <v>3149667</v>
      </c>
      <c r="C2896">
        <v>3151244</v>
      </c>
      <c r="E2896" t="s">
        <v>96</v>
      </c>
      <c r="F2896" t="s">
        <v>7862</v>
      </c>
      <c r="H2896">
        <v>0</v>
      </c>
      <c r="I2896" t="s">
        <v>17</v>
      </c>
      <c r="K2896" t="s">
        <v>7863</v>
      </c>
      <c r="L2896">
        <v>525</v>
      </c>
      <c r="M2896" t="s">
        <v>7864</v>
      </c>
    </row>
    <row r="2897" spans="1:13" x14ac:dyDescent="0.45">
      <c r="A2897" t="s">
        <v>13</v>
      </c>
      <c r="B2897">
        <v>3151541</v>
      </c>
      <c r="C2897">
        <v>3153952</v>
      </c>
      <c r="E2897" t="s">
        <v>96</v>
      </c>
      <c r="F2897" t="s">
        <v>7865</v>
      </c>
      <c r="H2897">
        <v>0</v>
      </c>
      <c r="I2897" t="s">
        <v>17</v>
      </c>
      <c r="K2897" t="s">
        <v>7866</v>
      </c>
      <c r="L2897">
        <v>803</v>
      </c>
      <c r="M2897" t="s">
        <v>7867</v>
      </c>
    </row>
    <row r="2898" spans="1:13" x14ac:dyDescent="0.45">
      <c r="A2898" t="s">
        <v>13</v>
      </c>
      <c r="B2898">
        <v>3154179</v>
      </c>
      <c r="C2898">
        <v>3154574</v>
      </c>
      <c r="E2898" t="s">
        <v>14</v>
      </c>
      <c r="F2898" t="s">
        <v>7868</v>
      </c>
      <c r="H2898">
        <v>0</v>
      </c>
      <c r="I2898" t="s">
        <v>17</v>
      </c>
      <c r="K2898" t="s">
        <v>7869</v>
      </c>
      <c r="L2898">
        <v>131</v>
      </c>
      <c r="M2898" t="s">
        <v>7870</v>
      </c>
    </row>
    <row r="2899" spans="1:13" x14ac:dyDescent="0.45">
      <c r="A2899" t="s">
        <v>13</v>
      </c>
      <c r="B2899">
        <v>3154622</v>
      </c>
      <c r="C2899">
        <v>3156457</v>
      </c>
      <c r="E2899" t="s">
        <v>96</v>
      </c>
      <c r="F2899" t="s">
        <v>4483</v>
      </c>
      <c r="H2899">
        <v>0</v>
      </c>
      <c r="I2899" t="s">
        <v>17</v>
      </c>
      <c r="K2899" t="s">
        <v>7871</v>
      </c>
      <c r="L2899">
        <v>611</v>
      </c>
      <c r="M2899" t="s">
        <v>7872</v>
      </c>
    </row>
    <row r="2900" spans="1:13" x14ac:dyDescent="0.45">
      <c r="A2900" t="s">
        <v>13</v>
      </c>
      <c r="B2900">
        <v>3156490</v>
      </c>
      <c r="C2900">
        <v>3157197</v>
      </c>
      <c r="E2900" t="s">
        <v>96</v>
      </c>
      <c r="F2900" t="s">
        <v>6532</v>
      </c>
      <c r="H2900">
        <v>0</v>
      </c>
      <c r="I2900" t="s">
        <v>17</v>
      </c>
      <c r="K2900" t="s">
        <v>7873</v>
      </c>
      <c r="L2900">
        <v>235</v>
      </c>
      <c r="M2900" t="s">
        <v>7874</v>
      </c>
    </row>
    <row r="2901" spans="1:13" x14ac:dyDescent="0.45">
      <c r="A2901" t="s">
        <v>13</v>
      </c>
      <c r="B2901">
        <v>3157304</v>
      </c>
      <c r="C2901">
        <v>3159175</v>
      </c>
      <c r="E2901" t="s">
        <v>96</v>
      </c>
      <c r="F2901" t="s">
        <v>7875</v>
      </c>
      <c r="H2901">
        <v>0</v>
      </c>
      <c r="I2901" t="s">
        <v>17</v>
      </c>
      <c r="K2901" t="s">
        <v>7876</v>
      </c>
      <c r="L2901">
        <v>623</v>
      </c>
      <c r="M2901" t="s">
        <v>7877</v>
      </c>
    </row>
    <row r="2902" spans="1:13" x14ac:dyDescent="0.45">
      <c r="A2902" t="s">
        <v>13</v>
      </c>
      <c r="B2902">
        <v>3159590</v>
      </c>
      <c r="C2902">
        <v>3161935</v>
      </c>
      <c r="E2902" t="s">
        <v>96</v>
      </c>
      <c r="F2902" t="s">
        <v>641</v>
      </c>
      <c r="G2902" t="s">
        <v>642</v>
      </c>
      <c r="H2902">
        <v>0</v>
      </c>
      <c r="I2902" t="s">
        <v>17</v>
      </c>
      <c r="K2902" t="s">
        <v>7878</v>
      </c>
      <c r="L2902">
        <v>781</v>
      </c>
      <c r="M2902" t="s">
        <v>7879</v>
      </c>
    </row>
    <row r="2903" spans="1:13" x14ac:dyDescent="0.45">
      <c r="A2903" t="s">
        <v>13</v>
      </c>
      <c r="B2903">
        <v>3162172</v>
      </c>
      <c r="C2903">
        <v>3164448</v>
      </c>
      <c r="E2903" t="s">
        <v>96</v>
      </c>
      <c r="F2903" t="s">
        <v>7880</v>
      </c>
      <c r="G2903" t="s">
        <v>7881</v>
      </c>
      <c r="H2903">
        <v>0</v>
      </c>
      <c r="I2903" t="s">
        <v>17</v>
      </c>
      <c r="K2903" t="s">
        <v>7882</v>
      </c>
      <c r="L2903">
        <v>758</v>
      </c>
      <c r="M2903" t="s">
        <v>7883</v>
      </c>
    </row>
    <row r="2904" spans="1:13" x14ac:dyDescent="0.45">
      <c r="A2904" t="s">
        <v>13</v>
      </c>
      <c r="B2904">
        <v>3164674</v>
      </c>
      <c r="C2904">
        <v>3166263</v>
      </c>
      <c r="E2904" t="s">
        <v>96</v>
      </c>
      <c r="F2904" t="s">
        <v>7884</v>
      </c>
      <c r="H2904">
        <v>0</v>
      </c>
      <c r="I2904" t="s">
        <v>17</v>
      </c>
      <c r="K2904" t="s">
        <v>7885</v>
      </c>
      <c r="L2904">
        <v>529</v>
      </c>
      <c r="M2904" t="s">
        <v>7886</v>
      </c>
    </row>
    <row r="2905" spans="1:13" x14ac:dyDescent="0.45">
      <c r="A2905" t="s">
        <v>13</v>
      </c>
      <c r="B2905">
        <v>3166482</v>
      </c>
      <c r="C2905">
        <v>3168083</v>
      </c>
      <c r="E2905" t="s">
        <v>96</v>
      </c>
      <c r="F2905" t="s">
        <v>7887</v>
      </c>
      <c r="H2905">
        <v>0</v>
      </c>
      <c r="I2905" t="s">
        <v>17</v>
      </c>
      <c r="K2905" t="s">
        <v>7888</v>
      </c>
      <c r="L2905">
        <v>533</v>
      </c>
      <c r="M2905" t="s">
        <v>7889</v>
      </c>
    </row>
    <row r="2906" spans="1:13" x14ac:dyDescent="0.45">
      <c r="A2906" t="s">
        <v>13</v>
      </c>
      <c r="B2906">
        <v>3168450</v>
      </c>
      <c r="C2906">
        <v>3170330</v>
      </c>
      <c r="E2906" t="s">
        <v>96</v>
      </c>
      <c r="F2906" t="s">
        <v>7890</v>
      </c>
      <c r="H2906">
        <v>0</v>
      </c>
      <c r="I2906" t="s">
        <v>17</v>
      </c>
      <c r="K2906" t="s">
        <v>7891</v>
      </c>
      <c r="L2906">
        <v>626</v>
      </c>
      <c r="M2906" t="s">
        <v>7892</v>
      </c>
    </row>
    <row r="2907" spans="1:13" x14ac:dyDescent="0.45">
      <c r="A2907" t="s">
        <v>13</v>
      </c>
      <c r="B2907">
        <v>3170540</v>
      </c>
      <c r="C2907">
        <v>3176503</v>
      </c>
      <c r="E2907" t="s">
        <v>96</v>
      </c>
      <c r="F2907" t="s">
        <v>7893</v>
      </c>
      <c r="H2907">
        <v>0</v>
      </c>
      <c r="I2907" t="s">
        <v>17</v>
      </c>
      <c r="K2907" t="s">
        <v>7894</v>
      </c>
      <c r="L2907">
        <v>1987</v>
      </c>
      <c r="M2907" t="s">
        <v>7895</v>
      </c>
    </row>
    <row r="2908" spans="1:13" x14ac:dyDescent="0.45">
      <c r="A2908" t="s">
        <v>13</v>
      </c>
      <c r="B2908">
        <v>3176884</v>
      </c>
      <c r="C2908">
        <v>3178287</v>
      </c>
      <c r="E2908" t="s">
        <v>96</v>
      </c>
      <c r="F2908" t="s">
        <v>7896</v>
      </c>
      <c r="H2908">
        <v>0</v>
      </c>
      <c r="I2908" t="s">
        <v>17</v>
      </c>
      <c r="K2908" t="s">
        <v>7897</v>
      </c>
      <c r="L2908">
        <v>467</v>
      </c>
      <c r="M2908" t="s">
        <v>7898</v>
      </c>
    </row>
    <row r="2909" spans="1:13" x14ac:dyDescent="0.45">
      <c r="A2909" t="s">
        <v>13</v>
      </c>
      <c r="B2909">
        <v>3178749</v>
      </c>
      <c r="C2909">
        <v>3180644</v>
      </c>
      <c r="E2909" t="s">
        <v>96</v>
      </c>
      <c r="F2909" t="s">
        <v>7899</v>
      </c>
      <c r="H2909">
        <v>0</v>
      </c>
      <c r="I2909" t="s">
        <v>17</v>
      </c>
      <c r="K2909" t="s">
        <v>7900</v>
      </c>
      <c r="L2909">
        <v>631</v>
      </c>
      <c r="M2909" t="s">
        <v>7901</v>
      </c>
    </row>
    <row r="2910" spans="1:13" x14ac:dyDescent="0.45">
      <c r="A2910" t="s">
        <v>13</v>
      </c>
      <c r="B2910">
        <v>3181270</v>
      </c>
      <c r="C2910">
        <v>3181413</v>
      </c>
      <c r="E2910" t="s">
        <v>96</v>
      </c>
      <c r="F2910" t="s">
        <v>7902</v>
      </c>
      <c r="G2910" t="s">
        <v>7903</v>
      </c>
      <c r="H2910">
        <v>0</v>
      </c>
      <c r="I2910" t="s">
        <v>17</v>
      </c>
      <c r="K2910" t="s">
        <v>7904</v>
      </c>
      <c r="L2910">
        <v>47</v>
      </c>
      <c r="M2910" t="s">
        <v>7905</v>
      </c>
    </row>
    <row r="2911" spans="1:13" x14ac:dyDescent="0.45">
      <c r="A2911" t="s">
        <v>13</v>
      </c>
      <c r="B2911">
        <v>3181479</v>
      </c>
      <c r="C2911">
        <v>3181841</v>
      </c>
      <c r="E2911" t="s">
        <v>96</v>
      </c>
      <c r="F2911" t="s">
        <v>7906</v>
      </c>
      <c r="H2911">
        <v>0</v>
      </c>
      <c r="I2911" t="s">
        <v>17</v>
      </c>
      <c r="K2911" t="s">
        <v>7907</v>
      </c>
      <c r="L2911">
        <v>120</v>
      </c>
      <c r="M2911" t="s">
        <v>7908</v>
      </c>
    </row>
    <row r="2912" spans="1:13" x14ac:dyDescent="0.45">
      <c r="A2912" t="s">
        <v>13</v>
      </c>
      <c r="B2912">
        <v>3181899</v>
      </c>
      <c r="C2912">
        <v>3182192</v>
      </c>
      <c r="E2912" t="s">
        <v>96</v>
      </c>
      <c r="F2912" t="s">
        <v>7909</v>
      </c>
      <c r="G2912" t="s">
        <v>7910</v>
      </c>
      <c r="H2912">
        <v>0</v>
      </c>
      <c r="I2912" t="s">
        <v>17</v>
      </c>
      <c r="K2912" t="s">
        <v>7911</v>
      </c>
      <c r="L2912">
        <v>97</v>
      </c>
      <c r="M2912" t="s">
        <v>7912</v>
      </c>
    </row>
    <row r="2913" spans="1:13" x14ac:dyDescent="0.45">
      <c r="A2913" t="s">
        <v>13</v>
      </c>
      <c r="B2913">
        <v>3182326</v>
      </c>
      <c r="C2913">
        <v>3183447</v>
      </c>
      <c r="E2913" t="s">
        <v>96</v>
      </c>
      <c r="F2913" t="s">
        <v>7913</v>
      </c>
      <c r="G2913" t="s">
        <v>7914</v>
      </c>
      <c r="H2913">
        <v>0</v>
      </c>
      <c r="I2913" t="s">
        <v>17</v>
      </c>
      <c r="K2913" t="s">
        <v>7915</v>
      </c>
      <c r="L2913">
        <v>373</v>
      </c>
      <c r="M2913" t="s">
        <v>7916</v>
      </c>
    </row>
    <row r="2914" spans="1:13" x14ac:dyDescent="0.45">
      <c r="A2914" t="s">
        <v>13</v>
      </c>
      <c r="B2914">
        <v>3183526</v>
      </c>
      <c r="C2914">
        <v>3184011</v>
      </c>
      <c r="E2914" t="s">
        <v>96</v>
      </c>
      <c r="F2914" t="s">
        <v>7917</v>
      </c>
      <c r="H2914">
        <v>0</v>
      </c>
      <c r="I2914" t="s">
        <v>17</v>
      </c>
      <c r="K2914" t="s">
        <v>7918</v>
      </c>
      <c r="L2914">
        <v>161</v>
      </c>
      <c r="M2914" t="s">
        <v>7919</v>
      </c>
    </row>
    <row r="2915" spans="1:13" x14ac:dyDescent="0.45">
      <c r="A2915" t="s">
        <v>13</v>
      </c>
      <c r="B2915">
        <v>3184023</v>
      </c>
      <c r="C2915">
        <v>3185048</v>
      </c>
      <c r="E2915" t="s">
        <v>96</v>
      </c>
      <c r="F2915" t="s">
        <v>7920</v>
      </c>
      <c r="G2915" t="s">
        <v>7921</v>
      </c>
      <c r="H2915">
        <v>0</v>
      </c>
      <c r="I2915" t="s">
        <v>17</v>
      </c>
      <c r="K2915" t="s">
        <v>7922</v>
      </c>
      <c r="L2915">
        <v>341</v>
      </c>
      <c r="M2915" t="s">
        <v>7923</v>
      </c>
    </row>
    <row r="2916" spans="1:13" x14ac:dyDescent="0.45">
      <c r="A2916" t="s">
        <v>13</v>
      </c>
      <c r="B2916">
        <v>3185366</v>
      </c>
      <c r="C2916">
        <v>3186385</v>
      </c>
      <c r="E2916" t="s">
        <v>96</v>
      </c>
      <c r="F2916" t="s">
        <v>7924</v>
      </c>
      <c r="G2916" t="s">
        <v>7925</v>
      </c>
      <c r="H2916">
        <v>0</v>
      </c>
      <c r="I2916" t="s">
        <v>17</v>
      </c>
      <c r="K2916" t="s">
        <v>7926</v>
      </c>
      <c r="L2916">
        <v>339</v>
      </c>
      <c r="M2916" t="s">
        <v>7927</v>
      </c>
    </row>
    <row r="2917" spans="1:13" x14ac:dyDescent="0.45">
      <c r="A2917" t="s">
        <v>13</v>
      </c>
      <c r="B2917">
        <v>3186492</v>
      </c>
      <c r="C2917">
        <v>3187094</v>
      </c>
      <c r="E2917" t="s">
        <v>96</v>
      </c>
      <c r="F2917" t="s">
        <v>7928</v>
      </c>
      <c r="G2917" t="s">
        <v>7929</v>
      </c>
      <c r="H2917">
        <v>0</v>
      </c>
      <c r="I2917" t="s">
        <v>17</v>
      </c>
      <c r="K2917" t="s">
        <v>7930</v>
      </c>
      <c r="L2917">
        <v>200</v>
      </c>
      <c r="M2917" t="s">
        <v>7931</v>
      </c>
    </row>
    <row r="2918" spans="1:13" x14ac:dyDescent="0.45">
      <c r="A2918" t="s">
        <v>13</v>
      </c>
      <c r="B2918">
        <v>3187087</v>
      </c>
      <c r="C2918">
        <v>3187596</v>
      </c>
      <c r="E2918" t="s">
        <v>96</v>
      </c>
      <c r="F2918" t="s">
        <v>7932</v>
      </c>
      <c r="G2918" t="s">
        <v>7933</v>
      </c>
      <c r="H2918">
        <v>0</v>
      </c>
      <c r="I2918" t="s">
        <v>17</v>
      </c>
      <c r="K2918" t="s">
        <v>7934</v>
      </c>
      <c r="L2918">
        <v>169</v>
      </c>
      <c r="M2918" t="s">
        <v>7935</v>
      </c>
    </row>
    <row r="2919" spans="1:13" x14ac:dyDescent="0.45">
      <c r="A2919" t="s">
        <v>13</v>
      </c>
      <c r="B2919">
        <v>3187908</v>
      </c>
      <c r="C2919">
        <v>3188537</v>
      </c>
      <c r="E2919" t="s">
        <v>96</v>
      </c>
      <c r="F2919" t="s">
        <v>43</v>
      </c>
      <c r="H2919">
        <v>0</v>
      </c>
      <c r="I2919" t="s">
        <v>17</v>
      </c>
      <c r="K2919" t="s">
        <v>7936</v>
      </c>
      <c r="L2919">
        <v>209</v>
      </c>
      <c r="M2919" t="s">
        <v>7937</v>
      </c>
    </row>
    <row r="2920" spans="1:13" x14ac:dyDescent="0.45">
      <c r="A2920" t="s">
        <v>13</v>
      </c>
      <c r="B2920">
        <v>3188740</v>
      </c>
      <c r="C2920">
        <v>3189063</v>
      </c>
      <c r="E2920" t="s">
        <v>14</v>
      </c>
      <c r="F2920" t="s">
        <v>6703</v>
      </c>
      <c r="H2920">
        <v>0</v>
      </c>
      <c r="I2920" t="s">
        <v>17</v>
      </c>
      <c r="K2920" t="s">
        <v>7938</v>
      </c>
      <c r="L2920">
        <v>107</v>
      </c>
      <c r="M2920" t="s">
        <v>7939</v>
      </c>
    </row>
    <row r="2921" spans="1:13" x14ac:dyDescent="0.45">
      <c r="A2921" t="s">
        <v>13</v>
      </c>
      <c r="B2921">
        <v>3189331</v>
      </c>
      <c r="C2921">
        <v>3190185</v>
      </c>
      <c r="E2921" t="s">
        <v>14</v>
      </c>
      <c r="F2921" t="s">
        <v>6188</v>
      </c>
      <c r="H2921">
        <v>0</v>
      </c>
      <c r="I2921" t="s">
        <v>17</v>
      </c>
      <c r="K2921" t="s">
        <v>7940</v>
      </c>
      <c r="L2921">
        <v>284</v>
      </c>
      <c r="M2921" t="s">
        <v>7941</v>
      </c>
    </row>
    <row r="2922" spans="1:13" x14ac:dyDescent="0.45">
      <c r="A2922" t="s">
        <v>13</v>
      </c>
      <c r="B2922">
        <v>3190371</v>
      </c>
      <c r="C2922">
        <v>3191807</v>
      </c>
      <c r="E2922" t="s">
        <v>96</v>
      </c>
      <c r="F2922" t="s">
        <v>7942</v>
      </c>
      <c r="H2922">
        <v>0</v>
      </c>
      <c r="I2922" t="s">
        <v>17</v>
      </c>
      <c r="K2922" t="s">
        <v>7943</v>
      </c>
      <c r="L2922">
        <v>478</v>
      </c>
      <c r="M2922" t="s">
        <v>7944</v>
      </c>
    </row>
    <row r="2923" spans="1:13" x14ac:dyDescent="0.45">
      <c r="A2923" t="s">
        <v>13</v>
      </c>
      <c r="B2923">
        <v>3191878</v>
      </c>
      <c r="C2923">
        <v>3193260</v>
      </c>
      <c r="E2923" t="s">
        <v>96</v>
      </c>
      <c r="F2923" t="s">
        <v>2381</v>
      </c>
      <c r="H2923">
        <v>0</v>
      </c>
      <c r="I2923" t="s">
        <v>17</v>
      </c>
      <c r="K2923" t="s">
        <v>7945</v>
      </c>
      <c r="L2923">
        <v>460</v>
      </c>
      <c r="M2923" t="s">
        <v>7946</v>
      </c>
    </row>
    <row r="2924" spans="1:13" x14ac:dyDescent="0.45">
      <c r="A2924" t="s">
        <v>13</v>
      </c>
      <c r="B2924">
        <v>3193396</v>
      </c>
      <c r="C2924">
        <v>3194286</v>
      </c>
      <c r="E2924" t="s">
        <v>96</v>
      </c>
      <c r="F2924" t="s">
        <v>7947</v>
      </c>
      <c r="G2924" t="s">
        <v>7948</v>
      </c>
      <c r="H2924">
        <v>0</v>
      </c>
      <c r="I2924" t="s">
        <v>17</v>
      </c>
      <c r="K2924" t="s">
        <v>7949</v>
      </c>
      <c r="L2924">
        <v>296</v>
      </c>
      <c r="M2924" t="s">
        <v>7950</v>
      </c>
    </row>
    <row r="2925" spans="1:13" x14ac:dyDescent="0.45">
      <c r="A2925" t="s">
        <v>13</v>
      </c>
      <c r="B2925">
        <v>3194697</v>
      </c>
      <c r="C2925">
        <v>3195362</v>
      </c>
      <c r="E2925" t="s">
        <v>14</v>
      </c>
      <c r="F2925" t="s">
        <v>1909</v>
      </c>
      <c r="H2925">
        <v>0</v>
      </c>
      <c r="I2925" t="s">
        <v>17</v>
      </c>
      <c r="K2925" t="s">
        <v>7951</v>
      </c>
      <c r="L2925">
        <v>221</v>
      </c>
      <c r="M2925" t="s">
        <v>7952</v>
      </c>
    </row>
    <row r="2926" spans="1:13" x14ac:dyDescent="0.45">
      <c r="A2926" t="s">
        <v>13</v>
      </c>
      <c r="B2926">
        <v>3195470</v>
      </c>
      <c r="C2926">
        <v>3196018</v>
      </c>
      <c r="E2926" t="s">
        <v>14</v>
      </c>
      <c r="F2926" t="s">
        <v>43</v>
      </c>
      <c r="H2926">
        <v>0</v>
      </c>
      <c r="I2926" t="s">
        <v>17</v>
      </c>
      <c r="K2926" t="s">
        <v>7953</v>
      </c>
      <c r="L2926">
        <v>182</v>
      </c>
      <c r="M2926" t="s">
        <v>7954</v>
      </c>
    </row>
    <row r="2927" spans="1:13" x14ac:dyDescent="0.45">
      <c r="A2927" t="s">
        <v>13</v>
      </c>
      <c r="B2927">
        <v>3196280</v>
      </c>
      <c r="C2927">
        <v>3196588</v>
      </c>
      <c r="E2927" t="s">
        <v>14</v>
      </c>
      <c r="F2927" t="s">
        <v>43</v>
      </c>
      <c r="H2927">
        <v>0</v>
      </c>
      <c r="I2927" t="s">
        <v>17</v>
      </c>
      <c r="K2927" t="s">
        <v>7955</v>
      </c>
      <c r="L2927">
        <v>102</v>
      </c>
      <c r="M2927" t="s">
        <v>7956</v>
      </c>
    </row>
    <row r="2928" spans="1:13" x14ac:dyDescent="0.45">
      <c r="A2928" t="s">
        <v>13</v>
      </c>
      <c r="B2928">
        <v>3196750</v>
      </c>
      <c r="C2928">
        <v>3198540</v>
      </c>
      <c r="E2928" t="s">
        <v>96</v>
      </c>
      <c r="F2928" t="s">
        <v>1140</v>
      </c>
      <c r="H2928">
        <v>0</v>
      </c>
      <c r="I2928" t="s">
        <v>17</v>
      </c>
      <c r="K2928" t="s">
        <v>7957</v>
      </c>
      <c r="L2928">
        <v>596</v>
      </c>
      <c r="M2928" t="s">
        <v>7958</v>
      </c>
    </row>
    <row r="2929" spans="1:13" x14ac:dyDescent="0.45">
      <c r="A2929" t="s">
        <v>13</v>
      </c>
      <c r="B2929">
        <v>3198540</v>
      </c>
      <c r="C2929">
        <v>3200267</v>
      </c>
      <c r="E2929" t="s">
        <v>96</v>
      </c>
      <c r="F2929" t="s">
        <v>1140</v>
      </c>
      <c r="H2929">
        <v>0</v>
      </c>
      <c r="I2929" t="s">
        <v>17</v>
      </c>
      <c r="K2929" t="s">
        <v>7959</v>
      </c>
      <c r="L2929">
        <v>575</v>
      </c>
      <c r="M2929" t="s">
        <v>7960</v>
      </c>
    </row>
    <row r="2930" spans="1:13" x14ac:dyDescent="0.45">
      <c r="A2930" t="s">
        <v>13</v>
      </c>
      <c r="B2930">
        <v>3200512</v>
      </c>
      <c r="C2930">
        <v>3200805</v>
      </c>
      <c r="E2930" t="s">
        <v>96</v>
      </c>
      <c r="F2930" t="s">
        <v>7961</v>
      </c>
      <c r="H2930">
        <v>0</v>
      </c>
      <c r="I2930" t="s">
        <v>17</v>
      </c>
      <c r="K2930" t="s">
        <v>7962</v>
      </c>
      <c r="L2930">
        <v>97</v>
      </c>
      <c r="M2930" t="s">
        <v>7963</v>
      </c>
    </row>
    <row r="2931" spans="1:13" x14ac:dyDescent="0.45">
      <c r="A2931" t="s">
        <v>13</v>
      </c>
      <c r="B2931">
        <v>3200774</v>
      </c>
      <c r="C2931">
        <v>3201058</v>
      </c>
      <c r="E2931" t="s">
        <v>96</v>
      </c>
      <c r="F2931" t="s">
        <v>7961</v>
      </c>
      <c r="H2931">
        <v>0</v>
      </c>
      <c r="I2931" t="s">
        <v>17</v>
      </c>
      <c r="K2931" t="s">
        <v>7964</v>
      </c>
      <c r="L2931">
        <v>94</v>
      </c>
      <c r="M2931" t="s">
        <v>7965</v>
      </c>
    </row>
    <row r="2932" spans="1:13" x14ac:dyDescent="0.45">
      <c r="A2932" t="s">
        <v>13</v>
      </c>
      <c r="B2932">
        <v>3201365</v>
      </c>
      <c r="C2932">
        <v>3202477</v>
      </c>
      <c r="E2932" t="s">
        <v>14</v>
      </c>
      <c r="F2932" t="s">
        <v>7966</v>
      </c>
      <c r="H2932">
        <v>0</v>
      </c>
      <c r="I2932" t="s">
        <v>17</v>
      </c>
      <c r="K2932" t="s">
        <v>7967</v>
      </c>
      <c r="L2932">
        <v>370</v>
      </c>
      <c r="M2932" t="s">
        <v>7968</v>
      </c>
    </row>
    <row r="2933" spans="1:13" x14ac:dyDescent="0.45">
      <c r="A2933" t="s">
        <v>13</v>
      </c>
      <c r="B2933">
        <v>3202660</v>
      </c>
      <c r="C2933">
        <v>3203556</v>
      </c>
      <c r="E2933" t="s">
        <v>96</v>
      </c>
      <c r="F2933" t="s">
        <v>1390</v>
      </c>
      <c r="H2933">
        <v>0</v>
      </c>
      <c r="I2933" t="s">
        <v>17</v>
      </c>
      <c r="K2933" t="s">
        <v>7969</v>
      </c>
      <c r="L2933">
        <v>298</v>
      </c>
      <c r="M2933" t="s">
        <v>7970</v>
      </c>
    </row>
    <row r="2934" spans="1:13" x14ac:dyDescent="0.45">
      <c r="A2934" t="s">
        <v>13</v>
      </c>
      <c r="B2934">
        <v>3203514</v>
      </c>
      <c r="C2934">
        <v>3203831</v>
      </c>
      <c r="E2934" t="s">
        <v>96</v>
      </c>
      <c r="F2934" t="s">
        <v>6507</v>
      </c>
      <c r="H2934">
        <v>0</v>
      </c>
      <c r="I2934" t="s">
        <v>17</v>
      </c>
      <c r="K2934" t="s">
        <v>7971</v>
      </c>
      <c r="L2934">
        <v>105</v>
      </c>
      <c r="M2934" t="s">
        <v>7972</v>
      </c>
    </row>
    <row r="2935" spans="1:13" x14ac:dyDescent="0.45">
      <c r="A2935" t="s">
        <v>13</v>
      </c>
      <c r="B2935">
        <v>3204148</v>
      </c>
      <c r="C2935">
        <v>3204657</v>
      </c>
      <c r="E2935" t="s">
        <v>96</v>
      </c>
      <c r="F2935" t="s">
        <v>7625</v>
      </c>
      <c r="H2935">
        <v>0</v>
      </c>
      <c r="I2935" t="s">
        <v>17</v>
      </c>
      <c r="K2935" t="s">
        <v>7973</v>
      </c>
      <c r="L2935">
        <v>169</v>
      </c>
      <c r="M2935" t="s">
        <v>7974</v>
      </c>
    </row>
    <row r="2936" spans="1:13" x14ac:dyDescent="0.45">
      <c r="A2936" t="s">
        <v>13</v>
      </c>
      <c r="B2936">
        <v>3204659</v>
      </c>
      <c r="C2936">
        <v>3205306</v>
      </c>
      <c r="E2936" t="s">
        <v>96</v>
      </c>
      <c r="F2936" t="s">
        <v>7628</v>
      </c>
      <c r="H2936">
        <v>0</v>
      </c>
      <c r="I2936" t="s">
        <v>17</v>
      </c>
      <c r="K2936" t="s">
        <v>7975</v>
      </c>
      <c r="L2936">
        <v>215</v>
      </c>
      <c r="M2936" t="s">
        <v>7976</v>
      </c>
    </row>
    <row r="2937" spans="1:13" x14ac:dyDescent="0.45">
      <c r="A2937" t="s">
        <v>13</v>
      </c>
      <c r="B2937">
        <v>3205320</v>
      </c>
      <c r="C2937">
        <v>3206492</v>
      </c>
      <c r="E2937" t="s">
        <v>96</v>
      </c>
      <c r="F2937" t="s">
        <v>1128</v>
      </c>
      <c r="H2937">
        <v>0</v>
      </c>
      <c r="I2937" t="s">
        <v>17</v>
      </c>
      <c r="K2937" t="s">
        <v>7977</v>
      </c>
      <c r="L2937">
        <v>390</v>
      </c>
      <c r="M2937" t="s">
        <v>7978</v>
      </c>
    </row>
    <row r="2938" spans="1:13" x14ac:dyDescent="0.45">
      <c r="A2938" t="s">
        <v>13</v>
      </c>
      <c r="B2938">
        <v>3206760</v>
      </c>
      <c r="C2938">
        <v>3208136</v>
      </c>
      <c r="E2938" t="s">
        <v>14</v>
      </c>
      <c r="F2938" t="s">
        <v>43</v>
      </c>
      <c r="H2938">
        <v>0</v>
      </c>
      <c r="I2938" t="s">
        <v>17</v>
      </c>
      <c r="K2938" t="s">
        <v>7979</v>
      </c>
      <c r="L2938">
        <v>458</v>
      </c>
      <c r="M2938" t="s">
        <v>7980</v>
      </c>
    </row>
    <row r="2939" spans="1:13" x14ac:dyDescent="0.45">
      <c r="A2939" t="s">
        <v>13</v>
      </c>
      <c r="B2939">
        <v>3208387</v>
      </c>
      <c r="C2939">
        <v>3209220</v>
      </c>
      <c r="E2939" t="s">
        <v>96</v>
      </c>
      <c r="F2939" t="s">
        <v>1827</v>
      </c>
      <c r="H2939">
        <v>0</v>
      </c>
      <c r="I2939" t="s">
        <v>17</v>
      </c>
      <c r="K2939" t="s">
        <v>7981</v>
      </c>
      <c r="L2939">
        <v>277</v>
      </c>
      <c r="M2939" t="s">
        <v>7982</v>
      </c>
    </row>
    <row r="2940" spans="1:13" x14ac:dyDescent="0.45">
      <c r="A2940" t="s">
        <v>13</v>
      </c>
      <c r="B2940">
        <v>3209549</v>
      </c>
      <c r="C2940">
        <v>3209914</v>
      </c>
      <c r="E2940" t="s">
        <v>96</v>
      </c>
      <c r="F2940" t="s">
        <v>5789</v>
      </c>
      <c r="H2940">
        <v>0</v>
      </c>
      <c r="I2940" t="s">
        <v>17</v>
      </c>
      <c r="K2940" t="s">
        <v>7983</v>
      </c>
      <c r="L2940">
        <v>121</v>
      </c>
      <c r="M2940" t="s">
        <v>7984</v>
      </c>
    </row>
    <row r="2941" spans="1:13" x14ac:dyDescent="0.45">
      <c r="A2941" t="s">
        <v>13</v>
      </c>
      <c r="B2941">
        <v>3210080</v>
      </c>
      <c r="C2941">
        <v>3211198</v>
      </c>
      <c r="E2941" t="s">
        <v>96</v>
      </c>
      <c r="F2941" t="s">
        <v>1370</v>
      </c>
      <c r="G2941" t="s">
        <v>1371</v>
      </c>
      <c r="H2941">
        <v>0</v>
      </c>
      <c r="I2941" t="s">
        <v>17</v>
      </c>
      <c r="K2941" t="s">
        <v>7985</v>
      </c>
      <c r="L2941">
        <v>372</v>
      </c>
      <c r="M2941" t="s">
        <v>7986</v>
      </c>
    </row>
    <row r="2942" spans="1:13" x14ac:dyDescent="0.45">
      <c r="A2942" t="s">
        <v>13</v>
      </c>
      <c r="B2942">
        <v>3211844</v>
      </c>
      <c r="C2942">
        <v>3211963</v>
      </c>
      <c r="E2942" t="s">
        <v>96</v>
      </c>
      <c r="F2942" t="s">
        <v>1482</v>
      </c>
      <c r="H2942">
        <v>0</v>
      </c>
      <c r="I2942" t="s">
        <v>17</v>
      </c>
      <c r="K2942" t="s">
        <v>7987</v>
      </c>
      <c r="L2942">
        <v>39</v>
      </c>
      <c r="M2942" t="s">
        <v>7988</v>
      </c>
    </row>
    <row r="2943" spans="1:13" x14ac:dyDescent="0.45">
      <c r="A2943" t="s">
        <v>13</v>
      </c>
      <c r="B2943">
        <v>3212051</v>
      </c>
      <c r="C2943">
        <v>3213145</v>
      </c>
      <c r="E2943" t="s">
        <v>96</v>
      </c>
      <c r="F2943" t="s">
        <v>7989</v>
      </c>
      <c r="G2943" t="s">
        <v>7990</v>
      </c>
      <c r="H2943">
        <v>0</v>
      </c>
      <c r="I2943" t="s">
        <v>17</v>
      </c>
      <c r="K2943" t="s">
        <v>7991</v>
      </c>
      <c r="L2943">
        <v>364</v>
      </c>
      <c r="M2943" t="s">
        <v>7992</v>
      </c>
    </row>
    <row r="2944" spans="1:13" x14ac:dyDescent="0.45">
      <c r="A2944" t="s">
        <v>13</v>
      </c>
      <c r="B2944">
        <v>3213147</v>
      </c>
      <c r="C2944">
        <v>3213593</v>
      </c>
      <c r="E2944" t="s">
        <v>96</v>
      </c>
      <c r="F2944" t="s">
        <v>7993</v>
      </c>
      <c r="G2944" t="s">
        <v>7994</v>
      </c>
      <c r="H2944">
        <v>0</v>
      </c>
      <c r="I2944" t="s">
        <v>17</v>
      </c>
      <c r="K2944" t="s">
        <v>7995</v>
      </c>
      <c r="L2944">
        <v>148</v>
      </c>
      <c r="M2944" t="s">
        <v>7996</v>
      </c>
    </row>
    <row r="2945" spans="1:13" x14ac:dyDescent="0.45">
      <c r="A2945" t="s">
        <v>13</v>
      </c>
      <c r="B2945">
        <v>3213899</v>
      </c>
      <c r="C2945">
        <v>3215089</v>
      </c>
      <c r="E2945" t="s">
        <v>14</v>
      </c>
      <c r="F2945" t="s">
        <v>509</v>
      </c>
      <c r="H2945">
        <v>0</v>
      </c>
      <c r="I2945" t="s">
        <v>17</v>
      </c>
      <c r="K2945" t="s">
        <v>7997</v>
      </c>
      <c r="L2945">
        <v>396</v>
      </c>
      <c r="M2945" t="s">
        <v>7998</v>
      </c>
    </row>
    <row r="2946" spans="1:13" x14ac:dyDescent="0.45">
      <c r="A2946" t="s">
        <v>13</v>
      </c>
      <c r="B2946">
        <v>3215259</v>
      </c>
      <c r="C2946">
        <v>3216221</v>
      </c>
      <c r="E2946" t="s">
        <v>14</v>
      </c>
      <c r="F2946" t="s">
        <v>3822</v>
      </c>
      <c r="H2946">
        <v>0</v>
      </c>
      <c r="I2946" t="s">
        <v>17</v>
      </c>
      <c r="K2946" t="s">
        <v>7999</v>
      </c>
      <c r="L2946">
        <v>320</v>
      </c>
      <c r="M2946" t="s">
        <v>8000</v>
      </c>
    </row>
    <row r="2947" spans="1:13" x14ac:dyDescent="0.45">
      <c r="A2947" t="s">
        <v>13</v>
      </c>
      <c r="B2947">
        <v>3216339</v>
      </c>
      <c r="C2947">
        <v>3217001</v>
      </c>
      <c r="E2947" t="s">
        <v>96</v>
      </c>
      <c r="F2947" t="s">
        <v>8001</v>
      </c>
      <c r="G2947" t="s">
        <v>8002</v>
      </c>
      <c r="H2947">
        <v>0</v>
      </c>
      <c r="I2947" t="s">
        <v>17</v>
      </c>
      <c r="K2947" t="s">
        <v>8003</v>
      </c>
      <c r="L2947">
        <v>220</v>
      </c>
      <c r="M2947" t="s">
        <v>8004</v>
      </c>
    </row>
    <row r="2948" spans="1:13" x14ac:dyDescent="0.45">
      <c r="A2948" t="s">
        <v>13</v>
      </c>
      <c r="B2948">
        <v>3217372</v>
      </c>
      <c r="C2948">
        <v>3220326</v>
      </c>
      <c r="E2948" t="s">
        <v>96</v>
      </c>
      <c r="F2948" t="s">
        <v>8005</v>
      </c>
      <c r="H2948">
        <v>0</v>
      </c>
      <c r="I2948" t="s">
        <v>17</v>
      </c>
      <c r="K2948" t="s">
        <v>8006</v>
      </c>
      <c r="L2948">
        <v>984</v>
      </c>
      <c r="M2948" t="s">
        <v>8007</v>
      </c>
    </row>
    <row r="2949" spans="1:13" x14ac:dyDescent="0.45">
      <c r="A2949" t="s">
        <v>13</v>
      </c>
      <c r="B2949">
        <v>3220650</v>
      </c>
      <c r="C2949">
        <v>3221828</v>
      </c>
      <c r="E2949" t="s">
        <v>96</v>
      </c>
      <c r="F2949" t="s">
        <v>2644</v>
      </c>
      <c r="H2949">
        <v>0</v>
      </c>
      <c r="I2949" t="s">
        <v>17</v>
      </c>
      <c r="K2949" t="s">
        <v>8008</v>
      </c>
      <c r="L2949">
        <v>392</v>
      </c>
      <c r="M2949" t="s">
        <v>8009</v>
      </c>
    </row>
    <row r="2950" spans="1:13" x14ac:dyDescent="0.45">
      <c r="A2950" t="s">
        <v>13</v>
      </c>
      <c r="B2950">
        <v>3222200</v>
      </c>
      <c r="C2950">
        <v>3222385</v>
      </c>
      <c r="E2950" t="s">
        <v>14</v>
      </c>
      <c r="F2950" t="s">
        <v>252</v>
      </c>
      <c r="H2950">
        <v>0</v>
      </c>
      <c r="I2950" t="s">
        <v>17</v>
      </c>
      <c r="K2950" t="s">
        <v>8010</v>
      </c>
      <c r="L2950">
        <v>61</v>
      </c>
      <c r="M2950" t="s">
        <v>8011</v>
      </c>
    </row>
    <row r="2951" spans="1:13" x14ac:dyDescent="0.45">
      <c r="A2951" t="s">
        <v>13</v>
      </c>
      <c r="B2951">
        <v>3222450</v>
      </c>
      <c r="C2951">
        <v>3225224</v>
      </c>
      <c r="E2951" t="s">
        <v>96</v>
      </c>
      <c r="F2951" t="s">
        <v>4687</v>
      </c>
      <c r="H2951">
        <v>0</v>
      </c>
      <c r="I2951" t="s">
        <v>17</v>
      </c>
      <c r="K2951" t="s">
        <v>8012</v>
      </c>
      <c r="L2951">
        <v>924</v>
      </c>
      <c r="M2951" t="s">
        <v>8013</v>
      </c>
    </row>
    <row r="2952" spans="1:13" x14ac:dyDescent="0.45">
      <c r="A2952" t="s">
        <v>13</v>
      </c>
      <c r="B2952">
        <v>3225396</v>
      </c>
      <c r="C2952">
        <v>3226652</v>
      </c>
      <c r="E2952" t="s">
        <v>96</v>
      </c>
      <c r="F2952" t="s">
        <v>7703</v>
      </c>
      <c r="G2952" t="s">
        <v>7704</v>
      </c>
      <c r="H2952">
        <v>0</v>
      </c>
      <c r="I2952" t="s">
        <v>17</v>
      </c>
      <c r="K2952" t="s">
        <v>8014</v>
      </c>
      <c r="L2952">
        <v>418</v>
      </c>
      <c r="M2952" t="s">
        <v>8015</v>
      </c>
    </row>
    <row r="2953" spans="1:13" x14ac:dyDescent="0.45">
      <c r="A2953" t="s">
        <v>13</v>
      </c>
      <c r="B2953">
        <v>3226724</v>
      </c>
      <c r="C2953">
        <v>3228226</v>
      </c>
      <c r="E2953" t="s">
        <v>96</v>
      </c>
      <c r="F2953" t="s">
        <v>1579</v>
      </c>
      <c r="H2953">
        <v>0</v>
      </c>
      <c r="I2953" t="s">
        <v>17</v>
      </c>
      <c r="K2953" t="s">
        <v>8016</v>
      </c>
      <c r="L2953">
        <v>500</v>
      </c>
      <c r="M2953" t="s">
        <v>8017</v>
      </c>
    </row>
    <row r="2954" spans="1:13" x14ac:dyDescent="0.45">
      <c r="A2954" t="s">
        <v>13</v>
      </c>
      <c r="B2954">
        <v>3228317</v>
      </c>
      <c r="C2954">
        <v>3229507</v>
      </c>
      <c r="E2954" t="s">
        <v>96</v>
      </c>
      <c r="F2954" t="s">
        <v>1128</v>
      </c>
      <c r="H2954">
        <v>0</v>
      </c>
      <c r="I2954" t="s">
        <v>17</v>
      </c>
      <c r="K2954" t="s">
        <v>8018</v>
      </c>
      <c r="L2954">
        <v>396</v>
      </c>
      <c r="M2954" t="s">
        <v>8019</v>
      </c>
    </row>
    <row r="2955" spans="1:13" x14ac:dyDescent="0.45">
      <c r="A2955" t="s">
        <v>13</v>
      </c>
      <c r="B2955">
        <v>3229746</v>
      </c>
      <c r="C2955">
        <v>3230834</v>
      </c>
      <c r="E2955" t="s">
        <v>96</v>
      </c>
      <c r="F2955" t="s">
        <v>604</v>
      </c>
      <c r="H2955">
        <v>0</v>
      </c>
      <c r="I2955" t="s">
        <v>17</v>
      </c>
      <c r="K2955" t="s">
        <v>8020</v>
      </c>
      <c r="L2955">
        <v>362</v>
      </c>
      <c r="M2955" t="s">
        <v>8021</v>
      </c>
    </row>
    <row r="2956" spans="1:13" x14ac:dyDescent="0.45">
      <c r="A2956" t="s">
        <v>13</v>
      </c>
      <c r="B2956">
        <v>3231119</v>
      </c>
      <c r="C2956">
        <v>3231817</v>
      </c>
      <c r="E2956" t="s">
        <v>96</v>
      </c>
      <c r="F2956" t="s">
        <v>1222</v>
      </c>
      <c r="H2956">
        <v>0</v>
      </c>
      <c r="I2956" t="s">
        <v>17</v>
      </c>
      <c r="K2956" t="s">
        <v>8022</v>
      </c>
      <c r="L2956">
        <v>232</v>
      </c>
      <c r="M2956" t="s">
        <v>8023</v>
      </c>
    </row>
    <row r="2957" spans="1:13" x14ac:dyDescent="0.45">
      <c r="A2957" t="s">
        <v>13</v>
      </c>
      <c r="B2957">
        <v>3231931</v>
      </c>
      <c r="C2957">
        <v>3233436</v>
      </c>
      <c r="E2957" t="s">
        <v>96</v>
      </c>
      <c r="F2957" t="s">
        <v>8024</v>
      </c>
      <c r="H2957">
        <v>0</v>
      </c>
      <c r="I2957" t="s">
        <v>17</v>
      </c>
      <c r="K2957" t="s">
        <v>8025</v>
      </c>
      <c r="L2957">
        <v>501</v>
      </c>
      <c r="M2957" t="s">
        <v>8026</v>
      </c>
    </row>
    <row r="2958" spans="1:13" x14ac:dyDescent="0.45">
      <c r="A2958" t="s">
        <v>13</v>
      </c>
      <c r="B2958">
        <v>3233804</v>
      </c>
      <c r="C2958">
        <v>3235075</v>
      </c>
      <c r="E2958" t="s">
        <v>96</v>
      </c>
      <c r="F2958" t="s">
        <v>69</v>
      </c>
      <c r="G2958" t="s">
        <v>70</v>
      </c>
      <c r="H2958">
        <v>0</v>
      </c>
      <c r="I2958" t="s">
        <v>17</v>
      </c>
      <c r="K2958" t="s">
        <v>8027</v>
      </c>
      <c r="L2958">
        <v>423</v>
      </c>
      <c r="M2958" t="s">
        <v>8028</v>
      </c>
    </row>
    <row r="2959" spans="1:13" x14ac:dyDescent="0.45">
      <c r="A2959" t="s">
        <v>13</v>
      </c>
      <c r="B2959">
        <v>3235892</v>
      </c>
      <c r="C2959">
        <v>3237496</v>
      </c>
      <c r="E2959" t="s">
        <v>96</v>
      </c>
      <c r="F2959" t="s">
        <v>652</v>
      </c>
      <c r="H2959">
        <v>0</v>
      </c>
      <c r="I2959" t="s">
        <v>17</v>
      </c>
      <c r="K2959" t="s">
        <v>8029</v>
      </c>
      <c r="L2959">
        <v>534</v>
      </c>
      <c r="M2959" t="s">
        <v>8030</v>
      </c>
    </row>
    <row r="2960" spans="1:13" x14ac:dyDescent="0.45">
      <c r="A2960" t="s">
        <v>13</v>
      </c>
      <c r="B2960">
        <v>3237882</v>
      </c>
      <c r="C2960">
        <v>3238808</v>
      </c>
      <c r="E2960" t="s">
        <v>14</v>
      </c>
      <c r="F2960" t="s">
        <v>1523</v>
      </c>
      <c r="H2960">
        <v>0</v>
      </c>
      <c r="I2960" t="s">
        <v>17</v>
      </c>
      <c r="K2960" t="s">
        <v>8031</v>
      </c>
      <c r="L2960">
        <v>308</v>
      </c>
      <c r="M2960" t="s">
        <v>8032</v>
      </c>
    </row>
    <row r="2961" spans="1:13" x14ac:dyDescent="0.45">
      <c r="A2961" t="s">
        <v>13</v>
      </c>
      <c r="B2961">
        <v>3238928</v>
      </c>
      <c r="C2961">
        <v>3239926</v>
      </c>
      <c r="E2961" t="s">
        <v>96</v>
      </c>
      <c r="F2961" t="s">
        <v>8033</v>
      </c>
      <c r="H2961">
        <v>0</v>
      </c>
      <c r="I2961" t="s">
        <v>17</v>
      </c>
      <c r="K2961" t="s">
        <v>8034</v>
      </c>
      <c r="L2961">
        <v>332</v>
      </c>
      <c r="M2961" t="s">
        <v>8035</v>
      </c>
    </row>
    <row r="2962" spans="1:13" x14ac:dyDescent="0.45">
      <c r="A2962" t="s">
        <v>13</v>
      </c>
      <c r="B2962">
        <v>3240030</v>
      </c>
      <c r="C2962">
        <v>3240467</v>
      </c>
      <c r="E2962" t="s">
        <v>14</v>
      </c>
      <c r="F2962" t="s">
        <v>1485</v>
      </c>
      <c r="H2962">
        <v>0</v>
      </c>
      <c r="I2962" t="s">
        <v>17</v>
      </c>
      <c r="K2962" t="s">
        <v>8036</v>
      </c>
      <c r="L2962">
        <v>145</v>
      </c>
      <c r="M2962" t="s">
        <v>8037</v>
      </c>
    </row>
    <row r="2963" spans="1:13" x14ac:dyDescent="0.45">
      <c r="A2963" t="s">
        <v>13</v>
      </c>
      <c r="B2963">
        <v>3240553</v>
      </c>
      <c r="C2963">
        <v>3241140</v>
      </c>
      <c r="E2963" t="s">
        <v>14</v>
      </c>
      <c r="F2963" t="s">
        <v>2432</v>
      </c>
      <c r="G2963" t="s">
        <v>2433</v>
      </c>
      <c r="H2963">
        <v>0</v>
      </c>
      <c r="I2963" t="s">
        <v>17</v>
      </c>
      <c r="K2963" t="s">
        <v>8038</v>
      </c>
      <c r="L2963">
        <v>195</v>
      </c>
      <c r="M2963" t="s">
        <v>8039</v>
      </c>
    </row>
    <row r="2964" spans="1:13" x14ac:dyDescent="0.45">
      <c r="A2964" t="s">
        <v>13</v>
      </c>
      <c r="B2964">
        <v>3241440</v>
      </c>
      <c r="C2964">
        <v>3242060</v>
      </c>
      <c r="E2964" t="s">
        <v>96</v>
      </c>
      <c r="F2964" t="s">
        <v>8040</v>
      </c>
      <c r="H2964">
        <v>0</v>
      </c>
      <c r="I2964" t="s">
        <v>17</v>
      </c>
      <c r="K2964" t="s">
        <v>8041</v>
      </c>
      <c r="L2964">
        <v>206</v>
      </c>
      <c r="M2964" t="s">
        <v>8042</v>
      </c>
    </row>
    <row r="2965" spans="1:13" x14ac:dyDescent="0.45">
      <c r="A2965" t="s">
        <v>13</v>
      </c>
      <c r="B2965">
        <v>3242068</v>
      </c>
      <c r="C2965">
        <v>3242835</v>
      </c>
      <c r="E2965" t="s">
        <v>96</v>
      </c>
      <c r="F2965" t="s">
        <v>8043</v>
      </c>
      <c r="H2965">
        <v>0</v>
      </c>
      <c r="I2965" t="s">
        <v>17</v>
      </c>
      <c r="K2965" t="s">
        <v>8044</v>
      </c>
      <c r="L2965">
        <v>255</v>
      </c>
      <c r="M2965" t="s">
        <v>8045</v>
      </c>
    </row>
    <row r="2966" spans="1:13" x14ac:dyDescent="0.45">
      <c r="A2966" t="s">
        <v>13</v>
      </c>
      <c r="B2966">
        <v>3242876</v>
      </c>
      <c r="C2966">
        <v>3243697</v>
      </c>
      <c r="E2966" t="s">
        <v>96</v>
      </c>
      <c r="F2966" t="s">
        <v>43</v>
      </c>
      <c r="H2966">
        <v>0</v>
      </c>
      <c r="I2966" t="s">
        <v>17</v>
      </c>
      <c r="K2966" t="s">
        <v>8046</v>
      </c>
      <c r="L2966">
        <v>273</v>
      </c>
      <c r="M2966" t="s">
        <v>8047</v>
      </c>
    </row>
    <row r="2967" spans="1:13" x14ac:dyDescent="0.45">
      <c r="A2967" t="s">
        <v>13</v>
      </c>
      <c r="B2967">
        <v>3244054</v>
      </c>
      <c r="C2967">
        <v>3245964</v>
      </c>
      <c r="E2967" t="s">
        <v>96</v>
      </c>
      <c r="F2967" t="s">
        <v>8048</v>
      </c>
      <c r="G2967" t="s">
        <v>8049</v>
      </c>
      <c r="H2967">
        <v>0</v>
      </c>
      <c r="I2967" t="s">
        <v>17</v>
      </c>
      <c r="K2967" t="s">
        <v>8050</v>
      </c>
      <c r="L2967">
        <v>636</v>
      </c>
      <c r="M2967" t="s">
        <v>8051</v>
      </c>
    </row>
    <row r="2968" spans="1:13" x14ac:dyDescent="0.45">
      <c r="A2968" t="s">
        <v>13</v>
      </c>
      <c r="B2968">
        <v>3246243</v>
      </c>
      <c r="C2968">
        <v>3247028</v>
      </c>
      <c r="E2968" t="s">
        <v>96</v>
      </c>
      <c r="F2968" t="s">
        <v>2200</v>
      </c>
      <c r="H2968">
        <v>0</v>
      </c>
      <c r="I2968" t="s">
        <v>17</v>
      </c>
      <c r="K2968" t="s">
        <v>8052</v>
      </c>
      <c r="L2968">
        <v>261</v>
      </c>
      <c r="M2968" t="s">
        <v>8053</v>
      </c>
    </row>
    <row r="2969" spans="1:13" x14ac:dyDescent="0.45">
      <c r="A2969" t="s">
        <v>13</v>
      </c>
      <c r="B2969">
        <v>3247245</v>
      </c>
      <c r="C2969">
        <v>3247475</v>
      </c>
      <c r="E2969" t="s">
        <v>96</v>
      </c>
      <c r="F2969" t="s">
        <v>8054</v>
      </c>
      <c r="G2969" t="s">
        <v>8055</v>
      </c>
      <c r="H2969">
        <v>0</v>
      </c>
      <c r="I2969" t="s">
        <v>17</v>
      </c>
      <c r="K2969" t="s">
        <v>8056</v>
      </c>
      <c r="L2969">
        <v>76</v>
      </c>
      <c r="M2969" t="s">
        <v>8057</v>
      </c>
    </row>
    <row r="2970" spans="1:13" x14ac:dyDescent="0.45">
      <c r="A2970" t="s">
        <v>13</v>
      </c>
      <c r="B2970">
        <v>3247494</v>
      </c>
      <c r="C2970">
        <v>3248642</v>
      </c>
      <c r="E2970" t="s">
        <v>96</v>
      </c>
      <c r="F2970" t="s">
        <v>8058</v>
      </c>
      <c r="G2970" t="s">
        <v>8059</v>
      </c>
      <c r="H2970">
        <v>0</v>
      </c>
      <c r="I2970" t="s">
        <v>17</v>
      </c>
      <c r="K2970" t="s">
        <v>8060</v>
      </c>
      <c r="L2970">
        <v>382</v>
      </c>
      <c r="M2970" t="s">
        <v>8061</v>
      </c>
    </row>
    <row r="2971" spans="1:13" x14ac:dyDescent="0.45">
      <c r="A2971" t="s">
        <v>13</v>
      </c>
      <c r="B2971">
        <v>3248642</v>
      </c>
      <c r="C2971">
        <v>3250156</v>
      </c>
      <c r="E2971" t="s">
        <v>96</v>
      </c>
      <c r="F2971" t="s">
        <v>8062</v>
      </c>
      <c r="H2971">
        <v>0</v>
      </c>
      <c r="I2971" t="s">
        <v>17</v>
      </c>
      <c r="K2971" t="s">
        <v>8063</v>
      </c>
      <c r="L2971">
        <v>504</v>
      </c>
      <c r="M2971" t="s">
        <v>8064</v>
      </c>
    </row>
    <row r="2972" spans="1:13" x14ac:dyDescent="0.45">
      <c r="A2972" t="s">
        <v>13</v>
      </c>
      <c r="B2972">
        <v>3250277</v>
      </c>
      <c r="C2972">
        <v>3251467</v>
      </c>
      <c r="E2972" t="s">
        <v>96</v>
      </c>
      <c r="F2972" t="s">
        <v>8065</v>
      </c>
      <c r="G2972" t="s">
        <v>8066</v>
      </c>
      <c r="H2972">
        <v>0</v>
      </c>
      <c r="I2972" t="s">
        <v>17</v>
      </c>
      <c r="K2972" t="s">
        <v>8067</v>
      </c>
      <c r="L2972">
        <v>396</v>
      </c>
      <c r="M2972" t="s">
        <v>8068</v>
      </c>
    </row>
    <row r="2973" spans="1:13" x14ac:dyDescent="0.45">
      <c r="A2973" t="s">
        <v>13</v>
      </c>
      <c r="B2973">
        <v>3251756</v>
      </c>
      <c r="C2973">
        <v>3252775</v>
      </c>
      <c r="E2973" t="s">
        <v>96</v>
      </c>
      <c r="F2973" t="s">
        <v>3825</v>
      </c>
      <c r="H2973">
        <v>0</v>
      </c>
      <c r="I2973" t="s">
        <v>17</v>
      </c>
      <c r="K2973" t="s">
        <v>8069</v>
      </c>
      <c r="L2973">
        <v>339</v>
      </c>
      <c r="M2973" t="s">
        <v>8070</v>
      </c>
    </row>
    <row r="2974" spans="1:13" x14ac:dyDescent="0.45">
      <c r="A2974" t="s">
        <v>13</v>
      </c>
      <c r="B2974">
        <v>3252951</v>
      </c>
      <c r="C2974">
        <v>3253490</v>
      </c>
      <c r="E2974" t="s">
        <v>96</v>
      </c>
      <c r="F2974" t="s">
        <v>6188</v>
      </c>
      <c r="H2974">
        <v>0</v>
      </c>
      <c r="I2974" t="s">
        <v>17</v>
      </c>
      <c r="K2974" t="s">
        <v>8071</v>
      </c>
      <c r="L2974">
        <v>179</v>
      </c>
      <c r="M2974" t="s">
        <v>8072</v>
      </c>
    </row>
    <row r="2975" spans="1:13" x14ac:dyDescent="0.45">
      <c r="A2975" t="s">
        <v>13</v>
      </c>
      <c r="B2975">
        <v>3253591</v>
      </c>
      <c r="C2975">
        <v>3254271</v>
      </c>
      <c r="E2975" t="s">
        <v>96</v>
      </c>
      <c r="F2975" t="s">
        <v>854</v>
      </c>
      <c r="H2975">
        <v>0</v>
      </c>
      <c r="I2975" t="s">
        <v>17</v>
      </c>
      <c r="K2975" t="s">
        <v>8073</v>
      </c>
      <c r="L2975">
        <v>226</v>
      </c>
      <c r="M2975" t="s">
        <v>8074</v>
      </c>
    </row>
    <row r="2976" spans="1:13" x14ac:dyDescent="0.45">
      <c r="A2976" t="s">
        <v>13</v>
      </c>
      <c r="B2976">
        <v>3254300</v>
      </c>
      <c r="C2976">
        <v>3255556</v>
      </c>
      <c r="E2976" t="s">
        <v>96</v>
      </c>
      <c r="F2976" t="s">
        <v>8075</v>
      </c>
      <c r="H2976">
        <v>0</v>
      </c>
      <c r="I2976" t="s">
        <v>17</v>
      </c>
      <c r="K2976" t="s">
        <v>8076</v>
      </c>
      <c r="L2976">
        <v>418</v>
      </c>
      <c r="M2976" t="s">
        <v>8077</v>
      </c>
    </row>
    <row r="2977" spans="1:13" x14ac:dyDescent="0.45">
      <c r="A2977" t="s">
        <v>13</v>
      </c>
      <c r="B2977">
        <v>3256052</v>
      </c>
      <c r="C2977">
        <v>3257653</v>
      </c>
      <c r="E2977" t="s">
        <v>96</v>
      </c>
      <c r="F2977" t="s">
        <v>1999</v>
      </c>
      <c r="H2977">
        <v>0</v>
      </c>
      <c r="I2977" t="s">
        <v>17</v>
      </c>
      <c r="K2977" t="s">
        <v>8078</v>
      </c>
      <c r="L2977">
        <v>533</v>
      </c>
      <c r="M2977" t="s">
        <v>8079</v>
      </c>
    </row>
    <row r="2978" spans="1:13" x14ac:dyDescent="0.45">
      <c r="A2978" t="s">
        <v>13</v>
      </c>
      <c r="B2978">
        <v>3257764</v>
      </c>
      <c r="C2978">
        <v>3258441</v>
      </c>
      <c r="E2978" t="s">
        <v>96</v>
      </c>
      <c r="F2978" t="s">
        <v>43</v>
      </c>
      <c r="H2978">
        <v>0</v>
      </c>
      <c r="I2978" t="s">
        <v>17</v>
      </c>
      <c r="K2978" t="s">
        <v>8080</v>
      </c>
      <c r="L2978">
        <v>225</v>
      </c>
      <c r="M2978" t="s">
        <v>8081</v>
      </c>
    </row>
    <row r="2979" spans="1:13" x14ac:dyDescent="0.45">
      <c r="A2979" t="s">
        <v>13</v>
      </c>
      <c r="B2979">
        <v>3258454</v>
      </c>
      <c r="C2979">
        <v>3259149</v>
      </c>
      <c r="E2979" t="s">
        <v>96</v>
      </c>
      <c r="F2979" t="s">
        <v>1994</v>
      </c>
      <c r="H2979">
        <v>0</v>
      </c>
      <c r="I2979" t="s">
        <v>17</v>
      </c>
      <c r="K2979" t="s">
        <v>8082</v>
      </c>
      <c r="L2979">
        <v>231</v>
      </c>
      <c r="M2979" t="s">
        <v>8083</v>
      </c>
    </row>
    <row r="2980" spans="1:13" x14ac:dyDescent="0.45">
      <c r="A2980" t="s">
        <v>13</v>
      </c>
      <c r="B2980">
        <v>3259201</v>
      </c>
      <c r="C2980">
        <v>3260400</v>
      </c>
      <c r="E2980" t="s">
        <v>96</v>
      </c>
      <c r="F2980" t="s">
        <v>4712</v>
      </c>
      <c r="H2980">
        <v>0</v>
      </c>
      <c r="I2980" t="s">
        <v>17</v>
      </c>
      <c r="K2980" t="s">
        <v>8084</v>
      </c>
      <c r="L2980">
        <v>399</v>
      </c>
      <c r="M2980" t="s">
        <v>8085</v>
      </c>
    </row>
    <row r="2981" spans="1:13" x14ac:dyDescent="0.45">
      <c r="A2981" t="s">
        <v>13</v>
      </c>
      <c r="B2981">
        <v>3260661</v>
      </c>
      <c r="C2981">
        <v>3262706</v>
      </c>
      <c r="E2981" t="s">
        <v>96</v>
      </c>
      <c r="F2981" t="s">
        <v>723</v>
      </c>
      <c r="H2981">
        <v>0</v>
      </c>
      <c r="I2981" t="s">
        <v>17</v>
      </c>
      <c r="K2981" t="s">
        <v>8086</v>
      </c>
      <c r="L2981">
        <v>681</v>
      </c>
      <c r="M2981" t="s">
        <v>8087</v>
      </c>
    </row>
    <row r="2982" spans="1:13" x14ac:dyDescent="0.45">
      <c r="A2982" t="s">
        <v>13</v>
      </c>
      <c r="B2982">
        <v>3263117</v>
      </c>
      <c r="C2982">
        <v>3263926</v>
      </c>
      <c r="E2982" t="s">
        <v>96</v>
      </c>
      <c r="F2982" t="s">
        <v>1876</v>
      </c>
      <c r="H2982">
        <v>0</v>
      </c>
      <c r="I2982" t="s">
        <v>17</v>
      </c>
      <c r="K2982" t="s">
        <v>8088</v>
      </c>
      <c r="L2982">
        <v>269</v>
      </c>
      <c r="M2982" t="s">
        <v>8089</v>
      </c>
    </row>
    <row r="2983" spans="1:13" x14ac:dyDescent="0.45">
      <c r="A2983" t="s">
        <v>13</v>
      </c>
      <c r="B2983">
        <v>3264010</v>
      </c>
      <c r="C2983">
        <v>3264543</v>
      </c>
      <c r="E2983" t="s">
        <v>96</v>
      </c>
      <c r="F2983" t="s">
        <v>8090</v>
      </c>
      <c r="H2983">
        <v>0</v>
      </c>
      <c r="I2983" t="s">
        <v>17</v>
      </c>
      <c r="K2983" t="s">
        <v>8091</v>
      </c>
      <c r="L2983">
        <v>177</v>
      </c>
      <c r="M2983" t="s">
        <v>8092</v>
      </c>
    </row>
    <row r="2984" spans="1:13" x14ac:dyDescent="0.45">
      <c r="A2984" t="s">
        <v>13</v>
      </c>
      <c r="B2984">
        <v>3264670</v>
      </c>
      <c r="C2984">
        <v>3266745</v>
      </c>
      <c r="E2984" t="s">
        <v>96</v>
      </c>
      <c r="F2984" t="s">
        <v>1818</v>
      </c>
      <c r="H2984">
        <v>0</v>
      </c>
      <c r="I2984" t="s">
        <v>17</v>
      </c>
      <c r="K2984" t="s">
        <v>8093</v>
      </c>
      <c r="L2984">
        <v>691</v>
      </c>
      <c r="M2984" t="s">
        <v>8094</v>
      </c>
    </row>
    <row r="2985" spans="1:13" x14ac:dyDescent="0.45">
      <c r="A2985" t="s">
        <v>13</v>
      </c>
      <c r="B2985">
        <v>3266748</v>
      </c>
      <c r="C2985">
        <v>3267494</v>
      </c>
      <c r="E2985" t="s">
        <v>96</v>
      </c>
      <c r="F2985" t="s">
        <v>1140</v>
      </c>
      <c r="H2985">
        <v>0</v>
      </c>
      <c r="I2985" t="s">
        <v>17</v>
      </c>
      <c r="K2985" t="s">
        <v>8095</v>
      </c>
      <c r="L2985">
        <v>248</v>
      </c>
      <c r="M2985" t="s">
        <v>8096</v>
      </c>
    </row>
    <row r="2986" spans="1:13" x14ac:dyDescent="0.45">
      <c r="A2986" t="s">
        <v>13</v>
      </c>
      <c r="B2986">
        <v>3267508</v>
      </c>
      <c r="C2986">
        <v>3267903</v>
      </c>
      <c r="E2986" t="s">
        <v>96</v>
      </c>
      <c r="F2986" t="s">
        <v>43</v>
      </c>
      <c r="H2986">
        <v>0</v>
      </c>
      <c r="I2986" t="s">
        <v>17</v>
      </c>
      <c r="K2986" t="s">
        <v>8097</v>
      </c>
      <c r="L2986">
        <v>131</v>
      </c>
      <c r="M2986" t="s">
        <v>8098</v>
      </c>
    </row>
    <row r="2987" spans="1:13" x14ac:dyDescent="0.45">
      <c r="A2987" t="s">
        <v>13</v>
      </c>
      <c r="B2987">
        <v>3268016</v>
      </c>
      <c r="C2987">
        <v>3268723</v>
      </c>
      <c r="E2987" t="s">
        <v>96</v>
      </c>
      <c r="F2987" t="s">
        <v>1219</v>
      </c>
      <c r="H2987">
        <v>0</v>
      </c>
      <c r="I2987" t="s">
        <v>17</v>
      </c>
      <c r="K2987" t="s">
        <v>8099</v>
      </c>
      <c r="L2987">
        <v>235</v>
      </c>
      <c r="M2987" t="s">
        <v>8100</v>
      </c>
    </row>
    <row r="2988" spans="1:13" x14ac:dyDescent="0.45">
      <c r="A2988" t="s">
        <v>13</v>
      </c>
      <c r="B2988">
        <v>3269035</v>
      </c>
      <c r="C2988">
        <v>3269688</v>
      </c>
      <c r="E2988" t="s">
        <v>96</v>
      </c>
      <c r="F2988" t="s">
        <v>1222</v>
      </c>
      <c r="H2988">
        <v>0</v>
      </c>
      <c r="I2988" t="s">
        <v>17</v>
      </c>
      <c r="K2988" t="s">
        <v>8101</v>
      </c>
      <c r="L2988">
        <v>217</v>
      </c>
      <c r="M2988" t="s">
        <v>8102</v>
      </c>
    </row>
    <row r="2989" spans="1:13" x14ac:dyDescent="0.45">
      <c r="A2989" t="s">
        <v>13</v>
      </c>
      <c r="B2989">
        <v>3269792</v>
      </c>
      <c r="C2989">
        <v>3271141</v>
      </c>
      <c r="E2989" t="s">
        <v>96</v>
      </c>
      <c r="F2989" t="s">
        <v>8103</v>
      </c>
      <c r="H2989">
        <v>0</v>
      </c>
      <c r="I2989" t="s">
        <v>17</v>
      </c>
      <c r="K2989" t="s">
        <v>8104</v>
      </c>
      <c r="L2989">
        <v>449</v>
      </c>
      <c r="M2989" t="s">
        <v>8105</v>
      </c>
    </row>
    <row r="2990" spans="1:13" x14ac:dyDescent="0.45">
      <c r="A2990" t="s">
        <v>13</v>
      </c>
      <c r="B2990">
        <v>3271153</v>
      </c>
      <c r="C2990">
        <v>3272535</v>
      </c>
      <c r="E2990" t="s">
        <v>96</v>
      </c>
      <c r="F2990" t="s">
        <v>8103</v>
      </c>
      <c r="H2990">
        <v>0</v>
      </c>
      <c r="I2990" t="s">
        <v>17</v>
      </c>
      <c r="K2990" t="s">
        <v>8106</v>
      </c>
      <c r="L2990">
        <v>460</v>
      </c>
      <c r="M2990" t="s">
        <v>8107</v>
      </c>
    </row>
    <row r="2991" spans="1:13" x14ac:dyDescent="0.45">
      <c r="A2991" t="s">
        <v>13</v>
      </c>
      <c r="B2991">
        <v>3272779</v>
      </c>
      <c r="C2991">
        <v>3273993</v>
      </c>
      <c r="E2991" t="s">
        <v>14</v>
      </c>
      <c r="F2991" t="s">
        <v>754</v>
      </c>
      <c r="H2991">
        <v>0</v>
      </c>
      <c r="I2991" t="s">
        <v>17</v>
      </c>
      <c r="K2991" t="s">
        <v>8108</v>
      </c>
      <c r="L2991">
        <v>404</v>
      </c>
      <c r="M2991" t="s">
        <v>8109</v>
      </c>
    </row>
    <row r="2992" spans="1:13" x14ac:dyDescent="0.45">
      <c r="A2992" t="s">
        <v>13</v>
      </c>
      <c r="B2992">
        <v>3274170</v>
      </c>
      <c r="C2992">
        <v>3276083</v>
      </c>
      <c r="E2992" t="s">
        <v>14</v>
      </c>
      <c r="F2992" t="s">
        <v>224</v>
      </c>
      <c r="H2992">
        <v>0</v>
      </c>
      <c r="I2992" t="s">
        <v>17</v>
      </c>
      <c r="K2992" t="s">
        <v>8110</v>
      </c>
      <c r="L2992">
        <v>637</v>
      </c>
      <c r="M2992" t="s">
        <v>8111</v>
      </c>
    </row>
    <row r="2993" spans="1:13" x14ac:dyDescent="0.45">
      <c r="A2993" t="s">
        <v>13</v>
      </c>
      <c r="B2993">
        <v>3276354</v>
      </c>
      <c r="C2993">
        <v>3277328</v>
      </c>
      <c r="E2993" t="s">
        <v>14</v>
      </c>
      <c r="F2993" t="s">
        <v>8112</v>
      </c>
      <c r="H2993">
        <v>0</v>
      </c>
      <c r="I2993" t="s">
        <v>17</v>
      </c>
      <c r="K2993" t="s">
        <v>8113</v>
      </c>
      <c r="L2993">
        <v>324</v>
      </c>
      <c r="M2993" t="s">
        <v>8114</v>
      </c>
    </row>
    <row r="2994" spans="1:13" x14ac:dyDescent="0.45">
      <c r="A2994" t="s">
        <v>13</v>
      </c>
      <c r="B2994">
        <v>3277349</v>
      </c>
      <c r="C2994">
        <v>3277624</v>
      </c>
      <c r="E2994" t="s">
        <v>14</v>
      </c>
      <c r="F2994" t="s">
        <v>8115</v>
      </c>
      <c r="H2994">
        <v>0</v>
      </c>
      <c r="I2994" t="s">
        <v>17</v>
      </c>
      <c r="K2994" t="s">
        <v>8116</v>
      </c>
      <c r="L2994">
        <v>91</v>
      </c>
      <c r="M2994" t="s">
        <v>8117</v>
      </c>
    </row>
    <row r="2995" spans="1:13" x14ac:dyDescent="0.45">
      <c r="A2995" t="s">
        <v>13</v>
      </c>
      <c r="B2995">
        <v>3277637</v>
      </c>
      <c r="C2995">
        <v>3278800</v>
      </c>
      <c r="E2995" t="s">
        <v>14</v>
      </c>
      <c r="F2995" t="s">
        <v>8115</v>
      </c>
      <c r="H2995">
        <v>0</v>
      </c>
      <c r="I2995" t="s">
        <v>17</v>
      </c>
      <c r="K2995" t="s">
        <v>8118</v>
      </c>
      <c r="L2995">
        <v>387</v>
      </c>
      <c r="M2995" t="s">
        <v>8119</v>
      </c>
    </row>
    <row r="2996" spans="1:13" x14ac:dyDescent="0.45">
      <c r="A2996" t="s">
        <v>13</v>
      </c>
      <c r="B2996">
        <v>3279137</v>
      </c>
      <c r="C2996">
        <v>3281155</v>
      </c>
      <c r="E2996" t="s">
        <v>14</v>
      </c>
      <c r="F2996" t="s">
        <v>1748</v>
      </c>
      <c r="H2996">
        <v>0</v>
      </c>
      <c r="I2996" t="s">
        <v>17</v>
      </c>
      <c r="K2996" t="s">
        <v>8120</v>
      </c>
      <c r="L2996">
        <v>672</v>
      </c>
      <c r="M2996" t="s">
        <v>8121</v>
      </c>
    </row>
    <row r="2997" spans="1:13" x14ac:dyDescent="0.45">
      <c r="A2997" t="s">
        <v>13</v>
      </c>
      <c r="B2997">
        <v>3281136</v>
      </c>
      <c r="C2997">
        <v>3281417</v>
      </c>
      <c r="E2997" t="s">
        <v>14</v>
      </c>
      <c r="F2997" t="s">
        <v>1748</v>
      </c>
      <c r="H2997">
        <v>0</v>
      </c>
      <c r="I2997" t="s">
        <v>17</v>
      </c>
      <c r="K2997" t="s">
        <v>8122</v>
      </c>
      <c r="L2997">
        <v>93</v>
      </c>
      <c r="M2997" t="s">
        <v>8123</v>
      </c>
    </row>
    <row r="2998" spans="1:13" x14ac:dyDescent="0.45">
      <c r="A2998" t="s">
        <v>13</v>
      </c>
      <c r="B2998">
        <v>3281512</v>
      </c>
      <c r="C2998">
        <v>3282852</v>
      </c>
      <c r="E2998" t="s">
        <v>96</v>
      </c>
      <c r="F2998" t="s">
        <v>729</v>
      </c>
      <c r="H2998">
        <v>0</v>
      </c>
      <c r="I2998" t="s">
        <v>17</v>
      </c>
      <c r="K2998" t="s">
        <v>8124</v>
      </c>
      <c r="L2998">
        <v>446</v>
      </c>
      <c r="M2998" t="s">
        <v>8125</v>
      </c>
    </row>
    <row r="2999" spans="1:13" x14ac:dyDescent="0.45">
      <c r="A2999" t="s">
        <v>13</v>
      </c>
      <c r="B2999">
        <v>3282864</v>
      </c>
      <c r="C2999">
        <v>3283646</v>
      </c>
      <c r="E2999" t="s">
        <v>96</v>
      </c>
      <c r="F2999" t="s">
        <v>1140</v>
      </c>
      <c r="H2999">
        <v>0</v>
      </c>
      <c r="I2999" t="s">
        <v>17</v>
      </c>
      <c r="K2999" t="s">
        <v>8126</v>
      </c>
      <c r="L2999">
        <v>260</v>
      </c>
      <c r="M2999" t="s">
        <v>8127</v>
      </c>
    </row>
    <row r="3000" spans="1:13" x14ac:dyDescent="0.45">
      <c r="A3000" t="s">
        <v>13</v>
      </c>
      <c r="B3000">
        <v>3283661</v>
      </c>
      <c r="C3000">
        <v>3284683</v>
      </c>
      <c r="E3000" t="s">
        <v>96</v>
      </c>
      <c r="F3000" t="s">
        <v>8128</v>
      </c>
      <c r="H3000">
        <v>0</v>
      </c>
      <c r="I3000" t="s">
        <v>17</v>
      </c>
      <c r="K3000" t="s">
        <v>8129</v>
      </c>
      <c r="L3000">
        <v>340</v>
      </c>
      <c r="M3000" t="s">
        <v>8130</v>
      </c>
    </row>
    <row r="3001" spans="1:13" x14ac:dyDescent="0.45">
      <c r="A3001" t="s">
        <v>13</v>
      </c>
      <c r="B3001">
        <v>3284689</v>
      </c>
      <c r="C3001">
        <v>3285702</v>
      </c>
      <c r="E3001" t="s">
        <v>96</v>
      </c>
      <c r="F3001" t="s">
        <v>8128</v>
      </c>
      <c r="H3001">
        <v>0</v>
      </c>
      <c r="I3001" t="s">
        <v>17</v>
      </c>
      <c r="K3001" t="s">
        <v>8131</v>
      </c>
      <c r="L3001">
        <v>337</v>
      </c>
      <c r="M3001" t="s">
        <v>8132</v>
      </c>
    </row>
    <row r="3002" spans="1:13" x14ac:dyDescent="0.45">
      <c r="A3002" t="s">
        <v>13</v>
      </c>
      <c r="B3002">
        <v>3285830</v>
      </c>
      <c r="C3002">
        <v>3286768</v>
      </c>
      <c r="E3002" t="s">
        <v>96</v>
      </c>
      <c r="F3002" t="s">
        <v>2510</v>
      </c>
      <c r="H3002">
        <v>0</v>
      </c>
      <c r="I3002" t="s">
        <v>17</v>
      </c>
      <c r="K3002" t="s">
        <v>8133</v>
      </c>
      <c r="L3002">
        <v>312</v>
      </c>
      <c r="M3002" t="s">
        <v>8134</v>
      </c>
    </row>
    <row r="3003" spans="1:13" x14ac:dyDescent="0.45">
      <c r="A3003" t="s">
        <v>13</v>
      </c>
      <c r="B3003">
        <v>3287038</v>
      </c>
      <c r="C3003">
        <v>3287502</v>
      </c>
      <c r="E3003" t="s">
        <v>14</v>
      </c>
      <c r="F3003" t="s">
        <v>43</v>
      </c>
      <c r="H3003">
        <v>0</v>
      </c>
      <c r="I3003" t="s">
        <v>17</v>
      </c>
      <c r="K3003" t="s">
        <v>8135</v>
      </c>
      <c r="L3003">
        <v>154</v>
      </c>
      <c r="M3003" t="s">
        <v>8136</v>
      </c>
    </row>
    <row r="3004" spans="1:13" x14ac:dyDescent="0.45">
      <c r="A3004" t="s">
        <v>13</v>
      </c>
      <c r="B3004">
        <v>3287614</v>
      </c>
      <c r="C3004">
        <v>3287931</v>
      </c>
      <c r="E3004" t="s">
        <v>96</v>
      </c>
      <c r="F3004" t="s">
        <v>616</v>
      </c>
      <c r="H3004">
        <v>0</v>
      </c>
      <c r="I3004" t="s">
        <v>17</v>
      </c>
      <c r="K3004" t="s">
        <v>8137</v>
      </c>
      <c r="L3004">
        <v>105</v>
      </c>
      <c r="M3004" t="s">
        <v>8138</v>
      </c>
    </row>
    <row r="3005" spans="1:13" x14ac:dyDescent="0.45">
      <c r="A3005" t="s">
        <v>13</v>
      </c>
      <c r="B3005">
        <v>3287944</v>
      </c>
      <c r="C3005">
        <v>3288675</v>
      </c>
      <c r="E3005" t="s">
        <v>96</v>
      </c>
      <c r="F3005" t="s">
        <v>8139</v>
      </c>
      <c r="G3005" t="s">
        <v>8140</v>
      </c>
      <c r="H3005">
        <v>0</v>
      </c>
      <c r="I3005" t="s">
        <v>17</v>
      </c>
      <c r="K3005" t="s">
        <v>8141</v>
      </c>
      <c r="L3005">
        <v>243</v>
      </c>
      <c r="M3005" t="s">
        <v>8142</v>
      </c>
    </row>
    <row r="3006" spans="1:13" x14ac:dyDescent="0.45">
      <c r="A3006" t="s">
        <v>13</v>
      </c>
      <c r="B3006">
        <v>3288701</v>
      </c>
      <c r="C3006">
        <v>3290011</v>
      </c>
      <c r="E3006" t="s">
        <v>96</v>
      </c>
      <c r="F3006" t="s">
        <v>8143</v>
      </c>
      <c r="H3006">
        <v>0</v>
      </c>
      <c r="I3006" t="s">
        <v>17</v>
      </c>
      <c r="K3006" t="s">
        <v>8144</v>
      </c>
      <c r="L3006">
        <v>436</v>
      </c>
      <c r="M3006" t="s">
        <v>8145</v>
      </c>
    </row>
    <row r="3007" spans="1:13" x14ac:dyDescent="0.45">
      <c r="A3007" t="s">
        <v>13</v>
      </c>
      <c r="B3007">
        <v>3290088</v>
      </c>
      <c r="C3007">
        <v>3291401</v>
      </c>
      <c r="E3007" t="s">
        <v>96</v>
      </c>
      <c r="F3007" t="s">
        <v>2525</v>
      </c>
      <c r="H3007">
        <v>0</v>
      </c>
      <c r="I3007" t="s">
        <v>17</v>
      </c>
      <c r="K3007" t="s">
        <v>8146</v>
      </c>
      <c r="L3007">
        <v>437</v>
      </c>
      <c r="M3007" t="s">
        <v>8147</v>
      </c>
    </row>
    <row r="3008" spans="1:13" x14ac:dyDescent="0.45">
      <c r="A3008" t="s">
        <v>13</v>
      </c>
      <c r="B3008">
        <v>3291423</v>
      </c>
      <c r="C3008">
        <v>3291734</v>
      </c>
      <c r="E3008" t="s">
        <v>96</v>
      </c>
      <c r="F3008" t="s">
        <v>230</v>
      </c>
      <c r="H3008">
        <v>0</v>
      </c>
      <c r="I3008" t="s">
        <v>17</v>
      </c>
      <c r="K3008" t="s">
        <v>8148</v>
      </c>
      <c r="L3008">
        <v>103</v>
      </c>
      <c r="M3008" t="s">
        <v>8149</v>
      </c>
    </row>
    <row r="3009" spans="1:13" x14ac:dyDescent="0.45">
      <c r="A3009" t="s">
        <v>13</v>
      </c>
      <c r="B3009">
        <v>3291934</v>
      </c>
      <c r="C3009">
        <v>3292638</v>
      </c>
      <c r="E3009" t="s">
        <v>96</v>
      </c>
      <c r="F3009" t="s">
        <v>1909</v>
      </c>
      <c r="H3009">
        <v>0</v>
      </c>
      <c r="I3009" t="s">
        <v>17</v>
      </c>
      <c r="K3009" t="s">
        <v>8150</v>
      </c>
      <c r="L3009">
        <v>234</v>
      </c>
      <c r="M3009" t="s">
        <v>8151</v>
      </c>
    </row>
    <row r="3010" spans="1:13" x14ac:dyDescent="0.45">
      <c r="A3010" t="s">
        <v>13</v>
      </c>
      <c r="B3010">
        <v>3292733</v>
      </c>
      <c r="C3010">
        <v>3294094</v>
      </c>
      <c r="E3010" t="s">
        <v>96</v>
      </c>
      <c r="F3010" t="s">
        <v>729</v>
      </c>
      <c r="H3010">
        <v>0</v>
      </c>
      <c r="I3010" t="s">
        <v>17</v>
      </c>
      <c r="K3010" t="s">
        <v>8152</v>
      </c>
      <c r="L3010">
        <v>453</v>
      </c>
      <c r="M3010" t="s">
        <v>8153</v>
      </c>
    </row>
    <row r="3011" spans="1:13" x14ac:dyDescent="0.45">
      <c r="A3011" t="s">
        <v>13</v>
      </c>
      <c r="B3011">
        <v>3294593</v>
      </c>
      <c r="C3011">
        <v>3295738</v>
      </c>
      <c r="E3011" t="s">
        <v>14</v>
      </c>
      <c r="F3011" t="s">
        <v>838</v>
      </c>
      <c r="H3011">
        <v>0</v>
      </c>
      <c r="I3011" t="s">
        <v>17</v>
      </c>
      <c r="K3011" t="s">
        <v>8154</v>
      </c>
      <c r="L3011">
        <v>381</v>
      </c>
      <c r="M3011" t="s">
        <v>8155</v>
      </c>
    </row>
    <row r="3012" spans="1:13" x14ac:dyDescent="0.45">
      <c r="A3012" t="s">
        <v>13</v>
      </c>
      <c r="B3012">
        <v>3295828</v>
      </c>
      <c r="C3012">
        <v>3297546</v>
      </c>
      <c r="E3012" t="s">
        <v>96</v>
      </c>
      <c r="F3012" t="s">
        <v>8156</v>
      </c>
      <c r="H3012">
        <v>0</v>
      </c>
      <c r="I3012" t="s">
        <v>17</v>
      </c>
      <c r="K3012" t="s">
        <v>8157</v>
      </c>
      <c r="L3012">
        <v>572</v>
      </c>
      <c r="M3012" t="s">
        <v>8158</v>
      </c>
    </row>
    <row r="3013" spans="1:13" x14ac:dyDescent="0.45">
      <c r="A3013" t="s">
        <v>13</v>
      </c>
      <c r="B3013">
        <v>3297551</v>
      </c>
      <c r="C3013">
        <v>3298540</v>
      </c>
      <c r="E3013" t="s">
        <v>96</v>
      </c>
      <c r="F3013" t="s">
        <v>1140</v>
      </c>
      <c r="H3013">
        <v>0</v>
      </c>
      <c r="I3013" t="s">
        <v>17</v>
      </c>
      <c r="K3013" t="s">
        <v>8159</v>
      </c>
      <c r="L3013">
        <v>329</v>
      </c>
      <c r="M3013" t="s">
        <v>8160</v>
      </c>
    </row>
    <row r="3014" spans="1:13" x14ac:dyDescent="0.45">
      <c r="A3014" t="s">
        <v>13</v>
      </c>
      <c r="B3014">
        <v>3298636</v>
      </c>
      <c r="C3014">
        <v>3299685</v>
      </c>
      <c r="E3014" t="s">
        <v>96</v>
      </c>
      <c r="F3014" t="s">
        <v>8161</v>
      </c>
      <c r="H3014">
        <v>0</v>
      </c>
      <c r="I3014" t="s">
        <v>17</v>
      </c>
      <c r="K3014" t="s">
        <v>8162</v>
      </c>
      <c r="L3014">
        <v>349</v>
      </c>
      <c r="M3014" t="s">
        <v>8163</v>
      </c>
    </row>
    <row r="3015" spans="1:13" x14ac:dyDescent="0.45">
      <c r="A3015" t="s">
        <v>13</v>
      </c>
      <c r="B3015">
        <v>3299962</v>
      </c>
      <c r="C3015">
        <v>3300630</v>
      </c>
      <c r="E3015" t="s">
        <v>96</v>
      </c>
      <c r="F3015" t="s">
        <v>8164</v>
      </c>
      <c r="H3015">
        <v>0</v>
      </c>
      <c r="I3015" t="s">
        <v>17</v>
      </c>
      <c r="K3015" t="s">
        <v>8165</v>
      </c>
      <c r="L3015">
        <v>222</v>
      </c>
      <c r="M3015" t="s">
        <v>8166</v>
      </c>
    </row>
    <row r="3016" spans="1:13" x14ac:dyDescent="0.45">
      <c r="A3016" t="s">
        <v>13</v>
      </c>
      <c r="B3016">
        <v>3300636</v>
      </c>
      <c r="C3016">
        <v>3302009</v>
      </c>
      <c r="E3016" t="s">
        <v>96</v>
      </c>
      <c r="F3016" t="s">
        <v>8167</v>
      </c>
      <c r="H3016">
        <v>0</v>
      </c>
      <c r="I3016" t="s">
        <v>17</v>
      </c>
      <c r="K3016" t="s">
        <v>8168</v>
      </c>
      <c r="L3016">
        <v>457</v>
      </c>
      <c r="M3016" t="s">
        <v>8169</v>
      </c>
    </row>
    <row r="3017" spans="1:13" x14ac:dyDescent="0.45">
      <c r="A3017" t="s">
        <v>13</v>
      </c>
      <c r="B3017">
        <v>3302006</v>
      </c>
      <c r="C3017">
        <v>3303784</v>
      </c>
      <c r="E3017" t="s">
        <v>96</v>
      </c>
      <c r="F3017" t="s">
        <v>8170</v>
      </c>
      <c r="H3017">
        <v>0</v>
      </c>
      <c r="I3017" t="s">
        <v>17</v>
      </c>
      <c r="K3017" t="s">
        <v>8171</v>
      </c>
      <c r="L3017">
        <v>592</v>
      </c>
      <c r="M3017" t="s">
        <v>8172</v>
      </c>
    </row>
    <row r="3018" spans="1:13" x14ac:dyDescent="0.45">
      <c r="A3018" t="s">
        <v>13</v>
      </c>
      <c r="B3018">
        <v>3303901</v>
      </c>
      <c r="C3018">
        <v>3304218</v>
      </c>
      <c r="E3018" t="s">
        <v>96</v>
      </c>
      <c r="F3018" t="s">
        <v>8173</v>
      </c>
      <c r="H3018">
        <v>0</v>
      </c>
      <c r="I3018" t="s">
        <v>17</v>
      </c>
      <c r="K3018" t="s">
        <v>8174</v>
      </c>
      <c r="L3018">
        <v>105</v>
      </c>
      <c r="M3018" t="s">
        <v>8175</v>
      </c>
    </row>
    <row r="3019" spans="1:13" x14ac:dyDescent="0.45">
      <c r="A3019" t="s">
        <v>13</v>
      </c>
      <c r="B3019">
        <v>3304211</v>
      </c>
      <c r="C3019">
        <v>3305188</v>
      </c>
      <c r="E3019" t="s">
        <v>96</v>
      </c>
      <c r="F3019" t="s">
        <v>8176</v>
      </c>
      <c r="H3019">
        <v>0</v>
      </c>
      <c r="I3019" t="s">
        <v>17</v>
      </c>
      <c r="K3019" t="s">
        <v>8177</v>
      </c>
      <c r="L3019">
        <v>325</v>
      </c>
      <c r="M3019" t="s">
        <v>8178</v>
      </c>
    </row>
    <row r="3020" spans="1:13" x14ac:dyDescent="0.45">
      <c r="A3020" t="s">
        <v>13</v>
      </c>
      <c r="B3020">
        <v>3305203</v>
      </c>
      <c r="C3020">
        <v>3305766</v>
      </c>
      <c r="E3020" t="s">
        <v>96</v>
      </c>
      <c r="F3020" t="s">
        <v>8179</v>
      </c>
      <c r="H3020">
        <v>0</v>
      </c>
      <c r="I3020" t="s">
        <v>17</v>
      </c>
      <c r="K3020" t="s">
        <v>8180</v>
      </c>
      <c r="L3020">
        <v>187</v>
      </c>
      <c r="M3020" t="s">
        <v>8181</v>
      </c>
    </row>
    <row r="3021" spans="1:13" x14ac:dyDescent="0.45">
      <c r="A3021" t="s">
        <v>13</v>
      </c>
      <c r="B3021">
        <v>3305818</v>
      </c>
      <c r="C3021">
        <v>3306309</v>
      </c>
      <c r="E3021" t="s">
        <v>96</v>
      </c>
      <c r="F3021" t="s">
        <v>8182</v>
      </c>
      <c r="H3021">
        <v>0</v>
      </c>
      <c r="I3021" t="s">
        <v>17</v>
      </c>
      <c r="K3021" t="s">
        <v>8183</v>
      </c>
      <c r="L3021">
        <v>163</v>
      </c>
      <c r="M3021" t="s">
        <v>8184</v>
      </c>
    </row>
    <row r="3022" spans="1:13" x14ac:dyDescent="0.45">
      <c r="A3022" t="s">
        <v>13</v>
      </c>
      <c r="B3022">
        <v>3306312</v>
      </c>
      <c r="C3022">
        <v>3308237</v>
      </c>
      <c r="E3022" t="s">
        <v>96</v>
      </c>
      <c r="F3022" t="s">
        <v>8185</v>
      </c>
      <c r="H3022">
        <v>0</v>
      </c>
      <c r="I3022" t="s">
        <v>17</v>
      </c>
      <c r="K3022" t="s">
        <v>8186</v>
      </c>
      <c r="L3022">
        <v>641</v>
      </c>
      <c r="M3022" t="s">
        <v>8187</v>
      </c>
    </row>
    <row r="3023" spans="1:13" x14ac:dyDescent="0.45">
      <c r="A3023" t="s">
        <v>13</v>
      </c>
      <c r="B3023">
        <v>3308239</v>
      </c>
      <c r="C3023">
        <v>3308550</v>
      </c>
      <c r="E3023" t="s">
        <v>96</v>
      </c>
      <c r="F3023" t="s">
        <v>43</v>
      </c>
      <c r="H3023">
        <v>0</v>
      </c>
      <c r="I3023" t="s">
        <v>17</v>
      </c>
      <c r="K3023" t="s">
        <v>8188</v>
      </c>
      <c r="L3023">
        <v>103</v>
      </c>
      <c r="M3023" t="s">
        <v>8189</v>
      </c>
    </row>
    <row r="3024" spans="1:13" x14ac:dyDescent="0.45">
      <c r="A3024" t="s">
        <v>13</v>
      </c>
      <c r="B3024">
        <v>3309180</v>
      </c>
      <c r="C3024">
        <v>3309455</v>
      </c>
      <c r="E3024" t="s">
        <v>96</v>
      </c>
      <c r="F3024" t="s">
        <v>8190</v>
      </c>
      <c r="H3024">
        <v>0</v>
      </c>
      <c r="I3024" t="s">
        <v>17</v>
      </c>
      <c r="K3024" t="s">
        <v>8191</v>
      </c>
      <c r="L3024">
        <v>91</v>
      </c>
      <c r="M3024" t="s">
        <v>8192</v>
      </c>
    </row>
    <row r="3025" spans="1:13" x14ac:dyDescent="0.45">
      <c r="A3025" t="s">
        <v>13</v>
      </c>
      <c r="B3025">
        <v>3309570</v>
      </c>
      <c r="C3025">
        <v>3310979</v>
      </c>
      <c r="E3025" t="s">
        <v>96</v>
      </c>
      <c r="F3025" t="s">
        <v>8193</v>
      </c>
      <c r="H3025">
        <v>0</v>
      </c>
      <c r="I3025" t="s">
        <v>17</v>
      </c>
      <c r="K3025" t="s">
        <v>8194</v>
      </c>
      <c r="L3025">
        <v>469</v>
      </c>
      <c r="M3025" t="s">
        <v>8195</v>
      </c>
    </row>
    <row r="3026" spans="1:13" x14ac:dyDescent="0.45">
      <c r="A3026" t="s">
        <v>13</v>
      </c>
      <c r="B3026">
        <v>3311349</v>
      </c>
      <c r="C3026">
        <v>3312011</v>
      </c>
      <c r="E3026" t="s">
        <v>96</v>
      </c>
      <c r="F3026" t="s">
        <v>5036</v>
      </c>
      <c r="H3026">
        <v>0</v>
      </c>
      <c r="I3026" t="s">
        <v>17</v>
      </c>
      <c r="K3026" t="s">
        <v>8196</v>
      </c>
      <c r="L3026">
        <v>220</v>
      </c>
      <c r="M3026" t="s">
        <v>8197</v>
      </c>
    </row>
    <row r="3027" spans="1:13" x14ac:dyDescent="0.45">
      <c r="A3027" t="s">
        <v>13</v>
      </c>
      <c r="B3027">
        <v>3312265</v>
      </c>
      <c r="C3027">
        <v>3314484</v>
      </c>
      <c r="E3027" t="s">
        <v>96</v>
      </c>
      <c r="F3027" t="s">
        <v>1748</v>
      </c>
      <c r="H3027">
        <v>0</v>
      </c>
      <c r="I3027" t="s">
        <v>17</v>
      </c>
      <c r="K3027" t="s">
        <v>8198</v>
      </c>
      <c r="L3027">
        <v>739</v>
      </c>
      <c r="M3027" t="s">
        <v>8199</v>
      </c>
    </row>
    <row r="3028" spans="1:13" x14ac:dyDescent="0.45">
      <c r="A3028" t="s">
        <v>13</v>
      </c>
      <c r="B3028">
        <v>3314760</v>
      </c>
      <c r="C3028">
        <v>3317363</v>
      </c>
      <c r="E3028" t="s">
        <v>96</v>
      </c>
      <c r="F3028" t="s">
        <v>1261</v>
      </c>
      <c r="G3028" t="s">
        <v>1262</v>
      </c>
      <c r="H3028">
        <v>0</v>
      </c>
      <c r="I3028" t="s">
        <v>17</v>
      </c>
      <c r="K3028" t="s">
        <v>8200</v>
      </c>
      <c r="L3028">
        <v>867</v>
      </c>
      <c r="M3028" t="s">
        <v>8201</v>
      </c>
    </row>
    <row r="3029" spans="1:13" x14ac:dyDescent="0.45">
      <c r="A3029" t="s">
        <v>13</v>
      </c>
      <c r="B3029">
        <v>3317918</v>
      </c>
      <c r="C3029">
        <v>3318118</v>
      </c>
      <c r="E3029" t="s">
        <v>14</v>
      </c>
      <c r="F3029" t="s">
        <v>43</v>
      </c>
      <c r="H3029">
        <v>0</v>
      </c>
      <c r="I3029" t="s">
        <v>17</v>
      </c>
      <c r="K3029" t="s">
        <v>8202</v>
      </c>
      <c r="L3029">
        <v>66</v>
      </c>
      <c r="M3029" t="s">
        <v>8203</v>
      </c>
    </row>
    <row r="3030" spans="1:13" x14ac:dyDescent="0.45">
      <c r="A3030" t="s">
        <v>13</v>
      </c>
      <c r="B3030">
        <v>3318326</v>
      </c>
      <c r="C3030">
        <v>3318916</v>
      </c>
      <c r="E3030" t="s">
        <v>96</v>
      </c>
      <c r="F3030" t="s">
        <v>8204</v>
      </c>
      <c r="H3030">
        <v>0</v>
      </c>
      <c r="I3030" t="s">
        <v>17</v>
      </c>
      <c r="K3030" t="s">
        <v>8205</v>
      </c>
      <c r="L3030">
        <v>196</v>
      </c>
      <c r="M3030" t="s">
        <v>8206</v>
      </c>
    </row>
    <row r="3031" spans="1:13" x14ac:dyDescent="0.45">
      <c r="A3031" t="s">
        <v>13</v>
      </c>
      <c r="B3031">
        <v>3318919</v>
      </c>
      <c r="C3031">
        <v>3319794</v>
      </c>
      <c r="E3031" t="s">
        <v>96</v>
      </c>
      <c r="F3031" t="s">
        <v>8207</v>
      </c>
      <c r="G3031" t="s">
        <v>8208</v>
      </c>
      <c r="H3031">
        <v>0</v>
      </c>
      <c r="I3031" t="s">
        <v>17</v>
      </c>
      <c r="K3031" t="s">
        <v>8209</v>
      </c>
      <c r="L3031">
        <v>291</v>
      </c>
      <c r="M3031" t="s">
        <v>8210</v>
      </c>
    </row>
    <row r="3032" spans="1:13" x14ac:dyDescent="0.45">
      <c r="A3032" t="s">
        <v>13</v>
      </c>
      <c r="B3032">
        <v>3319870</v>
      </c>
      <c r="C3032">
        <v>3321261</v>
      </c>
      <c r="E3032" t="s">
        <v>96</v>
      </c>
      <c r="F3032" t="s">
        <v>8211</v>
      </c>
      <c r="H3032">
        <v>0</v>
      </c>
      <c r="I3032" t="s">
        <v>17</v>
      </c>
      <c r="K3032" t="s">
        <v>8212</v>
      </c>
      <c r="L3032">
        <v>463</v>
      </c>
      <c r="M3032" t="s">
        <v>8213</v>
      </c>
    </row>
    <row r="3033" spans="1:13" x14ac:dyDescent="0.45">
      <c r="A3033" t="s">
        <v>13</v>
      </c>
      <c r="B3033">
        <v>3321265</v>
      </c>
      <c r="C3033">
        <v>3322401</v>
      </c>
      <c r="E3033" t="s">
        <v>96</v>
      </c>
      <c r="F3033" t="s">
        <v>8214</v>
      </c>
      <c r="H3033">
        <v>0</v>
      </c>
      <c r="I3033" t="s">
        <v>17</v>
      </c>
      <c r="K3033" t="s">
        <v>8215</v>
      </c>
      <c r="L3033">
        <v>378</v>
      </c>
      <c r="M3033" t="s">
        <v>8216</v>
      </c>
    </row>
    <row r="3034" spans="1:13" x14ac:dyDescent="0.45">
      <c r="A3034" t="s">
        <v>13</v>
      </c>
      <c r="B3034">
        <v>3322433</v>
      </c>
      <c r="C3034">
        <v>3322978</v>
      </c>
      <c r="E3034" t="s">
        <v>96</v>
      </c>
      <c r="F3034" t="s">
        <v>8217</v>
      </c>
      <c r="H3034">
        <v>0</v>
      </c>
      <c r="I3034" t="s">
        <v>17</v>
      </c>
      <c r="K3034" t="s">
        <v>8218</v>
      </c>
      <c r="L3034">
        <v>181</v>
      </c>
      <c r="M3034" t="s">
        <v>8219</v>
      </c>
    </row>
    <row r="3035" spans="1:13" x14ac:dyDescent="0.45">
      <c r="A3035" t="s">
        <v>13</v>
      </c>
      <c r="B3035">
        <v>3323302</v>
      </c>
      <c r="C3035">
        <v>3324081</v>
      </c>
      <c r="E3035" t="s">
        <v>14</v>
      </c>
      <c r="F3035" t="s">
        <v>43</v>
      </c>
      <c r="H3035">
        <v>0</v>
      </c>
      <c r="I3035" t="s">
        <v>17</v>
      </c>
      <c r="K3035" t="s">
        <v>8220</v>
      </c>
      <c r="L3035">
        <v>259</v>
      </c>
      <c r="M3035" t="s">
        <v>8221</v>
      </c>
    </row>
    <row r="3036" spans="1:13" x14ac:dyDescent="0.45">
      <c r="A3036" t="s">
        <v>13</v>
      </c>
      <c r="B3036">
        <v>3324537</v>
      </c>
      <c r="C3036">
        <v>3324965</v>
      </c>
      <c r="E3036" t="s">
        <v>96</v>
      </c>
      <c r="F3036" t="s">
        <v>5859</v>
      </c>
      <c r="H3036">
        <v>0</v>
      </c>
      <c r="I3036" t="s">
        <v>17</v>
      </c>
      <c r="K3036" t="s">
        <v>8222</v>
      </c>
      <c r="L3036">
        <v>142</v>
      </c>
      <c r="M3036" t="s">
        <v>8223</v>
      </c>
    </row>
    <row r="3037" spans="1:13" x14ac:dyDescent="0.45">
      <c r="A3037" t="s">
        <v>13</v>
      </c>
      <c r="B3037">
        <v>3326956</v>
      </c>
      <c r="C3037">
        <v>3327222</v>
      </c>
      <c r="E3037" t="s">
        <v>96</v>
      </c>
      <c r="F3037" t="s">
        <v>8224</v>
      </c>
      <c r="G3037" t="s">
        <v>8225</v>
      </c>
      <c r="H3037">
        <v>0</v>
      </c>
      <c r="I3037" t="s">
        <v>17</v>
      </c>
      <c r="K3037" t="s">
        <v>8226</v>
      </c>
      <c r="L3037">
        <v>88</v>
      </c>
      <c r="M3037" t="s">
        <v>8227</v>
      </c>
    </row>
    <row r="3038" spans="1:13" x14ac:dyDescent="0.45">
      <c r="A3038" t="s">
        <v>13</v>
      </c>
      <c r="B3038">
        <v>3327225</v>
      </c>
      <c r="C3038">
        <v>3328205</v>
      </c>
      <c r="E3038" t="s">
        <v>96</v>
      </c>
      <c r="F3038" t="s">
        <v>8228</v>
      </c>
      <c r="G3038" t="s">
        <v>8229</v>
      </c>
      <c r="H3038">
        <v>0</v>
      </c>
      <c r="I3038" t="s">
        <v>17</v>
      </c>
      <c r="K3038" t="s">
        <v>8230</v>
      </c>
      <c r="L3038">
        <v>326</v>
      </c>
      <c r="M3038" t="s">
        <v>8231</v>
      </c>
    </row>
    <row r="3039" spans="1:13" x14ac:dyDescent="0.45">
      <c r="A3039" t="s">
        <v>13</v>
      </c>
      <c r="B3039">
        <v>3328208</v>
      </c>
      <c r="C3039">
        <v>3328777</v>
      </c>
      <c r="E3039" t="s">
        <v>96</v>
      </c>
      <c r="F3039" t="s">
        <v>8232</v>
      </c>
      <c r="G3039" t="s">
        <v>8233</v>
      </c>
      <c r="H3039">
        <v>0</v>
      </c>
      <c r="I3039" t="s">
        <v>17</v>
      </c>
      <c r="K3039" t="s">
        <v>8234</v>
      </c>
      <c r="L3039">
        <v>189</v>
      </c>
      <c r="M3039" t="s">
        <v>8235</v>
      </c>
    </row>
    <row r="3040" spans="1:13" x14ac:dyDescent="0.45">
      <c r="A3040" t="s">
        <v>13</v>
      </c>
      <c r="B3040">
        <v>3328774</v>
      </c>
      <c r="C3040">
        <v>3331095</v>
      </c>
      <c r="E3040" t="s">
        <v>96</v>
      </c>
      <c r="F3040" t="s">
        <v>6927</v>
      </c>
      <c r="H3040">
        <v>0</v>
      </c>
      <c r="I3040" t="s">
        <v>17</v>
      </c>
      <c r="K3040" t="s">
        <v>8236</v>
      </c>
      <c r="L3040">
        <v>773</v>
      </c>
      <c r="M3040" t="s">
        <v>8237</v>
      </c>
    </row>
    <row r="3041" spans="1:13" x14ac:dyDescent="0.45">
      <c r="A3041" t="s">
        <v>13</v>
      </c>
      <c r="B3041">
        <v>3331106</v>
      </c>
      <c r="C3041">
        <v>3331807</v>
      </c>
      <c r="E3041" t="s">
        <v>96</v>
      </c>
      <c r="F3041" t="s">
        <v>8238</v>
      </c>
      <c r="G3041" t="s">
        <v>8239</v>
      </c>
      <c r="H3041">
        <v>0</v>
      </c>
      <c r="I3041" t="s">
        <v>17</v>
      </c>
      <c r="K3041" t="s">
        <v>8240</v>
      </c>
      <c r="L3041">
        <v>233</v>
      </c>
      <c r="M3041" t="s">
        <v>8241</v>
      </c>
    </row>
    <row r="3042" spans="1:13" x14ac:dyDescent="0.45">
      <c r="A3042" t="s">
        <v>13</v>
      </c>
      <c r="B3042">
        <v>3331809</v>
      </c>
      <c r="C3042">
        <v>3332723</v>
      </c>
      <c r="E3042" t="s">
        <v>96</v>
      </c>
      <c r="F3042" t="s">
        <v>8242</v>
      </c>
      <c r="G3042" t="s">
        <v>8243</v>
      </c>
      <c r="H3042">
        <v>0</v>
      </c>
      <c r="I3042" t="s">
        <v>17</v>
      </c>
      <c r="K3042" t="s">
        <v>8244</v>
      </c>
      <c r="L3042">
        <v>304</v>
      </c>
      <c r="M3042" t="s">
        <v>8245</v>
      </c>
    </row>
    <row r="3043" spans="1:13" x14ac:dyDescent="0.45">
      <c r="A3043" t="s">
        <v>13</v>
      </c>
      <c r="B3043">
        <v>3332725</v>
      </c>
      <c r="C3043">
        <v>3334602</v>
      </c>
      <c r="E3043" t="s">
        <v>96</v>
      </c>
      <c r="F3043" t="s">
        <v>8246</v>
      </c>
      <c r="G3043" t="s">
        <v>8247</v>
      </c>
      <c r="H3043">
        <v>0</v>
      </c>
      <c r="I3043" t="s">
        <v>17</v>
      </c>
      <c r="K3043" t="s">
        <v>8248</v>
      </c>
      <c r="L3043">
        <v>625</v>
      </c>
      <c r="M3043" t="s">
        <v>8249</v>
      </c>
    </row>
    <row r="3044" spans="1:13" x14ac:dyDescent="0.45">
      <c r="A3044" t="s">
        <v>13</v>
      </c>
      <c r="B3044">
        <v>3334608</v>
      </c>
      <c r="C3044">
        <v>3335345</v>
      </c>
      <c r="E3044" t="s">
        <v>96</v>
      </c>
      <c r="F3044" t="s">
        <v>6939</v>
      </c>
      <c r="G3044" t="s">
        <v>6940</v>
      </c>
      <c r="H3044">
        <v>0</v>
      </c>
      <c r="I3044" t="s">
        <v>17</v>
      </c>
      <c r="K3044" t="s">
        <v>8250</v>
      </c>
      <c r="L3044">
        <v>245</v>
      </c>
      <c r="M3044" t="s">
        <v>8251</v>
      </c>
    </row>
    <row r="3045" spans="1:13" x14ac:dyDescent="0.45">
      <c r="A3045" t="s">
        <v>13</v>
      </c>
      <c r="B3045">
        <v>3335423</v>
      </c>
      <c r="C3045">
        <v>3336340</v>
      </c>
      <c r="E3045" t="s">
        <v>96</v>
      </c>
      <c r="F3045" t="s">
        <v>1432</v>
      </c>
      <c r="H3045">
        <v>0</v>
      </c>
      <c r="I3045" t="s">
        <v>17</v>
      </c>
      <c r="K3045" t="s">
        <v>8252</v>
      </c>
      <c r="L3045">
        <v>305</v>
      </c>
      <c r="M3045" t="s">
        <v>8253</v>
      </c>
    </row>
    <row r="3046" spans="1:13" x14ac:dyDescent="0.45">
      <c r="A3046" t="s">
        <v>13</v>
      </c>
      <c r="B3046">
        <v>3336619</v>
      </c>
      <c r="C3046">
        <v>3338535</v>
      </c>
      <c r="E3046" t="s">
        <v>96</v>
      </c>
      <c r="F3046" t="s">
        <v>1143</v>
      </c>
      <c r="H3046">
        <v>0</v>
      </c>
      <c r="I3046" t="s">
        <v>17</v>
      </c>
      <c r="K3046" t="s">
        <v>8254</v>
      </c>
      <c r="L3046">
        <v>638</v>
      </c>
      <c r="M3046" t="s">
        <v>8255</v>
      </c>
    </row>
    <row r="3047" spans="1:13" x14ac:dyDescent="0.45">
      <c r="A3047" t="s">
        <v>13</v>
      </c>
      <c r="B3047">
        <v>3338535</v>
      </c>
      <c r="C3047">
        <v>3339281</v>
      </c>
      <c r="E3047" t="s">
        <v>96</v>
      </c>
      <c r="F3047" t="s">
        <v>1140</v>
      </c>
      <c r="H3047">
        <v>0</v>
      </c>
      <c r="I3047" t="s">
        <v>17</v>
      </c>
      <c r="K3047" t="s">
        <v>8256</v>
      </c>
      <c r="L3047">
        <v>248</v>
      </c>
      <c r="M3047" t="s">
        <v>8257</v>
      </c>
    </row>
    <row r="3048" spans="1:13" x14ac:dyDescent="0.45">
      <c r="A3048" t="s">
        <v>13</v>
      </c>
      <c r="B3048">
        <v>3339385</v>
      </c>
      <c r="C3048">
        <v>3340236</v>
      </c>
      <c r="E3048" t="s">
        <v>96</v>
      </c>
      <c r="F3048" t="s">
        <v>3654</v>
      </c>
      <c r="H3048">
        <v>0</v>
      </c>
      <c r="I3048" t="s">
        <v>17</v>
      </c>
      <c r="K3048" t="s">
        <v>8258</v>
      </c>
      <c r="L3048">
        <v>283</v>
      </c>
      <c r="M3048" t="s">
        <v>8259</v>
      </c>
    </row>
    <row r="3049" spans="1:13" x14ac:dyDescent="0.45">
      <c r="A3049" t="s">
        <v>13</v>
      </c>
      <c r="B3049">
        <v>3340484</v>
      </c>
      <c r="C3049">
        <v>3341257</v>
      </c>
      <c r="E3049" t="s">
        <v>96</v>
      </c>
      <c r="F3049" t="s">
        <v>1509</v>
      </c>
      <c r="H3049">
        <v>0</v>
      </c>
      <c r="I3049" t="s">
        <v>17</v>
      </c>
      <c r="K3049" t="s">
        <v>8260</v>
      </c>
      <c r="L3049">
        <v>257</v>
      </c>
      <c r="M3049" t="s">
        <v>8261</v>
      </c>
    </row>
    <row r="3050" spans="1:13" x14ac:dyDescent="0.45">
      <c r="A3050" t="s">
        <v>13</v>
      </c>
      <c r="B3050">
        <v>3341498</v>
      </c>
      <c r="C3050">
        <v>3342190</v>
      </c>
      <c r="E3050" t="s">
        <v>96</v>
      </c>
      <c r="F3050" t="s">
        <v>1222</v>
      </c>
      <c r="H3050">
        <v>0</v>
      </c>
      <c r="I3050" t="s">
        <v>17</v>
      </c>
      <c r="K3050" t="s">
        <v>8262</v>
      </c>
      <c r="L3050">
        <v>230</v>
      </c>
      <c r="M3050" t="s">
        <v>8263</v>
      </c>
    </row>
    <row r="3051" spans="1:13" x14ac:dyDescent="0.45">
      <c r="A3051" t="s">
        <v>13</v>
      </c>
      <c r="B3051">
        <v>3342504</v>
      </c>
      <c r="C3051">
        <v>3343463</v>
      </c>
      <c r="E3051" t="s">
        <v>96</v>
      </c>
      <c r="F3051" t="s">
        <v>2510</v>
      </c>
      <c r="H3051">
        <v>0</v>
      </c>
      <c r="I3051" t="s">
        <v>17</v>
      </c>
      <c r="K3051" t="s">
        <v>8264</v>
      </c>
      <c r="L3051">
        <v>319</v>
      </c>
      <c r="M3051" t="s">
        <v>8265</v>
      </c>
    </row>
    <row r="3052" spans="1:13" x14ac:dyDescent="0.45">
      <c r="A3052" t="s">
        <v>13</v>
      </c>
      <c r="B3052">
        <v>3343496</v>
      </c>
      <c r="C3052">
        <v>3344374</v>
      </c>
      <c r="E3052" t="s">
        <v>96</v>
      </c>
      <c r="F3052" t="s">
        <v>1140</v>
      </c>
      <c r="H3052">
        <v>0</v>
      </c>
      <c r="I3052" t="s">
        <v>17</v>
      </c>
      <c r="K3052" t="s">
        <v>8266</v>
      </c>
      <c r="L3052">
        <v>292</v>
      </c>
      <c r="M3052" t="s">
        <v>8267</v>
      </c>
    </row>
    <row r="3053" spans="1:13" x14ac:dyDescent="0.45">
      <c r="A3053" t="s">
        <v>13</v>
      </c>
      <c r="B3053">
        <v>3344367</v>
      </c>
      <c r="C3053">
        <v>3345149</v>
      </c>
      <c r="E3053" t="s">
        <v>96</v>
      </c>
      <c r="F3053" t="s">
        <v>1143</v>
      </c>
      <c r="H3053">
        <v>0</v>
      </c>
      <c r="I3053" t="s">
        <v>17</v>
      </c>
      <c r="K3053" t="s">
        <v>8268</v>
      </c>
      <c r="L3053">
        <v>260</v>
      </c>
      <c r="M3053" t="s">
        <v>8269</v>
      </c>
    </row>
    <row r="3054" spans="1:13" x14ac:dyDescent="0.45">
      <c r="A3054" t="s">
        <v>13</v>
      </c>
      <c r="B3054">
        <v>3345150</v>
      </c>
      <c r="C3054">
        <v>3345779</v>
      </c>
      <c r="E3054" t="s">
        <v>96</v>
      </c>
      <c r="F3054" t="s">
        <v>43</v>
      </c>
      <c r="H3054">
        <v>0</v>
      </c>
      <c r="I3054" t="s">
        <v>17</v>
      </c>
      <c r="K3054" t="s">
        <v>8270</v>
      </c>
      <c r="L3054">
        <v>209</v>
      </c>
      <c r="M3054" t="s">
        <v>8271</v>
      </c>
    </row>
    <row r="3055" spans="1:13" x14ac:dyDescent="0.45">
      <c r="A3055" t="s">
        <v>13</v>
      </c>
      <c r="B3055">
        <v>3346174</v>
      </c>
      <c r="C3055">
        <v>3346800</v>
      </c>
      <c r="E3055" t="s">
        <v>96</v>
      </c>
      <c r="F3055" t="s">
        <v>1427</v>
      </c>
      <c r="H3055">
        <v>0</v>
      </c>
      <c r="I3055" t="s">
        <v>17</v>
      </c>
      <c r="K3055" t="s">
        <v>8272</v>
      </c>
      <c r="L3055">
        <v>208</v>
      </c>
      <c r="M3055" t="s">
        <v>8273</v>
      </c>
    </row>
    <row r="3056" spans="1:13" x14ac:dyDescent="0.45">
      <c r="A3056" t="s">
        <v>13</v>
      </c>
      <c r="B3056">
        <v>3346876</v>
      </c>
      <c r="C3056">
        <v>3347847</v>
      </c>
      <c r="E3056" t="s">
        <v>96</v>
      </c>
      <c r="F3056" t="s">
        <v>8274</v>
      </c>
      <c r="G3056" t="s">
        <v>8275</v>
      </c>
      <c r="H3056">
        <v>0</v>
      </c>
      <c r="I3056" t="s">
        <v>17</v>
      </c>
      <c r="K3056" t="s">
        <v>8276</v>
      </c>
      <c r="L3056">
        <v>323</v>
      </c>
      <c r="M3056" t="s">
        <v>8277</v>
      </c>
    </row>
    <row r="3057" spans="1:13" x14ac:dyDescent="0.45">
      <c r="A3057" t="s">
        <v>13</v>
      </c>
      <c r="B3057">
        <v>3347860</v>
      </c>
      <c r="C3057">
        <v>3349959</v>
      </c>
      <c r="E3057" t="s">
        <v>96</v>
      </c>
      <c r="F3057" t="s">
        <v>8278</v>
      </c>
      <c r="G3057" t="s">
        <v>8279</v>
      </c>
      <c r="H3057">
        <v>0</v>
      </c>
      <c r="I3057" t="s">
        <v>17</v>
      </c>
      <c r="K3057" t="s">
        <v>8280</v>
      </c>
      <c r="L3057">
        <v>699</v>
      </c>
      <c r="M3057" t="s">
        <v>8281</v>
      </c>
    </row>
    <row r="3058" spans="1:13" x14ac:dyDescent="0.45">
      <c r="A3058" t="s">
        <v>13</v>
      </c>
      <c r="B3058">
        <v>3350437</v>
      </c>
      <c r="C3058">
        <v>3351162</v>
      </c>
      <c r="E3058" t="s">
        <v>14</v>
      </c>
      <c r="F3058" t="s">
        <v>7638</v>
      </c>
      <c r="H3058">
        <v>0</v>
      </c>
      <c r="I3058" t="s">
        <v>17</v>
      </c>
      <c r="K3058" t="s">
        <v>8282</v>
      </c>
      <c r="L3058">
        <v>241</v>
      </c>
      <c r="M3058" t="s">
        <v>8283</v>
      </c>
    </row>
    <row r="3059" spans="1:13" x14ac:dyDescent="0.45">
      <c r="A3059" t="s">
        <v>13</v>
      </c>
      <c r="B3059">
        <v>3351282</v>
      </c>
      <c r="C3059">
        <v>3352478</v>
      </c>
      <c r="E3059" t="s">
        <v>96</v>
      </c>
      <c r="F3059" t="s">
        <v>1140</v>
      </c>
      <c r="H3059">
        <v>0</v>
      </c>
      <c r="I3059" t="s">
        <v>17</v>
      </c>
      <c r="K3059" t="s">
        <v>8284</v>
      </c>
      <c r="L3059">
        <v>398</v>
      </c>
      <c r="M3059" t="s">
        <v>8285</v>
      </c>
    </row>
    <row r="3060" spans="1:13" x14ac:dyDescent="0.45">
      <c r="A3060" t="s">
        <v>13</v>
      </c>
      <c r="B3060">
        <v>3352481</v>
      </c>
      <c r="C3060">
        <v>3352723</v>
      </c>
      <c r="E3060" t="s">
        <v>96</v>
      </c>
      <c r="F3060" t="s">
        <v>4717</v>
      </c>
      <c r="H3060">
        <v>0</v>
      </c>
      <c r="I3060" t="s">
        <v>17</v>
      </c>
      <c r="K3060" t="s">
        <v>8286</v>
      </c>
      <c r="L3060">
        <v>80</v>
      </c>
      <c r="M3060" t="s">
        <v>8287</v>
      </c>
    </row>
    <row r="3061" spans="1:13" x14ac:dyDescent="0.45">
      <c r="A3061" t="s">
        <v>13</v>
      </c>
      <c r="B3061">
        <v>3352788</v>
      </c>
      <c r="C3061">
        <v>3353906</v>
      </c>
      <c r="E3061" t="s">
        <v>96</v>
      </c>
      <c r="F3061" t="s">
        <v>1370</v>
      </c>
      <c r="G3061" t="s">
        <v>1371</v>
      </c>
      <c r="H3061">
        <v>0</v>
      </c>
      <c r="I3061" t="s">
        <v>17</v>
      </c>
      <c r="K3061" t="s">
        <v>8288</v>
      </c>
      <c r="L3061">
        <v>372</v>
      </c>
      <c r="M3061" t="s">
        <v>8289</v>
      </c>
    </row>
    <row r="3062" spans="1:13" x14ac:dyDescent="0.45">
      <c r="A3062" t="s">
        <v>13</v>
      </c>
      <c r="B3062">
        <v>3353908</v>
      </c>
      <c r="C3062">
        <v>3354006</v>
      </c>
      <c r="E3062" t="s">
        <v>96</v>
      </c>
      <c r="F3062" t="s">
        <v>271</v>
      </c>
      <c r="H3062">
        <v>0</v>
      </c>
      <c r="I3062" t="s">
        <v>272</v>
      </c>
      <c r="M3062" t="s">
        <v>8290</v>
      </c>
    </row>
    <row r="3063" spans="1:13" x14ac:dyDescent="0.45">
      <c r="A3063" t="s">
        <v>13</v>
      </c>
      <c r="B3063">
        <v>3354637</v>
      </c>
      <c r="C3063">
        <v>3355482</v>
      </c>
      <c r="E3063" t="s">
        <v>96</v>
      </c>
      <c r="F3063" t="s">
        <v>8128</v>
      </c>
      <c r="H3063">
        <v>0</v>
      </c>
      <c r="I3063" t="s">
        <v>17</v>
      </c>
      <c r="K3063" t="s">
        <v>8291</v>
      </c>
      <c r="L3063">
        <v>281</v>
      </c>
      <c r="M3063" t="s">
        <v>8292</v>
      </c>
    </row>
    <row r="3064" spans="1:13" x14ac:dyDescent="0.45">
      <c r="A3064" t="s">
        <v>13</v>
      </c>
      <c r="B3064">
        <v>3355554</v>
      </c>
      <c r="C3064">
        <v>3356684</v>
      </c>
      <c r="E3064" t="s">
        <v>96</v>
      </c>
      <c r="F3064" t="s">
        <v>2510</v>
      </c>
      <c r="H3064">
        <v>0</v>
      </c>
      <c r="I3064" t="s">
        <v>17</v>
      </c>
      <c r="K3064" t="s">
        <v>8293</v>
      </c>
      <c r="L3064">
        <v>376</v>
      </c>
      <c r="M3064" t="s">
        <v>8294</v>
      </c>
    </row>
    <row r="3065" spans="1:13" x14ac:dyDescent="0.45">
      <c r="A3065" t="s">
        <v>13</v>
      </c>
      <c r="B3065">
        <v>3357146</v>
      </c>
      <c r="C3065">
        <v>3358039</v>
      </c>
      <c r="E3065" t="s">
        <v>96</v>
      </c>
      <c r="F3065" t="s">
        <v>8295</v>
      </c>
      <c r="H3065">
        <v>0</v>
      </c>
      <c r="I3065" t="s">
        <v>17</v>
      </c>
      <c r="K3065" t="s">
        <v>8296</v>
      </c>
      <c r="L3065">
        <v>297</v>
      </c>
      <c r="M3065" t="s">
        <v>8297</v>
      </c>
    </row>
    <row r="3066" spans="1:13" x14ac:dyDescent="0.45">
      <c r="A3066" t="s">
        <v>13</v>
      </c>
      <c r="B3066">
        <v>3358119</v>
      </c>
      <c r="C3066">
        <v>3359021</v>
      </c>
      <c r="E3066" t="s">
        <v>96</v>
      </c>
      <c r="F3066" t="s">
        <v>2471</v>
      </c>
      <c r="H3066">
        <v>0</v>
      </c>
      <c r="I3066" t="s">
        <v>17</v>
      </c>
      <c r="K3066" t="s">
        <v>8298</v>
      </c>
      <c r="L3066">
        <v>300</v>
      </c>
      <c r="M3066" t="s">
        <v>8299</v>
      </c>
    </row>
    <row r="3067" spans="1:13" x14ac:dyDescent="0.45">
      <c r="A3067" t="s">
        <v>13</v>
      </c>
      <c r="B3067">
        <v>3359071</v>
      </c>
      <c r="C3067">
        <v>3360231</v>
      </c>
      <c r="E3067" t="s">
        <v>96</v>
      </c>
      <c r="F3067" t="s">
        <v>8115</v>
      </c>
      <c r="H3067">
        <v>0</v>
      </c>
      <c r="I3067" t="s">
        <v>17</v>
      </c>
      <c r="K3067" t="s">
        <v>8300</v>
      </c>
      <c r="L3067">
        <v>386</v>
      </c>
      <c r="M3067" t="s">
        <v>8301</v>
      </c>
    </row>
    <row r="3068" spans="1:13" x14ac:dyDescent="0.45">
      <c r="A3068" t="s">
        <v>13</v>
      </c>
      <c r="B3068">
        <v>3360387</v>
      </c>
      <c r="C3068">
        <v>3360692</v>
      </c>
      <c r="E3068" t="s">
        <v>96</v>
      </c>
      <c r="F3068" t="s">
        <v>8115</v>
      </c>
      <c r="H3068">
        <v>0</v>
      </c>
      <c r="I3068" t="s">
        <v>17</v>
      </c>
      <c r="K3068" t="s">
        <v>8302</v>
      </c>
      <c r="L3068">
        <v>101</v>
      </c>
      <c r="M3068" t="s">
        <v>8303</v>
      </c>
    </row>
    <row r="3069" spans="1:13" x14ac:dyDescent="0.45">
      <c r="A3069" t="s">
        <v>13</v>
      </c>
      <c r="B3069">
        <v>3360790</v>
      </c>
      <c r="C3069">
        <v>3361764</v>
      </c>
      <c r="E3069" t="s">
        <v>96</v>
      </c>
      <c r="F3069" t="s">
        <v>8112</v>
      </c>
      <c r="H3069">
        <v>0</v>
      </c>
      <c r="I3069" t="s">
        <v>17</v>
      </c>
      <c r="K3069" t="s">
        <v>8304</v>
      </c>
      <c r="L3069">
        <v>324</v>
      </c>
      <c r="M3069" t="s">
        <v>8305</v>
      </c>
    </row>
    <row r="3070" spans="1:13" x14ac:dyDescent="0.45">
      <c r="A3070" t="s">
        <v>13</v>
      </c>
      <c r="B3070">
        <v>3362347</v>
      </c>
      <c r="C3070">
        <v>3363123</v>
      </c>
      <c r="E3070" t="s">
        <v>14</v>
      </c>
      <c r="F3070" t="s">
        <v>6850</v>
      </c>
      <c r="H3070">
        <v>0</v>
      </c>
      <c r="I3070" t="s">
        <v>17</v>
      </c>
      <c r="K3070" t="s">
        <v>8306</v>
      </c>
      <c r="L3070">
        <v>258</v>
      </c>
      <c r="M3070" t="s">
        <v>8307</v>
      </c>
    </row>
    <row r="3071" spans="1:13" x14ac:dyDescent="0.45">
      <c r="A3071" t="s">
        <v>13</v>
      </c>
      <c r="B3071">
        <v>3363456</v>
      </c>
      <c r="C3071">
        <v>3364601</v>
      </c>
      <c r="E3071" t="s">
        <v>14</v>
      </c>
      <c r="F3071" t="s">
        <v>1084</v>
      </c>
      <c r="H3071">
        <v>0</v>
      </c>
      <c r="I3071" t="s">
        <v>17</v>
      </c>
      <c r="K3071" t="s">
        <v>8308</v>
      </c>
      <c r="L3071">
        <v>381</v>
      </c>
      <c r="M3071" t="s">
        <v>8309</v>
      </c>
    </row>
    <row r="3072" spans="1:13" x14ac:dyDescent="0.45">
      <c r="A3072" t="s">
        <v>13</v>
      </c>
      <c r="B3072">
        <v>3364756</v>
      </c>
      <c r="C3072">
        <v>3365625</v>
      </c>
      <c r="E3072" t="s">
        <v>96</v>
      </c>
      <c r="F3072" t="s">
        <v>8193</v>
      </c>
      <c r="H3072">
        <v>0</v>
      </c>
      <c r="I3072" t="s">
        <v>17</v>
      </c>
      <c r="K3072" t="s">
        <v>8310</v>
      </c>
      <c r="L3072">
        <v>289</v>
      </c>
      <c r="M3072" t="s">
        <v>8311</v>
      </c>
    </row>
    <row r="3073" spans="1:13" x14ac:dyDescent="0.45">
      <c r="A3073" t="s">
        <v>13</v>
      </c>
      <c r="B3073">
        <v>3365743</v>
      </c>
      <c r="C3073">
        <v>3366165</v>
      </c>
      <c r="E3073" t="s">
        <v>96</v>
      </c>
      <c r="F3073" t="s">
        <v>8312</v>
      </c>
      <c r="H3073">
        <v>0</v>
      </c>
      <c r="I3073" t="s">
        <v>17</v>
      </c>
      <c r="K3073" t="s">
        <v>8313</v>
      </c>
      <c r="L3073">
        <v>140</v>
      </c>
      <c r="M3073" t="s">
        <v>8314</v>
      </c>
    </row>
    <row r="3074" spans="1:13" x14ac:dyDescent="0.45">
      <c r="A3074" t="s">
        <v>13</v>
      </c>
      <c r="B3074">
        <v>3366280</v>
      </c>
      <c r="C3074">
        <v>3366456</v>
      </c>
      <c r="E3074" t="s">
        <v>96</v>
      </c>
      <c r="F3074" t="s">
        <v>271</v>
      </c>
      <c r="H3074">
        <v>0</v>
      </c>
      <c r="I3074" t="s">
        <v>272</v>
      </c>
      <c r="M3074" t="s">
        <v>8315</v>
      </c>
    </row>
    <row r="3075" spans="1:13" x14ac:dyDescent="0.45">
      <c r="A3075" t="s">
        <v>13</v>
      </c>
      <c r="B3075">
        <v>3366827</v>
      </c>
      <c r="C3075">
        <v>3368215</v>
      </c>
      <c r="E3075" t="s">
        <v>96</v>
      </c>
      <c r="F3075" t="s">
        <v>8316</v>
      </c>
      <c r="H3075">
        <v>0</v>
      </c>
      <c r="I3075" t="s">
        <v>17</v>
      </c>
      <c r="K3075" t="s">
        <v>8317</v>
      </c>
      <c r="L3075">
        <v>462</v>
      </c>
      <c r="M3075" t="s">
        <v>8318</v>
      </c>
    </row>
    <row r="3076" spans="1:13" x14ac:dyDescent="0.45">
      <c r="A3076" t="s">
        <v>13</v>
      </c>
      <c r="B3076">
        <v>3368336</v>
      </c>
      <c r="C3076">
        <v>3369613</v>
      </c>
      <c r="E3076" t="s">
        <v>96</v>
      </c>
      <c r="F3076" t="s">
        <v>8319</v>
      </c>
      <c r="H3076">
        <v>0</v>
      </c>
      <c r="I3076" t="s">
        <v>17</v>
      </c>
      <c r="K3076" t="s">
        <v>8320</v>
      </c>
      <c r="L3076">
        <v>425</v>
      </c>
      <c r="M3076" t="s">
        <v>8321</v>
      </c>
    </row>
    <row r="3077" spans="1:13" x14ac:dyDescent="0.45">
      <c r="A3077" t="s">
        <v>13</v>
      </c>
      <c r="B3077">
        <v>3369750</v>
      </c>
      <c r="C3077">
        <v>3370085</v>
      </c>
      <c r="E3077" t="s">
        <v>96</v>
      </c>
      <c r="F3077" t="s">
        <v>1096</v>
      </c>
      <c r="H3077">
        <v>0</v>
      </c>
      <c r="I3077" t="s">
        <v>17</v>
      </c>
      <c r="K3077" t="s">
        <v>8322</v>
      </c>
      <c r="L3077">
        <v>111</v>
      </c>
      <c r="M3077" t="s">
        <v>8323</v>
      </c>
    </row>
    <row r="3078" spans="1:13" x14ac:dyDescent="0.45">
      <c r="A3078" t="s">
        <v>13</v>
      </c>
      <c r="B3078">
        <v>3370554</v>
      </c>
      <c r="C3078">
        <v>3373154</v>
      </c>
      <c r="E3078" t="s">
        <v>96</v>
      </c>
      <c r="F3078" t="s">
        <v>8324</v>
      </c>
      <c r="H3078">
        <v>0</v>
      </c>
      <c r="I3078" t="s">
        <v>17</v>
      </c>
      <c r="K3078" t="s">
        <v>8325</v>
      </c>
      <c r="L3078">
        <v>866</v>
      </c>
      <c r="M3078" t="s">
        <v>8326</v>
      </c>
    </row>
    <row r="3079" spans="1:13" x14ac:dyDescent="0.45">
      <c r="A3079" t="s">
        <v>13</v>
      </c>
      <c r="B3079">
        <v>3373274</v>
      </c>
      <c r="C3079">
        <v>3374374</v>
      </c>
      <c r="E3079" t="s">
        <v>96</v>
      </c>
      <c r="F3079" t="s">
        <v>7032</v>
      </c>
      <c r="H3079">
        <v>0</v>
      </c>
      <c r="I3079" t="s">
        <v>17</v>
      </c>
      <c r="K3079" t="s">
        <v>8327</v>
      </c>
      <c r="L3079">
        <v>366</v>
      </c>
      <c r="M3079" t="s">
        <v>8328</v>
      </c>
    </row>
    <row r="3080" spans="1:13" x14ac:dyDescent="0.45">
      <c r="A3080" t="s">
        <v>13</v>
      </c>
      <c r="B3080">
        <v>3374390</v>
      </c>
      <c r="C3080">
        <v>3374710</v>
      </c>
      <c r="E3080" t="s">
        <v>96</v>
      </c>
      <c r="F3080" t="s">
        <v>7035</v>
      </c>
      <c r="H3080">
        <v>0</v>
      </c>
      <c r="I3080" t="s">
        <v>17</v>
      </c>
      <c r="K3080" t="s">
        <v>8329</v>
      </c>
      <c r="L3080">
        <v>106</v>
      </c>
      <c r="M3080" t="s">
        <v>8330</v>
      </c>
    </row>
    <row r="3081" spans="1:13" x14ac:dyDescent="0.45">
      <c r="A3081" t="s">
        <v>13</v>
      </c>
      <c r="B3081">
        <v>3374713</v>
      </c>
      <c r="C3081">
        <v>3375174</v>
      </c>
      <c r="E3081" t="s">
        <v>96</v>
      </c>
      <c r="F3081" t="s">
        <v>227</v>
      </c>
      <c r="H3081">
        <v>0</v>
      </c>
      <c r="I3081" t="s">
        <v>17</v>
      </c>
      <c r="K3081" t="s">
        <v>8331</v>
      </c>
      <c r="L3081">
        <v>153</v>
      </c>
      <c r="M3081" t="s">
        <v>8332</v>
      </c>
    </row>
    <row r="3082" spans="1:13" x14ac:dyDescent="0.45">
      <c r="A3082" t="s">
        <v>13</v>
      </c>
      <c r="B3082">
        <v>3375174</v>
      </c>
      <c r="C3082">
        <v>3377138</v>
      </c>
      <c r="E3082" t="s">
        <v>96</v>
      </c>
      <c r="F3082" t="s">
        <v>613</v>
      </c>
      <c r="H3082">
        <v>0</v>
      </c>
      <c r="I3082" t="s">
        <v>17</v>
      </c>
      <c r="K3082" t="s">
        <v>8333</v>
      </c>
      <c r="L3082">
        <v>654</v>
      </c>
      <c r="M3082" t="s">
        <v>8334</v>
      </c>
    </row>
    <row r="3083" spans="1:13" x14ac:dyDescent="0.45">
      <c r="A3083" t="s">
        <v>13</v>
      </c>
      <c r="B3083">
        <v>3377286</v>
      </c>
      <c r="C3083">
        <v>3378158</v>
      </c>
      <c r="E3083" t="s">
        <v>14</v>
      </c>
      <c r="F3083" t="s">
        <v>1308</v>
      </c>
      <c r="H3083">
        <v>0</v>
      </c>
      <c r="I3083" t="s">
        <v>17</v>
      </c>
      <c r="K3083" t="s">
        <v>8335</v>
      </c>
      <c r="L3083">
        <v>290</v>
      </c>
      <c r="M3083" t="s">
        <v>8336</v>
      </c>
    </row>
    <row r="3084" spans="1:13" x14ac:dyDescent="0.45">
      <c r="A3084" t="s">
        <v>13</v>
      </c>
      <c r="B3084">
        <v>3378402</v>
      </c>
      <c r="C3084">
        <v>3378869</v>
      </c>
      <c r="E3084" t="s">
        <v>96</v>
      </c>
      <c r="F3084" t="s">
        <v>8337</v>
      </c>
      <c r="H3084">
        <v>0</v>
      </c>
      <c r="I3084" t="s">
        <v>17</v>
      </c>
      <c r="K3084" t="s">
        <v>8338</v>
      </c>
      <c r="L3084">
        <v>155</v>
      </c>
      <c r="M3084" t="s">
        <v>8339</v>
      </c>
    </row>
    <row r="3085" spans="1:13" x14ac:dyDescent="0.45">
      <c r="A3085" t="s">
        <v>13</v>
      </c>
      <c r="B3085">
        <v>3378974</v>
      </c>
      <c r="C3085">
        <v>3379906</v>
      </c>
      <c r="E3085" t="s">
        <v>96</v>
      </c>
      <c r="F3085" t="s">
        <v>8340</v>
      </c>
      <c r="H3085">
        <v>0</v>
      </c>
      <c r="I3085" t="s">
        <v>17</v>
      </c>
      <c r="K3085" t="s">
        <v>8341</v>
      </c>
      <c r="L3085">
        <v>310</v>
      </c>
      <c r="M3085" t="s">
        <v>8342</v>
      </c>
    </row>
    <row r="3086" spans="1:13" x14ac:dyDescent="0.45">
      <c r="A3086" t="s">
        <v>13</v>
      </c>
      <c r="B3086">
        <v>3380075</v>
      </c>
      <c r="C3086">
        <v>3381019</v>
      </c>
      <c r="E3086" t="s">
        <v>96</v>
      </c>
      <c r="F3086" t="s">
        <v>8343</v>
      </c>
      <c r="H3086">
        <v>0</v>
      </c>
      <c r="I3086" t="s">
        <v>17</v>
      </c>
      <c r="K3086" t="s">
        <v>8344</v>
      </c>
      <c r="L3086">
        <v>314</v>
      </c>
      <c r="M3086" t="s">
        <v>8345</v>
      </c>
    </row>
    <row r="3087" spans="1:13" x14ac:dyDescent="0.45">
      <c r="A3087" t="s">
        <v>13</v>
      </c>
      <c r="B3087">
        <v>3381363</v>
      </c>
      <c r="C3087">
        <v>3382799</v>
      </c>
      <c r="E3087" t="s">
        <v>96</v>
      </c>
      <c r="F3087" t="s">
        <v>8346</v>
      </c>
      <c r="H3087">
        <v>0</v>
      </c>
      <c r="I3087" t="s">
        <v>17</v>
      </c>
      <c r="K3087" t="s">
        <v>8347</v>
      </c>
      <c r="L3087">
        <v>478</v>
      </c>
      <c r="M3087" t="s">
        <v>8348</v>
      </c>
    </row>
    <row r="3088" spans="1:13" x14ac:dyDescent="0.45">
      <c r="A3088" t="s">
        <v>13</v>
      </c>
      <c r="B3088">
        <v>3383009</v>
      </c>
      <c r="C3088">
        <v>3384409</v>
      </c>
      <c r="E3088" t="s">
        <v>96</v>
      </c>
      <c r="F3088" t="s">
        <v>8349</v>
      </c>
      <c r="H3088">
        <v>0</v>
      </c>
      <c r="I3088" t="s">
        <v>17</v>
      </c>
      <c r="K3088" t="s">
        <v>8350</v>
      </c>
      <c r="L3088">
        <v>466</v>
      </c>
      <c r="M3088" t="s">
        <v>8351</v>
      </c>
    </row>
    <row r="3089" spans="1:13" x14ac:dyDescent="0.45">
      <c r="A3089" t="s">
        <v>13</v>
      </c>
      <c r="B3089">
        <v>3384436</v>
      </c>
      <c r="C3089">
        <v>3385782</v>
      </c>
      <c r="E3089" t="s">
        <v>96</v>
      </c>
      <c r="F3089" t="s">
        <v>8346</v>
      </c>
      <c r="H3089">
        <v>0</v>
      </c>
      <c r="I3089" t="s">
        <v>17</v>
      </c>
      <c r="K3089" t="s">
        <v>8352</v>
      </c>
      <c r="L3089">
        <v>448</v>
      </c>
      <c r="M3089" t="s">
        <v>8353</v>
      </c>
    </row>
    <row r="3090" spans="1:13" x14ac:dyDescent="0.45">
      <c r="A3090" t="s">
        <v>13</v>
      </c>
      <c r="B3090">
        <v>3386150</v>
      </c>
      <c r="C3090">
        <v>3386824</v>
      </c>
      <c r="E3090" t="s">
        <v>96</v>
      </c>
      <c r="F3090" t="s">
        <v>548</v>
      </c>
      <c r="H3090">
        <v>0</v>
      </c>
      <c r="I3090" t="s">
        <v>17</v>
      </c>
      <c r="K3090" t="s">
        <v>8354</v>
      </c>
      <c r="L3090">
        <v>224</v>
      </c>
      <c r="M3090" t="s">
        <v>8355</v>
      </c>
    </row>
    <row r="3091" spans="1:13" x14ac:dyDescent="0.45">
      <c r="A3091" t="s">
        <v>13</v>
      </c>
      <c r="B3091">
        <v>3386886</v>
      </c>
      <c r="C3091">
        <v>3387632</v>
      </c>
      <c r="E3091" t="s">
        <v>96</v>
      </c>
      <c r="F3091" t="s">
        <v>8356</v>
      </c>
      <c r="H3091">
        <v>0</v>
      </c>
      <c r="I3091" t="s">
        <v>17</v>
      </c>
      <c r="K3091" t="s">
        <v>8357</v>
      </c>
      <c r="L3091">
        <v>248</v>
      </c>
      <c r="M3091" t="s">
        <v>8358</v>
      </c>
    </row>
    <row r="3092" spans="1:13" x14ac:dyDescent="0.45">
      <c r="A3092" t="s">
        <v>13</v>
      </c>
      <c r="B3092">
        <v>3387989</v>
      </c>
      <c r="C3092">
        <v>3388459</v>
      </c>
      <c r="E3092" t="s">
        <v>96</v>
      </c>
      <c r="F3092" t="s">
        <v>227</v>
      </c>
      <c r="H3092">
        <v>0</v>
      </c>
      <c r="I3092" t="s">
        <v>17</v>
      </c>
      <c r="K3092" t="s">
        <v>8359</v>
      </c>
      <c r="L3092">
        <v>156</v>
      </c>
      <c r="M3092" t="s">
        <v>8360</v>
      </c>
    </row>
    <row r="3093" spans="1:13" x14ac:dyDescent="0.45">
      <c r="A3093" t="s">
        <v>13</v>
      </c>
      <c r="B3093">
        <v>3388483</v>
      </c>
      <c r="C3093">
        <v>3389082</v>
      </c>
      <c r="E3093" t="s">
        <v>96</v>
      </c>
      <c r="F3093" t="s">
        <v>8361</v>
      </c>
      <c r="H3093">
        <v>0</v>
      </c>
      <c r="I3093" t="s">
        <v>17</v>
      </c>
      <c r="K3093" t="s">
        <v>8362</v>
      </c>
      <c r="L3093">
        <v>199</v>
      </c>
      <c r="M3093" t="s">
        <v>8363</v>
      </c>
    </row>
    <row r="3094" spans="1:13" x14ac:dyDescent="0.45">
      <c r="A3094" t="s">
        <v>13</v>
      </c>
      <c r="B3094">
        <v>3389100</v>
      </c>
      <c r="C3094">
        <v>3390284</v>
      </c>
      <c r="E3094" t="s">
        <v>96</v>
      </c>
      <c r="F3094" t="s">
        <v>5578</v>
      </c>
      <c r="H3094">
        <v>0</v>
      </c>
      <c r="I3094" t="s">
        <v>17</v>
      </c>
      <c r="K3094" t="s">
        <v>8364</v>
      </c>
      <c r="L3094">
        <v>394</v>
      </c>
      <c r="M3094" t="s">
        <v>8365</v>
      </c>
    </row>
    <row r="3095" spans="1:13" x14ac:dyDescent="0.45">
      <c r="A3095" t="s">
        <v>13</v>
      </c>
      <c r="B3095">
        <v>3390277</v>
      </c>
      <c r="C3095">
        <v>3391854</v>
      </c>
      <c r="E3095" t="s">
        <v>96</v>
      </c>
      <c r="F3095" t="s">
        <v>3665</v>
      </c>
      <c r="H3095">
        <v>0</v>
      </c>
      <c r="I3095" t="s">
        <v>17</v>
      </c>
      <c r="K3095" t="s">
        <v>8366</v>
      </c>
      <c r="L3095">
        <v>525</v>
      </c>
      <c r="M3095" t="s">
        <v>8367</v>
      </c>
    </row>
    <row r="3096" spans="1:13" x14ac:dyDescent="0.45">
      <c r="A3096" t="s">
        <v>13</v>
      </c>
      <c r="B3096">
        <v>3392207</v>
      </c>
      <c r="C3096">
        <v>3393043</v>
      </c>
      <c r="E3096" t="s">
        <v>96</v>
      </c>
      <c r="F3096" t="s">
        <v>1317</v>
      </c>
      <c r="H3096">
        <v>0</v>
      </c>
      <c r="I3096" t="s">
        <v>17</v>
      </c>
      <c r="K3096" t="s">
        <v>8368</v>
      </c>
      <c r="L3096">
        <v>278</v>
      </c>
      <c r="M3096" t="s">
        <v>8369</v>
      </c>
    </row>
    <row r="3097" spans="1:13" x14ac:dyDescent="0.45">
      <c r="A3097" t="s">
        <v>13</v>
      </c>
      <c r="B3097">
        <v>3393929</v>
      </c>
      <c r="C3097">
        <v>3395203</v>
      </c>
      <c r="E3097" t="s">
        <v>14</v>
      </c>
      <c r="F3097" t="s">
        <v>8370</v>
      </c>
      <c r="H3097">
        <v>0</v>
      </c>
      <c r="I3097" t="s">
        <v>17</v>
      </c>
      <c r="K3097" t="s">
        <v>8371</v>
      </c>
      <c r="L3097">
        <v>424</v>
      </c>
      <c r="M3097" t="s">
        <v>8372</v>
      </c>
    </row>
    <row r="3098" spans="1:13" x14ac:dyDescent="0.45">
      <c r="A3098" t="s">
        <v>13</v>
      </c>
      <c r="B3098">
        <v>3395410</v>
      </c>
      <c r="C3098">
        <v>3395727</v>
      </c>
      <c r="E3098" t="s">
        <v>96</v>
      </c>
      <c r="F3098" t="s">
        <v>4827</v>
      </c>
      <c r="G3098" t="s">
        <v>4828</v>
      </c>
      <c r="H3098">
        <v>0</v>
      </c>
      <c r="I3098" t="s">
        <v>17</v>
      </c>
      <c r="K3098" t="s">
        <v>8373</v>
      </c>
      <c r="L3098">
        <v>105</v>
      </c>
      <c r="M3098" t="s">
        <v>8374</v>
      </c>
    </row>
    <row r="3099" spans="1:13" x14ac:dyDescent="0.45">
      <c r="A3099" t="s">
        <v>13</v>
      </c>
      <c r="B3099">
        <v>3395994</v>
      </c>
      <c r="C3099">
        <v>3396746</v>
      </c>
      <c r="E3099" t="s">
        <v>14</v>
      </c>
      <c r="F3099" t="s">
        <v>8375</v>
      </c>
      <c r="H3099">
        <v>0</v>
      </c>
      <c r="I3099" t="s">
        <v>17</v>
      </c>
      <c r="K3099" t="s">
        <v>8376</v>
      </c>
      <c r="L3099">
        <v>250</v>
      </c>
      <c r="M3099" t="s">
        <v>8377</v>
      </c>
    </row>
    <row r="3100" spans="1:13" x14ac:dyDescent="0.45">
      <c r="A3100" t="s">
        <v>13</v>
      </c>
      <c r="B3100">
        <v>3396733</v>
      </c>
      <c r="C3100">
        <v>3397614</v>
      </c>
      <c r="E3100" t="s">
        <v>14</v>
      </c>
      <c r="F3100" t="s">
        <v>8378</v>
      </c>
      <c r="H3100">
        <v>0</v>
      </c>
      <c r="I3100" t="s">
        <v>17</v>
      </c>
      <c r="K3100" t="s">
        <v>8379</v>
      </c>
      <c r="L3100">
        <v>293</v>
      </c>
      <c r="M3100" t="s">
        <v>8380</v>
      </c>
    </row>
    <row r="3101" spans="1:13" x14ac:dyDescent="0.45">
      <c r="A3101" t="s">
        <v>13</v>
      </c>
      <c r="B3101">
        <v>3397840</v>
      </c>
      <c r="C3101">
        <v>3399195</v>
      </c>
      <c r="E3101" t="s">
        <v>96</v>
      </c>
      <c r="F3101" t="s">
        <v>6425</v>
      </c>
      <c r="H3101">
        <v>0</v>
      </c>
      <c r="I3101" t="s">
        <v>17</v>
      </c>
      <c r="K3101" t="s">
        <v>8381</v>
      </c>
      <c r="L3101">
        <v>451</v>
      </c>
      <c r="M3101" t="s">
        <v>8382</v>
      </c>
    </row>
    <row r="3102" spans="1:13" x14ac:dyDescent="0.45">
      <c r="A3102" t="s">
        <v>13</v>
      </c>
      <c r="B3102">
        <v>3401103</v>
      </c>
      <c r="C3102">
        <v>3401606</v>
      </c>
      <c r="E3102" t="s">
        <v>96</v>
      </c>
      <c r="F3102" t="s">
        <v>3443</v>
      </c>
      <c r="H3102">
        <v>0</v>
      </c>
      <c r="I3102" t="s">
        <v>17</v>
      </c>
      <c r="K3102" t="s">
        <v>8383</v>
      </c>
      <c r="L3102">
        <v>167</v>
      </c>
      <c r="M3102" t="s">
        <v>8384</v>
      </c>
    </row>
    <row r="3103" spans="1:13" x14ac:dyDescent="0.45">
      <c r="A3103" t="s">
        <v>13</v>
      </c>
      <c r="B3103">
        <v>3401823</v>
      </c>
      <c r="C3103">
        <v>3403232</v>
      </c>
      <c r="E3103" t="s">
        <v>96</v>
      </c>
      <c r="F3103" t="s">
        <v>8385</v>
      </c>
      <c r="H3103">
        <v>0</v>
      </c>
      <c r="I3103" t="s">
        <v>17</v>
      </c>
      <c r="K3103" t="s">
        <v>8386</v>
      </c>
      <c r="L3103">
        <v>469</v>
      </c>
      <c r="M3103" t="s">
        <v>8387</v>
      </c>
    </row>
    <row r="3104" spans="1:13" x14ac:dyDescent="0.45">
      <c r="A3104" t="s">
        <v>13</v>
      </c>
      <c r="B3104">
        <v>3403236</v>
      </c>
      <c r="C3104">
        <v>3404366</v>
      </c>
      <c r="E3104" t="s">
        <v>96</v>
      </c>
      <c r="F3104" t="s">
        <v>49</v>
      </c>
      <c r="H3104">
        <v>0</v>
      </c>
      <c r="I3104" t="s">
        <v>17</v>
      </c>
      <c r="K3104" t="s">
        <v>8388</v>
      </c>
      <c r="L3104">
        <v>376</v>
      </c>
      <c r="M3104" t="s">
        <v>8389</v>
      </c>
    </row>
    <row r="3105" spans="1:13" x14ac:dyDescent="0.45">
      <c r="A3105" t="s">
        <v>13</v>
      </c>
      <c r="B3105">
        <v>3404378</v>
      </c>
      <c r="C3105">
        <v>3405181</v>
      </c>
      <c r="E3105" t="s">
        <v>96</v>
      </c>
      <c r="F3105" t="s">
        <v>43</v>
      </c>
      <c r="H3105">
        <v>0</v>
      </c>
      <c r="I3105" t="s">
        <v>17</v>
      </c>
      <c r="K3105" t="s">
        <v>8390</v>
      </c>
      <c r="L3105">
        <v>267</v>
      </c>
      <c r="M3105" t="s">
        <v>8391</v>
      </c>
    </row>
    <row r="3106" spans="1:13" x14ac:dyDescent="0.45">
      <c r="A3106" t="s">
        <v>13</v>
      </c>
      <c r="B3106">
        <v>3405563</v>
      </c>
      <c r="C3106">
        <v>3406444</v>
      </c>
      <c r="E3106" t="s">
        <v>96</v>
      </c>
      <c r="F3106" t="s">
        <v>8392</v>
      </c>
      <c r="G3106" t="s">
        <v>8393</v>
      </c>
      <c r="H3106">
        <v>0</v>
      </c>
      <c r="I3106" t="s">
        <v>17</v>
      </c>
      <c r="K3106" t="s">
        <v>8394</v>
      </c>
      <c r="L3106">
        <v>293</v>
      </c>
      <c r="M3106" t="s">
        <v>8395</v>
      </c>
    </row>
    <row r="3107" spans="1:13" x14ac:dyDescent="0.45">
      <c r="A3107" t="s">
        <v>13</v>
      </c>
      <c r="B3107">
        <v>3406900</v>
      </c>
      <c r="C3107">
        <v>3407874</v>
      </c>
      <c r="E3107" t="s">
        <v>14</v>
      </c>
      <c r="F3107" t="s">
        <v>8396</v>
      </c>
      <c r="H3107">
        <v>0</v>
      </c>
      <c r="I3107" t="s">
        <v>17</v>
      </c>
      <c r="K3107" t="s">
        <v>8397</v>
      </c>
      <c r="L3107">
        <v>324</v>
      </c>
      <c r="M3107" t="s">
        <v>8398</v>
      </c>
    </row>
    <row r="3108" spans="1:13" x14ac:dyDescent="0.45">
      <c r="A3108" t="s">
        <v>13</v>
      </c>
      <c r="B3108">
        <v>3407990</v>
      </c>
      <c r="C3108">
        <v>3409021</v>
      </c>
      <c r="E3108" t="s">
        <v>96</v>
      </c>
      <c r="F3108" t="s">
        <v>3094</v>
      </c>
      <c r="H3108">
        <v>0</v>
      </c>
      <c r="I3108" t="s">
        <v>17</v>
      </c>
      <c r="K3108" t="s">
        <v>8399</v>
      </c>
      <c r="L3108">
        <v>343</v>
      </c>
      <c r="M3108" t="s">
        <v>8400</v>
      </c>
    </row>
    <row r="3109" spans="1:13" x14ac:dyDescent="0.45">
      <c r="A3109" t="s">
        <v>13</v>
      </c>
      <c r="B3109">
        <v>3409633</v>
      </c>
      <c r="C3109">
        <v>3410484</v>
      </c>
      <c r="E3109" t="s">
        <v>96</v>
      </c>
      <c r="F3109" t="s">
        <v>1462</v>
      </c>
      <c r="H3109">
        <v>0</v>
      </c>
      <c r="I3109" t="s">
        <v>17</v>
      </c>
      <c r="K3109" t="s">
        <v>8401</v>
      </c>
      <c r="L3109">
        <v>283</v>
      </c>
      <c r="M3109" t="s">
        <v>8402</v>
      </c>
    </row>
    <row r="3110" spans="1:13" x14ac:dyDescent="0.45">
      <c r="A3110" t="s">
        <v>13</v>
      </c>
      <c r="B3110">
        <v>3410501</v>
      </c>
      <c r="C3110">
        <v>3411421</v>
      </c>
      <c r="E3110" t="s">
        <v>96</v>
      </c>
      <c r="F3110" t="s">
        <v>4539</v>
      </c>
      <c r="H3110">
        <v>0</v>
      </c>
      <c r="I3110" t="s">
        <v>17</v>
      </c>
      <c r="K3110" t="s">
        <v>8403</v>
      </c>
      <c r="L3110">
        <v>306</v>
      </c>
      <c r="M3110" t="s">
        <v>8404</v>
      </c>
    </row>
    <row r="3111" spans="1:13" x14ac:dyDescent="0.45">
      <c r="A3111" t="s">
        <v>13</v>
      </c>
      <c r="B3111">
        <v>3411531</v>
      </c>
      <c r="C3111">
        <v>3412445</v>
      </c>
      <c r="E3111" t="s">
        <v>96</v>
      </c>
      <c r="F3111" t="s">
        <v>8405</v>
      </c>
      <c r="G3111" t="s">
        <v>8406</v>
      </c>
      <c r="H3111">
        <v>0</v>
      </c>
      <c r="I3111" t="s">
        <v>17</v>
      </c>
      <c r="K3111" t="s">
        <v>8407</v>
      </c>
      <c r="L3111">
        <v>304</v>
      </c>
      <c r="M3111" t="s">
        <v>8408</v>
      </c>
    </row>
    <row r="3112" spans="1:13" x14ac:dyDescent="0.45">
      <c r="A3112" t="s">
        <v>13</v>
      </c>
      <c r="B3112">
        <v>3412544</v>
      </c>
      <c r="C3112">
        <v>3413641</v>
      </c>
      <c r="E3112" t="s">
        <v>96</v>
      </c>
      <c r="F3112" t="s">
        <v>8409</v>
      </c>
      <c r="H3112">
        <v>0</v>
      </c>
      <c r="I3112" t="s">
        <v>17</v>
      </c>
      <c r="K3112" t="s">
        <v>8410</v>
      </c>
      <c r="L3112">
        <v>365</v>
      </c>
      <c r="M3112" t="s">
        <v>8411</v>
      </c>
    </row>
    <row r="3113" spans="1:13" x14ac:dyDescent="0.45">
      <c r="A3113" t="s">
        <v>13</v>
      </c>
      <c r="B3113">
        <v>3413874</v>
      </c>
      <c r="C3113">
        <v>3415220</v>
      </c>
      <c r="E3113" t="s">
        <v>96</v>
      </c>
      <c r="F3113" t="s">
        <v>2525</v>
      </c>
      <c r="H3113">
        <v>0</v>
      </c>
      <c r="I3113" t="s">
        <v>17</v>
      </c>
      <c r="K3113" t="s">
        <v>8412</v>
      </c>
      <c r="L3113">
        <v>448</v>
      </c>
      <c r="M3113" t="s">
        <v>8413</v>
      </c>
    </row>
    <row r="3114" spans="1:13" x14ac:dyDescent="0.45">
      <c r="A3114" t="s">
        <v>13</v>
      </c>
      <c r="B3114">
        <v>3415309</v>
      </c>
      <c r="C3114">
        <v>3415617</v>
      </c>
      <c r="E3114" t="s">
        <v>96</v>
      </c>
      <c r="F3114" t="s">
        <v>230</v>
      </c>
      <c r="H3114">
        <v>0</v>
      </c>
      <c r="I3114" t="s">
        <v>17</v>
      </c>
      <c r="K3114" t="s">
        <v>8414</v>
      </c>
      <c r="L3114">
        <v>102</v>
      </c>
      <c r="M3114" t="s">
        <v>8415</v>
      </c>
    </row>
    <row r="3115" spans="1:13" x14ac:dyDescent="0.45">
      <c r="A3115" t="s">
        <v>13</v>
      </c>
      <c r="B3115">
        <v>3415878</v>
      </c>
      <c r="C3115">
        <v>3416267</v>
      </c>
      <c r="E3115" t="s">
        <v>96</v>
      </c>
      <c r="F3115" t="s">
        <v>43</v>
      </c>
      <c r="H3115">
        <v>0</v>
      </c>
      <c r="I3115" t="s">
        <v>17</v>
      </c>
      <c r="K3115" t="s">
        <v>8416</v>
      </c>
      <c r="L3115">
        <v>129</v>
      </c>
      <c r="M3115" t="s">
        <v>8417</v>
      </c>
    </row>
    <row r="3116" spans="1:13" x14ac:dyDescent="0.45">
      <c r="A3116" t="s">
        <v>13</v>
      </c>
      <c r="B3116">
        <v>3416269</v>
      </c>
      <c r="C3116">
        <v>3417420</v>
      </c>
      <c r="E3116" t="s">
        <v>96</v>
      </c>
      <c r="F3116" t="s">
        <v>8418</v>
      </c>
      <c r="G3116" t="s">
        <v>8419</v>
      </c>
      <c r="H3116">
        <v>0</v>
      </c>
      <c r="I3116" t="s">
        <v>17</v>
      </c>
      <c r="K3116" t="s">
        <v>8420</v>
      </c>
      <c r="L3116">
        <v>383</v>
      </c>
      <c r="M3116" t="s">
        <v>8421</v>
      </c>
    </row>
    <row r="3117" spans="1:13" x14ac:dyDescent="0.45">
      <c r="A3117" t="s">
        <v>13</v>
      </c>
      <c r="B3117">
        <v>3417859</v>
      </c>
      <c r="C3117">
        <v>3418878</v>
      </c>
      <c r="E3117" t="s">
        <v>96</v>
      </c>
      <c r="F3117" t="s">
        <v>1509</v>
      </c>
      <c r="H3117">
        <v>0</v>
      </c>
      <c r="I3117" t="s">
        <v>17</v>
      </c>
      <c r="K3117" t="s">
        <v>8422</v>
      </c>
      <c r="L3117">
        <v>339</v>
      </c>
      <c r="M3117" t="s">
        <v>8423</v>
      </c>
    </row>
    <row r="3118" spans="1:13" x14ac:dyDescent="0.45">
      <c r="A3118" t="s">
        <v>13</v>
      </c>
      <c r="B3118">
        <v>3418878</v>
      </c>
      <c r="C3118">
        <v>3419552</v>
      </c>
      <c r="E3118" t="s">
        <v>96</v>
      </c>
      <c r="F3118" t="s">
        <v>1222</v>
      </c>
      <c r="H3118">
        <v>0</v>
      </c>
      <c r="I3118" t="s">
        <v>17</v>
      </c>
      <c r="K3118" t="s">
        <v>8424</v>
      </c>
      <c r="L3118">
        <v>224</v>
      </c>
      <c r="M3118" t="s">
        <v>8425</v>
      </c>
    </row>
    <row r="3119" spans="1:13" x14ac:dyDescent="0.45">
      <c r="A3119" t="s">
        <v>13</v>
      </c>
      <c r="B3119">
        <v>3419704</v>
      </c>
      <c r="C3119">
        <v>3421611</v>
      </c>
      <c r="E3119" t="s">
        <v>96</v>
      </c>
      <c r="F3119" t="s">
        <v>1818</v>
      </c>
      <c r="H3119">
        <v>0</v>
      </c>
      <c r="I3119" t="s">
        <v>17</v>
      </c>
      <c r="K3119" t="s">
        <v>8426</v>
      </c>
      <c r="L3119">
        <v>635</v>
      </c>
      <c r="M3119" t="s">
        <v>8427</v>
      </c>
    </row>
    <row r="3120" spans="1:13" x14ac:dyDescent="0.45">
      <c r="A3120" t="s">
        <v>13</v>
      </c>
      <c r="B3120">
        <v>3421612</v>
      </c>
      <c r="C3120">
        <v>3422364</v>
      </c>
      <c r="E3120" t="s">
        <v>96</v>
      </c>
      <c r="F3120" t="s">
        <v>1140</v>
      </c>
      <c r="H3120">
        <v>0</v>
      </c>
      <c r="I3120" t="s">
        <v>17</v>
      </c>
      <c r="K3120" t="s">
        <v>8428</v>
      </c>
      <c r="L3120">
        <v>250</v>
      </c>
      <c r="M3120" t="s">
        <v>8429</v>
      </c>
    </row>
    <row r="3121" spans="1:13" x14ac:dyDescent="0.45">
      <c r="A3121" t="s">
        <v>13</v>
      </c>
      <c r="B3121">
        <v>3422682</v>
      </c>
      <c r="C3121">
        <v>3423836</v>
      </c>
      <c r="E3121" t="s">
        <v>96</v>
      </c>
      <c r="F3121" t="s">
        <v>205</v>
      </c>
      <c r="H3121">
        <v>0</v>
      </c>
      <c r="I3121" t="s">
        <v>17</v>
      </c>
      <c r="K3121" t="s">
        <v>8430</v>
      </c>
      <c r="L3121">
        <v>384</v>
      </c>
      <c r="M3121" t="s">
        <v>8431</v>
      </c>
    </row>
    <row r="3122" spans="1:13" x14ac:dyDescent="0.45">
      <c r="A3122" t="s">
        <v>13</v>
      </c>
      <c r="B3122">
        <v>3423839</v>
      </c>
      <c r="C3122">
        <v>3424306</v>
      </c>
      <c r="E3122" t="s">
        <v>96</v>
      </c>
      <c r="F3122" t="s">
        <v>8432</v>
      </c>
      <c r="H3122">
        <v>0</v>
      </c>
      <c r="I3122" t="s">
        <v>17</v>
      </c>
      <c r="K3122" t="s">
        <v>8433</v>
      </c>
      <c r="L3122">
        <v>155</v>
      </c>
      <c r="M3122" t="s">
        <v>8434</v>
      </c>
    </row>
    <row r="3123" spans="1:13" x14ac:dyDescent="0.45">
      <c r="A3123" t="s">
        <v>13</v>
      </c>
      <c r="B3123">
        <v>3424320</v>
      </c>
      <c r="C3123">
        <v>3424808</v>
      </c>
      <c r="E3123" t="s">
        <v>96</v>
      </c>
      <c r="F3123" t="s">
        <v>43</v>
      </c>
      <c r="H3123">
        <v>0</v>
      </c>
      <c r="I3123" t="s">
        <v>17</v>
      </c>
      <c r="K3123" t="s">
        <v>8435</v>
      </c>
      <c r="L3123">
        <v>162</v>
      </c>
      <c r="M3123" t="s">
        <v>8436</v>
      </c>
    </row>
    <row r="3124" spans="1:13" x14ac:dyDescent="0.45">
      <c r="A3124" t="s">
        <v>13</v>
      </c>
      <c r="B3124">
        <v>3424822</v>
      </c>
      <c r="C3124">
        <v>3426153</v>
      </c>
      <c r="E3124" t="s">
        <v>96</v>
      </c>
      <c r="F3124" t="s">
        <v>2530</v>
      </c>
      <c r="H3124">
        <v>0</v>
      </c>
      <c r="I3124" t="s">
        <v>17</v>
      </c>
      <c r="K3124" t="s">
        <v>8437</v>
      </c>
      <c r="L3124">
        <v>443</v>
      </c>
      <c r="M3124" t="s">
        <v>8438</v>
      </c>
    </row>
    <row r="3125" spans="1:13" x14ac:dyDescent="0.45">
      <c r="A3125" t="s">
        <v>13</v>
      </c>
      <c r="B3125">
        <v>3426167</v>
      </c>
      <c r="C3125">
        <v>3427732</v>
      </c>
      <c r="E3125" t="s">
        <v>96</v>
      </c>
      <c r="F3125" t="s">
        <v>8439</v>
      </c>
      <c r="H3125">
        <v>0</v>
      </c>
      <c r="I3125" t="s">
        <v>17</v>
      </c>
      <c r="K3125" t="s">
        <v>8440</v>
      </c>
      <c r="L3125">
        <v>521</v>
      </c>
      <c r="M3125" t="s">
        <v>8441</v>
      </c>
    </row>
    <row r="3126" spans="1:13" x14ac:dyDescent="0.45">
      <c r="A3126" t="s">
        <v>13</v>
      </c>
      <c r="B3126">
        <v>3427901</v>
      </c>
      <c r="C3126">
        <v>3428686</v>
      </c>
      <c r="E3126" t="s">
        <v>96</v>
      </c>
      <c r="F3126" t="s">
        <v>1462</v>
      </c>
      <c r="H3126">
        <v>0</v>
      </c>
      <c r="I3126" t="s">
        <v>17</v>
      </c>
      <c r="K3126" t="s">
        <v>8442</v>
      </c>
      <c r="L3126">
        <v>261</v>
      </c>
      <c r="M3126" t="s">
        <v>8443</v>
      </c>
    </row>
    <row r="3127" spans="1:13" x14ac:dyDescent="0.45">
      <c r="A3127" t="s">
        <v>13</v>
      </c>
      <c r="B3127">
        <v>3428853</v>
      </c>
      <c r="C3127">
        <v>3430052</v>
      </c>
      <c r="E3127" t="s">
        <v>96</v>
      </c>
      <c r="F3127" t="s">
        <v>8444</v>
      </c>
      <c r="H3127">
        <v>0</v>
      </c>
      <c r="I3127" t="s">
        <v>17</v>
      </c>
      <c r="K3127" t="s">
        <v>8445</v>
      </c>
      <c r="L3127">
        <v>399</v>
      </c>
      <c r="M3127" t="s">
        <v>8446</v>
      </c>
    </row>
    <row r="3128" spans="1:13" x14ac:dyDescent="0.45">
      <c r="A3128" t="s">
        <v>13</v>
      </c>
      <c r="B3128">
        <v>3430574</v>
      </c>
      <c r="C3128">
        <v>3431911</v>
      </c>
      <c r="E3128" t="s">
        <v>96</v>
      </c>
      <c r="F3128" t="s">
        <v>8447</v>
      </c>
      <c r="G3128" t="s">
        <v>8448</v>
      </c>
      <c r="H3128">
        <v>0</v>
      </c>
      <c r="I3128" t="s">
        <v>17</v>
      </c>
      <c r="K3128" t="s">
        <v>8449</v>
      </c>
      <c r="L3128">
        <v>445</v>
      </c>
      <c r="M3128" t="s">
        <v>8450</v>
      </c>
    </row>
    <row r="3129" spans="1:13" x14ac:dyDescent="0.45">
      <c r="A3129" t="s">
        <v>13</v>
      </c>
      <c r="B3129">
        <v>3432007</v>
      </c>
      <c r="C3129">
        <v>3433557</v>
      </c>
      <c r="E3129" t="s">
        <v>96</v>
      </c>
      <c r="F3129" t="s">
        <v>8451</v>
      </c>
      <c r="G3129" t="s">
        <v>8452</v>
      </c>
      <c r="H3129">
        <v>0</v>
      </c>
      <c r="I3129" t="s">
        <v>17</v>
      </c>
      <c r="K3129" t="s">
        <v>8453</v>
      </c>
      <c r="L3129">
        <v>516</v>
      </c>
      <c r="M3129" t="s">
        <v>8454</v>
      </c>
    </row>
    <row r="3130" spans="1:13" x14ac:dyDescent="0.45">
      <c r="A3130" t="s">
        <v>13</v>
      </c>
      <c r="B3130">
        <v>3433765</v>
      </c>
      <c r="C3130">
        <v>3434925</v>
      </c>
      <c r="E3130" t="s">
        <v>14</v>
      </c>
      <c r="F3130" t="s">
        <v>6272</v>
      </c>
      <c r="H3130">
        <v>0</v>
      </c>
      <c r="I3130" t="s">
        <v>17</v>
      </c>
      <c r="K3130" t="s">
        <v>8455</v>
      </c>
      <c r="L3130">
        <v>386</v>
      </c>
      <c r="M3130" t="s">
        <v>8456</v>
      </c>
    </row>
    <row r="3131" spans="1:13" x14ac:dyDescent="0.45">
      <c r="A3131" t="s">
        <v>13</v>
      </c>
      <c r="B3131">
        <v>3435081</v>
      </c>
      <c r="C3131">
        <v>3435485</v>
      </c>
      <c r="E3131" t="s">
        <v>96</v>
      </c>
      <c r="F3131" t="s">
        <v>227</v>
      </c>
      <c r="H3131">
        <v>0</v>
      </c>
      <c r="I3131" t="s">
        <v>17</v>
      </c>
      <c r="K3131" t="s">
        <v>8457</v>
      </c>
      <c r="L3131">
        <v>134</v>
      </c>
      <c r="M3131" t="s">
        <v>8458</v>
      </c>
    </row>
    <row r="3132" spans="1:13" x14ac:dyDescent="0.45">
      <c r="A3132" t="s">
        <v>13</v>
      </c>
      <c r="B3132">
        <v>3435506</v>
      </c>
      <c r="C3132">
        <v>3435988</v>
      </c>
      <c r="E3132" t="s">
        <v>96</v>
      </c>
      <c r="F3132" t="s">
        <v>230</v>
      </c>
      <c r="H3132">
        <v>0</v>
      </c>
      <c r="I3132" t="s">
        <v>17</v>
      </c>
      <c r="K3132" t="s">
        <v>8459</v>
      </c>
      <c r="L3132">
        <v>160</v>
      </c>
      <c r="M3132" t="s">
        <v>8460</v>
      </c>
    </row>
    <row r="3133" spans="1:13" x14ac:dyDescent="0.45">
      <c r="A3133" t="s">
        <v>13</v>
      </c>
      <c r="B3133">
        <v>3436008</v>
      </c>
      <c r="C3133">
        <v>3436817</v>
      </c>
      <c r="E3133" t="s">
        <v>96</v>
      </c>
      <c r="F3133" t="s">
        <v>1122</v>
      </c>
      <c r="H3133">
        <v>0</v>
      </c>
      <c r="I3133" t="s">
        <v>17</v>
      </c>
      <c r="K3133" t="s">
        <v>8461</v>
      </c>
      <c r="L3133">
        <v>269</v>
      </c>
      <c r="M3133" t="s">
        <v>8462</v>
      </c>
    </row>
    <row r="3134" spans="1:13" x14ac:dyDescent="0.45">
      <c r="A3134" t="s">
        <v>13</v>
      </c>
      <c r="B3134">
        <v>3436810</v>
      </c>
      <c r="C3134">
        <v>3437589</v>
      </c>
      <c r="E3134" t="s">
        <v>96</v>
      </c>
      <c r="F3134" t="s">
        <v>1119</v>
      </c>
      <c r="H3134">
        <v>0</v>
      </c>
      <c r="I3134" t="s">
        <v>17</v>
      </c>
      <c r="K3134" t="s">
        <v>8463</v>
      </c>
      <c r="L3134">
        <v>259</v>
      </c>
      <c r="M3134" t="s">
        <v>8464</v>
      </c>
    </row>
    <row r="3135" spans="1:13" x14ac:dyDescent="0.45">
      <c r="A3135" t="s">
        <v>13</v>
      </c>
      <c r="B3135">
        <v>3437589</v>
      </c>
      <c r="C3135">
        <v>3439667</v>
      </c>
      <c r="E3135" t="s">
        <v>96</v>
      </c>
      <c r="F3135" t="s">
        <v>8465</v>
      </c>
      <c r="H3135">
        <v>0</v>
      </c>
      <c r="I3135" t="s">
        <v>17</v>
      </c>
      <c r="K3135" t="s">
        <v>8466</v>
      </c>
      <c r="L3135">
        <v>692</v>
      </c>
      <c r="M3135" t="s">
        <v>8467</v>
      </c>
    </row>
    <row r="3136" spans="1:13" x14ac:dyDescent="0.45">
      <c r="A3136" t="s">
        <v>13</v>
      </c>
      <c r="B3136">
        <v>3440458</v>
      </c>
      <c r="C3136">
        <v>3440979</v>
      </c>
      <c r="E3136" t="s">
        <v>96</v>
      </c>
      <c r="F3136" t="s">
        <v>8468</v>
      </c>
      <c r="H3136">
        <v>0</v>
      </c>
      <c r="I3136" t="s">
        <v>17</v>
      </c>
      <c r="K3136" t="s">
        <v>8469</v>
      </c>
      <c r="L3136">
        <v>173</v>
      </c>
      <c r="M3136" t="s">
        <v>8470</v>
      </c>
    </row>
    <row r="3137" spans="1:13" x14ac:dyDescent="0.45">
      <c r="A3137" t="s">
        <v>13</v>
      </c>
      <c r="B3137">
        <v>3441145</v>
      </c>
      <c r="C3137">
        <v>3441711</v>
      </c>
      <c r="E3137" t="s">
        <v>14</v>
      </c>
      <c r="F3137" t="s">
        <v>8471</v>
      </c>
      <c r="H3137">
        <v>0</v>
      </c>
      <c r="I3137" t="s">
        <v>17</v>
      </c>
      <c r="K3137" t="s">
        <v>8472</v>
      </c>
      <c r="L3137">
        <v>188</v>
      </c>
      <c r="M3137" t="s">
        <v>8473</v>
      </c>
    </row>
    <row r="3138" spans="1:13" x14ac:dyDescent="0.45">
      <c r="A3138" t="s">
        <v>13</v>
      </c>
      <c r="B3138">
        <v>3441928</v>
      </c>
      <c r="C3138">
        <v>3443991</v>
      </c>
      <c r="E3138" t="s">
        <v>96</v>
      </c>
      <c r="F3138" t="s">
        <v>8474</v>
      </c>
      <c r="H3138">
        <v>0</v>
      </c>
      <c r="I3138" t="s">
        <v>17</v>
      </c>
      <c r="K3138" t="s">
        <v>8475</v>
      </c>
      <c r="L3138">
        <v>687</v>
      </c>
      <c r="M3138" t="s">
        <v>8476</v>
      </c>
    </row>
    <row r="3139" spans="1:13" x14ac:dyDescent="0.45">
      <c r="A3139" t="s">
        <v>13</v>
      </c>
      <c r="B3139">
        <v>3444372</v>
      </c>
      <c r="C3139">
        <v>3447707</v>
      </c>
      <c r="E3139" t="s">
        <v>96</v>
      </c>
      <c r="F3139" t="s">
        <v>8477</v>
      </c>
      <c r="H3139">
        <v>0</v>
      </c>
      <c r="I3139" t="s">
        <v>17</v>
      </c>
      <c r="K3139" t="s">
        <v>8478</v>
      </c>
      <c r="L3139">
        <v>1111</v>
      </c>
      <c r="M3139" t="s">
        <v>8479</v>
      </c>
    </row>
    <row r="3140" spans="1:13" x14ac:dyDescent="0.45">
      <c r="A3140" t="s">
        <v>13</v>
      </c>
      <c r="B3140">
        <v>3447757</v>
      </c>
      <c r="C3140">
        <v>3448185</v>
      </c>
      <c r="E3140" t="s">
        <v>96</v>
      </c>
      <c r="F3140" t="s">
        <v>43</v>
      </c>
      <c r="H3140">
        <v>0</v>
      </c>
      <c r="I3140" t="s">
        <v>17</v>
      </c>
      <c r="K3140" t="s">
        <v>8480</v>
      </c>
      <c r="L3140">
        <v>142</v>
      </c>
      <c r="M3140" t="s">
        <v>8481</v>
      </c>
    </row>
    <row r="3141" spans="1:13" x14ac:dyDescent="0.45">
      <c r="A3141" t="s">
        <v>13</v>
      </c>
      <c r="B3141">
        <v>3448175</v>
      </c>
      <c r="C3141">
        <v>3448555</v>
      </c>
      <c r="E3141" t="s">
        <v>96</v>
      </c>
      <c r="F3141" t="s">
        <v>8482</v>
      </c>
      <c r="H3141">
        <v>0</v>
      </c>
      <c r="I3141" t="s">
        <v>17</v>
      </c>
      <c r="K3141" t="s">
        <v>8483</v>
      </c>
      <c r="L3141">
        <v>126</v>
      </c>
      <c r="M3141" t="s">
        <v>8484</v>
      </c>
    </row>
    <row r="3142" spans="1:13" x14ac:dyDescent="0.45">
      <c r="A3142" t="s">
        <v>13</v>
      </c>
      <c r="B3142">
        <v>3448588</v>
      </c>
      <c r="C3142">
        <v>3448896</v>
      </c>
      <c r="E3142" t="s">
        <v>96</v>
      </c>
      <c r="F3142" t="s">
        <v>43</v>
      </c>
      <c r="H3142">
        <v>0</v>
      </c>
      <c r="I3142" t="s">
        <v>17</v>
      </c>
      <c r="K3142" t="s">
        <v>8485</v>
      </c>
      <c r="L3142">
        <v>102</v>
      </c>
      <c r="M3142" t="s">
        <v>8486</v>
      </c>
    </row>
    <row r="3143" spans="1:13" x14ac:dyDescent="0.45">
      <c r="A3143" t="s">
        <v>13</v>
      </c>
      <c r="B3143">
        <v>3448929</v>
      </c>
      <c r="C3143">
        <v>3450113</v>
      </c>
      <c r="E3143" t="s">
        <v>96</v>
      </c>
      <c r="F3143" t="s">
        <v>8487</v>
      </c>
      <c r="H3143">
        <v>0</v>
      </c>
      <c r="I3143" t="s">
        <v>17</v>
      </c>
      <c r="K3143" t="s">
        <v>8488</v>
      </c>
      <c r="L3143">
        <v>394</v>
      </c>
      <c r="M3143" t="s">
        <v>8489</v>
      </c>
    </row>
    <row r="3144" spans="1:13" x14ac:dyDescent="0.45">
      <c r="A3144" t="s">
        <v>13</v>
      </c>
      <c r="B3144">
        <v>3450117</v>
      </c>
      <c r="C3144">
        <v>3451580</v>
      </c>
      <c r="E3144" t="s">
        <v>96</v>
      </c>
      <c r="F3144" t="s">
        <v>8490</v>
      </c>
      <c r="H3144">
        <v>0</v>
      </c>
      <c r="I3144" t="s">
        <v>17</v>
      </c>
      <c r="K3144" t="s">
        <v>8491</v>
      </c>
      <c r="L3144">
        <v>487</v>
      </c>
      <c r="M3144" t="s">
        <v>8492</v>
      </c>
    </row>
    <row r="3145" spans="1:13" x14ac:dyDescent="0.45">
      <c r="A3145" t="s">
        <v>13</v>
      </c>
      <c r="B3145">
        <v>3452090</v>
      </c>
      <c r="C3145">
        <v>3452959</v>
      </c>
      <c r="E3145" t="s">
        <v>96</v>
      </c>
      <c r="F3145" t="s">
        <v>8493</v>
      </c>
      <c r="H3145">
        <v>0</v>
      </c>
      <c r="I3145" t="s">
        <v>17</v>
      </c>
      <c r="K3145" t="s">
        <v>8494</v>
      </c>
      <c r="L3145">
        <v>289</v>
      </c>
      <c r="M3145" t="s">
        <v>8495</v>
      </c>
    </row>
    <row r="3146" spans="1:13" x14ac:dyDescent="0.45">
      <c r="A3146" t="s">
        <v>13</v>
      </c>
      <c r="B3146">
        <v>3452979</v>
      </c>
      <c r="C3146">
        <v>3454895</v>
      </c>
      <c r="E3146" t="s">
        <v>96</v>
      </c>
      <c r="F3146" t="s">
        <v>6443</v>
      </c>
      <c r="H3146">
        <v>0</v>
      </c>
      <c r="I3146" t="s">
        <v>17</v>
      </c>
      <c r="K3146" t="s">
        <v>8496</v>
      </c>
      <c r="L3146">
        <v>638</v>
      </c>
      <c r="M3146" t="s">
        <v>8497</v>
      </c>
    </row>
    <row r="3147" spans="1:13" x14ac:dyDescent="0.45">
      <c r="A3147" t="s">
        <v>13</v>
      </c>
      <c r="B3147">
        <v>3454898</v>
      </c>
      <c r="C3147">
        <v>3455818</v>
      </c>
      <c r="E3147" t="s">
        <v>96</v>
      </c>
      <c r="F3147" t="s">
        <v>8498</v>
      </c>
      <c r="H3147">
        <v>0</v>
      </c>
      <c r="I3147" t="s">
        <v>17</v>
      </c>
      <c r="K3147" t="s">
        <v>8499</v>
      </c>
      <c r="L3147">
        <v>306</v>
      </c>
      <c r="M3147" t="s">
        <v>8500</v>
      </c>
    </row>
    <row r="3148" spans="1:13" x14ac:dyDescent="0.45">
      <c r="A3148" t="s">
        <v>13</v>
      </c>
      <c r="B3148">
        <v>3455920</v>
      </c>
      <c r="C3148">
        <v>3456672</v>
      </c>
      <c r="E3148" t="s">
        <v>96</v>
      </c>
      <c r="F3148" t="s">
        <v>1462</v>
      </c>
      <c r="H3148">
        <v>0</v>
      </c>
      <c r="I3148" t="s">
        <v>17</v>
      </c>
      <c r="K3148" t="s">
        <v>8501</v>
      </c>
      <c r="L3148">
        <v>250</v>
      </c>
      <c r="M3148" t="s">
        <v>8502</v>
      </c>
    </row>
    <row r="3149" spans="1:13" x14ac:dyDescent="0.45">
      <c r="A3149" t="s">
        <v>13</v>
      </c>
      <c r="B3149">
        <v>3456969</v>
      </c>
      <c r="C3149">
        <v>3457586</v>
      </c>
      <c r="E3149" t="s">
        <v>96</v>
      </c>
      <c r="F3149" t="s">
        <v>2768</v>
      </c>
      <c r="H3149">
        <v>0</v>
      </c>
      <c r="I3149" t="s">
        <v>17</v>
      </c>
      <c r="K3149" t="s">
        <v>8503</v>
      </c>
      <c r="L3149">
        <v>205</v>
      </c>
      <c r="M3149" t="s">
        <v>8504</v>
      </c>
    </row>
    <row r="3150" spans="1:13" x14ac:dyDescent="0.45">
      <c r="A3150" t="s">
        <v>13</v>
      </c>
      <c r="B3150">
        <v>3457674</v>
      </c>
      <c r="C3150">
        <v>3459131</v>
      </c>
      <c r="E3150" t="s">
        <v>96</v>
      </c>
      <c r="F3150" t="s">
        <v>1314</v>
      </c>
      <c r="H3150">
        <v>0</v>
      </c>
      <c r="I3150" t="s">
        <v>17</v>
      </c>
      <c r="K3150" t="s">
        <v>8505</v>
      </c>
      <c r="L3150">
        <v>485</v>
      </c>
      <c r="M3150" t="s">
        <v>8506</v>
      </c>
    </row>
    <row r="3151" spans="1:13" x14ac:dyDescent="0.45">
      <c r="A3151" t="s">
        <v>13</v>
      </c>
      <c r="B3151">
        <v>3459153</v>
      </c>
      <c r="C3151">
        <v>3459506</v>
      </c>
      <c r="E3151" t="s">
        <v>96</v>
      </c>
      <c r="F3151" t="s">
        <v>616</v>
      </c>
      <c r="H3151">
        <v>0</v>
      </c>
      <c r="I3151" t="s">
        <v>17</v>
      </c>
      <c r="K3151" t="s">
        <v>8507</v>
      </c>
      <c r="L3151">
        <v>117</v>
      </c>
      <c r="M3151" t="s">
        <v>8508</v>
      </c>
    </row>
    <row r="3152" spans="1:13" x14ac:dyDescent="0.45">
      <c r="A3152" t="s">
        <v>13</v>
      </c>
      <c r="B3152">
        <v>3459535</v>
      </c>
      <c r="C3152">
        <v>3460767</v>
      </c>
      <c r="E3152" t="s">
        <v>96</v>
      </c>
      <c r="F3152" t="s">
        <v>2525</v>
      </c>
      <c r="H3152">
        <v>0</v>
      </c>
      <c r="I3152" t="s">
        <v>17</v>
      </c>
      <c r="K3152" t="s">
        <v>8509</v>
      </c>
      <c r="L3152">
        <v>410</v>
      </c>
      <c r="M3152" t="s">
        <v>8510</v>
      </c>
    </row>
    <row r="3153" spans="1:13" x14ac:dyDescent="0.45">
      <c r="A3153" t="s">
        <v>13</v>
      </c>
      <c r="B3153">
        <v>3460790</v>
      </c>
      <c r="C3153">
        <v>3461107</v>
      </c>
      <c r="E3153" t="s">
        <v>96</v>
      </c>
      <c r="F3153" t="s">
        <v>230</v>
      </c>
      <c r="H3153">
        <v>0</v>
      </c>
      <c r="I3153" t="s">
        <v>17</v>
      </c>
      <c r="K3153" t="s">
        <v>8511</v>
      </c>
      <c r="L3153">
        <v>105</v>
      </c>
      <c r="M3153" t="s">
        <v>8512</v>
      </c>
    </row>
    <row r="3154" spans="1:13" x14ac:dyDescent="0.45">
      <c r="A3154" t="s">
        <v>13</v>
      </c>
      <c r="B3154">
        <v>3461355</v>
      </c>
      <c r="C3154">
        <v>3463268</v>
      </c>
      <c r="E3154" t="s">
        <v>14</v>
      </c>
      <c r="F3154" t="s">
        <v>613</v>
      </c>
      <c r="H3154">
        <v>0</v>
      </c>
      <c r="I3154" t="s">
        <v>17</v>
      </c>
      <c r="K3154" t="s">
        <v>8513</v>
      </c>
      <c r="L3154">
        <v>637</v>
      </c>
      <c r="M3154" t="s">
        <v>8514</v>
      </c>
    </row>
    <row r="3155" spans="1:13" x14ac:dyDescent="0.45">
      <c r="A3155" t="s">
        <v>13</v>
      </c>
      <c r="B3155">
        <v>3463391</v>
      </c>
      <c r="C3155">
        <v>3464545</v>
      </c>
      <c r="E3155" t="s">
        <v>96</v>
      </c>
      <c r="F3155" t="s">
        <v>8515</v>
      </c>
      <c r="H3155">
        <v>0</v>
      </c>
      <c r="I3155" t="s">
        <v>17</v>
      </c>
      <c r="K3155" t="s">
        <v>8516</v>
      </c>
      <c r="L3155">
        <v>384</v>
      </c>
      <c r="M3155" t="s">
        <v>8517</v>
      </c>
    </row>
    <row r="3156" spans="1:13" x14ac:dyDescent="0.45">
      <c r="A3156" t="s">
        <v>13</v>
      </c>
      <c r="B3156">
        <v>3464827</v>
      </c>
      <c r="C3156">
        <v>3467442</v>
      </c>
      <c r="E3156" t="s">
        <v>96</v>
      </c>
      <c r="F3156" t="s">
        <v>7240</v>
      </c>
      <c r="G3156" t="s">
        <v>7241</v>
      </c>
      <c r="H3156">
        <v>0</v>
      </c>
      <c r="I3156" t="s">
        <v>17</v>
      </c>
      <c r="K3156" t="s">
        <v>8518</v>
      </c>
      <c r="L3156">
        <v>871</v>
      </c>
      <c r="M3156" t="s">
        <v>8519</v>
      </c>
    </row>
    <row r="3157" spans="1:13" x14ac:dyDescent="0.45">
      <c r="A3157" t="s">
        <v>13</v>
      </c>
      <c r="B3157">
        <v>3467586</v>
      </c>
      <c r="C3157">
        <v>3469511</v>
      </c>
      <c r="E3157" t="s">
        <v>96</v>
      </c>
      <c r="F3157" t="s">
        <v>8520</v>
      </c>
      <c r="G3157" t="s">
        <v>8521</v>
      </c>
      <c r="H3157">
        <v>0</v>
      </c>
      <c r="I3157" t="s">
        <v>17</v>
      </c>
      <c r="K3157" t="s">
        <v>8522</v>
      </c>
      <c r="L3157">
        <v>641</v>
      </c>
      <c r="M3157" t="s">
        <v>8523</v>
      </c>
    </row>
    <row r="3158" spans="1:13" x14ac:dyDescent="0.45">
      <c r="A3158" t="s">
        <v>13</v>
      </c>
      <c r="B3158">
        <v>3469641</v>
      </c>
      <c r="C3158">
        <v>3470366</v>
      </c>
      <c r="E3158" t="s">
        <v>96</v>
      </c>
      <c r="F3158" t="s">
        <v>1462</v>
      </c>
      <c r="H3158">
        <v>0</v>
      </c>
      <c r="I3158" t="s">
        <v>17</v>
      </c>
      <c r="K3158" t="s">
        <v>8524</v>
      </c>
      <c r="L3158">
        <v>241</v>
      </c>
      <c r="M3158" t="s">
        <v>8525</v>
      </c>
    </row>
    <row r="3159" spans="1:13" x14ac:dyDescent="0.45">
      <c r="A3159" t="s">
        <v>13</v>
      </c>
      <c r="B3159">
        <v>3470629</v>
      </c>
      <c r="C3159">
        <v>3471399</v>
      </c>
      <c r="E3159" t="s">
        <v>96</v>
      </c>
      <c r="F3159" t="s">
        <v>8526</v>
      </c>
      <c r="H3159">
        <v>0</v>
      </c>
      <c r="I3159" t="s">
        <v>17</v>
      </c>
      <c r="K3159" t="s">
        <v>8527</v>
      </c>
      <c r="L3159">
        <v>256</v>
      </c>
      <c r="M3159" t="s">
        <v>8528</v>
      </c>
    </row>
    <row r="3160" spans="1:13" x14ac:dyDescent="0.45">
      <c r="A3160" t="s">
        <v>13</v>
      </c>
      <c r="B3160">
        <v>3471401</v>
      </c>
      <c r="C3160">
        <v>3472849</v>
      </c>
      <c r="E3160" t="s">
        <v>96</v>
      </c>
      <c r="F3160" t="s">
        <v>3665</v>
      </c>
      <c r="H3160">
        <v>0</v>
      </c>
      <c r="I3160" t="s">
        <v>17</v>
      </c>
      <c r="K3160" t="s">
        <v>8529</v>
      </c>
      <c r="L3160">
        <v>482</v>
      </c>
      <c r="M3160" t="s">
        <v>8530</v>
      </c>
    </row>
    <row r="3161" spans="1:13" x14ac:dyDescent="0.45">
      <c r="A3161" t="s">
        <v>13</v>
      </c>
      <c r="B3161">
        <v>3473219</v>
      </c>
      <c r="C3161">
        <v>3473941</v>
      </c>
      <c r="E3161" t="s">
        <v>14</v>
      </c>
      <c r="F3161" t="s">
        <v>1909</v>
      </c>
      <c r="H3161">
        <v>0</v>
      </c>
      <c r="I3161" t="s">
        <v>17</v>
      </c>
      <c r="K3161" t="s">
        <v>8531</v>
      </c>
      <c r="L3161">
        <v>240</v>
      </c>
      <c r="M3161" t="s">
        <v>8532</v>
      </c>
    </row>
    <row r="3162" spans="1:13" x14ac:dyDescent="0.45">
      <c r="A3162" t="s">
        <v>13</v>
      </c>
      <c r="B3162">
        <v>3474138</v>
      </c>
      <c r="C3162">
        <v>3475805</v>
      </c>
      <c r="E3162" t="s">
        <v>14</v>
      </c>
      <c r="F3162" t="s">
        <v>8533</v>
      </c>
      <c r="H3162">
        <v>0</v>
      </c>
      <c r="I3162" t="s">
        <v>17</v>
      </c>
      <c r="K3162" t="s">
        <v>8534</v>
      </c>
      <c r="L3162">
        <v>555</v>
      </c>
      <c r="M3162" t="s">
        <v>8535</v>
      </c>
    </row>
    <row r="3163" spans="1:13" x14ac:dyDescent="0.45">
      <c r="A3163" t="s">
        <v>13</v>
      </c>
      <c r="B3163">
        <v>3475901</v>
      </c>
      <c r="C3163">
        <v>3477220</v>
      </c>
      <c r="E3163" t="s">
        <v>96</v>
      </c>
      <c r="F3163" t="s">
        <v>717</v>
      </c>
      <c r="H3163">
        <v>0</v>
      </c>
      <c r="I3163" t="s">
        <v>17</v>
      </c>
      <c r="K3163" t="s">
        <v>8536</v>
      </c>
      <c r="L3163">
        <v>439</v>
      </c>
      <c r="M3163" t="s">
        <v>8537</v>
      </c>
    </row>
    <row r="3164" spans="1:13" x14ac:dyDescent="0.45">
      <c r="A3164" t="s">
        <v>13</v>
      </c>
      <c r="B3164">
        <v>3477261</v>
      </c>
      <c r="C3164">
        <v>3477998</v>
      </c>
      <c r="E3164" t="s">
        <v>96</v>
      </c>
      <c r="F3164" t="s">
        <v>3198</v>
      </c>
      <c r="H3164">
        <v>0</v>
      </c>
      <c r="I3164" t="s">
        <v>17</v>
      </c>
      <c r="K3164" t="s">
        <v>8538</v>
      </c>
      <c r="L3164">
        <v>245</v>
      </c>
      <c r="M3164" t="s">
        <v>8539</v>
      </c>
    </row>
    <row r="3165" spans="1:13" x14ac:dyDescent="0.45">
      <c r="A3165" t="s">
        <v>13</v>
      </c>
      <c r="B3165">
        <v>3478251</v>
      </c>
      <c r="C3165">
        <v>3480260</v>
      </c>
      <c r="E3165" t="s">
        <v>96</v>
      </c>
      <c r="F3165" t="s">
        <v>723</v>
      </c>
      <c r="H3165">
        <v>0</v>
      </c>
      <c r="I3165" t="s">
        <v>17</v>
      </c>
      <c r="K3165" t="s">
        <v>8540</v>
      </c>
      <c r="L3165">
        <v>669</v>
      </c>
      <c r="M3165" t="s">
        <v>8541</v>
      </c>
    </row>
    <row r="3166" spans="1:13" x14ac:dyDescent="0.45">
      <c r="A3166" t="s">
        <v>13</v>
      </c>
      <c r="B3166">
        <v>3480698</v>
      </c>
      <c r="C3166">
        <v>3482131</v>
      </c>
      <c r="E3166" t="s">
        <v>96</v>
      </c>
      <c r="F3166" t="s">
        <v>1314</v>
      </c>
      <c r="H3166">
        <v>0</v>
      </c>
      <c r="I3166" t="s">
        <v>17</v>
      </c>
      <c r="K3166" t="s">
        <v>8542</v>
      </c>
      <c r="L3166">
        <v>477</v>
      </c>
      <c r="M3166" t="s">
        <v>8543</v>
      </c>
    </row>
    <row r="3167" spans="1:13" x14ac:dyDescent="0.45">
      <c r="A3167" t="s">
        <v>13</v>
      </c>
      <c r="B3167">
        <v>3482218</v>
      </c>
      <c r="C3167">
        <v>3484134</v>
      </c>
      <c r="E3167" t="s">
        <v>96</v>
      </c>
      <c r="F3167" t="s">
        <v>1311</v>
      </c>
      <c r="H3167">
        <v>0</v>
      </c>
      <c r="I3167" t="s">
        <v>17</v>
      </c>
      <c r="K3167" t="s">
        <v>8544</v>
      </c>
      <c r="L3167">
        <v>638</v>
      </c>
      <c r="M3167" t="s">
        <v>8545</v>
      </c>
    </row>
    <row r="3168" spans="1:13" x14ac:dyDescent="0.45">
      <c r="A3168" t="s">
        <v>13</v>
      </c>
      <c r="B3168">
        <v>3484208</v>
      </c>
      <c r="C3168">
        <v>3485068</v>
      </c>
      <c r="E3168" t="s">
        <v>96</v>
      </c>
      <c r="F3168" t="s">
        <v>7544</v>
      </c>
      <c r="G3168" t="s">
        <v>7545</v>
      </c>
      <c r="H3168">
        <v>0</v>
      </c>
      <c r="I3168" t="s">
        <v>17</v>
      </c>
      <c r="K3168" t="s">
        <v>8546</v>
      </c>
      <c r="L3168">
        <v>286</v>
      </c>
      <c r="M3168" t="s">
        <v>8547</v>
      </c>
    </row>
    <row r="3169" spans="1:13" x14ac:dyDescent="0.45">
      <c r="A3169" t="s">
        <v>13</v>
      </c>
      <c r="B3169">
        <v>3485419</v>
      </c>
      <c r="C3169">
        <v>3486606</v>
      </c>
      <c r="E3169" t="s">
        <v>96</v>
      </c>
      <c r="F3169" t="s">
        <v>1128</v>
      </c>
      <c r="H3169">
        <v>0</v>
      </c>
      <c r="I3169" t="s">
        <v>17</v>
      </c>
      <c r="K3169" t="s">
        <v>8548</v>
      </c>
      <c r="L3169">
        <v>395</v>
      </c>
      <c r="M3169" t="s">
        <v>8549</v>
      </c>
    </row>
    <row r="3170" spans="1:13" x14ac:dyDescent="0.45">
      <c r="A3170" t="s">
        <v>13</v>
      </c>
      <c r="B3170">
        <v>3486620</v>
      </c>
      <c r="C3170">
        <v>3488011</v>
      </c>
      <c r="E3170" t="s">
        <v>96</v>
      </c>
      <c r="F3170" t="s">
        <v>4884</v>
      </c>
      <c r="H3170">
        <v>0</v>
      </c>
      <c r="I3170" t="s">
        <v>17</v>
      </c>
      <c r="K3170" t="s">
        <v>8550</v>
      </c>
      <c r="L3170">
        <v>463</v>
      </c>
      <c r="M3170" t="s">
        <v>8551</v>
      </c>
    </row>
    <row r="3171" spans="1:13" x14ac:dyDescent="0.45">
      <c r="A3171" t="s">
        <v>13</v>
      </c>
      <c r="B3171">
        <v>3488606</v>
      </c>
      <c r="C3171">
        <v>3490258</v>
      </c>
      <c r="E3171" t="s">
        <v>96</v>
      </c>
      <c r="F3171" t="s">
        <v>3665</v>
      </c>
      <c r="H3171">
        <v>0</v>
      </c>
      <c r="I3171" t="s">
        <v>17</v>
      </c>
      <c r="K3171" t="s">
        <v>8552</v>
      </c>
      <c r="L3171">
        <v>550</v>
      </c>
      <c r="M3171" t="s">
        <v>8553</v>
      </c>
    </row>
    <row r="3172" spans="1:13" x14ac:dyDescent="0.45">
      <c r="A3172" t="s">
        <v>13</v>
      </c>
      <c r="B3172">
        <v>3490278</v>
      </c>
      <c r="C3172">
        <v>3491681</v>
      </c>
      <c r="E3172" t="s">
        <v>96</v>
      </c>
      <c r="F3172" t="s">
        <v>1128</v>
      </c>
      <c r="H3172">
        <v>0</v>
      </c>
      <c r="I3172" t="s">
        <v>17</v>
      </c>
      <c r="K3172" t="s">
        <v>8554</v>
      </c>
      <c r="L3172">
        <v>467</v>
      </c>
      <c r="M3172" t="s">
        <v>8555</v>
      </c>
    </row>
    <row r="3173" spans="1:13" x14ac:dyDescent="0.45">
      <c r="A3173" t="s">
        <v>13</v>
      </c>
      <c r="B3173">
        <v>3491945</v>
      </c>
      <c r="C3173">
        <v>3492436</v>
      </c>
      <c r="E3173" t="s">
        <v>96</v>
      </c>
      <c r="F3173" t="s">
        <v>227</v>
      </c>
      <c r="H3173">
        <v>0</v>
      </c>
      <c r="I3173" t="s">
        <v>17</v>
      </c>
      <c r="K3173" t="s">
        <v>8556</v>
      </c>
      <c r="L3173">
        <v>163</v>
      </c>
      <c r="M3173" t="s">
        <v>8557</v>
      </c>
    </row>
    <row r="3174" spans="1:13" x14ac:dyDescent="0.45">
      <c r="A3174" t="s">
        <v>13</v>
      </c>
      <c r="B3174">
        <v>3492462</v>
      </c>
      <c r="C3174">
        <v>3493274</v>
      </c>
      <c r="E3174" t="s">
        <v>96</v>
      </c>
      <c r="F3174" t="s">
        <v>1467</v>
      </c>
      <c r="H3174">
        <v>0</v>
      </c>
      <c r="I3174" t="s">
        <v>17</v>
      </c>
      <c r="K3174" t="s">
        <v>8558</v>
      </c>
      <c r="L3174">
        <v>270</v>
      </c>
      <c r="M3174" t="s">
        <v>8559</v>
      </c>
    </row>
    <row r="3175" spans="1:13" x14ac:dyDescent="0.45">
      <c r="A3175" t="s">
        <v>13</v>
      </c>
      <c r="B3175">
        <v>3493287</v>
      </c>
      <c r="C3175">
        <v>3494438</v>
      </c>
      <c r="E3175" t="s">
        <v>96</v>
      </c>
      <c r="F3175" t="s">
        <v>1084</v>
      </c>
      <c r="H3175">
        <v>0</v>
      </c>
      <c r="I3175" t="s">
        <v>17</v>
      </c>
      <c r="K3175" t="s">
        <v>8560</v>
      </c>
      <c r="L3175">
        <v>383</v>
      </c>
      <c r="M3175" t="s">
        <v>8561</v>
      </c>
    </row>
    <row r="3176" spans="1:13" x14ac:dyDescent="0.45">
      <c r="A3176" t="s">
        <v>13</v>
      </c>
      <c r="B3176">
        <v>3494708</v>
      </c>
      <c r="C3176">
        <v>3495349</v>
      </c>
      <c r="E3176" t="s">
        <v>14</v>
      </c>
      <c r="F3176" t="s">
        <v>8562</v>
      </c>
      <c r="H3176">
        <v>0</v>
      </c>
      <c r="I3176" t="s">
        <v>17</v>
      </c>
      <c r="K3176" t="s">
        <v>8563</v>
      </c>
      <c r="L3176">
        <v>213</v>
      </c>
      <c r="M3176" t="s">
        <v>8564</v>
      </c>
    </row>
    <row r="3177" spans="1:13" x14ac:dyDescent="0.45">
      <c r="A3177" t="s">
        <v>13</v>
      </c>
      <c r="B3177">
        <v>3495375</v>
      </c>
      <c r="C3177">
        <v>3496919</v>
      </c>
      <c r="E3177" t="s">
        <v>14</v>
      </c>
      <c r="F3177" t="s">
        <v>613</v>
      </c>
      <c r="H3177">
        <v>0</v>
      </c>
      <c r="I3177" t="s">
        <v>17</v>
      </c>
      <c r="K3177" t="s">
        <v>8565</v>
      </c>
      <c r="L3177">
        <v>514</v>
      </c>
      <c r="M3177" t="s">
        <v>8566</v>
      </c>
    </row>
    <row r="3178" spans="1:13" x14ac:dyDescent="0.45">
      <c r="A3178" t="s">
        <v>13</v>
      </c>
      <c r="B3178">
        <v>3497136</v>
      </c>
      <c r="C3178">
        <v>3497762</v>
      </c>
      <c r="E3178" t="s">
        <v>96</v>
      </c>
      <c r="F3178" t="s">
        <v>3962</v>
      </c>
      <c r="H3178">
        <v>0</v>
      </c>
      <c r="I3178" t="s">
        <v>17</v>
      </c>
      <c r="K3178" t="s">
        <v>8567</v>
      </c>
      <c r="L3178">
        <v>208</v>
      </c>
      <c r="M3178" t="s">
        <v>8568</v>
      </c>
    </row>
    <row r="3179" spans="1:13" x14ac:dyDescent="0.45">
      <c r="A3179" t="s">
        <v>13</v>
      </c>
      <c r="B3179">
        <v>3497897</v>
      </c>
      <c r="C3179">
        <v>3498613</v>
      </c>
      <c r="E3179" t="s">
        <v>96</v>
      </c>
      <c r="F3179" t="s">
        <v>6542</v>
      </c>
      <c r="H3179">
        <v>0</v>
      </c>
      <c r="I3179" t="s">
        <v>17</v>
      </c>
      <c r="K3179" t="s">
        <v>8569</v>
      </c>
      <c r="L3179">
        <v>238</v>
      </c>
      <c r="M3179" t="s">
        <v>8570</v>
      </c>
    </row>
    <row r="3180" spans="1:13" x14ac:dyDescent="0.45">
      <c r="A3180" t="s">
        <v>13</v>
      </c>
      <c r="B3180">
        <v>3499028</v>
      </c>
      <c r="C3180">
        <v>3500242</v>
      </c>
      <c r="E3180" t="s">
        <v>14</v>
      </c>
      <c r="F3180" t="s">
        <v>8571</v>
      </c>
      <c r="H3180">
        <v>0</v>
      </c>
      <c r="I3180" t="s">
        <v>17</v>
      </c>
      <c r="K3180" t="s">
        <v>8572</v>
      </c>
      <c r="L3180">
        <v>404</v>
      </c>
      <c r="M3180" t="s">
        <v>8573</v>
      </c>
    </row>
    <row r="3181" spans="1:13" x14ac:dyDescent="0.45">
      <c r="A3181" t="s">
        <v>13</v>
      </c>
      <c r="B3181">
        <v>3500861</v>
      </c>
      <c r="C3181">
        <v>3501097</v>
      </c>
      <c r="E3181" t="s">
        <v>14</v>
      </c>
      <c r="F3181" t="s">
        <v>43</v>
      </c>
      <c r="H3181">
        <v>0</v>
      </c>
      <c r="I3181" t="s">
        <v>17</v>
      </c>
      <c r="K3181" t="s">
        <v>8574</v>
      </c>
      <c r="L3181">
        <v>78</v>
      </c>
      <c r="M3181" t="s">
        <v>8575</v>
      </c>
    </row>
    <row r="3182" spans="1:13" x14ac:dyDescent="0.45">
      <c r="A3182" t="s">
        <v>13</v>
      </c>
      <c r="B3182">
        <v>3501736</v>
      </c>
      <c r="C3182">
        <v>3501834</v>
      </c>
      <c r="E3182" t="s">
        <v>14</v>
      </c>
      <c r="F3182" t="s">
        <v>271</v>
      </c>
      <c r="H3182">
        <v>0</v>
      </c>
      <c r="I3182" t="s">
        <v>272</v>
      </c>
      <c r="M3182" t="s">
        <v>8576</v>
      </c>
    </row>
    <row r="3183" spans="1:13" x14ac:dyDescent="0.45">
      <c r="A3183" t="s">
        <v>13</v>
      </c>
      <c r="B3183">
        <v>3501836</v>
      </c>
      <c r="C3183">
        <v>3502954</v>
      </c>
      <c r="E3183" t="s">
        <v>14</v>
      </c>
      <c r="F3183" t="s">
        <v>1370</v>
      </c>
      <c r="G3183" t="s">
        <v>1371</v>
      </c>
      <c r="H3183">
        <v>0</v>
      </c>
      <c r="I3183" t="s">
        <v>17</v>
      </c>
      <c r="K3183" t="s">
        <v>8577</v>
      </c>
      <c r="L3183">
        <v>372</v>
      </c>
      <c r="M3183" t="s">
        <v>8578</v>
      </c>
    </row>
    <row r="3184" spans="1:13" x14ac:dyDescent="0.45">
      <c r="A3184" t="s">
        <v>13</v>
      </c>
      <c r="B3184">
        <v>3503102</v>
      </c>
      <c r="C3184">
        <v>3504166</v>
      </c>
      <c r="E3184" t="s">
        <v>14</v>
      </c>
      <c r="F3184" t="s">
        <v>43</v>
      </c>
      <c r="H3184">
        <v>0</v>
      </c>
      <c r="I3184" t="s">
        <v>17</v>
      </c>
      <c r="K3184" t="s">
        <v>8579</v>
      </c>
      <c r="L3184">
        <v>354</v>
      </c>
      <c r="M3184" t="s">
        <v>8580</v>
      </c>
    </row>
    <row r="3185" spans="1:13" x14ac:dyDescent="0.45">
      <c r="A3185" t="s">
        <v>13</v>
      </c>
      <c r="B3185">
        <v>3504294</v>
      </c>
      <c r="C3185">
        <v>3505484</v>
      </c>
      <c r="E3185" t="s">
        <v>96</v>
      </c>
      <c r="F3185" t="s">
        <v>1128</v>
      </c>
      <c r="H3185">
        <v>0</v>
      </c>
      <c r="I3185" t="s">
        <v>17</v>
      </c>
      <c r="K3185" t="s">
        <v>8581</v>
      </c>
      <c r="L3185">
        <v>396</v>
      </c>
      <c r="M3185" t="s">
        <v>8582</v>
      </c>
    </row>
    <row r="3186" spans="1:13" x14ac:dyDescent="0.45">
      <c r="A3186" t="s">
        <v>13</v>
      </c>
      <c r="B3186">
        <v>3505590</v>
      </c>
      <c r="C3186">
        <v>3506969</v>
      </c>
      <c r="E3186" t="s">
        <v>96</v>
      </c>
      <c r="F3186" t="s">
        <v>1128</v>
      </c>
      <c r="H3186">
        <v>0</v>
      </c>
      <c r="I3186" t="s">
        <v>17</v>
      </c>
      <c r="K3186" t="s">
        <v>8583</v>
      </c>
      <c r="L3186">
        <v>459</v>
      </c>
      <c r="M3186" t="s">
        <v>8584</v>
      </c>
    </row>
    <row r="3187" spans="1:13" x14ac:dyDescent="0.45">
      <c r="A3187" t="s">
        <v>13</v>
      </c>
      <c r="B3187">
        <v>3507000</v>
      </c>
      <c r="C3187">
        <v>3508208</v>
      </c>
      <c r="E3187" t="s">
        <v>96</v>
      </c>
      <c r="F3187" t="s">
        <v>43</v>
      </c>
      <c r="H3187">
        <v>0</v>
      </c>
      <c r="I3187" t="s">
        <v>17</v>
      </c>
      <c r="K3187" t="s">
        <v>8585</v>
      </c>
      <c r="L3187">
        <v>402</v>
      </c>
      <c r="M3187" t="s">
        <v>8586</v>
      </c>
    </row>
    <row r="3188" spans="1:13" x14ac:dyDescent="0.45">
      <c r="A3188" t="s">
        <v>13</v>
      </c>
      <c r="B3188">
        <v>3509232</v>
      </c>
      <c r="C3188">
        <v>3510686</v>
      </c>
      <c r="E3188" t="s">
        <v>96</v>
      </c>
      <c r="F3188" t="s">
        <v>1314</v>
      </c>
      <c r="H3188">
        <v>0</v>
      </c>
      <c r="I3188" t="s">
        <v>17</v>
      </c>
      <c r="K3188" t="s">
        <v>8587</v>
      </c>
      <c r="L3188">
        <v>484</v>
      </c>
      <c r="M3188" t="s">
        <v>8588</v>
      </c>
    </row>
    <row r="3189" spans="1:13" x14ac:dyDescent="0.45">
      <c r="A3189" t="s">
        <v>13</v>
      </c>
      <c r="B3189">
        <v>3510706</v>
      </c>
      <c r="C3189">
        <v>3512577</v>
      </c>
      <c r="E3189" t="s">
        <v>96</v>
      </c>
      <c r="F3189" t="s">
        <v>1311</v>
      </c>
      <c r="H3189">
        <v>0</v>
      </c>
      <c r="I3189" t="s">
        <v>17</v>
      </c>
      <c r="K3189" t="s">
        <v>8589</v>
      </c>
      <c r="L3189">
        <v>623</v>
      </c>
      <c r="M3189" t="s">
        <v>8590</v>
      </c>
    </row>
    <row r="3190" spans="1:13" x14ac:dyDescent="0.45">
      <c r="A3190" t="s">
        <v>13</v>
      </c>
      <c r="B3190">
        <v>3512567</v>
      </c>
      <c r="C3190">
        <v>3513427</v>
      </c>
      <c r="E3190" t="s">
        <v>96</v>
      </c>
      <c r="F3190" t="s">
        <v>1317</v>
      </c>
      <c r="H3190">
        <v>0</v>
      </c>
      <c r="I3190" t="s">
        <v>17</v>
      </c>
      <c r="K3190" t="s">
        <v>8591</v>
      </c>
      <c r="L3190">
        <v>286</v>
      </c>
      <c r="M3190" t="s">
        <v>8592</v>
      </c>
    </row>
    <row r="3191" spans="1:13" x14ac:dyDescent="0.45">
      <c r="A3191" t="s">
        <v>13</v>
      </c>
      <c r="B3191">
        <v>3514150</v>
      </c>
      <c r="C3191">
        <v>3514554</v>
      </c>
      <c r="E3191" t="s">
        <v>96</v>
      </c>
      <c r="F3191" t="s">
        <v>8593</v>
      </c>
      <c r="H3191">
        <v>0</v>
      </c>
      <c r="I3191" t="s">
        <v>17</v>
      </c>
      <c r="K3191" t="s">
        <v>8594</v>
      </c>
      <c r="L3191">
        <v>134</v>
      </c>
      <c r="M3191" t="s">
        <v>8595</v>
      </c>
    </row>
    <row r="3192" spans="1:13" x14ac:dyDescent="0.45">
      <c r="A3192" t="s">
        <v>13</v>
      </c>
      <c r="B3192">
        <v>3514746</v>
      </c>
      <c r="C3192">
        <v>3515933</v>
      </c>
      <c r="E3192" t="s">
        <v>96</v>
      </c>
      <c r="F3192" t="s">
        <v>8596</v>
      </c>
      <c r="H3192">
        <v>0</v>
      </c>
      <c r="I3192" t="s">
        <v>17</v>
      </c>
      <c r="K3192" t="s">
        <v>8597</v>
      </c>
      <c r="L3192">
        <v>395</v>
      </c>
      <c r="M3192" t="s">
        <v>8598</v>
      </c>
    </row>
    <row r="3193" spans="1:13" x14ac:dyDescent="0.45">
      <c r="A3193" t="s">
        <v>13</v>
      </c>
      <c r="B3193">
        <v>3515965</v>
      </c>
      <c r="C3193">
        <v>3516180</v>
      </c>
      <c r="E3193" t="s">
        <v>96</v>
      </c>
      <c r="F3193" t="s">
        <v>8599</v>
      </c>
      <c r="H3193">
        <v>0</v>
      </c>
      <c r="I3193" t="s">
        <v>17</v>
      </c>
      <c r="K3193" t="s">
        <v>8600</v>
      </c>
      <c r="L3193">
        <v>71</v>
      </c>
      <c r="M3193" t="s">
        <v>8601</v>
      </c>
    </row>
    <row r="3194" spans="1:13" x14ac:dyDescent="0.45">
      <c r="A3194" t="s">
        <v>13</v>
      </c>
      <c r="B3194">
        <v>3516317</v>
      </c>
      <c r="C3194">
        <v>3517930</v>
      </c>
      <c r="E3194" t="s">
        <v>96</v>
      </c>
      <c r="F3194" t="s">
        <v>3330</v>
      </c>
      <c r="H3194">
        <v>0</v>
      </c>
      <c r="I3194" t="s">
        <v>17</v>
      </c>
      <c r="K3194" t="s">
        <v>8602</v>
      </c>
      <c r="L3194">
        <v>537</v>
      </c>
      <c r="M3194" t="s">
        <v>8603</v>
      </c>
    </row>
    <row r="3195" spans="1:13" x14ac:dyDescent="0.45">
      <c r="A3195" t="s">
        <v>13</v>
      </c>
      <c r="B3195">
        <v>3518042</v>
      </c>
      <c r="C3195">
        <v>3518255</v>
      </c>
      <c r="E3195" t="s">
        <v>96</v>
      </c>
      <c r="F3195" t="s">
        <v>271</v>
      </c>
      <c r="H3195">
        <v>0</v>
      </c>
      <c r="I3195" t="s">
        <v>272</v>
      </c>
      <c r="M3195" t="s">
        <v>8604</v>
      </c>
    </row>
    <row r="3196" spans="1:13" x14ac:dyDescent="0.45">
      <c r="A3196" t="s">
        <v>13</v>
      </c>
      <c r="B3196">
        <v>3519077</v>
      </c>
      <c r="C3196">
        <v>3520156</v>
      </c>
      <c r="E3196" t="s">
        <v>96</v>
      </c>
      <c r="F3196" t="s">
        <v>3723</v>
      </c>
      <c r="H3196">
        <v>0</v>
      </c>
      <c r="I3196" t="s">
        <v>17</v>
      </c>
      <c r="K3196" t="s">
        <v>8605</v>
      </c>
      <c r="L3196">
        <v>359</v>
      </c>
      <c r="M3196" t="s">
        <v>8606</v>
      </c>
    </row>
    <row r="3197" spans="1:13" x14ac:dyDescent="0.45">
      <c r="A3197" t="s">
        <v>13</v>
      </c>
      <c r="B3197">
        <v>3520536</v>
      </c>
      <c r="C3197">
        <v>3521183</v>
      </c>
      <c r="E3197" t="s">
        <v>96</v>
      </c>
      <c r="F3197" t="s">
        <v>8607</v>
      </c>
      <c r="H3197">
        <v>0</v>
      </c>
      <c r="I3197" t="s">
        <v>17</v>
      </c>
      <c r="K3197" t="s">
        <v>8608</v>
      </c>
      <c r="L3197">
        <v>215</v>
      </c>
      <c r="M3197" t="s">
        <v>8609</v>
      </c>
    </row>
    <row r="3198" spans="1:13" x14ac:dyDescent="0.45">
      <c r="A3198" t="s">
        <v>13</v>
      </c>
      <c r="B3198">
        <v>3521199</v>
      </c>
      <c r="C3198">
        <v>3521555</v>
      </c>
      <c r="E3198" t="s">
        <v>96</v>
      </c>
      <c r="F3198" t="s">
        <v>8610</v>
      </c>
      <c r="H3198">
        <v>0</v>
      </c>
      <c r="I3198" t="s">
        <v>17</v>
      </c>
      <c r="K3198" t="s">
        <v>8611</v>
      </c>
      <c r="L3198">
        <v>118</v>
      </c>
      <c r="M3198" t="s">
        <v>8612</v>
      </c>
    </row>
    <row r="3199" spans="1:13" x14ac:dyDescent="0.45">
      <c r="A3199" t="s">
        <v>13</v>
      </c>
      <c r="B3199">
        <v>3521822</v>
      </c>
      <c r="C3199">
        <v>3521938</v>
      </c>
      <c r="E3199" t="s">
        <v>96</v>
      </c>
      <c r="F3199" t="s">
        <v>271</v>
      </c>
      <c r="H3199">
        <v>0</v>
      </c>
      <c r="I3199" t="s">
        <v>272</v>
      </c>
      <c r="M3199" t="s">
        <v>8613</v>
      </c>
    </row>
    <row r="3200" spans="1:13" x14ac:dyDescent="0.45">
      <c r="A3200" t="s">
        <v>13</v>
      </c>
      <c r="B3200">
        <v>3522375</v>
      </c>
      <c r="C3200">
        <v>3524324</v>
      </c>
      <c r="E3200" t="s">
        <v>96</v>
      </c>
      <c r="F3200" t="s">
        <v>4646</v>
      </c>
      <c r="H3200">
        <v>0</v>
      </c>
      <c r="I3200" t="s">
        <v>17</v>
      </c>
      <c r="K3200" t="s">
        <v>8614</v>
      </c>
      <c r="L3200">
        <v>649</v>
      </c>
      <c r="M3200" t="s">
        <v>8615</v>
      </c>
    </row>
    <row r="3201" spans="1:13" x14ac:dyDescent="0.45">
      <c r="A3201" t="s">
        <v>13</v>
      </c>
      <c r="B3201">
        <v>3524296</v>
      </c>
      <c r="C3201">
        <v>3525594</v>
      </c>
      <c r="E3201" t="s">
        <v>96</v>
      </c>
      <c r="F3201" t="s">
        <v>8616</v>
      </c>
      <c r="H3201">
        <v>0</v>
      </c>
      <c r="I3201" t="s">
        <v>17</v>
      </c>
      <c r="K3201" t="s">
        <v>8617</v>
      </c>
      <c r="L3201">
        <v>432</v>
      </c>
      <c r="M3201" t="s">
        <v>8618</v>
      </c>
    </row>
    <row r="3202" spans="1:13" x14ac:dyDescent="0.45">
      <c r="A3202" t="s">
        <v>13</v>
      </c>
      <c r="B3202">
        <v>3525846</v>
      </c>
      <c r="C3202">
        <v>3526403</v>
      </c>
      <c r="E3202" t="s">
        <v>14</v>
      </c>
      <c r="F3202" t="s">
        <v>1728</v>
      </c>
      <c r="H3202">
        <v>0</v>
      </c>
      <c r="I3202" t="s">
        <v>17</v>
      </c>
      <c r="K3202" t="s">
        <v>8619</v>
      </c>
      <c r="L3202">
        <v>185</v>
      </c>
      <c r="M3202" t="s">
        <v>8620</v>
      </c>
    </row>
    <row r="3203" spans="1:13" x14ac:dyDescent="0.45">
      <c r="A3203" t="s">
        <v>13</v>
      </c>
      <c r="B3203">
        <v>3526887</v>
      </c>
      <c r="C3203">
        <v>3527597</v>
      </c>
      <c r="E3203" t="s">
        <v>14</v>
      </c>
      <c r="F3203" t="s">
        <v>1488</v>
      </c>
      <c r="H3203">
        <v>0</v>
      </c>
      <c r="I3203" t="s">
        <v>17</v>
      </c>
      <c r="K3203" t="s">
        <v>8621</v>
      </c>
      <c r="L3203">
        <v>236</v>
      </c>
      <c r="M3203" t="s">
        <v>8622</v>
      </c>
    </row>
    <row r="3204" spans="1:13" x14ac:dyDescent="0.45">
      <c r="A3204" t="s">
        <v>13</v>
      </c>
      <c r="B3204">
        <v>3527763</v>
      </c>
      <c r="C3204">
        <v>3528128</v>
      </c>
      <c r="E3204" t="s">
        <v>96</v>
      </c>
      <c r="F3204" t="s">
        <v>1201</v>
      </c>
      <c r="H3204">
        <v>0</v>
      </c>
      <c r="I3204" t="s">
        <v>17</v>
      </c>
      <c r="K3204" t="s">
        <v>8623</v>
      </c>
      <c r="L3204">
        <v>121</v>
      </c>
      <c r="M3204" t="s">
        <v>8624</v>
      </c>
    </row>
    <row r="3205" spans="1:13" x14ac:dyDescent="0.45">
      <c r="A3205" t="s">
        <v>13</v>
      </c>
      <c r="B3205">
        <v>3528144</v>
      </c>
      <c r="C3205">
        <v>3528920</v>
      </c>
      <c r="E3205" t="s">
        <v>96</v>
      </c>
      <c r="F3205" t="s">
        <v>862</v>
      </c>
      <c r="H3205">
        <v>0</v>
      </c>
      <c r="I3205" t="s">
        <v>17</v>
      </c>
      <c r="K3205" t="s">
        <v>8625</v>
      </c>
      <c r="L3205">
        <v>258</v>
      </c>
      <c r="M3205" t="s">
        <v>8626</v>
      </c>
    </row>
    <row r="3206" spans="1:13" x14ac:dyDescent="0.45">
      <c r="A3206" t="s">
        <v>13</v>
      </c>
      <c r="B3206">
        <v>3529331</v>
      </c>
      <c r="C3206">
        <v>3530758</v>
      </c>
      <c r="E3206" t="s">
        <v>96</v>
      </c>
      <c r="F3206" t="s">
        <v>8143</v>
      </c>
      <c r="H3206">
        <v>0</v>
      </c>
      <c r="I3206" t="s">
        <v>17</v>
      </c>
      <c r="K3206" t="s">
        <v>8627</v>
      </c>
      <c r="L3206">
        <v>475</v>
      </c>
      <c r="M3206" t="s">
        <v>8628</v>
      </c>
    </row>
    <row r="3207" spans="1:13" x14ac:dyDescent="0.45">
      <c r="A3207" t="s">
        <v>13</v>
      </c>
      <c r="B3207">
        <v>3530819</v>
      </c>
      <c r="C3207">
        <v>3532747</v>
      </c>
      <c r="E3207" t="s">
        <v>96</v>
      </c>
      <c r="F3207" t="s">
        <v>1311</v>
      </c>
      <c r="H3207">
        <v>0</v>
      </c>
      <c r="I3207" t="s">
        <v>17</v>
      </c>
      <c r="K3207" t="s">
        <v>8629</v>
      </c>
      <c r="L3207">
        <v>642</v>
      </c>
      <c r="M3207" t="s">
        <v>8630</v>
      </c>
    </row>
    <row r="3208" spans="1:13" x14ac:dyDescent="0.45">
      <c r="A3208" t="s">
        <v>13</v>
      </c>
      <c r="B3208">
        <v>3532892</v>
      </c>
      <c r="C3208">
        <v>3533734</v>
      </c>
      <c r="E3208" t="s">
        <v>96</v>
      </c>
      <c r="F3208" t="s">
        <v>7544</v>
      </c>
      <c r="G3208" t="s">
        <v>7545</v>
      </c>
      <c r="H3208">
        <v>0</v>
      </c>
      <c r="I3208" t="s">
        <v>17</v>
      </c>
      <c r="K3208" t="s">
        <v>8631</v>
      </c>
      <c r="L3208">
        <v>280</v>
      </c>
      <c r="M3208" t="s">
        <v>8632</v>
      </c>
    </row>
    <row r="3209" spans="1:13" x14ac:dyDescent="0.45">
      <c r="A3209" t="s">
        <v>13</v>
      </c>
      <c r="B3209">
        <v>3534051</v>
      </c>
      <c r="C3209">
        <v>3535451</v>
      </c>
      <c r="E3209" t="s">
        <v>96</v>
      </c>
      <c r="F3209" t="s">
        <v>3665</v>
      </c>
      <c r="H3209">
        <v>0</v>
      </c>
      <c r="I3209" t="s">
        <v>17</v>
      </c>
      <c r="K3209" t="s">
        <v>8633</v>
      </c>
      <c r="L3209">
        <v>466</v>
      </c>
      <c r="M3209" t="s">
        <v>8634</v>
      </c>
    </row>
    <row r="3210" spans="1:13" x14ac:dyDescent="0.45">
      <c r="A3210" t="s">
        <v>13</v>
      </c>
      <c r="B3210">
        <v>3535490</v>
      </c>
      <c r="C3210">
        <v>3536161</v>
      </c>
      <c r="E3210" t="s">
        <v>96</v>
      </c>
      <c r="F3210" t="s">
        <v>6260</v>
      </c>
      <c r="G3210" t="s">
        <v>6261</v>
      </c>
      <c r="H3210">
        <v>0</v>
      </c>
      <c r="I3210" t="s">
        <v>17</v>
      </c>
      <c r="K3210" t="s">
        <v>8635</v>
      </c>
      <c r="L3210">
        <v>223</v>
      </c>
      <c r="M3210" t="s">
        <v>8636</v>
      </c>
    </row>
    <row r="3211" spans="1:13" x14ac:dyDescent="0.45">
      <c r="A3211" t="s">
        <v>13</v>
      </c>
      <c r="B3211">
        <v>3536163</v>
      </c>
      <c r="C3211">
        <v>3538553</v>
      </c>
      <c r="E3211" t="s">
        <v>96</v>
      </c>
      <c r="F3211" t="s">
        <v>6257</v>
      </c>
      <c r="H3211">
        <v>0</v>
      </c>
      <c r="I3211" t="s">
        <v>17</v>
      </c>
      <c r="K3211" t="s">
        <v>8637</v>
      </c>
      <c r="L3211">
        <v>796</v>
      </c>
      <c r="M3211" t="s">
        <v>8638</v>
      </c>
    </row>
    <row r="3212" spans="1:13" x14ac:dyDescent="0.45">
      <c r="A3212" t="s">
        <v>13</v>
      </c>
      <c r="B3212">
        <v>3538579</v>
      </c>
      <c r="C3212">
        <v>3540027</v>
      </c>
      <c r="E3212" t="s">
        <v>96</v>
      </c>
      <c r="F3212" t="s">
        <v>8639</v>
      </c>
      <c r="H3212">
        <v>0</v>
      </c>
      <c r="I3212" t="s">
        <v>17</v>
      </c>
      <c r="K3212" t="s">
        <v>8640</v>
      </c>
      <c r="L3212">
        <v>482</v>
      </c>
      <c r="M3212" t="s">
        <v>8641</v>
      </c>
    </row>
    <row r="3213" spans="1:13" x14ac:dyDescent="0.45">
      <c r="A3213" t="s">
        <v>13</v>
      </c>
      <c r="B3213">
        <v>3540432</v>
      </c>
      <c r="C3213">
        <v>3541319</v>
      </c>
      <c r="E3213" t="s">
        <v>96</v>
      </c>
      <c r="F3213" t="s">
        <v>196</v>
      </c>
      <c r="H3213">
        <v>0</v>
      </c>
      <c r="I3213" t="s">
        <v>17</v>
      </c>
      <c r="K3213" t="s">
        <v>8642</v>
      </c>
      <c r="L3213">
        <v>295</v>
      </c>
      <c r="M3213" t="s">
        <v>8643</v>
      </c>
    </row>
    <row r="3214" spans="1:13" x14ac:dyDescent="0.45">
      <c r="A3214" t="s">
        <v>13</v>
      </c>
      <c r="B3214">
        <v>3541419</v>
      </c>
      <c r="C3214">
        <v>3541868</v>
      </c>
      <c r="E3214" t="s">
        <v>96</v>
      </c>
      <c r="F3214" t="s">
        <v>227</v>
      </c>
      <c r="H3214">
        <v>0</v>
      </c>
      <c r="I3214" t="s">
        <v>17</v>
      </c>
      <c r="K3214" t="s">
        <v>8644</v>
      </c>
      <c r="L3214">
        <v>149</v>
      </c>
      <c r="M3214" t="s">
        <v>8645</v>
      </c>
    </row>
    <row r="3215" spans="1:13" x14ac:dyDescent="0.45">
      <c r="A3215" t="s">
        <v>13</v>
      </c>
      <c r="B3215">
        <v>3541858</v>
      </c>
      <c r="C3215">
        <v>3543765</v>
      </c>
      <c r="E3215" t="s">
        <v>96</v>
      </c>
      <c r="F3215" t="s">
        <v>613</v>
      </c>
      <c r="H3215">
        <v>0</v>
      </c>
      <c r="I3215" t="s">
        <v>17</v>
      </c>
      <c r="K3215" t="s">
        <v>8646</v>
      </c>
      <c r="L3215">
        <v>635</v>
      </c>
      <c r="M3215" t="s">
        <v>8647</v>
      </c>
    </row>
    <row r="3216" spans="1:13" x14ac:dyDescent="0.45">
      <c r="A3216" t="s">
        <v>13</v>
      </c>
      <c r="B3216">
        <v>3544033</v>
      </c>
      <c r="C3216">
        <v>3545928</v>
      </c>
      <c r="E3216" t="s">
        <v>96</v>
      </c>
      <c r="F3216" t="s">
        <v>6443</v>
      </c>
      <c r="H3216">
        <v>0</v>
      </c>
      <c r="I3216" t="s">
        <v>17</v>
      </c>
      <c r="K3216" t="s">
        <v>8648</v>
      </c>
      <c r="L3216">
        <v>631</v>
      </c>
      <c r="M3216" t="s">
        <v>8649</v>
      </c>
    </row>
    <row r="3217" spans="1:13" x14ac:dyDescent="0.45">
      <c r="A3217" t="s">
        <v>13</v>
      </c>
      <c r="B3217">
        <v>3545964</v>
      </c>
      <c r="C3217">
        <v>3546842</v>
      </c>
      <c r="E3217" t="s">
        <v>96</v>
      </c>
      <c r="F3217" t="s">
        <v>8650</v>
      </c>
      <c r="H3217">
        <v>0</v>
      </c>
      <c r="I3217" t="s">
        <v>17</v>
      </c>
      <c r="K3217" t="s">
        <v>8651</v>
      </c>
      <c r="L3217">
        <v>292</v>
      </c>
      <c r="M3217" t="s">
        <v>8652</v>
      </c>
    </row>
    <row r="3218" spans="1:13" x14ac:dyDescent="0.45">
      <c r="A3218" t="s">
        <v>13</v>
      </c>
      <c r="B3218">
        <v>3547393</v>
      </c>
      <c r="C3218">
        <v>3549087</v>
      </c>
      <c r="E3218" t="s">
        <v>96</v>
      </c>
      <c r="F3218" t="s">
        <v>1143</v>
      </c>
      <c r="H3218">
        <v>0</v>
      </c>
      <c r="I3218" t="s">
        <v>17</v>
      </c>
      <c r="K3218" t="s">
        <v>8653</v>
      </c>
      <c r="L3218">
        <v>564</v>
      </c>
      <c r="M3218" t="s">
        <v>8654</v>
      </c>
    </row>
    <row r="3219" spans="1:13" x14ac:dyDescent="0.45">
      <c r="A3219" t="s">
        <v>13</v>
      </c>
      <c r="B3219">
        <v>3549089</v>
      </c>
      <c r="C3219">
        <v>3550081</v>
      </c>
      <c r="E3219" t="s">
        <v>96</v>
      </c>
      <c r="F3219" t="s">
        <v>1140</v>
      </c>
      <c r="H3219">
        <v>0</v>
      </c>
      <c r="I3219" t="s">
        <v>17</v>
      </c>
      <c r="K3219" t="s">
        <v>8655</v>
      </c>
      <c r="L3219">
        <v>330</v>
      </c>
      <c r="M3219" t="s">
        <v>8656</v>
      </c>
    </row>
    <row r="3220" spans="1:13" x14ac:dyDescent="0.45">
      <c r="A3220" t="s">
        <v>13</v>
      </c>
      <c r="B3220">
        <v>3550100</v>
      </c>
      <c r="C3220">
        <v>3550384</v>
      </c>
      <c r="E3220" t="s">
        <v>96</v>
      </c>
      <c r="F3220" t="s">
        <v>43</v>
      </c>
      <c r="H3220">
        <v>0</v>
      </c>
      <c r="I3220" t="s">
        <v>17</v>
      </c>
      <c r="K3220" t="s">
        <v>8657</v>
      </c>
      <c r="L3220">
        <v>94</v>
      </c>
      <c r="M3220" t="s">
        <v>8658</v>
      </c>
    </row>
    <row r="3221" spans="1:13" x14ac:dyDescent="0.45">
      <c r="A3221" t="s">
        <v>13</v>
      </c>
      <c r="B3221">
        <v>3550429</v>
      </c>
      <c r="C3221">
        <v>3550956</v>
      </c>
      <c r="E3221" t="s">
        <v>96</v>
      </c>
      <c r="F3221" t="s">
        <v>43</v>
      </c>
      <c r="H3221">
        <v>0</v>
      </c>
      <c r="I3221" t="s">
        <v>17</v>
      </c>
      <c r="K3221" t="s">
        <v>8659</v>
      </c>
      <c r="L3221">
        <v>175</v>
      </c>
      <c r="M3221" t="s">
        <v>8660</v>
      </c>
    </row>
    <row r="3222" spans="1:13" x14ac:dyDescent="0.45">
      <c r="A3222" t="s">
        <v>13</v>
      </c>
      <c r="B3222">
        <v>3551235</v>
      </c>
      <c r="C3222">
        <v>3552278</v>
      </c>
      <c r="E3222" t="s">
        <v>96</v>
      </c>
      <c r="F3222" t="s">
        <v>2212</v>
      </c>
      <c r="H3222">
        <v>0</v>
      </c>
      <c r="I3222" t="s">
        <v>17</v>
      </c>
      <c r="K3222" t="s">
        <v>8661</v>
      </c>
      <c r="L3222">
        <v>347</v>
      </c>
      <c r="M3222" t="s">
        <v>8662</v>
      </c>
    </row>
    <row r="3223" spans="1:13" x14ac:dyDescent="0.45">
      <c r="A3223" t="s">
        <v>13</v>
      </c>
      <c r="B3223">
        <v>3552913</v>
      </c>
      <c r="C3223">
        <v>3553113</v>
      </c>
      <c r="E3223" t="s">
        <v>96</v>
      </c>
      <c r="F3223" t="s">
        <v>1432</v>
      </c>
      <c r="H3223">
        <v>0</v>
      </c>
      <c r="I3223" t="s">
        <v>17</v>
      </c>
      <c r="K3223" t="s">
        <v>8663</v>
      </c>
      <c r="L3223">
        <v>66</v>
      </c>
      <c r="M3223" t="s">
        <v>8664</v>
      </c>
    </row>
    <row r="3224" spans="1:13" x14ac:dyDescent="0.45">
      <c r="A3224" t="s">
        <v>13</v>
      </c>
      <c r="B3224">
        <v>3553126</v>
      </c>
      <c r="C3224">
        <v>3553542</v>
      </c>
      <c r="E3224" t="s">
        <v>96</v>
      </c>
      <c r="F3224" t="s">
        <v>43</v>
      </c>
      <c r="H3224">
        <v>0</v>
      </c>
      <c r="I3224" t="s">
        <v>17</v>
      </c>
      <c r="K3224" t="s">
        <v>8665</v>
      </c>
      <c r="L3224">
        <v>138</v>
      </c>
      <c r="M3224" t="s">
        <v>8666</v>
      </c>
    </row>
    <row r="3225" spans="1:13" x14ac:dyDescent="0.45">
      <c r="A3225" t="s">
        <v>13</v>
      </c>
      <c r="B3225">
        <v>3554373</v>
      </c>
      <c r="C3225">
        <v>3555002</v>
      </c>
      <c r="E3225" t="s">
        <v>96</v>
      </c>
      <c r="F3225" t="s">
        <v>8667</v>
      </c>
      <c r="H3225">
        <v>0</v>
      </c>
      <c r="I3225" t="s">
        <v>17</v>
      </c>
      <c r="K3225" t="s">
        <v>8668</v>
      </c>
      <c r="L3225">
        <v>209</v>
      </c>
      <c r="M3225" t="s">
        <v>8669</v>
      </c>
    </row>
    <row r="3226" spans="1:13" x14ac:dyDescent="0.45">
      <c r="A3226" t="s">
        <v>13</v>
      </c>
      <c r="B3226">
        <v>3555080</v>
      </c>
      <c r="C3226">
        <v>3556042</v>
      </c>
      <c r="E3226" t="s">
        <v>96</v>
      </c>
      <c r="F3226" t="s">
        <v>1432</v>
      </c>
      <c r="H3226">
        <v>0</v>
      </c>
      <c r="I3226" t="s">
        <v>17</v>
      </c>
      <c r="K3226" t="s">
        <v>8670</v>
      </c>
      <c r="L3226">
        <v>320</v>
      </c>
      <c r="M3226" t="s">
        <v>8671</v>
      </c>
    </row>
    <row r="3227" spans="1:13" x14ac:dyDescent="0.45">
      <c r="A3227" t="s">
        <v>13</v>
      </c>
      <c r="B3227">
        <v>3556213</v>
      </c>
      <c r="C3227">
        <v>3556320</v>
      </c>
      <c r="E3227" t="s">
        <v>96</v>
      </c>
      <c r="F3227" t="s">
        <v>271</v>
      </c>
      <c r="H3227">
        <v>0</v>
      </c>
      <c r="I3227" t="s">
        <v>272</v>
      </c>
      <c r="M3227" t="s">
        <v>8672</v>
      </c>
    </row>
    <row r="3228" spans="1:13" x14ac:dyDescent="0.45">
      <c r="A3228" t="s">
        <v>13</v>
      </c>
      <c r="B3228">
        <v>3557027</v>
      </c>
      <c r="C3228">
        <v>3561382</v>
      </c>
      <c r="E3228" t="s">
        <v>96</v>
      </c>
      <c r="F3228" t="s">
        <v>43</v>
      </c>
      <c r="H3228">
        <v>0</v>
      </c>
      <c r="I3228" t="s">
        <v>17</v>
      </c>
      <c r="K3228" t="s">
        <v>8673</v>
      </c>
      <c r="L3228">
        <v>1451</v>
      </c>
      <c r="M3228" t="s">
        <v>8674</v>
      </c>
    </row>
    <row r="3229" spans="1:13" x14ac:dyDescent="0.45">
      <c r="A3229" t="s">
        <v>13</v>
      </c>
      <c r="B3229">
        <v>3561369</v>
      </c>
      <c r="C3229">
        <v>3562097</v>
      </c>
      <c r="E3229" t="s">
        <v>96</v>
      </c>
      <c r="F3229" t="s">
        <v>8675</v>
      </c>
      <c r="H3229">
        <v>0</v>
      </c>
      <c r="I3229" t="s">
        <v>17</v>
      </c>
      <c r="K3229" t="s">
        <v>8676</v>
      </c>
      <c r="L3229">
        <v>242</v>
      </c>
      <c r="M3229" t="s">
        <v>8677</v>
      </c>
    </row>
    <row r="3230" spans="1:13" x14ac:dyDescent="0.45">
      <c r="A3230" t="s">
        <v>13</v>
      </c>
      <c r="B3230">
        <v>3562115</v>
      </c>
      <c r="C3230">
        <v>3563734</v>
      </c>
      <c r="E3230" t="s">
        <v>96</v>
      </c>
      <c r="F3230" t="s">
        <v>43</v>
      </c>
      <c r="H3230">
        <v>0</v>
      </c>
      <c r="I3230" t="s">
        <v>17</v>
      </c>
      <c r="K3230" t="s">
        <v>8678</v>
      </c>
      <c r="L3230">
        <v>539</v>
      </c>
      <c r="M3230" t="s">
        <v>8679</v>
      </c>
    </row>
    <row r="3231" spans="1:13" x14ac:dyDescent="0.45">
      <c r="A3231" t="s">
        <v>13</v>
      </c>
      <c r="B3231">
        <v>3563734</v>
      </c>
      <c r="C3231">
        <v>3564744</v>
      </c>
      <c r="E3231" t="s">
        <v>96</v>
      </c>
      <c r="F3231" t="s">
        <v>8680</v>
      </c>
      <c r="H3231">
        <v>0</v>
      </c>
      <c r="I3231" t="s">
        <v>17</v>
      </c>
      <c r="K3231" t="s">
        <v>8681</v>
      </c>
      <c r="L3231">
        <v>336</v>
      </c>
      <c r="M3231" t="s">
        <v>8682</v>
      </c>
    </row>
    <row r="3232" spans="1:13" x14ac:dyDescent="0.45">
      <c r="A3232" t="s">
        <v>13</v>
      </c>
      <c r="B3232">
        <v>3565316</v>
      </c>
      <c r="C3232">
        <v>3565543</v>
      </c>
      <c r="E3232" t="s">
        <v>14</v>
      </c>
      <c r="F3232" t="s">
        <v>6507</v>
      </c>
      <c r="H3232">
        <v>0</v>
      </c>
      <c r="I3232" t="s">
        <v>17</v>
      </c>
      <c r="K3232" t="s">
        <v>8683</v>
      </c>
      <c r="L3232">
        <v>75</v>
      </c>
      <c r="M3232" t="s">
        <v>8684</v>
      </c>
    </row>
    <row r="3233" spans="1:13" x14ac:dyDescent="0.45">
      <c r="A3233" t="s">
        <v>13</v>
      </c>
      <c r="B3233">
        <v>3565645</v>
      </c>
      <c r="C3233">
        <v>3566034</v>
      </c>
      <c r="E3233" t="s">
        <v>14</v>
      </c>
      <c r="F3233" t="s">
        <v>8685</v>
      </c>
      <c r="H3233">
        <v>0</v>
      </c>
      <c r="I3233" t="s">
        <v>17</v>
      </c>
      <c r="K3233" t="s">
        <v>8686</v>
      </c>
      <c r="L3233">
        <v>129</v>
      </c>
      <c r="M3233" t="s">
        <v>8687</v>
      </c>
    </row>
    <row r="3234" spans="1:13" x14ac:dyDescent="0.45">
      <c r="A3234" t="s">
        <v>13</v>
      </c>
      <c r="B3234">
        <v>3566064</v>
      </c>
      <c r="C3234">
        <v>3566249</v>
      </c>
      <c r="E3234" t="s">
        <v>14</v>
      </c>
      <c r="F3234" t="s">
        <v>1390</v>
      </c>
      <c r="H3234">
        <v>0</v>
      </c>
      <c r="I3234" t="s">
        <v>17</v>
      </c>
      <c r="K3234" t="s">
        <v>8688</v>
      </c>
      <c r="L3234">
        <v>61</v>
      </c>
      <c r="M3234" t="s">
        <v>8689</v>
      </c>
    </row>
    <row r="3235" spans="1:13" x14ac:dyDescent="0.45">
      <c r="A3235" t="s">
        <v>13</v>
      </c>
      <c r="B3235">
        <v>3566476</v>
      </c>
      <c r="C3235">
        <v>3567768</v>
      </c>
      <c r="E3235" t="s">
        <v>96</v>
      </c>
      <c r="F3235" t="s">
        <v>8474</v>
      </c>
      <c r="H3235">
        <v>0</v>
      </c>
      <c r="I3235" t="s">
        <v>17</v>
      </c>
      <c r="K3235" t="s">
        <v>8690</v>
      </c>
      <c r="L3235">
        <v>430</v>
      </c>
      <c r="M3235" t="s">
        <v>8691</v>
      </c>
    </row>
    <row r="3236" spans="1:13" x14ac:dyDescent="0.45">
      <c r="A3236" t="s">
        <v>13</v>
      </c>
      <c r="B3236">
        <v>3567768</v>
      </c>
      <c r="C3236">
        <v>3568970</v>
      </c>
      <c r="E3236" t="s">
        <v>96</v>
      </c>
      <c r="F3236" t="s">
        <v>8692</v>
      </c>
      <c r="H3236">
        <v>0</v>
      </c>
      <c r="I3236" t="s">
        <v>17</v>
      </c>
      <c r="K3236" t="s">
        <v>8693</v>
      </c>
      <c r="L3236">
        <v>400</v>
      </c>
      <c r="M3236" t="s">
        <v>8694</v>
      </c>
    </row>
    <row r="3237" spans="1:13" x14ac:dyDescent="0.45">
      <c r="A3237" t="s">
        <v>13</v>
      </c>
      <c r="B3237">
        <v>3569310</v>
      </c>
      <c r="C3237">
        <v>3569464</v>
      </c>
      <c r="E3237" t="s">
        <v>96</v>
      </c>
      <c r="F3237" t="s">
        <v>271</v>
      </c>
      <c r="H3237">
        <v>0</v>
      </c>
      <c r="I3237" t="s">
        <v>272</v>
      </c>
      <c r="M3237" t="s">
        <v>8695</v>
      </c>
    </row>
    <row r="3238" spans="1:13" x14ac:dyDescent="0.45">
      <c r="A3238" t="s">
        <v>13</v>
      </c>
      <c r="B3238">
        <v>3570313</v>
      </c>
      <c r="C3238">
        <v>3570648</v>
      </c>
      <c r="E3238" t="s">
        <v>96</v>
      </c>
      <c r="F3238" t="s">
        <v>6507</v>
      </c>
      <c r="H3238">
        <v>0</v>
      </c>
      <c r="I3238" t="s">
        <v>17</v>
      </c>
      <c r="K3238" t="s">
        <v>8696</v>
      </c>
      <c r="L3238">
        <v>111</v>
      </c>
      <c r="M3238" t="s">
        <v>8697</v>
      </c>
    </row>
    <row r="3239" spans="1:13" x14ac:dyDescent="0.45">
      <c r="A3239" t="s">
        <v>13</v>
      </c>
      <c r="B3239">
        <v>3570895</v>
      </c>
      <c r="C3239">
        <v>3571341</v>
      </c>
      <c r="E3239" t="s">
        <v>96</v>
      </c>
      <c r="F3239" t="s">
        <v>43</v>
      </c>
      <c r="H3239">
        <v>0</v>
      </c>
      <c r="I3239" t="s">
        <v>17</v>
      </c>
      <c r="K3239" t="s">
        <v>8698</v>
      </c>
      <c r="L3239">
        <v>148</v>
      </c>
      <c r="M3239" t="s">
        <v>8699</v>
      </c>
    </row>
    <row r="3240" spans="1:13" x14ac:dyDescent="0.45">
      <c r="A3240" t="s">
        <v>13</v>
      </c>
      <c r="B3240">
        <v>3571357</v>
      </c>
      <c r="C3240">
        <v>3571488</v>
      </c>
      <c r="E3240" t="s">
        <v>96</v>
      </c>
      <c r="F3240" t="s">
        <v>6507</v>
      </c>
      <c r="H3240">
        <v>0</v>
      </c>
      <c r="I3240" t="s">
        <v>17</v>
      </c>
      <c r="K3240" t="s">
        <v>8700</v>
      </c>
      <c r="L3240">
        <v>43</v>
      </c>
      <c r="M3240" t="s">
        <v>8701</v>
      </c>
    </row>
    <row r="3241" spans="1:13" x14ac:dyDescent="0.45">
      <c r="A3241" t="s">
        <v>13</v>
      </c>
      <c r="B3241">
        <v>3573036</v>
      </c>
      <c r="C3241">
        <v>3575021</v>
      </c>
      <c r="E3241" t="s">
        <v>96</v>
      </c>
      <c r="F3241" t="s">
        <v>6927</v>
      </c>
      <c r="H3241">
        <v>0</v>
      </c>
      <c r="I3241" t="s">
        <v>17</v>
      </c>
      <c r="K3241" t="s">
        <v>8702</v>
      </c>
      <c r="L3241">
        <v>661</v>
      </c>
      <c r="M3241" t="s">
        <v>8703</v>
      </c>
    </row>
    <row r="3242" spans="1:13" x14ac:dyDescent="0.45">
      <c r="A3242" t="s">
        <v>13</v>
      </c>
      <c r="B3242">
        <v>3575032</v>
      </c>
      <c r="C3242">
        <v>3576102</v>
      </c>
      <c r="E3242" t="s">
        <v>96</v>
      </c>
      <c r="F3242" t="s">
        <v>8704</v>
      </c>
      <c r="H3242">
        <v>0</v>
      </c>
      <c r="I3242" t="s">
        <v>17</v>
      </c>
      <c r="K3242" t="s">
        <v>8705</v>
      </c>
      <c r="L3242">
        <v>356</v>
      </c>
      <c r="M3242" t="s">
        <v>8706</v>
      </c>
    </row>
    <row r="3243" spans="1:13" x14ac:dyDescent="0.45">
      <c r="A3243" t="s">
        <v>13</v>
      </c>
      <c r="B3243">
        <v>3576123</v>
      </c>
      <c r="C3243">
        <v>3577289</v>
      </c>
      <c r="E3243" t="s">
        <v>96</v>
      </c>
      <c r="F3243" t="s">
        <v>43</v>
      </c>
      <c r="H3243">
        <v>0</v>
      </c>
      <c r="I3243" t="s">
        <v>17</v>
      </c>
      <c r="K3243" t="s">
        <v>8707</v>
      </c>
      <c r="L3243">
        <v>388</v>
      </c>
      <c r="M3243" t="s">
        <v>8708</v>
      </c>
    </row>
    <row r="3244" spans="1:13" x14ac:dyDescent="0.45">
      <c r="A3244" t="s">
        <v>13</v>
      </c>
      <c r="B3244">
        <v>3577291</v>
      </c>
      <c r="C3244">
        <v>3578055</v>
      </c>
      <c r="E3244" t="s">
        <v>96</v>
      </c>
      <c r="F3244" t="s">
        <v>6939</v>
      </c>
      <c r="G3244" t="s">
        <v>6940</v>
      </c>
      <c r="H3244">
        <v>0</v>
      </c>
      <c r="I3244" t="s">
        <v>17</v>
      </c>
      <c r="K3244" t="s">
        <v>8709</v>
      </c>
      <c r="L3244">
        <v>254</v>
      </c>
      <c r="M3244" t="s">
        <v>8710</v>
      </c>
    </row>
    <row r="3245" spans="1:13" x14ac:dyDescent="0.45">
      <c r="A3245" t="s">
        <v>13</v>
      </c>
      <c r="B3245">
        <v>3578046</v>
      </c>
      <c r="C3245">
        <v>3578693</v>
      </c>
      <c r="E3245" t="s">
        <v>96</v>
      </c>
      <c r="F3245" t="s">
        <v>6930</v>
      </c>
      <c r="G3245" t="s">
        <v>6931</v>
      </c>
      <c r="H3245">
        <v>0</v>
      </c>
      <c r="I3245" t="s">
        <v>17</v>
      </c>
      <c r="K3245" t="s">
        <v>8711</v>
      </c>
      <c r="L3245">
        <v>215</v>
      </c>
      <c r="M3245" t="s">
        <v>8712</v>
      </c>
    </row>
    <row r="3246" spans="1:13" x14ac:dyDescent="0.45">
      <c r="A3246" t="s">
        <v>13</v>
      </c>
      <c r="B3246">
        <v>3579173</v>
      </c>
      <c r="C3246">
        <v>3580300</v>
      </c>
      <c r="E3246" t="s">
        <v>96</v>
      </c>
      <c r="F3246" t="s">
        <v>8713</v>
      </c>
      <c r="H3246">
        <v>0</v>
      </c>
      <c r="I3246" t="s">
        <v>17</v>
      </c>
      <c r="K3246" t="s">
        <v>8714</v>
      </c>
      <c r="L3246">
        <v>375</v>
      </c>
      <c r="M3246" t="s">
        <v>8715</v>
      </c>
    </row>
    <row r="3247" spans="1:13" x14ac:dyDescent="0.45">
      <c r="A3247" t="s">
        <v>13</v>
      </c>
      <c r="B3247">
        <v>3580573</v>
      </c>
      <c r="C3247">
        <v>3580845</v>
      </c>
      <c r="E3247" t="s">
        <v>96</v>
      </c>
      <c r="F3247" t="s">
        <v>5326</v>
      </c>
      <c r="H3247">
        <v>0</v>
      </c>
      <c r="I3247" t="s">
        <v>17</v>
      </c>
      <c r="K3247" t="s">
        <v>8716</v>
      </c>
      <c r="L3247">
        <v>90</v>
      </c>
      <c r="M3247" t="s">
        <v>8717</v>
      </c>
    </row>
    <row r="3248" spans="1:13" x14ac:dyDescent="0.45">
      <c r="A3248" t="s">
        <v>13</v>
      </c>
      <c r="B3248">
        <v>3581095</v>
      </c>
      <c r="C3248">
        <v>3582432</v>
      </c>
      <c r="E3248" t="s">
        <v>96</v>
      </c>
      <c r="F3248" t="s">
        <v>1851</v>
      </c>
      <c r="H3248">
        <v>0</v>
      </c>
      <c r="I3248" t="s">
        <v>17</v>
      </c>
      <c r="K3248" t="s">
        <v>8718</v>
      </c>
      <c r="L3248">
        <v>445</v>
      </c>
      <c r="M3248" t="s">
        <v>8719</v>
      </c>
    </row>
    <row r="3249" spans="1:13" x14ac:dyDescent="0.45">
      <c r="A3249" t="s">
        <v>13</v>
      </c>
      <c r="B3249">
        <v>3582442</v>
      </c>
      <c r="C3249">
        <v>3583185</v>
      </c>
      <c r="E3249" t="s">
        <v>96</v>
      </c>
      <c r="F3249" t="s">
        <v>43</v>
      </c>
      <c r="H3249">
        <v>0</v>
      </c>
      <c r="I3249" t="s">
        <v>17</v>
      </c>
      <c r="K3249" t="s">
        <v>8720</v>
      </c>
      <c r="L3249">
        <v>247</v>
      </c>
      <c r="M3249" t="s">
        <v>8721</v>
      </c>
    </row>
    <row r="3250" spans="1:13" x14ac:dyDescent="0.45">
      <c r="A3250" t="s">
        <v>13</v>
      </c>
      <c r="B3250">
        <v>3583207</v>
      </c>
      <c r="C3250">
        <v>3583521</v>
      </c>
      <c r="E3250" t="s">
        <v>96</v>
      </c>
      <c r="F3250" t="s">
        <v>43</v>
      </c>
      <c r="H3250">
        <v>0</v>
      </c>
      <c r="I3250" t="s">
        <v>17</v>
      </c>
      <c r="K3250" t="s">
        <v>8722</v>
      </c>
      <c r="L3250">
        <v>104</v>
      </c>
      <c r="M3250" t="s">
        <v>8723</v>
      </c>
    </row>
    <row r="3251" spans="1:13" x14ac:dyDescent="0.45">
      <c r="A3251" t="s">
        <v>13</v>
      </c>
      <c r="B3251">
        <v>3583525</v>
      </c>
      <c r="C3251">
        <v>3583725</v>
      </c>
      <c r="E3251" t="s">
        <v>96</v>
      </c>
      <c r="F3251" t="s">
        <v>1432</v>
      </c>
      <c r="H3251">
        <v>0</v>
      </c>
      <c r="I3251" t="s">
        <v>17</v>
      </c>
      <c r="K3251" t="s">
        <v>8724</v>
      </c>
      <c r="L3251">
        <v>66</v>
      </c>
      <c r="M3251" t="s">
        <v>8725</v>
      </c>
    </row>
    <row r="3252" spans="1:13" x14ac:dyDescent="0.45">
      <c r="A3252" t="s">
        <v>13</v>
      </c>
      <c r="B3252">
        <v>3583863</v>
      </c>
      <c r="C3252">
        <v>3584636</v>
      </c>
      <c r="E3252" t="s">
        <v>14</v>
      </c>
      <c r="F3252" t="s">
        <v>1134</v>
      </c>
      <c r="H3252">
        <v>0</v>
      </c>
      <c r="I3252" t="s">
        <v>17</v>
      </c>
      <c r="K3252" t="s">
        <v>8726</v>
      </c>
      <c r="L3252">
        <v>257</v>
      </c>
      <c r="M3252" t="s">
        <v>8727</v>
      </c>
    </row>
    <row r="3253" spans="1:13" x14ac:dyDescent="0.45">
      <c r="A3253" t="s">
        <v>13</v>
      </c>
      <c r="B3253">
        <v>3584887</v>
      </c>
      <c r="C3253">
        <v>3585378</v>
      </c>
      <c r="E3253" t="s">
        <v>14</v>
      </c>
      <c r="F3253" t="s">
        <v>1134</v>
      </c>
      <c r="H3253">
        <v>0</v>
      </c>
      <c r="I3253" t="s">
        <v>17</v>
      </c>
      <c r="K3253" t="s">
        <v>8728</v>
      </c>
      <c r="L3253">
        <v>163</v>
      </c>
      <c r="M3253" t="s">
        <v>8729</v>
      </c>
    </row>
    <row r="3254" spans="1:13" x14ac:dyDescent="0.45">
      <c r="A3254" t="s">
        <v>13</v>
      </c>
      <c r="B3254">
        <v>3585470</v>
      </c>
      <c r="C3254">
        <v>3586222</v>
      </c>
      <c r="E3254" t="s">
        <v>14</v>
      </c>
      <c r="F3254" t="s">
        <v>1906</v>
      </c>
      <c r="H3254">
        <v>0</v>
      </c>
      <c r="I3254" t="s">
        <v>17</v>
      </c>
      <c r="K3254" t="s">
        <v>8730</v>
      </c>
      <c r="L3254">
        <v>250</v>
      </c>
      <c r="M3254" t="s">
        <v>8731</v>
      </c>
    </row>
    <row r="3255" spans="1:13" x14ac:dyDescent="0.45">
      <c r="A3255" t="s">
        <v>13</v>
      </c>
      <c r="B3255">
        <v>3586212</v>
      </c>
      <c r="C3255">
        <v>3587378</v>
      </c>
      <c r="E3255" t="s">
        <v>14</v>
      </c>
      <c r="F3255" t="s">
        <v>3130</v>
      </c>
      <c r="H3255">
        <v>0</v>
      </c>
      <c r="I3255" t="s">
        <v>17</v>
      </c>
      <c r="K3255" t="s">
        <v>8732</v>
      </c>
      <c r="L3255">
        <v>388</v>
      </c>
      <c r="M3255" t="s">
        <v>8733</v>
      </c>
    </row>
    <row r="3256" spans="1:13" x14ac:dyDescent="0.45">
      <c r="A3256" t="s">
        <v>13</v>
      </c>
      <c r="B3256">
        <v>3587494</v>
      </c>
      <c r="C3256">
        <v>3587724</v>
      </c>
      <c r="E3256" t="s">
        <v>96</v>
      </c>
      <c r="F3256" t="s">
        <v>43</v>
      </c>
      <c r="H3256">
        <v>0</v>
      </c>
      <c r="I3256" t="s">
        <v>17</v>
      </c>
      <c r="K3256" t="s">
        <v>8734</v>
      </c>
      <c r="L3256">
        <v>76</v>
      </c>
      <c r="M3256" t="s">
        <v>8735</v>
      </c>
    </row>
    <row r="3257" spans="1:13" x14ac:dyDescent="0.45">
      <c r="A3257" t="s">
        <v>13</v>
      </c>
      <c r="B3257">
        <v>3587730</v>
      </c>
      <c r="C3257">
        <v>3588182</v>
      </c>
      <c r="E3257" t="s">
        <v>96</v>
      </c>
      <c r="F3257" t="s">
        <v>8736</v>
      </c>
      <c r="H3257">
        <v>0</v>
      </c>
      <c r="I3257" t="s">
        <v>17</v>
      </c>
      <c r="K3257" t="s">
        <v>8737</v>
      </c>
      <c r="L3257">
        <v>150</v>
      </c>
      <c r="M3257" t="s">
        <v>8738</v>
      </c>
    </row>
    <row r="3258" spans="1:13" x14ac:dyDescent="0.45">
      <c r="A3258" t="s">
        <v>13</v>
      </c>
      <c r="B3258">
        <v>3588209</v>
      </c>
      <c r="C3258">
        <v>3588424</v>
      </c>
      <c r="E3258" t="s">
        <v>96</v>
      </c>
      <c r="F3258" t="s">
        <v>8739</v>
      </c>
      <c r="H3258">
        <v>0</v>
      </c>
      <c r="I3258" t="s">
        <v>17</v>
      </c>
      <c r="K3258" t="s">
        <v>8740</v>
      </c>
      <c r="L3258">
        <v>71</v>
      </c>
      <c r="M3258" t="s">
        <v>8741</v>
      </c>
    </row>
    <row r="3259" spans="1:13" x14ac:dyDescent="0.45">
      <c r="A3259" t="s">
        <v>13</v>
      </c>
      <c r="B3259">
        <v>3589335</v>
      </c>
      <c r="C3259">
        <v>3590240</v>
      </c>
      <c r="E3259" t="s">
        <v>14</v>
      </c>
      <c r="F3259" t="s">
        <v>8742</v>
      </c>
      <c r="H3259">
        <v>0</v>
      </c>
      <c r="I3259" t="s">
        <v>17</v>
      </c>
      <c r="K3259" t="s">
        <v>8743</v>
      </c>
      <c r="L3259">
        <v>301</v>
      </c>
      <c r="M3259" t="s">
        <v>8744</v>
      </c>
    </row>
    <row r="3260" spans="1:13" x14ac:dyDescent="0.45">
      <c r="A3260" t="s">
        <v>13</v>
      </c>
      <c r="B3260">
        <v>3590914</v>
      </c>
      <c r="C3260">
        <v>3591263</v>
      </c>
      <c r="E3260" t="s">
        <v>96</v>
      </c>
      <c r="F3260" t="s">
        <v>8745</v>
      </c>
      <c r="G3260" t="s">
        <v>8746</v>
      </c>
      <c r="H3260">
        <v>0</v>
      </c>
      <c r="I3260" t="s">
        <v>81</v>
      </c>
      <c r="M3260" t="s">
        <v>8747</v>
      </c>
    </row>
    <row r="3261" spans="1:13" x14ac:dyDescent="0.45">
      <c r="A3261" t="s">
        <v>13</v>
      </c>
      <c r="B3261">
        <v>3591421</v>
      </c>
      <c r="C3261">
        <v>3591876</v>
      </c>
      <c r="E3261" t="s">
        <v>96</v>
      </c>
      <c r="F3261" t="s">
        <v>8748</v>
      </c>
      <c r="G3261" t="s">
        <v>8749</v>
      </c>
      <c r="H3261">
        <v>0</v>
      </c>
      <c r="I3261" t="s">
        <v>17</v>
      </c>
      <c r="K3261" t="s">
        <v>8750</v>
      </c>
      <c r="L3261">
        <v>151</v>
      </c>
      <c r="M3261" t="s">
        <v>8751</v>
      </c>
    </row>
    <row r="3262" spans="1:13" x14ac:dyDescent="0.45">
      <c r="A3262" t="s">
        <v>13</v>
      </c>
      <c r="B3262">
        <v>3592517</v>
      </c>
      <c r="C3262">
        <v>3593344</v>
      </c>
      <c r="E3262" t="s">
        <v>14</v>
      </c>
      <c r="F3262" t="s">
        <v>4077</v>
      </c>
      <c r="H3262">
        <v>0</v>
      </c>
      <c r="I3262" t="s">
        <v>17</v>
      </c>
      <c r="K3262" t="s">
        <v>8752</v>
      </c>
      <c r="L3262">
        <v>275</v>
      </c>
      <c r="M3262" t="s">
        <v>8753</v>
      </c>
    </row>
    <row r="3263" spans="1:13" x14ac:dyDescent="0.45">
      <c r="A3263" t="s">
        <v>13</v>
      </c>
      <c r="B3263">
        <v>3594361</v>
      </c>
      <c r="C3263">
        <v>3594825</v>
      </c>
      <c r="E3263" t="s">
        <v>14</v>
      </c>
      <c r="F3263" t="s">
        <v>1183</v>
      </c>
      <c r="H3263">
        <v>0</v>
      </c>
      <c r="I3263" t="s">
        <v>17</v>
      </c>
      <c r="K3263" t="s">
        <v>8754</v>
      </c>
      <c r="L3263">
        <v>154</v>
      </c>
      <c r="M3263" t="s">
        <v>8755</v>
      </c>
    </row>
    <row r="3264" spans="1:13" x14ac:dyDescent="0.45">
      <c r="A3264" t="s">
        <v>13</v>
      </c>
      <c r="B3264">
        <v>3595092</v>
      </c>
      <c r="C3264">
        <v>3595736</v>
      </c>
      <c r="E3264" t="s">
        <v>96</v>
      </c>
      <c r="F3264" t="s">
        <v>43</v>
      </c>
      <c r="H3264">
        <v>0</v>
      </c>
      <c r="I3264" t="s">
        <v>17</v>
      </c>
      <c r="K3264" t="s">
        <v>8756</v>
      </c>
      <c r="L3264">
        <v>214</v>
      </c>
      <c r="M3264" t="s">
        <v>8757</v>
      </c>
    </row>
    <row r="3265" spans="1:13" x14ac:dyDescent="0.45">
      <c r="A3265" t="s">
        <v>13</v>
      </c>
      <c r="B3265">
        <v>3595666</v>
      </c>
      <c r="C3265">
        <v>3596955</v>
      </c>
      <c r="E3265" t="s">
        <v>96</v>
      </c>
      <c r="F3265" t="s">
        <v>1143</v>
      </c>
      <c r="H3265">
        <v>0</v>
      </c>
      <c r="I3265" t="s">
        <v>17</v>
      </c>
      <c r="K3265" t="s">
        <v>8758</v>
      </c>
      <c r="L3265">
        <v>429</v>
      </c>
      <c r="M3265" t="s">
        <v>8759</v>
      </c>
    </row>
    <row r="3266" spans="1:13" x14ac:dyDescent="0.45">
      <c r="A3266" t="s">
        <v>13</v>
      </c>
      <c r="B3266">
        <v>3596952</v>
      </c>
      <c r="C3266">
        <v>3597824</v>
      </c>
      <c r="E3266" t="s">
        <v>96</v>
      </c>
      <c r="F3266" t="s">
        <v>1140</v>
      </c>
      <c r="H3266">
        <v>0</v>
      </c>
      <c r="I3266" t="s">
        <v>17</v>
      </c>
      <c r="K3266" t="s">
        <v>8760</v>
      </c>
      <c r="L3266">
        <v>290</v>
      </c>
      <c r="M3266" t="s">
        <v>8761</v>
      </c>
    </row>
    <row r="3267" spans="1:13" x14ac:dyDescent="0.45">
      <c r="A3267" t="s">
        <v>13</v>
      </c>
      <c r="B3267">
        <v>3598354</v>
      </c>
      <c r="C3267">
        <v>3598845</v>
      </c>
      <c r="E3267" t="s">
        <v>96</v>
      </c>
      <c r="F3267" t="s">
        <v>8762</v>
      </c>
      <c r="H3267">
        <v>0</v>
      </c>
      <c r="I3267" t="s">
        <v>17</v>
      </c>
      <c r="K3267" t="s">
        <v>8763</v>
      </c>
      <c r="L3267">
        <v>163</v>
      </c>
      <c r="M3267" t="s">
        <v>8764</v>
      </c>
    </row>
    <row r="3268" spans="1:13" x14ac:dyDescent="0.45">
      <c r="A3268" t="s">
        <v>13</v>
      </c>
      <c r="B3268">
        <v>3599939</v>
      </c>
      <c r="C3268">
        <v>3602074</v>
      </c>
      <c r="E3268" t="s">
        <v>96</v>
      </c>
      <c r="F3268" t="s">
        <v>8765</v>
      </c>
      <c r="G3268" t="s">
        <v>8766</v>
      </c>
      <c r="H3268">
        <v>0</v>
      </c>
      <c r="I3268" t="s">
        <v>17</v>
      </c>
      <c r="K3268" t="s">
        <v>8767</v>
      </c>
      <c r="L3268">
        <v>711</v>
      </c>
      <c r="M3268" t="s">
        <v>8768</v>
      </c>
    </row>
    <row r="3269" spans="1:13" x14ac:dyDescent="0.45">
      <c r="A3269" t="s">
        <v>13</v>
      </c>
      <c r="B3269">
        <v>3602670</v>
      </c>
      <c r="C3269">
        <v>3603284</v>
      </c>
      <c r="E3269" t="s">
        <v>14</v>
      </c>
      <c r="F3269" t="s">
        <v>2346</v>
      </c>
      <c r="H3269">
        <v>0</v>
      </c>
      <c r="I3269" t="s">
        <v>17</v>
      </c>
      <c r="K3269" t="s">
        <v>8769</v>
      </c>
      <c r="L3269">
        <v>204</v>
      </c>
      <c r="M3269" t="s">
        <v>8770</v>
      </c>
    </row>
    <row r="3270" spans="1:13" x14ac:dyDescent="0.45">
      <c r="A3270" t="s">
        <v>13</v>
      </c>
      <c r="B3270">
        <v>3603302</v>
      </c>
      <c r="C3270">
        <v>3603664</v>
      </c>
      <c r="E3270" t="s">
        <v>14</v>
      </c>
      <c r="F3270" t="s">
        <v>1096</v>
      </c>
      <c r="H3270">
        <v>0</v>
      </c>
      <c r="I3270" t="s">
        <v>17</v>
      </c>
      <c r="K3270" t="s">
        <v>8771</v>
      </c>
      <c r="L3270">
        <v>120</v>
      </c>
      <c r="M3270" t="s">
        <v>8772</v>
      </c>
    </row>
    <row r="3271" spans="1:13" x14ac:dyDescent="0.45">
      <c r="A3271" t="s">
        <v>13</v>
      </c>
      <c r="B3271">
        <v>3603770</v>
      </c>
      <c r="C3271">
        <v>3604267</v>
      </c>
      <c r="E3271" t="s">
        <v>14</v>
      </c>
      <c r="F3271" t="s">
        <v>8773</v>
      </c>
      <c r="H3271">
        <v>0</v>
      </c>
      <c r="I3271" t="s">
        <v>17</v>
      </c>
      <c r="K3271" t="s">
        <v>8774</v>
      </c>
      <c r="L3271">
        <v>165</v>
      </c>
      <c r="M3271" t="s">
        <v>8775</v>
      </c>
    </row>
    <row r="3272" spans="1:13" x14ac:dyDescent="0.45">
      <c r="A3272" t="s">
        <v>13</v>
      </c>
      <c r="B3272">
        <v>3604691</v>
      </c>
      <c r="C3272">
        <v>3605089</v>
      </c>
      <c r="E3272" t="s">
        <v>14</v>
      </c>
      <c r="F3272" t="s">
        <v>694</v>
      </c>
      <c r="H3272">
        <v>0</v>
      </c>
      <c r="I3272" t="s">
        <v>17</v>
      </c>
      <c r="K3272" t="s">
        <v>8776</v>
      </c>
      <c r="L3272">
        <v>132</v>
      </c>
      <c r="M3272" t="s">
        <v>8777</v>
      </c>
    </row>
    <row r="3273" spans="1:13" x14ac:dyDescent="0.45">
      <c r="A3273" t="s">
        <v>13</v>
      </c>
      <c r="B3273">
        <v>3605077</v>
      </c>
      <c r="C3273">
        <v>3606015</v>
      </c>
      <c r="E3273" t="s">
        <v>14</v>
      </c>
      <c r="F3273" t="s">
        <v>6079</v>
      </c>
      <c r="H3273">
        <v>0</v>
      </c>
      <c r="I3273" t="s">
        <v>17</v>
      </c>
      <c r="K3273" t="s">
        <v>8778</v>
      </c>
      <c r="L3273">
        <v>312</v>
      </c>
      <c r="M3273" t="s">
        <v>8779</v>
      </c>
    </row>
    <row r="3274" spans="1:13" x14ac:dyDescent="0.45">
      <c r="A3274" t="s">
        <v>13</v>
      </c>
      <c r="B3274">
        <v>3606399</v>
      </c>
      <c r="C3274">
        <v>3606623</v>
      </c>
      <c r="E3274" t="s">
        <v>96</v>
      </c>
      <c r="F3274" t="s">
        <v>8780</v>
      </c>
      <c r="G3274" t="s">
        <v>8781</v>
      </c>
      <c r="H3274">
        <v>0</v>
      </c>
      <c r="I3274" t="s">
        <v>17</v>
      </c>
      <c r="K3274" t="s">
        <v>8782</v>
      </c>
      <c r="L3274">
        <v>74</v>
      </c>
      <c r="M3274" t="s">
        <v>8783</v>
      </c>
    </row>
    <row r="3275" spans="1:13" x14ac:dyDescent="0.45">
      <c r="A3275" t="s">
        <v>13</v>
      </c>
      <c r="B3275">
        <v>3606741</v>
      </c>
      <c r="C3275">
        <v>3607247</v>
      </c>
      <c r="E3275" t="s">
        <v>96</v>
      </c>
      <c r="F3275" t="s">
        <v>1183</v>
      </c>
      <c r="H3275">
        <v>0</v>
      </c>
      <c r="I3275" t="s">
        <v>17</v>
      </c>
      <c r="K3275" t="s">
        <v>8784</v>
      </c>
      <c r="L3275">
        <v>168</v>
      </c>
      <c r="M3275" t="s">
        <v>8785</v>
      </c>
    </row>
    <row r="3276" spans="1:13" x14ac:dyDescent="0.45">
      <c r="A3276" t="s">
        <v>13</v>
      </c>
      <c r="B3276">
        <v>3607383</v>
      </c>
      <c r="C3276">
        <v>3607760</v>
      </c>
      <c r="E3276" t="s">
        <v>14</v>
      </c>
      <c r="F3276" t="s">
        <v>1485</v>
      </c>
      <c r="H3276">
        <v>0</v>
      </c>
      <c r="I3276" t="s">
        <v>17</v>
      </c>
      <c r="K3276" t="s">
        <v>8786</v>
      </c>
      <c r="L3276">
        <v>125</v>
      </c>
      <c r="M3276" t="s">
        <v>8787</v>
      </c>
    </row>
    <row r="3277" spans="1:13" x14ac:dyDescent="0.45">
      <c r="A3277" t="s">
        <v>13</v>
      </c>
      <c r="B3277">
        <v>3607880</v>
      </c>
      <c r="C3277">
        <v>3609172</v>
      </c>
      <c r="E3277" t="s">
        <v>96</v>
      </c>
      <c r="F3277" t="s">
        <v>8788</v>
      </c>
      <c r="G3277" t="s">
        <v>8789</v>
      </c>
      <c r="H3277">
        <v>0</v>
      </c>
      <c r="I3277" t="s">
        <v>17</v>
      </c>
      <c r="K3277" t="s">
        <v>8790</v>
      </c>
      <c r="L3277">
        <v>430</v>
      </c>
      <c r="M3277" t="s">
        <v>8791</v>
      </c>
    </row>
    <row r="3278" spans="1:13" x14ac:dyDescent="0.45">
      <c r="A3278" t="s">
        <v>13</v>
      </c>
      <c r="B3278">
        <v>3609760</v>
      </c>
      <c r="C3278">
        <v>3611289</v>
      </c>
      <c r="E3278" t="s">
        <v>96</v>
      </c>
      <c r="F3278" t="s">
        <v>8792</v>
      </c>
      <c r="G3278" t="s">
        <v>8793</v>
      </c>
      <c r="H3278">
        <v>0</v>
      </c>
      <c r="I3278" t="s">
        <v>17</v>
      </c>
      <c r="K3278" t="s">
        <v>8794</v>
      </c>
      <c r="L3278">
        <v>509</v>
      </c>
      <c r="M3278" t="s">
        <v>8795</v>
      </c>
    </row>
    <row r="3279" spans="1:13" x14ac:dyDescent="0.45">
      <c r="A3279" t="s">
        <v>13</v>
      </c>
      <c r="B3279">
        <v>3611301</v>
      </c>
      <c r="C3279">
        <v>3612044</v>
      </c>
      <c r="E3279" t="s">
        <v>96</v>
      </c>
      <c r="F3279" t="s">
        <v>8796</v>
      </c>
      <c r="G3279" t="s">
        <v>8797</v>
      </c>
      <c r="H3279">
        <v>0</v>
      </c>
      <c r="I3279" t="s">
        <v>17</v>
      </c>
      <c r="K3279" t="s">
        <v>8798</v>
      </c>
      <c r="L3279">
        <v>247</v>
      </c>
      <c r="M3279" t="s">
        <v>8799</v>
      </c>
    </row>
    <row r="3280" spans="1:13" x14ac:dyDescent="0.45">
      <c r="A3280" t="s">
        <v>13</v>
      </c>
      <c r="B3280">
        <v>3612070</v>
      </c>
      <c r="C3280">
        <v>3613272</v>
      </c>
      <c r="E3280" t="s">
        <v>96</v>
      </c>
      <c r="F3280" t="s">
        <v>8800</v>
      </c>
      <c r="H3280">
        <v>0</v>
      </c>
      <c r="I3280" t="s">
        <v>17</v>
      </c>
      <c r="K3280" t="s">
        <v>8801</v>
      </c>
      <c r="L3280">
        <v>400</v>
      </c>
      <c r="M3280" t="s">
        <v>8802</v>
      </c>
    </row>
    <row r="3281" spans="1:13" x14ac:dyDescent="0.45">
      <c r="A3281" t="s">
        <v>13</v>
      </c>
      <c r="B3281">
        <v>3613494</v>
      </c>
      <c r="C3281">
        <v>3614501</v>
      </c>
      <c r="E3281" t="s">
        <v>96</v>
      </c>
      <c r="F3281" t="s">
        <v>5044</v>
      </c>
      <c r="G3281" t="s">
        <v>5045</v>
      </c>
      <c r="H3281">
        <v>0</v>
      </c>
      <c r="I3281" t="s">
        <v>17</v>
      </c>
      <c r="K3281" t="s">
        <v>8803</v>
      </c>
      <c r="L3281">
        <v>335</v>
      </c>
      <c r="M3281" t="s">
        <v>8804</v>
      </c>
    </row>
    <row r="3282" spans="1:13" x14ac:dyDescent="0.45">
      <c r="A3282" t="s">
        <v>13</v>
      </c>
      <c r="B3282">
        <v>3614561</v>
      </c>
      <c r="C3282">
        <v>3615583</v>
      </c>
      <c r="E3282" t="s">
        <v>96</v>
      </c>
      <c r="F3282" t="s">
        <v>208</v>
      </c>
      <c r="H3282">
        <v>0</v>
      </c>
      <c r="I3282" t="s">
        <v>17</v>
      </c>
      <c r="K3282" t="s">
        <v>8805</v>
      </c>
      <c r="L3282">
        <v>340</v>
      </c>
      <c r="M3282" t="s">
        <v>8806</v>
      </c>
    </row>
    <row r="3283" spans="1:13" x14ac:dyDescent="0.45">
      <c r="A3283" t="s">
        <v>13</v>
      </c>
      <c r="B3283">
        <v>3616380</v>
      </c>
      <c r="C3283">
        <v>3617726</v>
      </c>
      <c r="E3283" t="s">
        <v>96</v>
      </c>
      <c r="F3283" t="s">
        <v>8807</v>
      </c>
      <c r="G3283" t="s">
        <v>8808</v>
      </c>
      <c r="H3283">
        <v>0</v>
      </c>
      <c r="I3283" t="s">
        <v>17</v>
      </c>
      <c r="K3283" t="s">
        <v>8809</v>
      </c>
      <c r="L3283">
        <v>448</v>
      </c>
      <c r="M3283" t="s">
        <v>8810</v>
      </c>
    </row>
    <row r="3284" spans="1:13" x14ac:dyDescent="0.45">
      <c r="A3284" t="s">
        <v>13</v>
      </c>
      <c r="B3284">
        <v>3617878</v>
      </c>
      <c r="C3284">
        <v>3620439</v>
      </c>
      <c r="E3284" t="s">
        <v>96</v>
      </c>
      <c r="F3284" t="s">
        <v>8811</v>
      </c>
      <c r="G3284" t="s">
        <v>8812</v>
      </c>
      <c r="H3284">
        <v>0</v>
      </c>
      <c r="I3284" t="s">
        <v>17</v>
      </c>
      <c r="K3284" t="s">
        <v>8813</v>
      </c>
      <c r="L3284">
        <v>853</v>
      </c>
      <c r="M3284" t="s">
        <v>8814</v>
      </c>
    </row>
    <row r="3285" spans="1:13" x14ac:dyDescent="0.45">
      <c r="A3285" t="s">
        <v>13</v>
      </c>
      <c r="B3285">
        <v>3620433</v>
      </c>
      <c r="C3285">
        <v>3621824</v>
      </c>
      <c r="E3285" t="s">
        <v>96</v>
      </c>
      <c r="F3285" t="s">
        <v>5966</v>
      </c>
      <c r="G3285" t="s">
        <v>5967</v>
      </c>
      <c r="H3285">
        <v>0</v>
      </c>
      <c r="I3285" t="s">
        <v>17</v>
      </c>
      <c r="K3285" t="s">
        <v>8815</v>
      </c>
      <c r="L3285">
        <v>463</v>
      </c>
      <c r="M3285" t="s">
        <v>8816</v>
      </c>
    </row>
    <row r="3286" spans="1:13" x14ac:dyDescent="0.45">
      <c r="A3286" t="s">
        <v>13</v>
      </c>
      <c r="B3286">
        <v>3622107</v>
      </c>
      <c r="C3286">
        <v>3623216</v>
      </c>
      <c r="E3286" t="s">
        <v>96</v>
      </c>
      <c r="F3286" t="s">
        <v>548</v>
      </c>
      <c r="H3286">
        <v>0</v>
      </c>
      <c r="I3286" t="s">
        <v>17</v>
      </c>
      <c r="K3286" t="s">
        <v>8817</v>
      </c>
      <c r="L3286">
        <v>369</v>
      </c>
      <c r="M3286" t="s">
        <v>8818</v>
      </c>
    </row>
    <row r="3287" spans="1:13" x14ac:dyDescent="0.45">
      <c r="A3287" t="s">
        <v>13</v>
      </c>
      <c r="B3287">
        <v>3623408</v>
      </c>
      <c r="C3287">
        <v>3624760</v>
      </c>
      <c r="E3287" t="s">
        <v>96</v>
      </c>
      <c r="F3287" t="s">
        <v>8819</v>
      </c>
      <c r="H3287">
        <v>0</v>
      </c>
      <c r="I3287" t="s">
        <v>17</v>
      </c>
      <c r="K3287" t="s">
        <v>8820</v>
      </c>
      <c r="L3287">
        <v>450</v>
      </c>
      <c r="M3287" t="s">
        <v>8821</v>
      </c>
    </row>
    <row r="3288" spans="1:13" x14ac:dyDescent="0.45">
      <c r="A3288" t="s">
        <v>13</v>
      </c>
      <c r="B3288">
        <v>3624959</v>
      </c>
      <c r="C3288">
        <v>3626287</v>
      </c>
      <c r="E3288" t="s">
        <v>96</v>
      </c>
      <c r="F3288" t="s">
        <v>8822</v>
      </c>
      <c r="G3288" t="s">
        <v>8823</v>
      </c>
      <c r="H3288">
        <v>0</v>
      </c>
      <c r="I3288" t="s">
        <v>17</v>
      </c>
      <c r="K3288" t="s">
        <v>8824</v>
      </c>
      <c r="L3288">
        <v>442</v>
      </c>
      <c r="M3288" t="s">
        <v>8825</v>
      </c>
    </row>
    <row r="3289" spans="1:13" x14ac:dyDescent="0.45">
      <c r="A3289" t="s">
        <v>13</v>
      </c>
      <c r="B3289">
        <v>3626315</v>
      </c>
      <c r="C3289">
        <v>3627898</v>
      </c>
      <c r="E3289" t="s">
        <v>96</v>
      </c>
      <c r="F3289" t="s">
        <v>1999</v>
      </c>
      <c r="H3289">
        <v>0</v>
      </c>
      <c r="I3289" t="s">
        <v>17</v>
      </c>
      <c r="K3289" t="s">
        <v>8826</v>
      </c>
      <c r="L3289">
        <v>527</v>
      </c>
      <c r="M3289" t="s">
        <v>8827</v>
      </c>
    </row>
    <row r="3290" spans="1:13" x14ac:dyDescent="0.45">
      <c r="A3290" t="s">
        <v>13</v>
      </c>
      <c r="B3290">
        <v>3627914</v>
      </c>
      <c r="C3290">
        <v>3629101</v>
      </c>
      <c r="E3290" t="s">
        <v>96</v>
      </c>
      <c r="F3290" t="s">
        <v>5970</v>
      </c>
      <c r="H3290">
        <v>0</v>
      </c>
      <c r="I3290" t="s">
        <v>17</v>
      </c>
      <c r="K3290" t="s">
        <v>8828</v>
      </c>
      <c r="L3290">
        <v>395</v>
      </c>
      <c r="M3290" t="s">
        <v>8829</v>
      </c>
    </row>
    <row r="3291" spans="1:13" x14ac:dyDescent="0.45">
      <c r="A3291" t="s">
        <v>13</v>
      </c>
      <c r="B3291">
        <v>3629434</v>
      </c>
      <c r="C3291">
        <v>3630648</v>
      </c>
      <c r="E3291" t="s">
        <v>96</v>
      </c>
      <c r="F3291" t="s">
        <v>5973</v>
      </c>
      <c r="G3291" t="s">
        <v>5974</v>
      </c>
      <c r="H3291">
        <v>0</v>
      </c>
      <c r="I3291" t="s">
        <v>17</v>
      </c>
      <c r="K3291" t="s">
        <v>8830</v>
      </c>
      <c r="L3291">
        <v>404</v>
      </c>
      <c r="M3291" t="s">
        <v>8831</v>
      </c>
    </row>
    <row r="3292" spans="1:13" x14ac:dyDescent="0.45">
      <c r="A3292" t="s">
        <v>13</v>
      </c>
      <c r="B3292">
        <v>3631271</v>
      </c>
      <c r="C3292">
        <v>3631810</v>
      </c>
      <c r="E3292" t="s">
        <v>96</v>
      </c>
      <c r="F3292" t="s">
        <v>8832</v>
      </c>
      <c r="H3292">
        <v>0</v>
      </c>
      <c r="I3292" t="s">
        <v>17</v>
      </c>
      <c r="K3292" t="s">
        <v>8833</v>
      </c>
      <c r="L3292">
        <v>179</v>
      </c>
      <c r="M3292" t="s">
        <v>8834</v>
      </c>
    </row>
    <row r="3293" spans="1:13" x14ac:dyDescent="0.45">
      <c r="A3293" t="s">
        <v>13</v>
      </c>
      <c r="B3293">
        <v>3631887</v>
      </c>
      <c r="C3293">
        <v>3633692</v>
      </c>
      <c r="E3293" t="s">
        <v>96</v>
      </c>
      <c r="F3293" t="s">
        <v>8835</v>
      </c>
      <c r="H3293">
        <v>0</v>
      </c>
      <c r="I3293" t="s">
        <v>17</v>
      </c>
      <c r="K3293" t="s">
        <v>8836</v>
      </c>
      <c r="L3293">
        <v>601</v>
      </c>
      <c r="M3293" t="s">
        <v>8837</v>
      </c>
    </row>
    <row r="3294" spans="1:13" x14ac:dyDescent="0.45">
      <c r="A3294" t="s">
        <v>13</v>
      </c>
      <c r="B3294">
        <v>3634100</v>
      </c>
      <c r="C3294">
        <v>3634477</v>
      </c>
      <c r="E3294" t="s">
        <v>96</v>
      </c>
      <c r="F3294" t="s">
        <v>3819</v>
      </c>
      <c r="H3294">
        <v>0</v>
      </c>
      <c r="I3294" t="s">
        <v>17</v>
      </c>
      <c r="K3294" t="s">
        <v>8838</v>
      </c>
      <c r="L3294">
        <v>125</v>
      </c>
      <c r="M3294" t="s">
        <v>8839</v>
      </c>
    </row>
    <row r="3295" spans="1:13" x14ac:dyDescent="0.45">
      <c r="A3295" t="s">
        <v>13</v>
      </c>
      <c r="B3295">
        <v>3635328</v>
      </c>
      <c r="C3295">
        <v>3635813</v>
      </c>
      <c r="E3295" t="s">
        <v>14</v>
      </c>
      <c r="F3295" t="s">
        <v>43</v>
      </c>
      <c r="H3295">
        <v>0</v>
      </c>
      <c r="I3295" t="s">
        <v>17</v>
      </c>
      <c r="K3295" t="s">
        <v>8840</v>
      </c>
      <c r="L3295">
        <v>161</v>
      </c>
      <c r="M3295" t="s">
        <v>8841</v>
      </c>
    </row>
    <row r="3296" spans="1:13" x14ac:dyDescent="0.45">
      <c r="A3296" t="s">
        <v>13</v>
      </c>
      <c r="B3296">
        <v>3636013</v>
      </c>
      <c r="C3296">
        <v>3636552</v>
      </c>
      <c r="E3296" t="s">
        <v>96</v>
      </c>
      <c r="F3296" t="s">
        <v>1482</v>
      </c>
      <c r="H3296">
        <v>0</v>
      </c>
      <c r="I3296" t="s">
        <v>17</v>
      </c>
      <c r="K3296" t="s">
        <v>8842</v>
      </c>
      <c r="L3296">
        <v>179</v>
      </c>
      <c r="M3296" t="s">
        <v>8843</v>
      </c>
    </row>
    <row r="3297" spans="1:13" x14ac:dyDescent="0.45">
      <c r="A3297" t="s">
        <v>13</v>
      </c>
      <c r="B3297">
        <v>3636545</v>
      </c>
      <c r="C3297">
        <v>3636958</v>
      </c>
      <c r="E3297" t="s">
        <v>96</v>
      </c>
      <c r="F3297" t="s">
        <v>1827</v>
      </c>
      <c r="H3297">
        <v>0</v>
      </c>
      <c r="I3297" t="s">
        <v>17</v>
      </c>
      <c r="K3297" t="s">
        <v>8844</v>
      </c>
      <c r="L3297">
        <v>137</v>
      </c>
      <c r="M3297" t="s">
        <v>8845</v>
      </c>
    </row>
    <row r="3298" spans="1:13" x14ac:dyDescent="0.45">
      <c r="A3298" t="s">
        <v>13</v>
      </c>
      <c r="B3298">
        <v>3636994</v>
      </c>
      <c r="C3298">
        <v>3638115</v>
      </c>
      <c r="E3298" t="s">
        <v>96</v>
      </c>
      <c r="F3298" t="s">
        <v>1674</v>
      </c>
      <c r="H3298">
        <v>0</v>
      </c>
      <c r="I3298" t="s">
        <v>17</v>
      </c>
      <c r="K3298" t="s">
        <v>8846</v>
      </c>
      <c r="L3298">
        <v>373</v>
      </c>
      <c r="M3298" t="s">
        <v>8847</v>
      </c>
    </row>
    <row r="3299" spans="1:13" x14ac:dyDescent="0.45">
      <c r="A3299" t="s">
        <v>13</v>
      </c>
      <c r="B3299">
        <v>3638714</v>
      </c>
      <c r="C3299">
        <v>3640366</v>
      </c>
      <c r="E3299" t="s">
        <v>14</v>
      </c>
      <c r="F3299" t="s">
        <v>8848</v>
      </c>
      <c r="H3299">
        <v>0</v>
      </c>
      <c r="I3299" t="s">
        <v>17</v>
      </c>
      <c r="K3299" t="s">
        <v>8849</v>
      </c>
      <c r="L3299">
        <v>550</v>
      </c>
      <c r="M3299" t="s">
        <v>8850</v>
      </c>
    </row>
    <row r="3300" spans="1:13" x14ac:dyDescent="0.45">
      <c r="A3300" t="s">
        <v>13</v>
      </c>
      <c r="B3300">
        <v>3640663</v>
      </c>
      <c r="C3300">
        <v>3641412</v>
      </c>
      <c r="E3300" t="s">
        <v>14</v>
      </c>
      <c r="F3300" t="s">
        <v>1140</v>
      </c>
      <c r="H3300">
        <v>0</v>
      </c>
      <c r="I3300" t="s">
        <v>17</v>
      </c>
      <c r="K3300" t="s">
        <v>8851</v>
      </c>
      <c r="L3300">
        <v>249</v>
      </c>
      <c r="M3300" t="s">
        <v>8852</v>
      </c>
    </row>
    <row r="3301" spans="1:13" x14ac:dyDescent="0.45">
      <c r="A3301" t="s">
        <v>13</v>
      </c>
      <c r="B3301">
        <v>3641425</v>
      </c>
      <c r="C3301">
        <v>3643452</v>
      </c>
      <c r="E3301" t="s">
        <v>14</v>
      </c>
      <c r="F3301" t="s">
        <v>1143</v>
      </c>
      <c r="H3301">
        <v>0</v>
      </c>
      <c r="I3301" t="s">
        <v>17</v>
      </c>
      <c r="K3301" t="s">
        <v>8853</v>
      </c>
      <c r="L3301">
        <v>675</v>
      </c>
      <c r="M3301" t="s">
        <v>8854</v>
      </c>
    </row>
    <row r="3302" spans="1:13" x14ac:dyDescent="0.45">
      <c r="A3302" t="s">
        <v>13</v>
      </c>
      <c r="B3302">
        <v>3643923</v>
      </c>
      <c r="C3302">
        <v>3645179</v>
      </c>
      <c r="E3302" t="s">
        <v>14</v>
      </c>
      <c r="F3302" t="s">
        <v>1219</v>
      </c>
      <c r="H3302">
        <v>0</v>
      </c>
      <c r="I3302" t="s">
        <v>17</v>
      </c>
      <c r="K3302" t="s">
        <v>8855</v>
      </c>
      <c r="L3302">
        <v>418</v>
      </c>
      <c r="M3302" t="s">
        <v>8856</v>
      </c>
    </row>
    <row r="3303" spans="1:13" x14ac:dyDescent="0.45">
      <c r="A3303" t="s">
        <v>13</v>
      </c>
      <c r="B3303">
        <v>3645187</v>
      </c>
      <c r="C3303">
        <v>3645771</v>
      </c>
      <c r="E3303" t="s">
        <v>14</v>
      </c>
      <c r="F3303" t="s">
        <v>1222</v>
      </c>
      <c r="H3303">
        <v>0</v>
      </c>
      <c r="I3303" t="s">
        <v>17</v>
      </c>
      <c r="K3303" t="s">
        <v>8857</v>
      </c>
      <c r="L3303">
        <v>194</v>
      </c>
      <c r="M3303" t="s">
        <v>8858</v>
      </c>
    </row>
    <row r="3304" spans="1:13" x14ac:dyDescent="0.45">
      <c r="A3304" t="s">
        <v>13</v>
      </c>
      <c r="B3304">
        <v>3645959</v>
      </c>
      <c r="C3304">
        <v>3646885</v>
      </c>
      <c r="E3304" t="s">
        <v>96</v>
      </c>
      <c r="F3304" t="s">
        <v>1848</v>
      </c>
      <c r="H3304">
        <v>0</v>
      </c>
      <c r="I3304" t="s">
        <v>17</v>
      </c>
      <c r="K3304" t="s">
        <v>8859</v>
      </c>
      <c r="L3304">
        <v>308</v>
      </c>
      <c r="M3304" t="s">
        <v>8860</v>
      </c>
    </row>
    <row r="3305" spans="1:13" x14ac:dyDescent="0.45">
      <c r="A3305" t="s">
        <v>13</v>
      </c>
      <c r="B3305">
        <v>3647495</v>
      </c>
      <c r="C3305">
        <v>3648415</v>
      </c>
      <c r="E3305" t="s">
        <v>14</v>
      </c>
      <c r="F3305" t="s">
        <v>196</v>
      </c>
      <c r="H3305">
        <v>0</v>
      </c>
      <c r="I3305" t="s">
        <v>17</v>
      </c>
      <c r="K3305" t="s">
        <v>8861</v>
      </c>
      <c r="L3305">
        <v>306</v>
      </c>
      <c r="M3305" t="s">
        <v>8862</v>
      </c>
    </row>
    <row r="3306" spans="1:13" x14ac:dyDescent="0.45">
      <c r="A3306" t="s">
        <v>13</v>
      </c>
      <c r="B3306">
        <v>3648501</v>
      </c>
      <c r="C3306">
        <v>3650921</v>
      </c>
      <c r="E3306" t="s">
        <v>14</v>
      </c>
      <c r="F3306" t="s">
        <v>834</v>
      </c>
      <c r="H3306">
        <v>0</v>
      </c>
      <c r="I3306" t="s">
        <v>17</v>
      </c>
      <c r="K3306" t="s">
        <v>8863</v>
      </c>
      <c r="L3306">
        <v>806</v>
      </c>
      <c r="M3306" t="s">
        <v>8864</v>
      </c>
    </row>
    <row r="3307" spans="1:13" x14ac:dyDescent="0.45">
      <c r="A3307" t="s">
        <v>13</v>
      </c>
      <c r="B3307">
        <v>3650921</v>
      </c>
      <c r="C3307">
        <v>3651943</v>
      </c>
      <c r="E3307" t="s">
        <v>14</v>
      </c>
      <c r="F3307" t="s">
        <v>8865</v>
      </c>
      <c r="H3307">
        <v>0</v>
      </c>
      <c r="I3307" t="s">
        <v>17</v>
      </c>
      <c r="K3307" t="s">
        <v>8866</v>
      </c>
      <c r="L3307">
        <v>340</v>
      </c>
      <c r="M3307" t="s">
        <v>8867</v>
      </c>
    </row>
    <row r="3308" spans="1:13" x14ac:dyDescent="0.45">
      <c r="A3308" t="s">
        <v>13</v>
      </c>
      <c r="B3308">
        <v>3652058</v>
      </c>
      <c r="C3308">
        <v>3652804</v>
      </c>
      <c r="E3308" t="s">
        <v>14</v>
      </c>
      <c r="F3308" t="s">
        <v>1827</v>
      </c>
      <c r="H3308">
        <v>0</v>
      </c>
      <c r="I3308" t="s">
        <v>17</v>
      </c>
      <c r="K3308" t="s">
        <v>8868</v>
      </c>
      <c r="L3308">
        <v>248</v>
      </c>
      <c r="M3308" t="s">
        <v>8869</v>
      </c>
    </row>
    <row r="3309" spans="1:13" x14ac:dyDescent="0.45">
      <c r="A3309" t="s">
        <v>13</v>
      </c>
      <c r="B3309">
        <v>3652890</v>
      </c>
      <c r="C3309">
        <v>3654140</v>
      </c>
      <c r="E3309" t="s">
        <v>14</v>
      </c>
      <c r="F3309" t="s">
        <v>8870</v>
      </c>
      <c r="G3309" t="s">
        <v>8871</v>
      </c>
      <c r="H3309">
        <v>0</v>
      </c>
      <c r="I3309" t="s">
        <v>17</v>
      </c>
      <c r="K3309" t="s">
        <v>8872</v>
      </c>
      <c r="L3309">
        <v>416</v>
      </c>
      <c r="M3309" t="s">
        <v>8873</v>
      </c>
    </row>
    <row r="3310" spans="1:13" x14ac:dyDescent="0.45">
      <c r="A3310" t="s">
        <v>13</v>
      </c>
      <c r="B3310">
        <v>3654622</v>
      </c>
      <c r="C3310">
        <v>3655635</v>
      </c>
      <c r="E3310" t="s">
        <v>96</v>
      </c>
      <c r="F3310" t="s">
        <v>1143</v>
      </c>
      <c r="H3310">
        <v>0</v>
      </c>
      <c r="I3310" t="s">
        <v>17</v>
      </c>
      <c r="K3310" t="s">
        <v>8874</v>
      </c>
      <c r="L3310">
        <v>337</v>
      </c>
      <c r="M3310" t="s">
        <v>8875</v>
      </c>
    </row>
    <row r="3311" spans="1:13" x14ac:dyDescent="0.45">
      <c r="A3311" t="s">
        <v>13</v>
      </c>
      <c r="B3311">
        <v>3655638</v>
      </c>
      <c r="C3311">
        <v>3656666</v>
      </c>
      <c r="E3311" t="s">
        <v>96</v>
      </c>
      <c r="F3311" t="s">
        <v>1143</v>
      </c>
      <c r="H3311">
        <v>0</v>
      </c>
      <c r="I3311" t="s">
        <v>17</v>
      </c>
      <c r="K3311" t="s">
        <v>8876</v>
      </c>
      <c r="L3311">
        <v>342</v>
      </c>
      <c r="M3311" t="s">
        <v>8877</v>
      </c>
    </row>
    <row r="3312" spans="1:13" x14ac:dyDescent="0.45">
      <c r="A3312" t="s">
        <v>13</v>
      </c>
      <c r="B3312">
        <v>3656666</v>
      </c>
      <c r="C3312">
        <v>3657511</v>
      </c>
      <c r="E3312" t="s">
        <v>96</v>
      </c>
      <c r="F3312" t="s">
        <v>1140</v>
      </c>
      <c r="H3312">
        <v>0</v>
      </c>
      <c r="I3312" t="s">
        <v>17</v>
      </c>
      <c r="K3312" t="s">
        <v>8878</v>
      </c>
      <c r="L3312">
        <v>281</v>
      </c>
      <c r="M3312" t="s">
        <v>8879</v>
      </c>
    </row>
    <row r="3313" spans="1:13" x14ac:dyDescent="0.45">
      <c r="A3313" t="s">
        <v>13</v>
      </c>
      <c r="B3313">
        <v>3657508</v>
      </c>
      <c r="C3313">
        <v>3657630</v>
      </c>
      <c r="E3313" t="s">
        <v>96</v>
      </c>
      <c r="F3313" t="s">
        <v>43</v>
      </c>
      <c r="H3313">
        <v>0</v>
      </c>
      <c r="I3313" t="s">
        <v>17</v>
      </c>
      <c r="K3313" t="s">
        <v>8880</v>
      </c>
      <c r="L3313">
        <v>40</v>
      </c>
      <c r="M3313" t="s">
        <v>8881</v>
      </c>
    </row>
    <row r="3314" spans="1:13" x14ac:dyDescent="0.45">
      <c r="A3314" t="s">
        <v>13</v>
      </c>
      <c r="B3314">
        <v>3657916</v>
      </c>
      <c r="C3314">
        <v>3659046</v>
      </c>
      <c r="E3314" t="s">
        <v>96</v>
      </c>
      <c r="F3314" t="s">
        <v>1219</v>
      </c>
      <c r="H3314">
        <v>0</v>
      </c>
      <c r="I3314" t="s">
        <v>17</v>
      </c>
      <c r="K3314" t="s">
        <v>8882</v>
      </c>
      <c r="L3314">
        <v>376</v>
      </c>
      <c r="M3314" t="s">
        <v>8883</v>
      </c>
    </row>
    <row r="3315" spans="1:13" x14ac:dyDescent="0.45">
      <c r="A3315" t="s">
        <v>13</v>
      </c>
      <c r="B3315">
        <v>3659043</v>
      </c>
      <c r="C3315">
        <v>3659714</v>
      </c>
      <c r="E3315" t="s">
        <v>96</v>
      </c>
      <c r="F3315" t="s">
        <v>1222</v>
      </c>
      <c r="H3315">
        <v>0</v>
      </c>
      <c r="I3315" t="s">
        <v>17</v>
      </c>
      <c r="K3315" t="s">
        <v>8884</v>
      </c>
      <c r="L3315">
        <v>223</v>
      </c>
      <c r="M3315" t="s">
        <v>8885</v>
      </c>
    </row>
    <row r="3316" spans="1:13" x14ac:dyDescent="0.45">
      <c r="A3316" t="s">
        <v>13</v>
      </c>
      <c r="B3316">
        <v>3659928</v>
      </c>
      <c r="C3316">
        <v>3660578</v>
      </c>
      <c r="E3316" t="s">
        <v>96</v>
      </c>
      <c r="F3316" t="s">
        <v>8886</v>
      </c>
      <c r="H3316">
        <v>0</v>
      </c>
      <c r="I3316" t="s">
        <v>17</v>
      </c>
      <c r="K3316" t="s">
        <v>8887</v>
      </c>
      <c r="L3316">
        <v>216</v>
      </c>
      <c r="M3316" t="s">
        <v>8888</v>
      </c>
    </row>
    <row r="3317" spans="1:13" x14ac:dyDescent="0.45">
      <c r="A3317" t="s">
        <v>13</v>
      </c>
      <c r="B3317">
        <v>3660635</v>
      </c>
      <c r="C3317">
        <v>3660865</v>
      </c>
      <c r="E3317" t="s">
        <v>96</v>
      </c>
      <c r="F3317" t="s">
        <v>43</v>
      </c>
      <c r="H3317">
        <v>0</v>
      </c>
      <c r="I3317" t="s">
        <v>17</v>
      </c>
      <c r="K3317" t="s">
        <v>8889</v>
      </c>
      <c r="L3317">
        <v>76</v>
      </c>
      <c r="M3317" t="s">
        <v>8890</v>
      </c>
    </row>
    <row r="3318" spans="1:13" x14ac:dyDescent="0.45">
      <c r="A3318" t="s">
        <v>13</v>
      </c>
      <c r="B3318">
        <v>3661426</v>
      </c>
      <c r="C3318">
        <v>3662019</v>
      </c>
      <c r="E3318" t="s">
        <v>14</v>
      </c>
      <c r="F3318" t="s">
        <v>862</v>
      </c>
      <c r="H3318">
        <v>0</v>
      </c>
      <c r="I3318" t="s">
        <v>17</v>
      </c>
      <c r="K3318" t="s">
        <v>8891</v>
      </c>
      <c r="L3318">
        <v>197</v>
      </c>
      <c r="M3318" t="s">
        <v>8892</v>
      </c>
    </row>
    <row r="3319" spans="1:13" x14ac:dyDescent="0.45">
      <c r="A3319" t="s">
        <v>13</v>
      </c>
      <c r="B3319">
        <v>3662961</v>
      </c>
      <c r="C3319">
        <v>3664364</v>
      </c>
      <c r="E3319" t="s">
        <v>96</v>
      </c>
      <c r="F3319" t="s">
        <v>729</v>
      </c>
      <c r="H3319">
        <v>0</v>
      </c>
      <c r="I3319" t="s">
        <v>17</v>
      </c>
      <c r="K3319" t="s">
        <v>8893</v>
      </c>
      <c r="L3319">
        <v>467</v>
      </c>
      <c r="M3319" t="s">
        <v>8894</v>
      </c>
    </row>
    <row r="3320" spans="1:13" x14ac:dyDescent="0.45">
      <c r="A3320" t="s">
        <v>13</v>
      </c>
      <c r="B3320">
        <v>3664348</v>
      </c>
      <c r="C3320">
        <v>3664839</v>
      </c>
      <c r="E3320" t="s">
        <v>96</v>
      </c>
      <c r="F3320" t="s">
        <v>1485</v>
      </c>
      <c r="H3320">
        <v>0</v>
      </c>
      <c r="I3320" t="s">
        <v>17</v>
      </c>
      <c r="K3320" t="s">
        <v>8895</v>
      </c>
      <c r="L3320">
        <v>163</v>
      </c>
      <c r="M3320" t="s">
        <v>8896</v>
      </c>
    </row>
    <row r="3321" spans="1:13" x14ac:dyDescent="0.45">
      <c r="A3321" t="s">
        <v>13</v>
      </c>
      <c r="B3321">
        <v>3665155</v>
      </c>
      <c r="C3321">
        <v>3665670</v>
      </c>
      <c r="E3321" t="s">
        <v>14</v>
      </c>
      <c r="F3321" t="s">
        <v>1728</v>
      </c>
      <c r="H3321">
        <v>0</v>
      </c>
      <c r="I3321" t="s">
        <v>17</v>
      </c>
      <c r="K3321" t="s">
        <v>8897</v>
      </c>
      <c r="L3321">
        <v>171</v>
      </c>
      <c r="M3321" t="s">
        <v>8898</v>
      </c>
    </row>
    <row r="3322" spans="1:13" x14ac:dyDescent="0.45">
      <c r="A3322" t="s">
        <v>13</v>
      </c>
      <c r="B3322">
        <v>3665719</v>
      </c>
      <c r="C3322">
        <v>3666222</v>
      </c>
      <c r="E3322" t="s">
        <v>14</v>
      </c>
      <c r="F3322" t="s">
        <v>1482</v>
      </c>
      <c r="H3322">
        <v>0</v>
      </c>
      <c r="I3322" t="s">
        <v>17</v>
      </c>
      <c r="K3322" t="s">
        <v>8899</v>
      </c>
      <c r="L3322">
        <v>167</v>
      </c>
      <c r="M3322" t="s">
        <v>8900</v>
      </c>
    </row>
    <row r="3323" spans="1:13" x14ac:dyDescent="0.45">
      <c r="A3323" t="s">
        <v>13</v>
      </c>
      <c r="B3323">
        <v>3666219</v>
      </c>
      <c r="C3323">
        <v>3666869</v>
      </c>
      <c r="E3323" t="s">
        <v>14</v>
      </c>
      <c r="F3323" t="s">
        <v>43</v>
      </c>
      <c r="H3323">
        <v>0</v>
      </c>
      <c r="I3323" t="s">
        <v>17</v>
      </c>
      <c r="K3323" t="s">
        <v>8901</v>
      </c>
      <c r="L3323">
        <v>216</v>
      </c>
      <c r="M3323" t="s">
        <v>8902</v>
      </c>
    </row>
    <row r="3324" spans="1:13" x14ac:dyDescent="0.45">
      <c r="A3324" t="s">
        <v>13</v>
      </c>
      <c r="B3324">
        <v>3667004</v>
      </c>
      <c r="C3324">
        <v>3667783</v>
      </c>
      <c r="E3324" t="s">
        <v>96</v>
      </c>
      <c r="F3324" t="s">
        <v>757</v>
      </c>
      <c r="H3324">
        <v>0</v>
      </c>
      <c r="I3324" t="s">
        <v>17</v>
      </c>
      <c r="K3324" t="s">
        <v>8903</v>
      </c>
      <c r="L3324">
        <v>259</v>
      </c>
      <c r="M3324" t="s">
        <v>8904</v>
      </c>
    </row>
    <row r="3325" spans="1:13" x14ac:dyDescent="0.45">
      <c r="A3325" t="s">
        <v>13</v>
      </c>
      <c r="B3325">
        <v>3667895</v>
      </c>
      <c r="C3325">
        <v>3668146</v>
      </c>
      <c r="E3325" t="s">
        <v>96</v>
      </c>
      <c r="F3325" t="s">
        <v>8905</v>
      </c>
      <c r="H3325">
        <v>0</v>
      </c>
      <c r="I3325" t="s">
        <v>17</v>
      </c>
      <c r="K3325" t="s">
        <v>8906</v>
      </c>
      <c r="L3325">
        <v>83</v>
      </c>
      <c r="M3325" t="s">
        <v>8907</v>
      </c>
    </row>
    <row r="3326" spans="1:13" x14ac:dyDescent="0.45">
      <c r="A3326" t="s">
        <v>13</v>
      </c>
      <c r="B3326">
        <v>3668340</v>
      </c>
      <c r="C3326">
        <v>3668561</v>
      </c>
      <c r="E3326" t="s">
        <v>96</v>
      </c>
      <c r="F3326" t="s">
        <v>1427</v>
      </c>
      <c r="H3326">
        <v>0</v>
      </c>
      <c r="I3326" t="s">
        <v>17</v>
      </c>
      <c r="K3326" t="s">
        <v>8908</v>
      </c>
      <c r="L3326">
        <v>73</v>
      </c>
      <c r="M3326" t="s">
        <v>8909</v>
      </c>
    </row>
    <row r="3327" spans="1:13" x14ac:dyDescent="0.45">
      <c r="A3327" t="s">
        <v>13</v>
      </c>
      <c r="B3327">
        <v>3668477</v>
      </c>
      <c r="C3327">
        <v>3669208</v>
      </c>
      <c r="E3327" t="s">
        <v>96</v>
      </c>
      <c r="F3327" t="s">
        <v>196</v>
      </c>
      <c r="H3327">
        <v>0</v>
      </c>
      <c r="I3327" t="s">
        <v>17</v>
      </c>
      <c r="K3327" t="s">
        <v>8910</v>
      </c>
      <c r="L3327">
        <v>243</v>
      </c>
      <c r="M3327" t="s">
        <v>8911</v>
      </c>
    </row>
    <row r="3328" spans="1:13" x14ac:dyDescent="0.45">
      <c r="A3328" t="s">
        <v>13</v>
      </c>
      <c r="B3328">
        <v>3669546</v>
      </c>
      <c r="C3328">
        <v>3670307</v>
      </c>
      <c r="E3328" t="s">
        <v>96</v>
      </c>
      <c r="F3328" t="s">
        <v>1140</v>
      </c>
      <c r="H3328">
        <v>0</v>
      </c>
      <c r="I3328" t="s">
        <v>17</v>
      </c>
      <c r="K3328" t="s">
        <v>8912</v>
      </c>
      <c r="L3328">
        <v>253</v>
      </c>
      <c r="M3328" t="s">
        <v>8913</v>
      </c>
    </row>
    <row r="3329" spans="1:13" x14ac:dyDescent="0.45">
      <c r="A3329" t="s">
        <v>13</v>
      </c>
      <c r="B3329">
        <v>3670323</v>
      </c>
      <c r="C3329">
        <v>3671858</v>
      </c>
      <c r="E3329" t="s">
        <v>96</v>
      </c>
      <c r="F3329" t="s">
        <v>2641</v>
      </c>
      <c r="H3329">
        <v>0</v>
      </c>
      <c r="I3329" t="s">
        <v>17</v>
      </c>
      <c r="K3329" t="s">
        <v>8914</v>
      </c>
      <c r="L3329">
        <v>511</v>
      </c>
      <c r="M3329" t="s">
        <v>8915</v>
      </c>
    </row>
    <row r="3330" spans="1:13" x14ac:dyDescent="0.45">
      <c r="A3330" t="s">
        <v>13</v>
      </c>
      <c r="B3330">
        <v>3672272</v>
      </c>
      <c r="C3330">
        <v>3674512</v>
      </c>
      <c r="E3330" t="s">
        <v>96</v>
      </c>
      <c r="F3330" t="s">
        <v>700</v>
      </c>
      <c r="H3330">
        <v>0</v>
      </c>
      <c r="I3330" t="s">
        <v>17</v>
      </c>
      <c r="K3330" t="s">
        <v>8916</v>
      </c>
      <c r="L3330">
        <v>746</v>
      </c>
      <c r="M3330" t="s">
        <v>8917</v>
      </c>
    </row>
    <row r="3331" spans="1:13" x14ac:dyDescent="0.45">
      <c r="A3331" t="s">
        <v>13</v>
      </c>
      <c r="B3331">
        <v>3675039</v>
      </c>
      <c r="C3331">
        <v>3675839</v>
      </c>
      <c r="E3331" t="s">
        <v>96</v>
      </c>
      <c r="F3331" t="s">
        <v>6532</v>
      </c>
      <c r="H3331">
        <v>0</v>
      </c>
      <c r="I3331" t="s">
        <v>17</v>
      </c>
      <c r="K3331" t="s">
        <v>8918</v>
      </c>
      <c r="L3331">
        <v>266</v>
      </c>
      <c r="M3331" t="s">
        <v>8919</v>
      </c>
    </row>
    <row r="3332" spans="1:13" x14ac:dyDescent="0.45">
      <c r="A3332" t="s">
        <v>13</v>
      </c>
      <c r="B3332">
        <v>3676230</v>
      </c>
      <c r="C3332">
        <v>3677105</v>
      </c>
      <c r="E3332" t="s">
        <v>96</v>
      </c>
      <c r="F3332" t="s">
        <v>8920</v>
      </c>
      <c r="G3332" t="s">
        <v>8921</v>
      </c>
      <c r="H3332">
        <v>0</v>
      </c>
      <c r="I3332" t="s">
        <v>17</v>
      </c>
      <c r="K3332" t="s">
        <v>8922</v>
      </c>
      <c r="L3332">
        <v>291</v>
      </c>
      <c r="M3332" t="s">
        <v>8923</v>
      </c>
    </row>
    <row r="3333" spans="1:13" x14ac:dyDescent="0.45">
      <c r="A3333" t="s">
        <v>13</v>
      </c>
      <c r="B3333">
        <v>3677390</v>
      </c>
      <c r="C3333">
        <v>3678136</v>
      </c>
      <c r="E3333" t="s">
        <v>96</v>
      </c>
      <c r="F3333" t="s">
        <v>1295</v>
      </c>
      <c r="H3333">
        <v>0</v>
      </c>
      <c r="I3333" t="s">
        <v>17</v>
      </c>
      <c r="K3333" t="s">
        <v>8924</v>
      </c>
      <c r="L3333">
        <v>248</v>
      </c>
      <c r="M3333" t="s">
        <v>8925</v>
      </c>
    </row>
    <row r="3334" spans="1:13" x14ac:dyDescent="0.45">
      <c r="A3334" t="s">
        <v>13</v>
      </c>
      <c r="B3334">
        <v>3678123</v>
      </c>
      <c r="C3334">
        <v>3678368</v>
      </c>
      <c r="E3334" t="s">
        <v>96</v>
      </c>
      <c r="F3334" t="s">
        <v>8926</v>
      </c>
      <c r="H3334">
        <v>0</v>
      </c>
      <c r="I3334" t="s">
        <v>17</v>
      </c>
      <c r="K3334" t="s">
        <v>8927</v>
      </c>
      <c r="L3334">
        <v>81</v>
      </c>
      <c r="M3334" t="s">
        <v>8928</v>
      </c>
    </row>
    <row r="3335" spans="1:13" x14ac:dyDescent="0.45">
      <c r="A3335" t="s">
        <v>13</v>
      </c>
      <c r="B3335">
        <v>3678499</v>
      </c>
      <c r="C3335">
        <v>3679617</v>
      </c>
      <c r="E3335" t="s">
        <v>96</v>
      </c>
      <c r="F3335" t="s">
        <v>8929</v>
      </c>
      <c r="H3335">
        <v>0</v>
      </c>
      <c r="I3335" t="s">
        <v>17</v>
      </c>
      <c r="K3335" t="s">
        <v>8930</v>
      </c>
      <c r="L3335">
        <v>372</v>
      </c>
      <c r="M3335" t="s">
        <v>8931</v>
      </c>
    </row>
    <row r="3336" spans="1:13" x14ac:dyDescent="0.45">
      <c r="A3336" t="s">
        <v>13</v>
      </c>
      <c r="B3336">
        <v>3679823</v>
      </c>
      <c r="C3336">
        <v>3681016</v>
      </c>
      <c r="E3336" t="s">
        <v>96</v>
      </c>
      <c r="F3336" t="s">
        <v>8932</v>
      </c>
      <c r="H3336">
        <v>0</v>
      </c>
      <c r="I3336" t="s">
        <v>17</v>
      </c>
      <c r="K3336" t="s">
        <v>8933</v>
      </c>
      <c r="L3336">
        <v>397</v>
      </c>
      <c r="M3336" t="s">
        <v>8934</v>
      </c>
    </row>
    <row r="3337" spans="1:13" x14ac:dyDescent="0.45">
      <c r="A3337" t="s">
        <v>13</v>
      </c>
      <c r="B3337">
        <v>3681339</v>
      </c>
      <c r="C3337">
        <v>3682220</v>
      </c>
      <c r="E3337" t="s">
        <v>14</v>
      </c>
      <c r="F3337" t="s">
        <v>8935</v>
      </c>
      <c r="G3337" t="s">
        <v>8936</v>
      </c>
      <c r="H3337">
        <v>0</v>
      </c>
      <c r="I3337" t="s">
        <v>17</v>
      </c>
      <c r="K3337" t="s">
        <v>8937</v>
      </c>
      <c r="L3337">
        <v>293</v>
      </c>
      <c r="M3337" t="s">
        <v>8938</v>
      </c>
    </row>
    <row r="3338" spans="1:13" x14ac:dyDescent="0.45">
      <c r="A3338" t="s">
        <v>13</v>
      </c>
      <c r="B3338">
        <v>3682645</v>
      </c>
      <c r="C3338">
        <v>3683646</v>
      </c>
      <c r="E3338" t="s">
        <v>14</v>
      </c>
      <c r="F3338" t="s">
        <v>8939</v>
      </c>
      <c r="H3338">
        <v>0</v>
      </c>
      <c r="I3338" t="s">
        <v>17</v>
      </c>
      <c r="K3338" t="s">
        <v>8940</v>
      </c>
      <c r="L3338">
        <v>333</v>
      </c>
      <c r="M3338" t="s">
        <v>8941</v>
      </c>
    </row>
    <row r="3339" spans="1:13" x14ac:dyDescent="0.45">
      <c r="A3339" t="s">
        <v>13</v>
      </c>
      <c r="B3339">
        <v>3683763</v>
      </c>
      <c r="C3339">
        <v>3684650</v>
      </c>
      <c r="E3339" t="s">
        <v>14</v>
      </c>
      <c r="F3339" t="s">
        <v>8935</v>
      </c>
      <c r="G3339" t="s">
        <v>8936</v>
      </c>
      <c r="H3339">
        <v>0</v>
      </c>
      <c r="I3339" t="s">
        <v>17</v>
      </c>
      <c r="K3339" t="s">
        <v>8942</v>
      </c>
      <c r="L3339">
        <v>295</v>
      </c>
      <c r="M3339" t="s">
        <v>8943</v>
      </c>
    </row>
    <row r="3340" spans="1:13" x14ac:dyDescent="0.45">
      <c r="A3340" t="s">
        <v>13</v>
      </c>
      <c r="B3340">
        <v>3684717</v>
      </c>
      <c r="C3340">
        <v>3685466</v>
      </c>
      <c r="E3340" t="s">
        <v>14</v>
      </c>
      <c r="F3340" t="s">
        <v>8944</v>
      </c>
      <c r="G3340" t="s">
        <v>8945</v>
      </c>
      <c r="H3340">
        <v>0</v>
      </c>
      <c r="I3340" t="s">
        <v>17</v>
      </c>
      <c r="K3340" t="s">
        <v>8946</v>
      </c>
      <c r="L3340">
        <v>249</v>
      </c>
      <c r="M3340" t="s">
        <v>8947</v>
      </c>
    </row>
    <row r="3341" spans="1:13" x14ac:dyDescent="0.45">
      <c r="A3341" t="s">
        <v>13</v>
      </c>
      <c r="B3341">
        <v>3685690</v>
      </c>
      <c r="C3341">
        <v>3686406</v>
      </c>
      <c r="E3341" t="s">
        <v>14</v>
      </c>
      <c r="F3341" t="s">
        <v>8948</v>
      </c>
      <c r="G3341" t="s">
        <v>8949</v>
      </c>
      <c r="H3341">
        <v>0</v>
      </c>
      <c r="I3341" t="s">
        <v>17</v>
      </c>
      <c r="K3341" t="s">
        <v>8950</v>
      </c>
      <c r="L3341">
        <v>238</v>
      </c>
      <c r="M3341" t="s">
        <v>8951</v>
      </c>
    </row>
    <row r="3342" spans="1:13" x14ac:dyDescent="0.45">
      <c r="A3342" t="s">
        <v>13</v>
      </c>
      <c r="B3342">
        <v>3686677</v>
      </c>
      <c r="C3342">
        <v>3687666</v>
      </c>
      <c r="E3342" t="s">
        <v>96</v>
      </c>
      <c r="F3342" t="s">
        <v>2579</v>
      </c>
      <c r="H3342">
        <v>0</v>
      </c>
      <c r="I3342" t="s">
        <v>17</v>
      </c>
      <c r="K3342" t="s">
        <v>8952</v>
      </c>
      <c r="L3342">
        <v>329</v>
      </c>
      <c r="M3342" t="s">
        <v>8953</v>
      </c>
    </row>
    <row r="3343" spans="1:13" x14ac:dyDescent="0.45">
      <c r="A3343" t="s">
        <v>13</v>
      </c>
      <c r="B3343">
        <v>3688107</v>
      </c>
      <c r="C3343">
        <v>3688862</v>
      </c>
      <c r="E3343" t="s">
        <v>14</v>
      </c>
      <c r="F3343" t="s">
        <v>8944</v>
      </c>
      <c r="G3343" t="s">
        <v>8945</v>
      </c>
      <c r="H3343">
        <v>0</v>
      </c>
      <c r="I3343" t="s">
        <v>17</v>
      </c>
      <c r="K3343" t="s">
        <v>8954</v>
      </c>
      <c r="L3343">
        <v>251</v>
      </c>
      <c r="M3343" t="s">
        <v>8955</v>
      </c>
    </row>
    <row r="3344" spans="1:13" x14ac:dyDescent="0.45">
      <c r="A3344" t="s">
        <v>13</v>
      </c>
      <c r="B3344">
        <v>3689444</v>
      </c>
      <c r="C3344">
        <v>3691084</v>
      </c>
      <c r="E3344" t="s">
        <v>96</v>
      </c>
      <c r="F3344" t="s">
        <v>8956</v>
      </c>
      <c r="G3344" t="s">
        <v>8957</v>
      </c>
      <c r="H3344">
        <v>0</v>
      </c>
      <c r="I3344" t="s">
        <v>17</v>
      </c>
      <c r="K3344" t="s">
        <v>8958</v>
      </c>
      <c r="L3344">
        <v>546</v>
      </c>
      <c r="M3344" t="s">
        <v>8959</v>
      </c>
    </row>
    <row r="3345" spans="1:13" x14ac:dyDescent="0.45">
      <c r="A3345" t="s">
        <v>13</v>
      </c>
      <c r="B3345">
        <v>3691462</v>
      </c>
      <c r="C3345">
        <v>3692001</v>
      </c>
      <c r="E3345" t="s">
        <v>96</v>
      </c>
      <c r="F3345" t="s">
        <v>7604</v>
      </c>
      <c r="G3345" t="s">
        <v>7605</v>
      </c>
      <c r="H3345">
        <v>0</v>
      </c>
      <c r="I3345" t="s">
        <v>17</v>
      </c>
      <c r="K3345" t="s">
        <v>8960</v>
      </c>
      <c r="L3345">
        <v>179</v>
      </c>
      <c r="M3345" t="s">
        <v>8961</v>
      </c>
    </row>
    <row r="3346" spans="1:13" x14ac:dyDescent="0.45">
      <c r="A3346" t="s">
        <v>13</v>
      </c>
      <c r="B3346">
        <v>3692329</v>
      </c>
      <c r="C3346">
        <v>3693636</v>
      </c>
      <c r="E3346" t="s">
        <v>96</v>
      </c>
      <c r="F3346" t="s">
        <v>8962</v>
      </c>
      <c r="H3346">
        <v>0</v>
      </c>
      <c r="I3346" t="s">
        <v>17</v>
      </c>
      <c r="K3346" t="s">
        <v>8963</v>
      </c>
      <c r="L3346">
        <v>435</v>
      </c>
      <c r="M3346" t="s">
        <v>8964</v>
      </c>
    </row>
    <row r="3347" spans="1:13" x14ac:dyDescent="0.45">
      <c r="A3347" t="s">
        <v>13</v>
      </c>
      <c r="B3347">
        <v>3694061</v>
      </c>
      <c r="C3347">
        <v>3695836</v>
      </c>
      <c r="E3347" t="s">
        <v>96</v>
      </c>
      <c r="F3347" t="s">
        <v>723</v>
      </c>
      <c r="H3347">
        <v>0</v>
      </c>
      <c r="I3347" t="s">
        <v>17</v>
      </c>
      <c r="K3347" t="s">
        <v>8965</v>
      </c>
      <c r="L3347">
        <v>591</v>
      </c>
      <c r="M3347" t="s">
        <v>8966</v>
      </c>
    </row>
    <row r="3348" spans="1:13" x14ac:dyDescent="0.45">
      <c r="A3348" t="s">
        <v>13</v>
      </c>
      <c r="B3348">
        <v>3695833</v>
      </c>
      <c r="C3348">
        <v>3695970</v>
      </c>
      <c r="E3348" t="s">
        <v>96</v>
      </c>
      <c r="F3348" t="s">
        <v>43</v>
      </c>
      <c r="H3348">
        <v>0</v>
      </c>
      <c r="I3348" t="s">
        <v>17</v>
      </c>
      <c r="K3348" t="s">
        <v>8967</v>
      </c>
      <c r="L3348">
        <v>45</v>
      </c>
      <c r="M3348" t="s">
        <v>8968</v>
      </c>
    </row>
    <row r="3349" spans="1:13" x14ac:dyDescent="0.45">
      <c r="A3349" t="s">
        <v>13</v>
      </c>
      <c r="B3349">
        <v>3696048</v>
      </c>
      <c r="C3349">
        <v>3696617</v>
      </c>
      <c r="E3349" t="s">
        <v>96</v>
      </c>
      <c r="F3349" t="s">
        <v>1295</v>
      </c>
      <c r="H3349">
        <v>0</v>
      </c>
      <c r="I3349" t="s">
        <v>17</v>
      </c>
      <c r="K3349" t="s">
        <v>8969</v>
      </c>
      <c r="L3349">
        <v>189</v>
      </c>
      <c r="M3349" t="s">
        <v>8970</v>
      </c>
    </row>
    <row r="3350" spans="1:13" x14ac:dyDescent="0.45">
      <c r="A3350" t="s">
        <v>13</v>
      </c>
      <c r="B3350">
        <v>3696801</v>
      </c>
      <c r="C3350">
        <v>3697436</v>
      </c>
      <c r="E3350" t="s">
        <v>96</v>
      </c>
      <c r="F3350" t="s">
        <v>5370</v>
      </c>
      <c r="H3350">
        <v>0</v>
      </c>
      <c r="I3350" t="s">
        <v>17</v>
      </c>
      <c r="K3350" t="s">
        <v>8971</v>
      </c>
      <c r="L3350">
        <v>211</v>
      </c>
      <c r="M3350" t="s">
        <v>8972</v>
      </c>
    </row>
    <row r="3351" spans="1:13" x14ac:dyDescent="0.45">
      <c r="A3351" t="s">
        <v>13</v>
      </c>
      <c r="B3351">
        <v>3698104</v>
      </c>
      <c r="C3351">
        <v>3698985</v>
      </c>
      <c r="E3351" t="s">
        <v>96</v>
      </c>
      <c r="F3351" t="s">
        <v>8973</v>
      </c>
      <c r="H3351">
        <v>0</v>
      </c>
      <c r="I3351" t="s">
        <v>17</v>
      </c>
      <c r="K3351" t="s">
        <v>8974</v>
      </c>
      <c r="L3351">
        <v>293</v>
      </c>
      <c r="M3351" t="s">
        <v>8975</v>
      </c>
    </row>
    <row r="3352" spans="1:13" x14ac:dyDescent="0.45">
      <c r="A3352" t="s">
        <v>13</v>
      </c>
      <c r="B3352">
        <v>3699105</v>
      </c>
      <c r="C3352">
        <v>3700112</v>
      </c>
      <c r="E3352" t="s">
        <v>96</v>
      </c>
      <c r="F3352" t="s">
        <v>8976</v>
      </c>
      <c r="H3352">
        <v>0</v>
      </c>
      <c r="I3352" t="s">
        <v>17</v>
      </c>
      <c r="K3352" t="s">
        <v>8977</v>
      </c>
      <c r="L3352">
        <v>335</v>
      </c>
      <c r="M3352" t="s">
        <v>8978</v>
      </c>
    </row>
    <row r="3353" spans="1:13" x14ac:dyDescent="0.45">
      <c r="A3353" t="s">
        <v>13</v>
      </c>
      <c r="B3353">
        <v>3700132</v>
      </c>
      <c r="C3353">
        <v>3700605</v>
      </c>
      <c r="E3353" t="s">
        <v>96</v>
      </c>
      <c r="F3353" t="s">
        <v>6633</v>
      </c>
      <c r="H3353">
        <v>0</v>
      </c>
      <c r="I3353" t="s">
        <v>17</v>
      </c>
      <c r="K3353" t="s">
        <v>8979</v>
      </c>
      <c r="L3353">
        <v>157</v>
      </c>
      <c r="M3353" t="s">
        <v>8980</v>
      </c>
    </row>
    <row r="3354" spans="1:13" x14ac:dyDescent="0.45">
      <c r="A3354" t="s">
        <v>13</v>
      </c>
      <c r="B3354">
        <v>3700632</v>
      </c>
      <c r="C3354">
        <v>3701099</v>
      </c>
      <c r="E3354" t="s">
        <v>96</v>
      </c>
      <c r="F3354" t="s">
        <v>6633</v>
      </c>
      <c r="H3354">
        <v>0</v>
      </c>
      <c r="I3354" t="s">
        <v>17</v>
      </c>
      <c r="K3354" t="s">
        <v>8981</v>
      </c>
      <c r="L3354">
        <v>155</v>
      </c>
      <c r="M3354" t="s">
        <v>8982</v>
      </c>
    </row>
    <row r="3355" spans="1:13" x14ac:dyDescent="0.45">
      <c r="A3355" t="s">
        <v>13</v>
      </c>
      <c r="B3355">
        <v>3701114</v>
      </c>
      <c r="C3355">
        <v>3701872</v>
      </c>
      <c r="E3355" t="s">
        <v>96</v>
      </c>
      <c r="F3355" t="s">
        <v>8983</v>
      </c>
      <c r="G3355" t="s">
        <v>8984</v>
      </c>
      <c r="H3355">
        <v>0</v>
      </c>
      <c r="I3355" t="s">
        <v>17</v>
      </c>
      <c r="K3355" t="s">
        <v>8985</v>
      </c>
      <c r="L3355">
        <v>252</v>
      </c>
      <c r="M3355" t="s">
        <v>8986</v>
      </c>
    </row>
    <row r="3356" spans="1:13" x14ac:dyDescent="0.45">
      <c r="A3356" t="s">
        <v>13</v>
      </c>
      <c r="B3356">
        <v>3701952</v>
      </c>
      <c r="C3356">
        <v>3702677</v>
      </c>
      <c r="E3356" t="s">
        <v>96</v>
      </c>
      <c r="F3356" t="s">
        <v>8987</v>
      </c>
      <c r="G3356" t="s">
        <v>8988</v>
      </c>
      <c r="H3356">
        <v>0</v>
      </c>
      <c r="I3356" t="s">
        <v>17</v>
      </c>
      <c r="K3356" t="s">
        <v>8989</v>
      </c>
      <c r="L3356">
        <v>241</v>
      </c>
      <c r="M3356" t="s">
        <v>8990</v>
      </c>
    </row>
    <row r="3357" spans="1:13" x14ac:dyDescent="0.45">
      <c r="A3357" t="s">
        <v>13</v>
      </c>
      <c r="B3357">
        <v>3702715</v>
      </c>
      <c r="C3357">
        <v>3702999</v>
      </c>
      <c r="E3357" t="s">
        <v>96</v>
      </c>
      <c r="F3357" t="s">
        <v>8991</v>
      </c>
      <c r="H3357">
        <v>0</v>
      </c>
      <c r="I3357" t="s">
        <v>17</v>
      </c>
      <c r="K3357" t="s">
        <v>8992</v>
      </c>
      <c r="L3357">
        <v>94</v>
      </c>
      <c r="M3357" t="s">
        <v>8993</v>
      </c>
    </row>
    <row r="3358" spans="1:13" x14ac:dyDescent="0.45">
      <c r="A3358" t="s">
        <v>13</v>
      </c>
      <c r="B3358">
        <v>3703080</v>
      </c>
      <c r="C3358">
        <v>3704960</v>
      </c>
      <c r="E3358" t="s">
        <v>96</v>
      </c>
      <c r="F3358" t="s">
        <v>8994</v>
      </c>
      <c r="G3358" t="s">
        <v>8995</v>
      </c>
      <c r="H3358">
        <v>0</v>
      </c>
      <c r="I3358" t="s">
        <v>17</v>
      </c>
      <c r="K3358" t="s">
        <v>8996</v>
      </c>
      <c r="L3358">
        <v>626</v>
      </c>
      <c r="M3358" t="s">
        <v>8997</v>
      </c>
    </row>
    <row r="3359" spans="1:13" x14ac:dyDescent="0.45">
      <c r="A3359" t="s">
        <v>13</v>
      </c>
      <c r="B3359">
        <v>3705389</v>
      </c>
      <c r="C3359">
        <v>3707149</v>
      </c>
      <c r="E3359" t="s">
        <v>96</v>
      </c>
      <c r="F3359" t="s">
        <v>8998</v>
      </c>
      <c r="G3359" t="s">
        <v>8999</v>
      </c>
      <c r="H3359">
        <v>0</v>
      </c>
      <c r="I3359" t="s">
        <v>17</v>
      </c>
      <c r="K3359" t="s">
        <v>9000</v>
      </c>
      <c r="L3359">
        <v>586</v>
      </c>
      <c r="M3359" t="s">
        <v>9001</v>
      </c>
    </row>
    <row r="3360" spans="1:13" x14ac:dyDescent="0.45">
      <c r="A3360" t="s">
        <v>13</v>
      </c>
      <c r="B3360">
        <v>3707619</v>
      </c>
      <c r="C3360">
        <v>3707726</v>
      </c>
      <c r="E3360" t="s">
        <v>96</v>
      </c>
      <c r="F3360" t="s">
        <v>6507</v>
      </c>
      <c r="H3360">
        <v>0</v>
      </c>
      <c r="I3360" t="s">
        <v>17</v>
      </c>
      <c r="K3360" t="s">
        <v>9002</v>
      </c>
      <c r="L3360">
        <v>35</v>
      </c>
      <c r="M3360" t="s">
        <v>9003</v>
      </c>
    </row>
    <row r="3361" spans="1:13" x14ac:dyDescent="0.45">
      <c r="A3361" t="s">
        <v>13</v>
      </c>
      <c r="B3361">
        <v>3707950</v>
      </c>
      <c r="C3361">
        <v>3709263</v>
      </c>
      <c r="E3361" t="s">
        <v>96</v>
      </c>
      <c r="F3361" t="s">
        <v>9004</v>
      </c>
      <c r="G3361" t="s">
        <v>9005</v>
      </c>
      <c r="H3361">
        <v>0</v>
      </c>
      <c r="I3361" t="s">
        <v>17</v>
      </c>
      <c r="K3361" t="s">
        <v>9006</v>
      </c>
      <c r="L3361">
        <v>437</v>
      </c>
      <c r="M3361" t="s">
        <v>9007</v>
      </c>
    </row>
    <row r="3362" spans="1:13" x14ac:dyDescent="0.45">
      <c r="A3362" t="s">
        <v>13</v>
      </c>
      <c r="B3362">
        <v>3709652</v>
      </c>
      <c r="C3362">
        <v>3710416</v>
      </c>
      <c r="E3362" t="s">
        <v>96</v>
      </c>
      <c r="F3362" t="s">
        <v>3610</v>
      </c>
      <c r="H3362">
        <v>0</v>
      </c>
      <c r="I3362" t="s">
        <v>17</v>
      </c>
      <c r="K3362" t="s">
        <v>9008</v>
      </c>
      <c r="L3362">
        <v>254</v>
      </c>
      <c r="M3362" t="s">
        <v>9009</v>
      </c>
    </row>
    <row r="3363" spans="1:13" x14ac:dyDescent="0.45">
      <c r="A3363" t="s">
        <v>13</v>
      </c>
      <c r="B3363">
        <v>3710707</v>
      </c>
      <c r="C3363">
        <v>3710910</v>
      </c>
      <c r="E3363" t="s">
        <v>14</v>
      </c>
      <c r="F3363" t="s">
        <v>7596</v>
      </c>
      <c r="H3363">
        <v>0</v>
      </c>
      <c r="I3363" t="s">
        <v>17</v>
      </c>
      <c r="K3363" t="s">
        <v>9010</v>
      </c>
      <c r="L3363">
        <v>67</v>
      </c>
      <c r="M3363" t="s">
        <v>9011</v>
      </c>
    </row>
    <row r="3364" spans="1:13" x14ac:dyDescent="0.45">
      <c r="A3364" t="s">
        <v>13</v>
      </c>
      <c r="B3364">
        <v>3711100</v>
      </c>
      <c r="C3364">
        <v>3711636</v>
      </c>
      <c r="E3364" t="s">
        <v>14</v>
      </c>
      <c r="F3364" t="s">
        <v>9012</v>
      </c>
      <c r="H3364">
        <v>0</v>
      </c>
      <c r="I3364" t="s">
        <v>17</v>
      </c>
      <c r="K3364" t="s">
        <v>9013</v>
      </c>
      <c r="L3364">
        <v>178</v>
      </c>
      <c r="M3364" t="s">
        <v>9014</v>
      </c>
    </row>
    <row r="3365" spans="1:13" x14ac:dyDescent="0.45">
      <c r="A3365" t="s">
        <v>13</v>
      </c>
      <c r="B3365">
        <v>3711640</v>
      </c>
      <c r="C3365">
        <v>3712506</v>
      </c>
      <c r="E3365" t="s">
        <v>96</v>
      </c>
      <c r="F3365" t="s">
        <v>9015</v>
      </c>
      <c r="H3365">
        <v>0</v>
      </c>
      <c r="I3365" t="s">
        <v>17</v>
      </c>
      <c r="K3365" t="s">
        <v>9016</v>
      </c>
      <c r="L3365">
        <v>288</v>
      </c>
      <c r="M3365" t="s">
        <v>9017</v>
      </c>
    </row>
    <row r="3366" spans="1:13" x14ac:dyDescent="0.45">
      <c r="A3366" t="s">
        <v>13</v>
      </c>
      <c r="B3366">
        <v>3712654</v>
      </c>
      <c r="C3366">
        <v>3712899</v>
      </c>
      <c r="E3366" t="s">
        <v>14</v>
      </c>
      <c r="F3366" t="s">
        <v>3195</v>
      </c>
      <c r="H3366">
        <v>0</v>
      </c>
      <c r="I3366" t="s">
        <v>17</v>
      </c>
      <c r="K3366" t="s">
        <v>9018</v>
      </c>
      <c r="L3366">
        <v>81</v>
      </c>
      <c r="M3366" t="s">
        <v>9019</v>
      </c>
    </row>
    <row r="3367" spans="1:13" x14ac:dyDescent="0.45">
      <c r="A3367" t="s">
        <v>13</v>
      </c>
      <c r="B3367">
        <v>3713013</v>
      </c>
      <c r="C3367">
        <v>3714311</v>
      </c>
      <c r="E3367" t="s">
        <v>96</v>
      </c>
      <c r="F3367" t="s">
        <v>9020</v>
      </c>
      <c r="H3367">
        <v>0</v>
      </c>
      <c r="I3367" t="s">
        <v>17</v>
      </c>
      <c r="K3367" t="s">
        <v>9021</v>
      </c>
      <c r="L3367">
        <v>432</v>
      </c>
      <c r="M3367" t="s">
        <v>9022</v>
      </c>
    </row>
    <row r="3368" spans="1:13" x14ac:dyDescent="0.45">
      <c r="A3368" t="s">
        <v>13</v>
      </c>
      <c r="B3368">
        <v>3714444</v>
      </c>
      <c r="C3368">
        <v>3715457</v>
      </c>
      <c r="E3368" t="s">
        <v>96</v>
      </c>
      <c r="F3368" t="s">
        <v>5792</v>
      </c>
      <c r="H3368">
        <v>0</v>
      </c>
      <c r="I3368" t="s">
        <v>17</v>
      </c>
      <c r="K3368" t="s">
        <v>9023</v>
      </c>
      <c r="L3368">
        <v>337</v>
      </c>
      <c r="M3368" t="s">
        <v>9024</v>
      </c>
    </row>
    <row r="3369" spans="1:13" x14ac:dyDescent="0.45">
      <c r="A3369" t="s">
        <v>13</v>
      </c>
      <c r="B3369">
        <v>3716521</v>
      </c>
      <c r="C3369">
        <v>3717231</v>
      </c>
      <c r="E3369" t="s">
        <v>96</v>
      </c>
      <c r="F3369" t="s">
        <v>9025</v>
      </c>
      <c r="G3369" t="s">
        <v>9026</v>
      </c>
      <c r="H3369">
        <v>0</v>
      </c>
      <c r="I3369" t="s">
        <v>17</v>
      </c>
      <c r="K3369" t="s">
        <v>9027</v>
      </c>
      <c r="L3369">
        <v>236</v>
      </c>
      <c r="M3369" t="s">
        <v>9028</v>
      </c>
    </row>
    <row r="3370" spans="1:13" x14ac:dyDescent="0.45">
      <c r="A3370" t="s">
        <v>13</v>
      </c>
      <c r="B3370">
        <v>3717656</v>
      </c>
      <c r="C3370">
        <v>3720322</v>
      </c>
      <c r="E3370" t="s">
        <v>96</v>
      </c>
      <c r="F3370" t="s">
        <v>9029</v>
      </c>
      <c r="H3370">
        <v>0</v>
      </c>
      <c r="I3370" t="s">
        <v>17</v>
      </c>
      <c r="K3370" t="s">
        <v>9030</v>
      </c>
      <c r="L3370">
        <v>888</v>
      </c>
      <c r="M3370" t="s">
        <v>9031</v>
      </c>
    </row>
    <row r="3371" spans="1:13" x14ac:dyDescent="0.45">
      <c r="A3371" t="s">
        <v>13</v>
      </c>
      <c r="B3371">
        <v>3720961</v>
      </c>
      <c r="C3371">
        <v>3721788</v>
      </c>
      <c r="E3371" t="s">
        <v>96</v>
      </c>
      <c r="F3371" t="s">
        <v>3610</v>
      </c>
      <c r="H3371">
        <v>0</v>
      </c>
      <c r="I3371" t="s">
        <v>17</v>
      </c>
      <c r="K3371" t="s">
        <v>9032</v>
      </c>
      <c r="L3371">
        <v>275</v>
      </c>
      <c r="M3371" t="s">
        <v>9033</v>
      </c>
    </row>
    <row r="3372" spans="1:13" x14ac:dyDescent="0.45">
      <c r="A3372" t="s">
        <v>13</v>
      </c>
      <c r="B3372">
        <v>3721836</v>
      </c>
      <c r="C3372">
        <v>3723272</v>
      </c>
      <c r="E3372" t="s">
        <v>96</v>
      </c>
      <c r="F3372" t="s">
        <v>9034</v>
      </c>
      <c r="H3372">
        <v>0</v>
      </c>
      <c r="I3372" t="s">
        <v>17</v>
      </c>
      <c r="K3372" t="s">
        <v>9035</v>
      </c>
      <c r="L3372">
        <v>478</v>
      </c>
      <c r="M3372" t="s">
        <v>9036</v>
      </c>
    </row>
    <row r="3373" spans="1:13" x14ac:dyDescent="0.45">
      <c r="A3373" t="s">
        <v>13</v>
      </c>
      <c r="B3373">
        <v>3723359</v>
      </c>
      <c r="C3373">
        <v>3724228</v>
      </c>
      <c r="E3373" t="s">
        <v>96</v>
      </c>
      <c r="F3373" t="s">
        <v>6338</v>
      </c>
      <c r="H3373">
        <v>0</v>
      </c>
      <c r="I3373" t="s">
        <v>17</v>
      </c>
      <c r="K3373" t="s">
        <v>9037</v>
      </c>
      <c r="L3373">
        <v>289</v>
      </c>
      <c r="M3373" t="s">
        <v>9038</v>
      </c>
    </row>
    <row r="3374" spans="1:13" x14ac:dyDescent="0.45">
      <c r="A3374" t="s">
        <v>13</v>
      </c>
      <c r="B3374">
        <v>3724386</v>
      </c>
      <c r="C3374">
        <v>3725039</v>
      </c>
      <c r="E3374" t="s">
        <v>96</v>
      </c>
      <c r="F3374" t="s">
        <v>9039</v>
      </c>
      <c r="G3374" t="s">
        <v>9040</v>
      </c>
      <c r="H3374">
        <v>0</v>
      </c>
      <c r="I3374" t="s">
        <v>17</v>
      </c>
      <c r="K3374" t="s">
        <v>9041</v>
      </c>
      <c r="L3374">
        <v>217</v>
      </c>
      <c r="M3374" t="s">
        <v>9042</v>
      </c>
    </row>
    <row r="3375" spans="1:13" x14ac:dyDescent="0.45">
      <c r="A3375" t="s">
        <v>13</v>
      </c>
      <c r="B3375">
        <v>3725067</v>
      </c>
      <c r="C3375">
        <v>3725831</v>
      </c>
      <c r="E3375" t="s">
        <v>96</v>
      </c>
      <c r="F3375" t="s">
        <v>9043</v>
      </c>
      <c r="G3375" t="s">
        <v>9044</v>
      </c>
      <c r="H3375">
        <v>0</v>
      </c>
      <c r="I3375" t="s">
        <v>17</v>
      </c>
      <c r="K3375" t="s">
        <v>9045</v>
      </c>
      <c r="L3375">
        <v>254</v>
      </c>
      <c r="M3375" t="s">
        <v>9046</v>
      </c>
    </row>
    <row r="3376" spans="1:13" x14ac:dyDescent="0.45">
      <c r="A3376" t="s">
        <v>13</v>
      </c>
      <c r="B3376">
        <v>3725850</v>
      </c>
      <c r="C3376">
        <v>3726674</v>
      </c>
      <c r="E3376" t="s">
        <v>96</v>
      </c>
      <c r="F3376" t="s">
        <v>9047</v>
      </c>
      <c r="G3376" t="s">
        <v>9048</v>
      </c>
      <c r="H3376">
        <v>0</v>
      </c>
      <c r="I3376" t="s">
        <v>17</v>
      </c>
      <c r="K3376" t="s">
        <v>9049</v>
      </c>
      <c r="L3376">
        <v>274</v>
      </c>
      <c r="M3376" t="s">
        <v>9050</v>
      </c>
    </row>
    <row r="3377" spans="1:13" x14ac:dyDescent="0.45">
      <c r="A3377" t="s">
        <v>13</v>
      </c>
      <c r="B3377">
        <v>3726676</v>
      </c>
      <c r="C3377">
        <v>3727593</v>
      </c>
      <c r="E3377" t="s">
        <v>96</v>
      </c>
      <c r="F3377" t="s">
        <v>9051</v>
      </c>
      <c r="G3377" t="s">
        <v>9052</v>
      </c>
      <c r="H3377">
        <v>0</v>
      </c>
      <c r="I3377" t="s">
        <v>17</v>
      </c>
      <c r="K3377" t="s">
        <v>9053</v>
      </c>
      <c r="L3377">
        <v>305</v>
      </c>
      <c r="M3377" t="s">
        <v>9054</v>
      </c>
    </row>
    <row r="3378" spans="1:13" x14ac:dyDescent="0.45">
      <c r="A3378" t="s">
        <v>13</v>
      </c>
      <c r="B3378">
        <v>3727975</v>
      </c>
      <c r="C3378">
        <v>3729210</v>
      </c>
      <c r="E3378" t="s">
        <v>96</v>
      </c>
      <c r="F3378" t="s">
        <v>1143</v>
      </c>
      <c r="H3378">
        <v>0</v>
      </c>
      <c r="I3378" t="s">
        <v>17</v>
      </c>
      <c r="K3378" t="s">
        <v>9055</v>
      </c>
      <c r="L3378">
        <v>411</v>
      </c>
      <c r="M3378" t="s">
        <v>9056</v>
      </c>
    </row>
    <row r="3379" spans="1:13" x14ac:dyDescent="0.45">
      <c r="A3379" t="s">
        <v>13</v>
      </c>
      <c r="B3379">
        <v>3729211</v>
      </c>
      <c r="C3379">
        <v>3730098</v>
      </c>
      <c r="E3379" t="s">
        <v>96</v>
      </c>
      <c r="F3379" t="s">
        <v>1140</v>
      </c>
      <c r="H3379">
        <v>0</v>
      </c>
      <c r="I3379" t="s">
        <v>17</v>
      </c>
      <c r="K3379" t="s">
        <v>9057</v>
      </c>
      <c r="L3379">
        <v>295</v>
      </c>
      <c r="M3379" t="s">
        <v>9058</v>
      </c>
    </row>
    <row r="3380" spans="1:13" x14ac:dyDescent="0.45">
      <c r="A3380" t="s">
        <v>13</v>
      </c>
      <c r="B3380">
        <v>3730243</v>
      </c>
      <c r="C3380">
        <v>3731358</v>
      </c>
      <c r="E3380" t="s">
        <v>96</v>
      </c>
      <c r="F3380" t="s">
        <v>1219</v>
      </c>
      <c r="H3380">
        <v>0</v>
      </c>
      <c r="I3380" t="s">
        <v>17</v>
      </c>
      <c r="K3380" t="s">
        <v>9059</v>
      </c>
      <c r="L3380">
        <v>371</v>
      </c>
      <c r="M3380" t="s">
        <v>9060</v>
      </c>
    </row>
    <row r="3381" spans="1:13" x14ac:dyDescent="0.45">
      <c r="A3381" t="s">
        <v>13</v>
      </c>
      <c r="B3381">
        <v>3731394</v>
      </c>
      <c r="C3381">
        <v>3732092</v>
      </c>
      <c r="E3381" t="s">
        <v>96</v>
      </c>
      <c r="F3381" t="s">
        <v>4649</v>
      </c>
      <c r="G3381" t="s">
        <v>4650</v>
      </c>
      <c r="H3381">
        <v>0</v>
      </c>
      <c r="I3381" t="s">
        <v>17</v>
      </c>
      <c r="K3381" t="s">
        <v>9061</v>
      </c>
      <c r="L3381">
        <v>232</v>
      </c>
      <c r="M3381" t="s">
        <v>9062</v>
      </c>
    </row>
    <row r="3382" spans="1:13" x14ac:dyDescent="0.45">
      <c r="A3382" t="s">
        <v>13</v>
      </c>
      <c r="B3382">
        <v>3732474</v>
      </c>
      <c r="C3382">
        <v>3733154</v>
      </c>
      <c r="E3382" t="s">
        <v>96</v>
      </c>
      <c r="F3382" t="s">
        <v>1222</v>
      </c>
      <c r="H3382">
        <v>0</v>
      </c>
      <c r="I3382" t="s">
        <v>17</v>
      </c>
      <c r="K3382" t="s">
        <v>9063</v>
      </c>
      <c r="L3382">
        <v>226</v>
      </c>
      <c r="M3382" t="s">
        <v>9064</v>
      </c>
    </row>
    <row r="3383" spans="1:13" x14ac:dyDescent="0.45">
      <c r="A3383" t="s">
        <v>13</v>
      </c>
      <c r="B3383">
        <v>3733204</v>
      </c>
      <c r="C3383">
        <v>3735219</v>
      </c>
      <c r="E3383" t="s">
        <v>96</v>
      </c>
      <c r="F3383" t="s">
        <v>1219</v>
      </c>
      <c r="H3383">
        <v>0</v>
      </c>
      <c r="I3383" t="s">
        <v>17</v>
      </c>
      <c r="K3383" t="s">
        <v>9065</v>
      </c>
      <c r="L3383">
        <v>671</v>
      </c>
      <c r="M3383" t="s">
        <v>9066</v>
      </c>
    </row>
    <row r="3384" spans="1:13" x14ac:dyDescent="0.45">
      <c r="A3384" t="s">
        <v>13</v>
      </c>
      <c r="B3384">
        <v>3735291</v>
      </c>
      <c r="C3384">
        <v>3735968</v>
      </c>
      <c r="E3384" t="s">
        <v>96</v>
      </c>
      <c r="F3384" t="s">
        <v>1222</v>
      </c>
      <c r="H3384">
        <v>0</v>
      </c>
      <c r="I3384" t="s">
        <v>17</v>
      </c>
      <c r="K3384" t="s">
        <v>9067</v>
      </c>
      <c r="L3384">
        <v>225</v>
      </c>
      <c r="M3384" t="s">
        <v>9068</v>
      </c>
    </row>
    <row r="3385" spans="1:13" x14ac:dyDescent="0.45">
      <c r="A3385" t="s">
        <v>13</v>
      </c>
      <c r="B3385">
        <v>3736864</v>
      </c>
      <c r="C3385">
        <v>3737706</v>
      </c>
      <c r="E3385" t="s">
        <v>96</v>
      </c>
      <c r="F3385" t="s">
        <v>9069</v>
      </c>
      <c r="H3385">
        <v>0</v>
      </c>
      <c r="I3385" t="s">
        <v>17</v>
      </c>
      <c r="K3385" t="s">
        <v>9070</v>
      </c>
      <c r="L3385">
        <v>280</v>
      </c>
      <c r="M3385" t="s">
        <v>9071</v>
      </c>
    </row>
    <row r="3386" spans="1:13" x14ac:dyDescent="0.45">
      <c r="A3386" t="s">
        <v>13</v>
      </c>
      <c r="B3386">
        <v>3737958</v>
      </c>
      <c r="C3386">
        <v>3739742</v>
      </c>
      <c r="E3386" t="s">
        <v>96</v>
      </c>
      <c r="F3386" t="s">
        <v>9072</v>
      </c>
      <c r="G3386" t="s">
        <v>9073</v>
      </c>
      <c r="H3386">
        <v>0</v>
      </c>
      <c r="I3386" t="s">
        <v>17</v>
      </c>
      <c r="K3386" t="s">
        <v>9074</v>
      </c>
      <c r="L3386">
        <v>594</v>
      </c>
      <c r="M3386" t="s">
        <v>9075</v>
      </c>
    </row>
    <row r="3387" spans="1:13" x14ac:dyDescent="0.45">
      <c r="A3387" t="s">
        <v>13</v>
      </c>
      <c r="B3387">
        <v>3739808</v>
      </c>
      <c r="C3387">
        <v>3740473</v>
      </c>
      <c r="E3387" t="s">
        <v>96</v>
      </c>
      <c r="F3387" t="s">
        <v>3915</v>
      </c>
      <c r="H3387">
        <v>0</v>
      </c>
      <c r="I3387" t="s">
        <v>17</v>
      </c>
      <c r="K3387" t="s">
        <v>9076</v>
      </c>
      <c r="L3387">
        <v>221</v>
      </c>
      <c r="M3387" t="s">
        <v>9077</v>
      </c>
    </row>
    <row r="3388" spans="1:13" x14ac:dyDescent="0.45">
      <c r="A3388" t="s">
        <v>13</v>
      </c>
      <c r="B3388">
        <v>3740624</v>
      </c>
      <c r="C3388">
        <v>3740785</v>
      </c>
      <c r="E3388" t="s">
        <v>96</v>
      </c>
      <c r="F3388" t="s">
        <v>9078</v>
      </c>
      <c r="H3388">
        <v>0</v>
      </c>
      <c r="I3388" t="s">
        <v>17</v>
      </c>
      <c r="K3388" t="s">
        <v>9079</v>
      </c>
      <c r="L3388">
        <v>53</v>
      </c>
      <c r="M3388" t="s">
        <v>9080</v>
      </c>
    </row>
    <row r="3389" spans="1:13" x14ac:dyDescent="0.45">
      <c r="A3389" t="s">
        <v>13</v>
      </c>
      <c r="B3389">
        <v>3740863</v>
      </c>
      <c r="C3389">
        <v>3741372</v>
      </c>
      <c r="E3389" t="s">
        <v>96</v>
      </c>
      <c r="F3389" t="s">
        <v>9081</v>
      </c>
      <c r="H3389">
        <v>0</v>
      </c>
      <c r="I3389" t="s">
        <v>17</v>
      </c>
      <c r="K3389" t="s">
        <v>9082</v>
      </c>
      <c r="L3389">
        <v>169</v>
      </c>
      <c r="M3389" t="s">
        <v>9083</v>
      </c>
    </row>
    <row r="3390" spans="1:13" x14ac:dyDescent="0.45">
      <c r="A3390" t="s">
        <v>13</v>
      </c>
      <c r="B3390">
        <v>3741578</v>
      </c>
      <c r="C3390">
        <v>3741796</v>
      </c>
      <c r="E3390" t="s">
        <v>14</v>
      </c>
      <c r="F3390" t="s">
        <v>4065</v>
      </c>
      <c r="H3390">
        <v>0</v>
      </c>
      <c r="I3390" t="s">
        <v>17</v>
      </c>
      <c r="K3390" t="s">
        <v>9084</v>
      </c>
      <c r="L3390">
        <v>72</v>
      </c>
      <c r="M3390" t="s">
        <v>9085</v>
      </c>
    </row>
    <row r="3391" spans="1:13" x14ac:dyDescent="0.45">
      <c r="A3391" t="s">
        <v>13</v>
      </c>
      <c r="B3391">
        <v>3741814</v>
      </c>
      <c r="C3391">
        <v>3743760</v>
      </c>
      <c r="E3391" t="s">
        <v>14</v>
      </c>
      <c r="F3391" t="s">
        <v>4070</v>
      </c>
      <c r="G3391" t="s">
        <v>4071</v>
      </c>
      <c r="H3391">
        <v>0</v>
      </c>
      <c r="I3391" t="s">
        <v>17</v>
      </c>
      <c r="K3391" t="s">
        <v>9086</v>
      </c>
      <c r="L3391">
        <v>648</v>
      </c>
      <c r="M3391" t="s">
        <v>9087</v>
      </c>
    </row>
    <row r="3392" spans="1:13" x14ac:dyDescent="0.45">
      <c r="A3392" t="s">
        <v>13</v>
      </c>
      <c r="B3392">
        <v>3743920</v>
      </c>
      <c r="C3392">
        <v>3744975</v>
      </c>
      <c r="E3392" t="s">
        <v>96</v>
      </c>
      <c r="F3392" t="s">
        <v>7193</v>
      </c>
      <c r="H3392">
        <v>0</v>
      </c>
      <c r="I3392" t="s">
        <v>17</v>
      </c>
      <c r="K3392" t="s">
        <v>9088</v>
      </c>
      <c r="L3392">
        <v>351</v>
      </c>
      <c r="M3392" t="s">
        <v>9089</v>
      </c>
    </row>
    <row r="3393" spans="1:13" x14ac:dyDescent="0.45">
      <c r="A3393" t="s">
        <v>13</v>
      </c>
      <c r="B3393">
        <v>3745023</v>
      </c>
      <c r="C3393">
        <v>3745823</v>
      </c>
      <c r="E3393" t="s">
        <v>96</v>
      </c>
      <c r="F3393" t="s">
        <v>1122</v>
      </c>
      <c r="H3393">
        <v>0</v>
      </c>
      <c r="I3393" t="s">
        <v>17</v>
      </c>
      <c r="K3393" t="s">
        <v>9090</v>
      </c>
      <c r="L3393">
        <v>266</v>
      </c>
      <c r="M3393" t="s">
        <v>9091</v>
      </c>
    </row>
    <row r="3394" spans="1:13" x14ac:dyDescent="0.45">
      <c r="A3394" t="s">
        <v>13</v>
      </c>
      <c r="B3394">
        <v>3745816</v>
      </c>
      <c r="C3394">
        <v>3746607</v>
      </c>
      <c r="E3394" t="s">
        <v>96</v>
      </c>
      <c r="F3394" t="s">
        <v>1119</v>
      </c>
      <c r="H3394">
        <v>0</v>
      </c>
      <c r="I3394" t="s">
        <v>17</v>
      </c>
      <c r="K3394" t="s">
        <v>9092</v>
      </c>
      <c r="L3394">
        <v>263</v>
      </c>
      <c r="M3394" t="s">
        <v>9093</v>
      </c>
    </row>
    <row r="3395" spans="1:13" x14ac:dyDescent="0.45">
      <c r="A3395" t="s">
        <v>13</v>
      </c>
      <c r="B3395">
        <v>3746647</v>
      </c>
      <c r="C3395">
        <v>3747069</v>
      </c>
      <c r="E3395" t="s">
        <v>96</v>
      </c>
      <c r="F3395" t="s">
        <v>227</v>
      </c>
      <c r="H3395">
        <v>0</v>
      </c>
      <c r="I3395" t="s">
        <v>17</v>
      </c>
      <c r="K3395" t="s">
        <v>9094</v>
      </c>
      <c r="L3395">
        <v>140</v>
      </c>
      <c r="M3395" t="s">
        <v>9095</v>
      </c>
    </row>
    <row r="3396" spans="1:13" x14ac:dyDescent="0.45">
      <c r="A3396" t="s">
        <v>13</v>
      </c>
      <c r="B3396">
        <v>3747085</v>
      </c>
      <c r="C3396">
        <v>3747564</v>
      </c>
      <c r="E3396" t="s">
        <v>96</v>
      </c>
      <c r="F3396" t="s">
        <v>230</v>
      </c>
      <c r="H3396">
        <v>0</v>
      </c>
      <c r="I3396" t="s">
        <v>17</v>
      </c>
      <c r="K3396" t="s">
        <v>9096</v>
      </c>
      <c r="L3396">
        <v>159</v>
      </c>
      <c r="M3396" t="s">
        <v>9097</v>
      </c>
    </row>
    <row r="3397" spans="1:13" x14ac:dyDescent="0.45">
      <c r="A3397" t="s">
        <v>13</v>
      </c>
      <c r="B3397">
        <v>3747696</v>
      </c>
      <c r="C3397">
        <v>3750452</v>
      </c>
      <c r="E3397" t="s">
        <v>96</v>
      </c>
      <c r="F3397" t="s">
        <v>224</v>
      </c>
      <c r="H3397">
        <v>0</v>
      </c>
      <c r="I3397" t="s">
        <v>17</v>
      </c>
      <c r="K3397" t="s">
        <v>9098</v>
      </c>
      <c r="L3397">
        <v>918</v>
      </c>
      <c r="M3397" t="s">
        <v>9099</v>
      </c>
    </row>
    <row r="3398" spans="1:13" x14ac:dyDescent="0.45">
      <c r="A3398" t="s">
        <v>13</v>
      </c>
      <c r="B3398">
        <v>3751050</v>
      </c>
      <c r="C3398">
        <v>3751853</v>
      </c>
      <c r="E3398" t="s">
        <v>96</v>
      </c>
      <c r="F3398" t="s">
        <v>4115</v>
      </c>
      <c r="G3398" t="s">
        <v>4116</v>
      </c>
      <c r="H3398">
        <v>0</v>
      </c>
      <c r="I3398" t="s">
        <v>17</v>
      </c>
      <c r="K3398" t="s">
        <v>9100</v>
      </c>
      <c r="L3398">
        <v>267</v>
      </c>
      <c r="M3398" t="s">
        <v>9101</v>
      </c>
    </row>
    <row r="3399" spans="1:13" x14ac:dyDescent="0.45">
      <c r="A3399" t="s">
        <v>13</v>
      </c>
      <c r="B3399">
        <v>3752178</v>
      </c>
      <c r="C3399">
        <v>3754547</v>
      </c>
      <c r="E3399" t="s">
        <v>96</v>
      </c>
      <c r="F3399" t="s">
        <v>9102</v>
      </c>
      <c r="G3399" t="s">
        <v>9103</v>
      </c>
      <c r="H3399">
        <v>0</v>
      </c>
      <c r="I3399" t="s">
        <v>17</v>
      </c>
      <c r="K3399" t="s">
        <v>9104</v>
      </c>
      <c r="L3399">
        <v>789</v>
      </c>
      <c r="M3399" t="s">
        <v>9105</v>
      </c>
    </row>
    <row r="3400" spans="1:13" x14ac:dyDescent="0.45">
      <c r="A3400" t="s">
        <v>13</v>
      </c>
      <c r="B3400">
        <v>3754552</v>
      </c>
      <c r="C3400">
        <v>3755460</v>
      </c>
      <c r="E3400" t="s">
        <v>96</v>
      </c>
      <c r="F3400" t="s">
        <v>9106</v>
      </c>
      <c r="H3400">
        <v>0</v>
      </c>
      <c r="I3400" t="s">
        <v>17</v>
      </c>
      <c r="K3400" t="s">
        <v>9107</v>
      </c>
      <c r="L3400">
        <v>302</v>
      </c>
      <c r="M3400" t="s">
        <v>9108</v>
      </c>
    </row>
    <row r="3401" spans="1:13" x14ac:dyDescent="0.45">
      <c r="A3401" t="s">
        <v>13</v>
      </c>
      <c r="B3401">
        <v>3755805</v>
      </c>
      <c r="C3401">
        <v>3756884</v>
      </c>
      <c r="E3401" t="s">
        <v>96</v>
      </c>
      <c r="F3401" t="s">
        <v>9109</v>
      </c>
      <c r="G3401" t="s">
        <v>9110</v>
      </c>
      <c r="H3401">
        <v>0</v>
      </c>
      <c r="I3401" t="s">
        <v>17</v>
      </c>
      <c r="K3401" t="s">
        <v>9111</v>
      </c>
      <c r="L3401">
        <v>359</v>
      </c>
      <c r="M3401" t="s">
        <v>9112</v>
      </c>
    </row>
    <row r="3402" spans="1:13" x14ac:dyDescent="0.45">
      <c r="A3402" t="s">
        <v>13</v>
      </c>
      <c r="B3402">
        <v>3757040</v>
      </c>
      <c r="C3402">
        <v>3758389</v>
      </c>
      <c r="E3402" t="s">
        <v>96</v>
      </c>
      <c r="F3402" t="s">
        <v>9113</v>
      </c>
      <c r="H3402">
        <v>0</v>
      </c>
      <c r="I3402" t="s">
        <v>17</v>
      </c>
      <c r="K3402" t="s">
        <v>9114</v>
      </c>
      <c r="L3402">
        <v>449</v>
      </c>
      <c r="M3402" t="s">
        <v>9115</v>
      </c>
    </row>
    <row r="3403" spans="1:13" x14ac:dyDescent="0.45">
      <c r="A3403" t="s">
        <v>13</v>
      </c>
      <c r="B3403">
        <v>3758654</v>
      </c>
      <c r="C3403">
        <v>3760282</v>
      </c>
      <c r="E3403" t="s">
        <v>96</v>
      </c>
      <c r="F3403" t="s">
        <v>4942</v>
      </c>
      <c r="H3403">
        <v>0</v>
      </c>
      <c r="I3403" t="s">
        <v>17</v>
      </c>
      <c r="K3403" t="s">
        <v>9116</v>
      </c>
      <c r="L3403">
        <v>542</v>
      </c>
      <c r="M3403" t="s">
        <v>9117</v>
      </c>
    </row>
    <row r="3404" spans="1:13" x14ac:dyDescent="0.45">
      <c r="A3404" t="s">
        <v>13</v>
      </c>
      <c r="B3404">
        <v>3760406</v>
      </c>
      <c r="C3404">
        <v>3762010</v>
      </c>
      <c r="E3404" t="s">
        <v>96</v>
      </c>
      <c r="F3404" t="s">
        <v>754</v>
      </c>
      <c r="H3404">
        <v>0</v>
      </c>
      <c r="I3404" t="s">
        <v>17</v>
      </c>
      <c r="K3404" t="s">
        <v>9118</v>
      </c>
      <c r="L3404">
        <v>534</v>
      </c>
      <c r="M3404" t="s">
        <v>9119</v>
      </c>
    </row>
    <row r="3405" spans="1:13" x14ac:dyDescent="0.45">
      <c r="A3405" t="s">
        <v>13</v>
      </c>
      <c r="B3405">
        <v>3762058</v>
      </c>
      <c r="C3405">
        <v>3762375</v>
      </c>
      <c r="E3405" t="s">
        <v>96</v>
      </c>
      <c r="F3405" t="s">
        <v>43</v>
      </c>
      <c r="H3405">
        <v>0</v>
      </c>
      <c r="I3405" t="s">
        <v>17</v>
      </c>
      <c r="K3405" t="s">
        <v>9120</v>
      </c>
      <c r="L3405">
        <v>105</v>
      </c>
      <c r="M3405" t="s">
        <v>9121</v>
      </c>
    </row>
    <row r="3406" spans="1:13" x14ac:dyDescent="0.45">
      <c r="A3406" t="s">
        <v>13</v>
      </c>
      <c r="B3406">
        <v>3762380</v>
      </c>
      <c r="C3406">
        <v>3762745</v>
      </c>
      <c r="E3406" t="s">
        <v>96</v>
      </c>
      <c r="F3406" t="s">
        <v>43</v>
      </c>
      <c r="H3406">
        <v>0</v>
      </c>
      <c r="I3406" t="s">
        <v>17</v>
      </c>
      <c r="K3406" t="s">
        <v>9122</v>
      </c>
      <c r="L3406">
        <v>121</v>
      </c>
      <c r="M3406" t="s">
        <v>9123</v>
      </c>
    </row>
    <row r="3407" spans="1:13" x14ac:dyDescent="0.45">
      <c r="A3407" t="s">
        <v>13</v>
      </c>
      <c r="B3407">
        <v>3762826</v>
      </c>
      <c r="C3407">
        <v>3763863</v>
      </c>
      <c r="E3407" t="s">
        <v>96</v>
      </c>
      <c r="F3407" t="s">
        <v>9124</v>
      </c>
      <c r="H3407">
        <v>0</v>
      </c>
      <c r="I3407" t="s">
        <v>17</v>
      </c>
      <c r="K3407" t="s">
        <v>9125</v>
      </c>
      <c r="L3407">
        <v>345</v>
      </c>
      <c r="M3407" t="s">
        <v>9126</v>
      </c>
    </row>
    <row r="3408" spans="1:13" x14ac:dyDescent="0.45">
      <c r="A3408" t="s">
        <v>13</v>
      </c>
      <c r="B3408">
        <v>3764116</v>
      </c>
      <c r="C3408">
        <v>3764700</v>
      </c>
      <c r="E3408" t="s">
        <v>96</v>
      </c>
      <c r="F3408" t="s">
        <v>43</v>
      </c>
      <c r="H3408">
        <v>0</v>
      </c>
      <c r="I3408" t="s">
        <v>17</v>
      </c>
      <c r="K3408" t="s">
        <v>9127</v>
      </c>
      <c r="L3408">
        <v>194</v>
      </c>
      <c r="M3408" t="s">
        <v>9128</v>
      </c>
    </row>
    <row r="3409" spans="1:13" x14ac:dyDescent="0.45">
      <c r="A3409" t="s">
        <v>13</v>
      </c>
      <c r="B3409">
        <v>3764715</v>
      </c>
      <c r="C3409">
        <v>3765152</v>
      </c>
      <c r="E3409" t="s">
        <v>96</v>
      </c>
      <c r="F3409" t="s">
        <v>43</v>
      </c>
      <c r="H3409">
        <v>0</v>
      </c>
      <c r="I3409" t="s">
        <v>17</v>
      </c>
      <c r="K3409" t="s">
        <v>9129</v>
      </c>
      <c r="L3409">
        <v>145</v>
      </c>
      <c r="M3409" t="s">
        <v>9130</v>
      </c>
    </row>
    <row r="3410" spans="1:13" x14ac:dyDescent="0.45">
      <c r="A3410" t="s">
        <v>13</v>
      </c>
      <c r="B3410">
        <v>3765159</v>
      </c>
      <c r="C3410">
        <v>3766031</v>
      </c>
      <c r="E3410" t="s">
        <v>96</v>
      </c>
      <c r="F3410" t="s">
        <v>43</v>
      </c>
      <c r="H3410">
        <v>0</v>
      </c>
      <c r="I3410" t="s">
        <v>17</v>
      </c>
      <c r="K3410" t="s">
        <v>9131</v>
      </c>
      <c r="L3410">
        <v>290</v>
      </c>
      <c r="M3410" t="s">
        <v>9132</v>
      </c>
    </row>
    <row r="3411" spans="1:13" x14ac:dyDescent="0.45">
      <c r="A3411" t="s">
        <v>13</v>
      </c>
      <c r="B3411">
        <v>3766084</v>
      </c>
      <c r="C3411">
        <v>3766443</v>
      </c>
      <c r="E3411" t="s">
        <v>96</v>
      </c>
      <c r="F3411" t="s">
        <v>9133</v>
      </c>
      <c r="H3411">
        <v>0</v>
      </c>
      <c r="I3411" t="s">
        <v>17</v>
      </c>
      <c r="K3411" t="s">
        <v>9134</v>
      </c>
      <c r="L3411">
        <v>119</v>
      </c>
      <c r="M3411" t="s">
        <v>9135</v>
      </c>
    </row>
    <row r="3412" spans="1:13" x14ac:dyDescent="0.45">
      <c r="A3412" t="s">
        <v>13</v>
      </c>
      <c r="B3412">
        <v>3766497</v>
      </c>
      <c r="C3412">
        <v>3767582</v>
      </c>
      <c r="E3412" t="s">
        <v>96</v>
      </c>
      <c r="F3412" t="s">
        <v>9136</v>
      </c>
      <c r="H3412">
        <v>0</v>
      </c>
      <c r="I3412" t="s">
        <v>17</v>
      </c>
      <c r="K3412" t="s">
        <v>9137</v>
      </c>
      <c r="L3412">
        <v>361</v>
      </c>
      <c r="M3412" t="s">
        <v>9138</v>
      </c>
    </row>
    <row r="3413" spans="1:13" x14ac:dyDescent="0.45">
      <c r="A3413" t="s">
        <v>13</v>
      </c>
      <c r="B3413">
        <v>3767753</v>
      </c>
      <c r="C3413">
        <v>3769132</v>
      </c>
      <c r="E3413" t="s">
        <v>96</v>
      </c>
      <c r="F3413" t="s">
        <v>9139</v>
      </c>
      <c r="H3413">
        <v>0</v>
      </c>
      <c r="I3413" t="s">
        <v>17</v>
      </c>
      <c r="K3413" t="s">
        <v>9140</v>
      </c>
      <c r="L3413">
        <v>459</v>
      </c>
      <c r="M3413" t="s">
        <v>9141</v>
      </c>
    </row>
    <row r="3414" spans="1:13" x14ac:dyDescent="0.45">
      <c r="A3414" t="s">
        <v>13</v>
      </c>
      <c r="B3414">
        <v>3769125</v>
      </c>
      <c r="C3414">
        <v>3769805</v>
      </c>
      <c r="E3414" t="s">
        <v>96</v>
      </c>
      <c r="F3414" t="s">
        <v>7481</v>
      </c>
      <c r="H3414">
        <v>0</v>
      </c>
      <c r="I3414" t="s">
        <v>17</v>
      </c>
      <c r="K3414" t="s">
        <v>9142</v>
      </c>
      <c r="L3414">
        <v>226</v>
      </c>
      <c r="M3414" t="s">
        <v>9143</v>
      </c>
    </row>
    <row r="3415" spans="1:13" x14ac:dyDescent="0.45">
      <c r="A3415" t="s">
        <v>13</v>
      </c>
      <c r="B3415">
        <v>3770197</v>
      </c>
      <c r="C3415">
        <v>3771276</v>
      </c>
      <c r="E3415" t="s">
        <v>96</v>
      </c>
      <c r="F3415" t="s">
        <v>49</v>
      </c>
      <c r="H3415">
        <v>0</v>
      </c>
      <c r="I3415" t="s">
        <v>17</v>
      </c>
      <c r="K3415" t="s">
        <v>9144</v>
      </c>
      <c r="L3415">
        <v>359</v>
      </c>
      <c r="M3415" t="s">
        <v>9145</v>
      </c>
    </row>
    <row r="3416" spans="1:13" x14ac:dyDescent="0.45">
      <c r="A3416" t="s">
        <v>13</v>
      </c>
      <c r="B3416">
        <v>3771854</v>
      </c>
      <c r="C3416">
        <v>3773224</v>
      </c>
      <c r="E3416" t="s">
        <v>14</v>
      </c>
      <c r="F3416" t="s">
        <v>205</v>
      </c>
      <c r="H3416">
        <v>0</v>
      </c>
      <c r="I3416" t="s">
        <v>17</v>
      </c>
      <c r="K3416" t="s">
        <v>9146</v>
      </c>
      <c r="L3416">
        <v>456</v>
      </c>
      <c r="M3416" t="s">
        <v>9147</v>
      </c>
    </row>
    <row r="3417" spans="1:13" x14ac:dyDescent="0.45">
      <c r="A3417" t="s">
        <v>13</v>
      </c>
      <c r="B3417">
        <v>3773489</v>
      </c>
      <c r="C3417">
        <v>3774100</v>
      </c>
      <c r="E3417" t="s">
        <v>96</v>
      </c>
      <c r="F3417" t="s">
        <v>9148</v>
      </c>
      <c r="G3417" t="s">
        <v>9149</v>
      </c>
      <c r="H3417">
        <v>0</v>
      </c>
      <c r="I3417" t="s">
        <v>17</v>
      </c>
      <c r="K3417" t="s">
        <v>9150</v>
      </c>
      <c r="L3417">
        <v>203</v>
      </c>
      <c r="M3417" t="s">
        <v>9151</v>
      </c>
    </row>
    <row r="3418" spans="1:13" x14ac:dyDescent="0.45">
      <c r="A3418" t="s">
        <v>13</v>
      </c>
      <c r="B3418">
        <v>3774090</v>
      </c>
      <c r="C3418">
        <v>3776453</v>
      </c>
      <c r="E3418" t="s">
        <v>96</v>
      </c>
      <c r="F3418" t="s">
        <v>9152</v>
      </c>
      <c r="G3418" t="s">
        <v>9153</v>
      </c>
      <c r="H3418">
        <v>0</v>
      </c>
      <c r="I3418" t="s">
        <v>17</v>
      </c>
      <c r="K3418" t="s">
        <v>9154</v>
      </c>
      <c r="L3418">
        <v>787</v>
      </c>
      <c r="M3418" t="s">
        <v>9155</v>
      </c>
    </row>
    <row r="3419" spans="1:13" x14ac:dyDescent="0.45">
      <c r="A3419" t="s">
        <v>13</v>
      </c>
      <c r="B3419">
        <v>3776633</v>
      </c>
      <c r="C3419">
        <v>3777145</v>
      </c>
      <c r="E3419" t="s">
        <v>14</v>
      </c>
      <c r="F3419" t="s">
        <v>827</v>
      </c>
      <c r="H3419">
        <v>0</v>
      </c>
      <c r="I3419" t="s">
        <v>17</v>
      </c>
      <c r="K3419" t="s">
        <v>9156</v>
      </c>
      <c r="L3419">
        <v>170</v>
      </c>
      <c r="M3419" t="s">
        <v>9157</v>
      </c>
    </row>
    <row r="3420" spans="1:13" x14ac:dyDescent="0.45">
      <c r="A3420" t="s">
        <v>13</v>
      </c>
      <c r="B3420">
        <v>3777133</v>
      </c>
      <c r="C3420">
        <v>3777660</v>
      </c>
      <c r="E3420" t="s">
        <v>14</v>
      </c>
      <c r="F3420" t="s">
        <v>827</v>
      </c>
      <c r="H3420">
        <v>0</v>
      </c>
      <c r="I3420" t="s">
        <v>17</v>
      </c>
      <c r="K3420" t="s">
        <v>9158</v>
      </c>
      <c r="L3420">
        <v>175</v>
      </c>
      <c r="M3420" t="s">
        <v>9159</v>
      </c>
    </row>
    <row r="3421" spans="1:13" x14ac:dyDescent="0.45">
      <c r="A3421" t="s">
        <v>13</v>
      </c>
      <c r="B3421">
        <v>3777731</v>
      </c>
      <c r="C3421">
        <v>3778981</v>
      </c>
      <c r="E3421" t="s">
        <v>96</v>
      </c>
      <c r="F3421" t="s">
        <v>9160</v>
      </c>
      <c r="G3421" t="s">
        <v>9161</v>
      </c>
      <c r="H3421">
        <v>0</v>
      </c>
      <c r="I3421" t="s">
        <v>17</v>
      </c>
      <c r="K3421" t="s">
        <v>9162</v>
      </c>
      <c r="L3421">
        <v>416</v>
      </c>
      <c r="M3421" t="s">
        <v>9163</v>
      </c>
    </row>
    <row r="3422" spans="1:13" x14ac:dyDescent="0.45">
      <c r="A3422" t="s">
        <v>13</v>
      </c>
      <c r="B3422">
        <v>3779000</v>
      </c>
      <c r="C3422">
        <v>3779584</v>
      </c>
      <c r="E3422" t="s">
        <v>96</v>
      </c>
      <c r="F3422" t="s">
        <v>9164</v>
      </c>
      <c r="G3422" t="s">
        <v>9165</v>
      </c>
      <c r="H3422">
        <v>0</v>
      </c>
      <c r="I3422" t="s">
        <v>17</v>
      </c>
      <c r="K3422" t="s">
        <v>9166</v>
      </c>
      <c r="L3422">
        <v>194</v>
      </c>
      <c r="M3422" t="s">
        <v>9167</v>
      </c>
    </row>
    <row r="3423" spans="1:13" x14ac:dyDescent="0.45">
      <c r="A3423" t="s">
        <v>13</v>
      </c>
      <c r="B3423">
        <v>3779733</v>
      </c>
      <c r="C3423">
        <v>3781019</v>
      </c>
      <c r="E3423" t="s">
        <v>96</v>
      </c>
      <c r="F3423" t="s">
        <v>9168</v>
      </c>
      <c r="G3423" t="s">
        <v>9169</v>
      </c>
      <c r="H3423">
        <v>0</v>
      </c>
      <c r="I3423" t="s">
        <v>17</v>
      </c>
      <c r="K3423" t="s">
        <v>9170</v>
      </c>
      <c r="L3423">
        <v>428</v>
      </c>
      <c r="M3423" t="s">
        <v>9171</v>
      </c>
    </row>
    <row r="3424" spans="1:13" x14ac:dyDescent="0.45">
      <c r="A3424" t="s">
        <v>13</v>
      </c>
      <c r="B3424">
        <v>3781213</v>
      </c>
      <c r="C3424">
        <v>3781683</v>
      </c>
      <c r="E3424" t="s">
        <v>96</v>
      </c>
      <c r="F3424" t="s">
        <v>9172</v>
      </c>
      <c r="H3424">
        <v>0</v>
      </c>
      <c r="I3424" t="s">
        <v>17</v>
      </c>
      <c r="K3424" t="s">
        <v>9173</v>
      </c>
      <c r="L3424">
        <v>156</v>
      </c>
      <c r="M3424" t="s">
        <v>9174</v>
      </c>
    </row>
    <row r="3425" spans="1:13" x14ac:dyDescent="0.45">
      <c r="A3425" t="s">
        <v>13</v>
      </c>
      <c r="B3425">
        <v>3781683</v>
      </c>
      <c r="C3425">
        <v>3783032</v>
      </c>
      <c r="E3425" t="s">
        <v>96</v>
      </c>
      <c r="F3425" t="s">
        <v>9175</v>
      </c>
      <c r="G3425" t="s">
        <v>9176</v>
      </c>
      <c r="H3425">
        <v>0</v>
      </c>
      <c r="I3425" t="s">
        <v>17</v>
      </c>
      <c r="K3425" t="s">
        <v>9177</v>
      </c>
      <c r="L3425">
        <v>449</v>
      </c>
      <c r="M3425" t="s">
        <v>9178</v>
      </c>
    </row>
    <row r="3426" spans="1:13" x14ac:dyDescent="0.45">
      <c r="A3426" t="s">
        <v>13</v>
      </c>
      <c r="B3426">
        <v>3783192</v>
      </c>
      <c r="C3426">
        <v>3785216</v>
      </c>
      <c r="E3426" t="s">
        <v>96</v>
      </c>
      <c r="F3426" t="s">
        <v>9179</v>
      </c>
      <c r="G3426" t="s">
        <v>9180</v>
      </c>
      <c r="H3426">
        <v>0</v>
      </c>
      <c r="I3426" t="s">
        <v>17</v>
      </c>
      <c r="K3426" t="s">
        <v>9181</v>
      </c>
      <c r="L3426">
        <v>674</v>
      </c>
      <c r="M3426" t="s">
        <v>9182</v>
      </c>
    </row>
    <row r="3427" spans="1:13" x14ac:dyDescent="0.45">
      <c r="A3427" t="s">
        <v>13</v>
      </c>
      <c r="B3427">
        <v>3785402</v>
      </c>
      <c r="C3427">
        <v>3786340</v>
      </c>
      <c r="E3427" t="s">
        <v>96</v>
      </c>
      <c r="F3427" t="s">
        <v>9183</v>
      </c>
      <c r="H3427">
        <v>0</v>
      </c>
      <c r="I3427" t="s">
        <v>17</v>
      </c>
      <c r="K3427" t="s">
        <v>9184</v>
      </c>
      <c r="L3427">
        <v>312</v>
      </c>
      <c r="M3427" t="s">
        <v>9185</v>
      </c>
    </row>
    <row r="3428" spans="1:13" x14ac:dyDescent="0.45">
      <c r="A3428" t="s">
        <v>13</v>
      </c>
      <c r="B3428">
        <v>3786442</v>
      </c>
      <c r="C3428">
        <v>3786864</v>
      </c>
      <c r="E3428" t="s">
        <v>96</v>
      </c>
      <c r="F3428" t="s">
        <v>9186</v>
      </c>
      <c r="H3428">
        <v>0</v>
      </c>
      <c r="I3428" t="s">
        <v>17</v>
      </c>
      <c r="K3428" t="s">
        <v>9187</v>
      </c>
      <c r="L3428">
        <v>140</v>
      </c>
      <c r="M3428" t="s">
        <v>9188</v>
      </c>
    </row>
    <row r="3429" spans="1:13" x14ac:dyDescent="0.45">
      <c r="A3429" t="s">
        <v>13</v>
      </c>
      <c r="B3429">
        <v>3787052</v>
      </c>
      <c r="C3429">
        <v>3788335</v>
      </c>
      <c r="E3429" t="s">
        <v>14</v>
      </c>
      <c r="F3429" t="s">
        <v>9189</v>
      </c>
      <c r="H3429">
        <v>0</v>
      </c>
      <c r="I3429" t="s">
        <v>17</v>
      </c>
      <c r="K3429" t="s">
        <v>9190</v>
      </c>
      <c r="L3429">
        <v>427</v>
      </c>
      <c r="M3429" t="s">
        <v>9191</v>
      </c>
    </row>
    <row r="3430" spans="1:13" x14ac:dyDescent="0.45">
      <c r="A3430" t="s">
        <v>13</v>
      </c>
      <c r="B3430">
        <v>3788413</v>
      </c>
      <c r="C3430">
        <v>3788928</v>
      </c>
      <c r="E3430" t="s">
        <v>96</v>
      </c>
      <c r="F3430" t="s">
        <v>751</v>
      </c>
      <c r="H3430">
        <v>0</v>
      </c>
      <c r="I3430" t="s">
        <v>17</v>
      </c>
      <c r="K3430" t="s">
        <v>9192</v>
      </c>
      <c r="L3430">
        <v>171</v>
      </c>
      <c r="M3430" t="s">
        <v>9193</v>
      </c>
    </row>
    <row r="3431" spans="1:13" x14ac:dyDescent="0.45">
      <c r="A3431" t="s">
        <v>13</v>
      </c>
      <c r="B3431">
        <v>3788928</v>
      </c>
      <c r="C3431">
        <v>3790304</v>
      </c>
      <c r="E3431" t="s">
        <v>96</v>
      </c>
      <c r="F3431" t="s">
        <v>9194</v>
      </c>
      <c r="H3431">
        <v>0</v>
      </c>
      <c r="I3431" t="s">
        <v>17</v>
      </c>
      <c r="K3431" t="s">
        <v>9195</v>
      </c>
      <c r="L3431">
        <v>458</v>
      </c>
      <c r="M3431" t="s">
        <v>9196</v>
      </c>
    </row>
    <row r="3432" spans="1:13" x14ac:dyDescent="0.45">
      <c r="A3432" t="s">
        <v>13</v>
      </c>
      <c r="B3432">
        <v>3790329</v>
      </c>
      <c r="C3432">
        <v>3790880</v>
      </c>
      <c r="E3432" t="s">
        <v>96</v>
      </c>
      <c r="F3432" t="s">
        <v>751</v>
      </c>
      <c r="H3432">
        <v>0</v>
      </c>
      <c r="I3432" t="s">
        <v>17</v>
      </c>
      <c r="K3432" t="s">
        <v>9197</v>
      </c>
      <c r="L3432">
        <v>183</v>
      </c>
      <c r="M3432" t="s">
        <v>9198</v>
      </c>
    </row>
    <row r="3433" spans="1:13" x14ac:dyDescent="0.45">
      <c r="A3433" t="s">
        <v>13</v>
      </c>
      <c r="B3433">
        <v>3790938</v>
      </c>
      <c r="C3433">
        <v>3791111</v>
      </c>
      <c r="E3433" t="s">
        <v>96</v>
      </c>
      <c r="F3433" t="s">
        <v>43</v>
      </c>
      <c r="H3433">
        <v>0</v>
      </c>
      <c r="I3433" t="s">
        <v>17</v>
      </c>
      <c r="K3433" t="s">
        <v>9199</v>
      </c>
      <c r="L3433">
        <v>57</v>
      </c>
      <c r="M3433" t="s">
        <v>9200</v>
      </c>
    </row>
    <row r="3434" spans="1:13" x14ac:dyDescent="0.45">
      <c r="A3434" t="s">
        <v>13</v>
      </c>
      <c r="B3434">
        <v>3791122</v>
      </c>
      <c r="C3434">
        <v>3791955</v>
      </c>
      <c r="E3434" t="s">
        <v>96</v>
      </c>
      <c r="F3434" t="s">
        <v>9201</v>
      </c>
      <c r="G3434" t="s">
        <v>9202</v>
      </c>
      <c r="H3434">
        <v>0</v>
      </c>
      <c r="I3434" t="s">
        <v>17</v>
      </c>
      <c r="K3434" t="s">
        <v>9203</v>
      </c>
      <c r="L3434">
        <v>277</v>
      </c>
      <c r="M3434" t="s">
        <v>9204</v>
      </c>
    </row>
    <row r="3435" spans="1:13" x14ac:dyDescent="0.45">
      <c r="A3435" t="s">
        <v>13</v>
      </c>
      <c r="B3435">
        <v>3792004</v>
      </c>
      <c r="C3435">
        <v>3794148</v>
      </c>
      <c r="E3435" t="s">
        <v>96</v>
      </c>
      <c r="F3435" t="s">
        <v>9205</v>
      </c>
      <c r="G3435" t="s">
        <v>9206</v>
      </c>
      <c r="H3435">
        <v>0</v>
      </c>
      <c r="I3435" t="s">
        <v>17</v>
      </c>
      <c r="K3435" t="s">
        <v>9207</v>
      </c>
      <c r="L3435">
        <v>714</v>
      </c>
      <c r="M3435" t="s">
        <v>9208</v>
      </c>
    </row>
    <row r="3436" spans="1:13" x14ac:dyDescent="0.45">
      <c r="A3436" t="s">
        <v>13</v>
      </c>
      <c r="B3436">
        <v>3794399</v>
      </c>
      <c r="C3436">
        <v>3795457</v>
      </c>
      <c r="E3436" t="s">
        <v>96</v>
      </c>
      <c r="F3436" t="s">
        <v>6017</v>
      </c>
      <c r="H3436">
        <v>0</v>
      </c>
      <c r="I3436" t="s">
        <v>17</v>
      </c>
      <c r="K3436" t="s">
        <v>9209</v>
      </c>
      <c r="L3436">
        <v>352</v>
      </c>
      <c r="M3436" t="s">
        <v>9210</v>
      </c>
    </row>
    <row r="3437" spans="1:13" x14ac:dyDescent="0.45">
      <c r="A3437" t="s">
        <v>13</v>
      </c>
      <c r="B3437">
        <v>3795668</v>
      </c>
      <c r="C3437">
        <v>3796327</v>
      </c>
      <c r="E3437" t="s">
        <v>96</v>
      </c>
      <c r="F3437" t="s">
        <v>9211</v>
      </c>
      <c r="G3437" t="s">
        <v>9212</v>
      </c>
      <c r="H3437">
        <v>0</v>
      </c>
      <c r="I3437" t="s">
        <v>17</v>
      </c>
      <c r="K3437" t="s">
        <v>9213</v>
      </c>
      <c r="L3437">
        <v>219</v>
      </c>
      <c r="M3437" t="s">
        <v>9214</v>
      </c>
    </row>
    <row r="3438" spans="1:13" x14ac:dyDescent="0.45">
      <c r="A3438" t="s">
        <v>13</v>
      </c>
      <c r="B3438">
        <v>3796638</v>
      </c>
      <c r="C3438">
        <v>3797267</v>
      </c>
      <c r="E3438" t="s">
        <v>14</v>
      </c>
      <c r="F3438" t="s">
        <v>9215</v>
      </c>
      <c r="H3438">
        <v>0</v>
      </c>
      <c r="I3438" t="s">
        <v>17</v>
      </c>
      <c r="K3438" t="s">
        <v>9216</v>
      </c>
      <c r="L3438">
        <v>209</v>
      </c>
      <c r="M3438" t="s">
        <v>9217</v>
      </c>
    </row>
    <row r="3439" spans="1:13" x14ac:dyDescent="0.45">
      <c r="A3439" t="s">
        <v>13</v>
      </c>
      <c r="B3439">
        <v>3797491</v>
      </c>
      <c r="C3439">
        <v>3798168</v>
      </c>
      <c r="E3439" t="s">
        <v>14</v>
      </c>
      <c r="F3439" t="s">
        <v>43</v>
      </c>
      <c r="H3439">
        <v>0</v>
      </c>
      <c r="I3439" t="s">
        <v>17</v>
      </c>
      <c r="K3439" t="s">
        <v>9218</v>
      </c>
      <c r="L3439">
        <v>225</v>
      </c>
      <c r="M3439" t="s">
        <v>9219</v>
      </c>
    </row>
    <row r="3440" spans="1:13" x14ac:dyDescent="0.45">
      <c r="A3440" t="s">
        <v>13</v>
      </c>
      <c r="B3440">
        <v>3798264</v>
      </c>
      <c r="C3440">
        <v>3799052</v>
      </c>
      <c r="E3440" t="s">
        <v>96</v>
      </c>
      <c r="F3440" t="s">
        <v>43</v>
      </c>
      <c r="H3440">
        <v>0</v>
      </c>
      <c r="I3440" t="s">
        <v>17</v>
      </c>
      <c r="K3440" t="s">
        <v>9220</v>
      </c>
      <c r="L3440">
        <v>262</v>
      </c>
      <c r="M3440" t="s">
        <v>9221</v>
      </c>
    </row>
    <row r="3441" spans="1:13" x14ac:dyDescent="0.45">
      <c r="A3441" t="s">
        <v>13</v>
      </c>
      <c r="B3441">
        <v>3799053</v>
      </c>
      <c r="C3441">
        <v>3799925</v>
      </c>
      <c r="E3441" t="s">
        <v>96</v>
      </c>
      <c r="F3441" t="s">
        <v>700</v>
      </c>
      <c r="H3441">
        <v>0</v>
      </c>
      <c r="I3441" t="s">
        <v>17</v>
      </c>
      <c r="K3441" t="s">
        <v>9222</v>
      </c>
      <c r="L3441">
        <v>290</v>
      </c>
      <c r="M3441" t="s">
        <v>9223</v>
      </c>
    </row>
    <row r="3442" spans="1:13" x14ac:dyDescent="0.45">
      <c r="A3442" t="s">
        <v>13</v>
      </c>
      <c r="B3442">
        <v>3799940</v>
      </c>
      <c r="C3442">
        <v>3801649</v>
      </c>
      <c r="E3442" t="s">
        <v>96</v>
      </c>
      <c r="F3442" t="s">
        <v>43</v>
      </c>
      <c r="H3442">
        <v>0</v>
      </c>
      <c r="I3442" t="s">
        <v>17</v>
      </c>
      <c r="K3442" t="s">
        <v>9224</v>
      </c>
      <c r="L3442">
        <v>569</v>
      </c>
      <c r="M3442" t="s">
        <v>9225</v>
      </c>
    </row>
    <row r="3443" spans="1:13" x14ac:dyDescent="0.45">
      <c r="A3443" t="s">
        <v>13</v>
      </c>
      <c r="B3443">
        <v>3801795</v>
      </c>
      <c r="C3443">
        <v>3802376</v>
      </c>
      <c r="E3443" t="s">
        <v>96</v>
      </c>
      <c r="F3443" t="s">
        <v>7776</v>
      </c>
      <c r="H3443">
        <v>0</v>
      </c>
      <c r="I3443" t="s">
        <v>17</v>
      </c>
      <c r="K3443" t="s">
        <v>9226</v>
      </c>
      <c r="L3443">
        <v>193</v>
      </c>
      <c r="M3443" t="s">
        <v>9227</v>
      </c>
    </row>
    <row r="3444" spans="1:13" x14ac:dyDescent="0.45">
      <c r="A3444" t="s">
        <v>13</v>
      </c>
      <c r="B3444">
        <v>3802435</v>
      </c>
      <c r="C3444">
        <v>3802575</v>
      </c>
      <c r="E3444" t="s">
        <v>96</v>
      </c>
      <c r="F3444" t="s">
        <v>7773</v>
      </c>
      <c r="H3444">
        <v>0</v>
      </c>
      <c r="I3444" t="s">
        <v>17</v>
      </c>
      <c r="K3444" t="s">
        <v>9228</v>
      </c>
      <c r="L3444">
        <v>46</v>
      </c>
      <c r="M3444" t="s">
        <v>9229</v>
      </c>
    </row>
    <row r="3445" spans="1:13" x14ac:dyDescent="0.45">
      <c r="A3445" t="s">
        <v>13</v>
      </c>
      <c r="B3445">
        <v>3802587</v>
      </c>
      <c r="C3445">
        <v>3803903</v>
      </c>
      <c r="E3445" t="s">
        <v>96</v>
      </c>
      <c r="F3445" t="s">
        <v>1219</v>
      </c>
      <c r="H3445">
        <v>0</v>
      </c>
      <c r="I3445" t="s">
        <v>17</v>
      </c>
      <c r="K3445" t="s">
        <v>9230</v>
      </c>
      <c r="L3445">
        <v>438</v>
      </c>
      <c r="M3445" t="s">
        <v>9231</v>
      </c>
    </row>
    <row r="3446" spans="1:13" x14ac:dyDescent="0.45">
      <c r="A3446" t="s">
        <v>13</v>
      </c>
      <c r="B3446">
        <v>3803897</v>
      </c>
      <c r="C3446">
        <v>3804607</v>
      </c>
      <c r="E3446" t="s">
        <v>96</v>
      </c>
      <c r="F3446" t="s">
        <v>697</v>
      </c>
      <c r="H3446">
        <v>0</v>
      </c>
      <c r="I3446" t="s">
        <v>17</v>
      </c>
      <c r="K3446" t="s">
        <v>9232</v>
      </c>
      <c r="L3446">
        <v>236</v>
      </c>
      <c r="M3446" t="s">
        <v>9233</v>
      </c>
    </row>
    <row r="3447" spans="1:13" x14ac:dyDescent="0.45">
      <c r="A3447" t="s">
        <v>13</v>
      </c>
      <c r="B3447">
        <v>3805045</v>
      </c>
      <c r="C3447">
        <v>3805620</v>
      </c>
      <c r="E3447" t="s">
        <v>96</v>
      </c>
      <c r="F3447" t="s">
        <v>9234</v>
      </c>
      <c r="H3447">
        <v>0</v>
      </c>
      <c r="I3447" t="s">
        <v>17</v>
      </c>
      <c r="K3447" t="s">
        <v>9235</v>
      </c>
      <c r="L3447">
        <v>191</v>
      </c>
      <c r="M3447" t="s">
        <v>9236</v>
      </c>
    </row>
    <row r="3448" spans="1:13" x14ac:dyDescent="0.45">
      <c r="A3448" t="s">
        <v>13</v>
      </c>
      <c r="B3448">
        <v>3805913</v>
      </c>
      <c r="C3448">
        <v>3806191</v>
      </c>
      <c r="E3448" t="s">
        <v>96</v>
      </c>
      <c r="F3448" t="s">
        <v>4533</v>
      </c>
      <c r="H3448">
        <v>0</v>
      </c>
      <c r="I3448" t="s">
        <v>17</v>
      </c>
      <c r="K3448" t="s">
        <v>9237</v>
      </c>
      <c r="L3448">
        <v>92</v>
      </c>
      <c r="M3448" t="s">
        <v>9238</v>
      </c>
    </row>
    <row r="3449" spans="1:13" x14ac:dyDescent="0.45">
      <c r="A3449" t="s">
        <v>13</v>
      </c>
      <c r="B3449">
        <v>3806500</v>
      </c>
      <c r="C3449">
        <v>3807261</v>
      </c>
      <c r="E3449" t="s">
        <v>96</v>
      </c>
      <c r="F3449" t="s">
        <v>9239</v>
      </c>
      <c r="H3449">
        <v>0</v>
      </c>
      <c r="I3449" t="s">
        <v>17</v>
      </c>
      <c r="K3449" t="s">
        <v>9240</v>
      </c>
      <c r="L3449">
        <v>253</v>
      </c>
      <c r="M3449" t="s">
        <v>9241</v>
      </c>
    </row>
    <row r="3450" spans="1:13" x14ac:dyDescent="0.45">
      <c r="A3450" t="s">
        <v>13</v>
      </c>
      <c r="B3450">
        <v>3807430</v>
      </c>
      <c r="C3450">
        <v>3809478</v>
      </c>
      <c r="E3450" t="s">
        <v>96</v>
      </c>
      <c r="F3450" t="s">
        <v>9242</v>
      </c>
      <c r="G3450" t="s">
        <v>9243</v>
      </c>
      <c r="H3450">
        <v>0</v>
      </c>
      <c r="I3450" t="s">
        <v>17</v>
      </c>
      <c r="K3450" t="s">
        <v>9244</v>
      </c>
      <c r="L3450">
        <v>682</v>
      </c>
      <c r="M3450" t="s">
        <v>9245</v>
      </c>
    </row>
    <row r="3451" spans="1:13" x14ac:dyDescent="0.45">
      <c r="A3451" t="s">
        <v>13</v>
      </c>
      <c r="B3451">
        <v>3809545</v>
      </c>
      <c r="C3451">
        <v>3810621</v>
      </c>
      <c r="E3451" t="s">
        <v>96</v>
      </c>
      <c r="F3451" t="s">
        <v>3290</v>
      </c>
      <c r="H3451">
        <v>0</v>
      </c>
      <c r="I3451" t="s">
        <v>17</v>
      </c>
      <c r="K3451" t="s">
        <v>9246</v>
      </c>
      <c r="L3451">
        <v>358</v>
      </c>
      <c r="M3451" t="s">
        <v>9247</v>
      </c>
    </row>
    <row r="3452" spans="1:13" x14ac:dyDescent="0.45">
      <c r="A3452" t="s">
        <v>13</v>
      </c>
      <c r="B3452">
        <v>3810943</v>
      </c>
      <c r="C3452">
        <v>3811527</v>
      </c>
      <c r="E3452" t="s">
        <v>96</v>
      </c>
      <c r="F3452" t="s">
        <v>9164</v>
      </c>
      <c r="G3452" t="s">
        <v>9165</v>
      </c>
      <c r="H3452">
        <v>0</v>
      </c>
      <c r="I3452" t="s">
        <v>17</v>
      </c>
      <c r="K3452" t="s">
        <v>9248</v>
      </c>
      <c r="L3452">
        <v>194</v>
      </c>
      <c r="M3452" t="s">
        <v>9249</v>
      </c>
    </row>
    <row r="3453" spans="1:13" x14ac:dyDescent="0.45">
      <c r="A3453" t="s">
        <v>13</v>
      </c>
      <c r="B3453">
        <v>3811524</v>
      </c>
      <c r="C3453">
        <v>3812006</v>
      </c>
      <c r="E3453" t="s">
        <v>96</v>
      </c>
      <c r="F3453" t="s">
        <v>1432</v>
      </c>
      <c r="H3453">
        <v>0</v>
      </c>
      <c r="I3453" t="s">
        <v>17</v>
      </c>
      <c r="K3453" t="s">
        <v>9250</v>
      </c>
      <c r="L3453">
        <v>160</v>
      </c>
      <c r="M3453" t="s">
        <v>9251</v>
      </c>
    </row>
    <row r="3454" spans="1:13" x14ac:dyDescent="0.45">
      <c r="A3454" t="s">
        <v>13</v>
      </c>
      <c r="B3454">
        <v>3812205</v>
      </c>
      <c r="C3454">
        <v>3813620</v>
      </c>
      <c r="E3454" t="s">
        <v>96</v>
      </c>
      <c r="F3454" t="s">
        <v>2917</v>
      </c>
      <c r="H3454">
        <v>0</v>
      </c>
      <c r="I3454" t="s">
        <v>17</v>
      </c>
      <c r="K3454" t="s">
        <v>9252</v>
      </c>
      <c r="L3454">
        <v>471</v>
      </c>
      <c r="M3454" t="s">
        <v>9253</v>
      </c>
    </row>
    <row r="3455" spans="1:13" x14ac:dyDescent="0.45">
      <c r="A3455" t="s">
        <v>13</v>
      </c>
      <c r="B3455">
        <v>3813735</v>
      </c>
      <c r="C3455">
        <v>3814403</v>
      </c>
      <c r="E3455" t="s">
        <v>14</v>
      </c>
      <c r="F3455" t="s">
        <v>9254</v>
      </c>
      <c r="H3455">
        <v>0</v>
      </c>
      <c r="I3455" t="s">
        <v>17</v>
      </c>
      <c r="K3455" t="s">
        <v>9255</v>
      </c>
      <c r="L3455">
        <v>222</v>
      </c>
      <c r="M3455" t="s">
        <v>9256</v>
      </c>
    </row>
    <row r="3456" spans="1:13" x14ac:dyDescent="0.45">
      <c r="A3456" t="s">
        <v>13</v>
      </c>
      <c r="B3456">
        <v>3814579</v>
      </c>
      <c r="C3456">
        <v>3815097</v>
      </c>
      <c r="E3456" t="s">
        <v>96</v>
      </c>
      <c r="F3456" t="s">
        <v>862</v>
      </c>
      <c r="H3456">
        <v>0</v>
      </c>
      <c r="I3456" t="s">
        <v>17</v>
      </c>
      <c r="K3456" t="s">
        <v>9257</v>
      </c>
      <c r="L3456">
        <v>172</v>
      </c>
      <c r="M3456" t="s">
        <v>9258</v>
      </c>
    </row>
    <row r="3457" spans="1:13" x14ac:dyDescent="0.45">
      <c r="A3457" t="s">
        <v>13</v>
      </c>
      <c r="B3457">
        <v>3815249</v>
      </c>
      <c r="C3457">
        <v>3815572</v>
      </c>
      <c r="E3457" t="s">
        <v>14</v>
      </c>
      <c r="F3457" t="s">
        <v>1096</v>
      </c>
      <c r="H3457">
        <v>0</v>
      </c>
      <c r="I3457" t="s">
        <v>17</v>
      </c>
      <c r="K3457" t="s">
        <v>9259</v>
      </c>
      <c r="L3457">
        <v>107</v>
      </c>
      <c r="M3457" t="s">
        <v>9260</v>
      </c>
    </row>
    <row r="3458" spans="1:13" x14ac:dyDescent="0.45">
      <c r="A3458" t="s">
        <v>13</v>
      </c>
      <c r="B3458">
        <v>3815577</v>
      </c>
      <c r="C3458">
        <v>3816161</v>
      </c>
      <c r="E3458" t="s">
        <v>96</v>
      </c>
      <c r="F3458" t="s">
        <v>9261</v>
      </c>
      <c r="H3458">
        <v>0</v>
      </c>
      <c r="I3458" t="s">
        <v>17</v>
      </c>
      <c r="K3458" t="s">
        <v>9262</v>
      </c>
      <c r="L3458">
        <v>194</v>
      </c>
      <c r="M3458" t="s">
        <v>9263</v>
      </c>
    </row>
    <row r="3459" spans="1:13" x14ac:dyDescent="0.45">
      <c r="A3459" t="s">
        <v>13</v>
      </c>
      <c r="B3459">
        <v>3816210</v>
      </c>
      <c r="C3459">
        <v>3816437</v>
      </c>
      <c r="E3459" t="s">
        <v>96</v>
      </c>
      <c r="F3459" t="s">
        <v>9264</v>
      </c>
      <c r="H3459">
        <v>0</v>
      </c>
      <c r="I3459" t="s">
        <v>17</v>
      </c>
      <c r="K3459" t="s">
        <v>9265</v>
      </c>
      <c r="L3459">
        <v>75</v>
      </c>
      <c r="M3459" t="s">
        <v>9266</v>
      </c>
    </row>
    <row r="3460" spans="1:13" x14ac:dyDescent="0.45">
      <c r="A3460" t="s">
        <v>13</v>
      </c>
      <c r="B3460">
        <v>3816579</v>
      </c>
      <c r="C3460">
        <v>3816665</v>
      </c>
      <c r="E3460" t="s">
        <v>96</v>
      </c>
      <c r="F3460" t="s">
        <v>271</v>
      </c>
      <c r="H3460">
        <v>0</v>
      </c>
      <c r="I3460" t="s">
        <v>272</v>
      </c>
      <c r="M3460" t="s">
        <v>9267</v>
      </c>
    </row>
    <row r="3461" spans="1:13" x14ac:dyDescent="0.45">
      <c r="A3461" t="s">
        <v>13</v>
      </c>
      <c r="B3461">
        <v>3817548</v>
      </c>
      <c r="C3461">
        <v>3819086</v>
      </c>
      <c r="E3461" t="s">
        <v>14</v>
      </c>
      <c r="F3461" t="s">
        <v>732</v>
      </c>
      <c r="H3461">
        <v>0</v>
      </c>
      <c r="I3461" t="s">
        <v>17</v>
      </c>
      <c r="K3461" t="s">
        <v>9268</v>
      </c>
      <c r="L3461">
        <v>512</v>
      </c>
      <c r="M3461" t="s">
        <v>9269</v>
      </c>
    </row>
    <row r="3462" spans="1:13" x14ac:dyDescent="0.45">
      <c r="A3462" t="s">
        <v>13</v>
      </c>
      <c r="B3462">
        <v>3819358</v>
      </c>
      <c r="C3462">
        <v>3820188</v>
      </c>
      <c r="E3462" t="s">
        <v>96</v>
      </c>
      <c r="F3462" t="s">
        <v>1222</v>
      </c>
      <c r="H3462">
        <v>0</v>
      </c>
      <c r="I3462" t="s">
        <v>17</v>
      </c>
      <c r="K3462" t="s">
        <v>9270</v>
      </c>
      <c r="L3462">
        <v>276</v>
      </c>
      <c r="M3462" t="s">
        <v>9271</v>
      </c>
    </row>
    <row r="3463" spans="1:13" x14ac:dyDescent="0.45">
      <c r="A3463" t="s">
        <v>13</v>
      </c>
      <c r="B3463">
        <v>3820526</v>
      </c>
      <c r="C3463">
        <v>3821905</v>
      </c>
      <c r="E3463" t="s">
        <v>96</v>
      </c>
      <c r="F3463" t="s">
        <v>729</v>
      </c>
      <c r="H3463">
        <v>0</v>
      </c>
      <c r="I3463" t="s">
        <v>17</v>
      </c>
      <c r="K3463" t="s">
        <v>9272</v>
      </c>
      <c r="L3463">
        <v>459</v>
      </c>
      <c r="M3463" t="s">
        <v>9273</v>
      </c>
    </row>
    <row r="3464" spans="1:13" x14ac:dyDescent="0.45">
      <c r="A3464" t="s">
        <v>13</v>
      </c>
      <c r="B3464">
        <v>3822190</v>
      </c>
      <c r="C3464">
        <v>3822984</v>
      </c>
      <c r="E3464" t="s">
        <v>96</v>
      </c>
      <c r="F3464" t="s">
        <v>1143</v>
      </c>
      <c r="H3464">
        <v>0</v>
      </c>
      <c r="I3464" t="s">
        <v>17</v>
      </c>
      <c r="K3464" t="s">
        <v>9274</v>
      </c>
      <c r="L3464">
        <v>264</v>
      </c>
      <c r="M3464" t="s">
        <v>9275</v>
      </c>
    </row>
    <row r="3465" spans="1:13" x14ac:dyDescent="0.45">
      <c r="A3465" t="s">
        <v>13</v>
      </c>
      <c r="B3465">
        <v>3822981</v>
      </c>
      <c r="C3465">
        <v>3823835</v>
      </c>
      <c r="E3465" t="s">
        <v>96</v>
      </c>
      <c r="F3465" t="s">
        <v>1143</v>
      </c>
      <c r="H3465">
        <v>0</v>
      </c>
      <c r="I3465" t="s">
        <v>17</v>
      </c>
      <c r="K3465" t="s">
        <v>9276</v>
      </c>
      <c r="L3465">
        <v>284</v>
      </c>
      <c r="M3465" t="s">
        <v>9277</v>
      </c>
    </row>
    <row r="3466" spans="1:13" x14ac:dyDescent="0.45">
      <c r="A3466" t="s">
        <v>13</v>
      </c>
      <c r="B3466">
        <v>3823822</v>
      </c>
      <c r="C3466">
        <v>3824817</v>
      </c>
      <c r="E3466" t="s">
        <v>96</v>
      </c>
      <c r="F3466" t="s">
        <v>1140</v>
      </c>
      <c r="H3466">
        <v>0</v>
      </c>
      <c r="I3466" t="s">
        <v>17</v>
      </c>
      <c r="K3466" t="s">
        <v>9278</v>
      </c>
      <c r="L3466">
        <v>331</v>
      </c>
      <c r="M3466" t="s">
        <v>9279</v>
      </c>
    </row>
    <row r="3467" spans="1:13" x14ac:dyDescent="0.45">
      <c r="A3467" t="s">
        <v>13</v>
      </c>
      <c r="B3467">
        <v>3825520</v>
      </c>
      <c r="C3467">
        <v>3826476</v>
      </c>
      <c r="E3467" t="s">
        <v>14</v>
      </c>
      <c r="F3467" t="s">
        <v>2089</v>
      </c>
      <c r="H3467">
        <v>0</v>
      </c>
      <c r="I3467" t="s">
        <v>17</v>
      </c>
      <c r="K3467" t="s">
        <v>9280</v>
      </c>
      <c r="L3467">
        <v>318</v>
      </c>
      <c r="M3467" t="s">
        <v>9281</v>
      </c>
    </row>
    <row r="3468" spans="1:13" x14ac:dyDescent="0.45">
      <c r="A3468" t="s">
        <v>13</v>
      </c>
      <c r="B3468">
        <v>3826877</v>
      </c>
      <c r="C3468">
        <v>3827425</v>
      </c>
      <c r="E3468" t="s">
        <v>96</v>
      </c>
      <c r="F3468" t="s">
        <v>43</v>
      </c>
      <c r="H3468">
        <v>0</v>
      </c>
      <c r="I3468" t="s">
        <v>17</v>
      </c>
      <c r="K3468" t="s">
        <v>9282</v>
      </c>
      <c r="L3468">
        <v>182</v>
      </c>
      <c r="M3468" t="s">
        <v>9283</v>
      </c>
    </row>
    <row r="3469" spans="1:13" x14ac:dyDescent="0.45">
      <c r="A3469" t="s">
        <v>13</v>
      </c>
      <c r="B3469">
        <v>3827527</v>
      </c>
      <c r="C3469">
        <v>3828225</v>
      </c>
      <c r="E3469" t="s">
        <v>96</v>
      </c>
      <c r="F3469" t="s">
        <v>43</v>
      </c>
      <c r="H3469">
        <v>0</v>
      </c>
      <c r="I3469" t="s">
        <v>17</v>
      </c>
      <c r="K3469" t="s">
        <v>9284</v>
      </c>
      <c r="L3469">
        <v>232</v>
      </c>
      <c r="M3469" t="s">
        <v>9285</v>
      </c>
    </row>
    <row r="3470" spans="1:13" x14ac:dyDescent="0.45">
      <c r="A3470" t="s">
        <v>13</v>
      </c>
      <c r="B3470">
        <v>3828761</v>
      </c>
      <c r="C3470">
        <v>3829828</v>
      </c>
      <c r="E3470" t="s">
        <v>96</v>
      </c>
      <c r="F3470" t="s">
        <v>7258</v>
      </c>
      <c r="G3470" t="s">
        <v>7259</v>
      </c>
      <c r="H3470">
        <v>0</v>
      </c>
      <c r="I3470" t="s">
        <v>17</v>
      </c>
      <c r="K3470" t="s">
        <v>9286</v>
      </c>
      <c r="L3470">
        <v>355</v>
      </c>
      <c r="M3470" t="s">
        <v>9287</v>
      </c>
    </row>
    <row r="3471" spans="1:13" x14ac:dyDescent="0.45">
      <c r="A3471" t="s">
        <v>13</v>
      </c>
      <c r="B3471">
        <v>3829825</v>
      </c>
      <c r="C3471">
        <v>3830226</v>
      </c>
      <c r="E3471" t="s">
        <v>96</v>
      </c>
      <c r="F3471" t="s">
        <v>9288</v>
      </c>
      <c r="H3471">
        <v>0</v>
      </c>
      <c r="I3471" t="s">
        <v>17</v>
      </c>
      <c r="K3471" t="s">
        <v>9289</v>
      </c>
      <c r="L3471">
        <v>133</v>
      </c>
      <c r="M3471" t="s">
        <v>9290</v>
      </c>
    </row>
    <row r="3472" spans="1:13" x14ac:dyDescent="0.45">
      <c r="A3472" t="s">
        <v>13</v>
      </c>
      <c r="B3472">
        <v>3831172</v>
      </c>
      <c r="C3472">
        <v>3831348</v>
      </c>
      <c r="E3472" t="s">
        <v>14</v>
      </c>
      <c r="F3472" t="s">
        <v>43</v>
      </c>
      <c r="H3472">
        <v>0</v>
      </c>
      <c r="I3472" t="s">
        <v>17</v>
      </c>
      <c r="K3472" t="s">
        <v>9291</v>
      </c>
      <c r="L3472">
        <v>58</v>
      </c>
      <c r="M3472" t="s">
        <v>9292</v>
      </c>
    </row>
    <row r="3473" spans="1:13" x14ac:dyDescent="0.45">
      <c r="A3473" t="s">
        <v>13</v>
      </c>
      <c r="B3473">
        <v>3831758</v>
      </c>
      <c r="C3473">
        <v>3832396</v>
      </c>
      <c r="E3473" t="s">
        <v>14</v>
      </c>
      <c r="F3473" t="s">
        <v>43</v>
      </c>
      <c r="H3473">
        <v>0</v>
      </c>
      <c r="I3473" t="s">
        <v>17</v>
      </c>
      <c r="K3473" t="s">
        <v>9293</v>
      </c>
      <c r="L3473">
        <v>212</v>
      </c>
      <c r="M3473" t="s">
        <v>9294</v>
      </c>
    </row>
    <row r="3474" spans="1:13" x14ac:dyDescent="0.45">
      <c r="A3474" t="s">
        <v>13</v>
      </c>
      <c r="B3474">
        <v>3832874</v>
      </c>
      <c r="C3474">
        <v>3834232</v>
      </c>
      <c r="E3474" t="s">
        <v>96</v>
      </c>
      <c r="F3474" t="s">
        <v>1375</v>
      </c>
      <c r="G3474" t="s">
        <v>1376</v>
      </c>
      <c r="H3474">
        <v>0</v>
      </c>
      <c r="I3474" t="s">
        <v>17</v>
      </c>
      <c r="K3474" t="s">
        <v>9295</v>
      </c>
      <c r="L3474">
        <v>452</v>
      </c>
      <c r="M3474" t="s">
        <v>9296</v>
      </c>
    </row>
    <row r="3475" spans="1:13" x14ac:dyDescent="0.45">
      <c r="A3475" t="s">
        <v>13</v>
      </c>
      <c r="B3475">
        <v>3834407</v>
      </c>
      <c r="C3475">
        <v>3836167</v>
      </c>
      <c r="E3475" t="s">
        <v>96</v>
      </c>
      <c r="F3475" t="s">
        <v>9297</v>
      </c>
      <c r="G3475" t="s">
        <v>9298</v>
      </c>
      <c r="H3475">
        <v>0</v>
      </c>
      <c r="I3475" t="s">
        <v>17</v>
      </c>
      <c r="K3475" t="s">
        <v>9299</v>
      </c>
      <c r="L3475">
        <v>586</v>
      </c>
      <c r="M3475" t="s">
        <v>9300</v>
      </c>
    </row>
    <row r="3476" spans="1:13" x14ac:dyDescent="0.45">
      <c r="A3476" t="s">
        <v>13</v>
      </c>
      <c r="B3476">
        <v>3836219</v>
      </c>
      <c r="C3476">
        <v>3837178</v>
      </c>
      <c r="E3476" t="s">
        <v>96</v>
      </c>
      <c r="F3476" t="s">
        <v>8571</v>
      </c>
      <c r="G3476" t="s">
        <v>9301</v>
      </c>
      <c r="H3476">
        <v>0</v>
      </c>
      <c r="I3476" t="s">
        <v>17</v>
      </c>
      <c r="K3476" t="s">
        <v>9302</v>
      </c>
      <c r="L3476">
        <v>319</v>
      </c>
      <c r="M3476" t="s">
        <v>9303</v>
      </c>
    </row>
    <row r="3477" spans="1:13" x14ac:dyDescent="0.45">
      <c r="A3477" t="s">
        <v>13</v>
      </c>
      <c r="B3477">
        <v>3837387</v>
      </c>
      <c r="C3477">
        <v>3840956</v>
      </c>
      <c r="E3477" t="s">
        <v>96</v>
      </c>
      <c r="F3477" t="s">
        <v>9304</v>
      </c>
      <c r="H3477">
        <v>0</v>
      </c>
      <c r="I3477" t="s">
        <v>17</v>
      </c>
      <c r="K3477" t="s">
        <v>9305</v>
      </c>
      <c r="L3477">
        <v>1189</v>
      </c>
      <c r="M3477" t="s">
        <v>9306</v>
      </c>
    </row>
    <row r="3478" spans="1:13" x14ac:dyDescent="0.45">
      <c r="A3478" t="s">
        <v>13</v>
      </c>
      <c r="B3478">
        <v>3841113</v>
      </c>
      <c r="C3478">
        <v>3842060</v>
      </c>
      <c r="E3478" t="s">
        <v>96</v>
      </c>
      <c r="F3478" t="s">
        <v>9307</v>
      </c>
      <c r="G3478" t="s">
        <v>9308</v>
      </c>
      <c r="H3478">
        <v>0</v>
      </c>
      <c r="I3478" t="s">
        <v>17</v>
      </c>
      <c r="K3478" t="s">
        <v>9309</v>
      </c>
      <c r="L3478">
        <v>315</v>
      </c>
      <c r="M3478" t="s">
        <v>9310</v>
      </c>
    </row>
    <row r="3479" spans="1:13" x14ac:dyDescent="0.45">
      <c r="A3479" t="s">
        <v>13</v>
      </c>
      <c r="B3479">
        <v>3842077</v>
      </c>
      <c r="C3479">
        <v>3842502</v>
      </c>
      <c r="E3479" t="s">
        <v>96</v>
      </c>
      <c r="F3479" t="s">
        <v>2084</v>
      </c>
      <c r="H3479">
        <v>0</v>
      </c>
      <c r="I3479" t="s">
        <v>17</v>
      </c>
      <c r="K3479" t="s">
        <v>9311</v>
      </c>
      <c r="L3479">
        <v>141</v>
      </c>
      <c r="M3479" t="s">
        <v>9312</v>
      </c>
    </row>
    <row r="3480" spans="1:13" x14ac:dyDescent="0.45">
      <c r="A3480" t="s">
        <v>13</v>
      </c>
      <c r="B3480">
        <v>3842571</v>
      </c>
      <c r="C3480">
        <v>3843677</v>
      </c>
      <c r="E3480" t="s">
        <v>96</v>
      </c>
      <c r="F3480" t="s">
        <v>9313</v>
      </c>
      <c r="H3480">
        <v>0</v>
      </c>
      <c r="I3480" t="s">
        <v>17</v>
      </c>
      <c r="K3480" t="s">
        <v>9314</v>
      </c>
      <c r="L3480">
        <v>368</v>
      </c>
      <c r="M3480" t="s">
        <v>9315</v>
      </c>
    </row>
    <row r="3481" spans="1:13" x14ac:dyDescent="0.45">
      <c r="A3481" t="s">
        <v>13</v>
      </c>
      <c r="B3481">
        <v>3843689</v>
      </c>
      <c r="C3481">
        <v>3844546</v>
      </c>
      <c r="E3481" t="s">
        <v>96</v>
      </c>
      <c r="F3481" t="s">
        <v>9316</v>
      </c>
      <c r="G3481" t="s">
        <v>9317</v>
      </c>
      <c r="H3481">
        <v>0</v>
      </c>
      <c r="I3481" t="s">
        <v>17</v>
      </c>
      <c r="K3481" t="s">
        <v>9318</v>
      </c>
      <c r="L3481">
        <v>285</v>
      </c>
      <c r="M3481" t="s">
        <v>9319</v>
      </c>
    </row>
    <row r="3482" spans="1:13" x14ac:dyDescent="0.45">
      <c r="A3482" t="s">
        <v>13</v>
      </c>
      <c r="B3482">
        <v>3844577</v>
      </c>
      <c r="C3482">
        <v>3845290</v>
      </c>
      <c r="E3482" t="s">
        <v>96</v>
      </c>
      <c r="F3482" t="s">
        <v>9320</v>
      </c>
      <c r="H3482">
        <v>0</v>
      </c>
      <c r="I3482" t="s">
        <v>17</v>
      </c>
      <c r="K3482" t="s">
        <v>9321</v>
      </c>
      <c r="L3482">
        <v>237</v>
      </c>
      <c r="M3482" t="s">
        <v>9322</v>
      </c>
    </row>
    <row r="3483" spans="1:13" x14ac:dyDescent="0.45">
      <c r="A3483" t="s">
        <v>13</v>
      </c>
      <c r="B3483">
        <v>3845294</v>
      </c>
      <c r="C3483">
        <v>3846208</v>
      </c>
      <c r="E3483" t="s">
        <v>96</v>
      </c>
      <c r="F3483" t="s">
        <v>9323</v>
      </c>
      <c r="G3483" t="s">
        <v>9324</v>
      </c>
      <c r="H3483">
        <v>0</v>
      </c>
      <c r="I3483" t="s">
        <v>17</v>
      </c>
      <c r="K3483" t="s">
        <v>9325</v>
      </c>
      <c r="L3483">
        <v>304</v>
      </c>
      <c r="M3483" t="s">
        <v>9326</v>
      </c>
    </row>
    <row r="3484" spans="1:13" x14ac:dyDescent="0.45">
      <c r="A3484" t="s">
        <v>13</v>
      </c>
      <c r="B3484">
        <v>3846481</v>
      </c>
      <c r="C3484">
        <v>3847251</v>
      </c>
      <c r="E3484" t="s">
        <v>96</v>
      </c>
      <c r="F3484" t="s">
        <v>6341</v>
      </c>
      <c r="H3484">
        <v>0</v>
      </c>
      <c r="I3484" t="s">
        <v>17</v>
      </c>
      <c r="K3484" t="s">
        <v>9327</v>
      </c>
      <c r="L3484">
        <v>256</v>
      </c>
      <c r="M3484" t="s">
        <v>9328</v>
      </c>
    </row>
    <row r="3485" spans="1:13" x14ac:dyDescent="0.45">
      <c r="A3485" t="s">
        <v>13</v>
      </c>
      <c r="B3485">
        <v>3847569</v>
      </c>
      <c r="C3485">
        <v>3849050</v>
      </c>
      <c r="E3485" t="s">
        <v>14</v>
      </c>
      <c r="F3485" t="s">
        <v>801</v>
      </c>
      <c r="G3485" t="s">
        <v>802</v>
      </c>
      <c r="H3485">
        <v>0</v>
      </c>
      <c r="I3485" t="s">
        <v>17</v>
      </c>
      <c r="K3485" t="s">
        <v>9329</v>
      </c>
      <c r="L3485">
        <v>493</v>
      </c>
      <c r="M3485" t="s">
        <v>9330</v>
      </c>
    </row>
    <row r="3486" spans="1:13" x14ac:dyDescent="0.45">
      <c r="A3486" t="s">
        <v>13</v>
      </c>
      <c r="B3486">
        <v>3849368</v>
      </c>
      <c r="C3486">
        <v>3849865</v>
      </c>
      <c r="E3486" t="s">
        <v>14</v>
      </c>
      <c r="F3486" t="s">
        <v>9331</v>
      </c>
      <c r="H3486">
        <v>0</v>
      </c>
      <c r="I3486" t="s">
        <v>17</v>
      </c>
      <c r="K3486" t="s">
        <v>9332</v>
      </c>
      <c r="L3486">
        <v>165</v>
      </c>
      <c r="M3486" t="s">
        <v>9333</v>
      </c>
    </row>
    <row r="3487" spans="1:13" x14ac:dyDescent="0.45">
      <c r="A3487" t="s">
        <v>13</v>
      </c>
      <c r="B3487">
        <v>3849882</v>
      </c>
      <c r="C3487">
        <v>3851768</v>
      </c>
      <c r="E3487" t="s">
        <v>14</v>
      </c>
      <c r="F3487" t="s">
        <v>9334</v>
      </c>
      <c r="H3487">
        <v>0</v>
      </c>
      <c r="I3487" t="s">
        <v>17</v>
      </c>
      <c r="K3487" t="s">
        <v>9335</v>
      </c>
      <c r="L3487">
        <v>628</v>
      </c>
      <c r="M3487" t="s">
        <v>9336</v>
      </c>
    </row>
    <row r="3488" spans="1:13" x14ac:dyDescent="0.45">
      <c r="A3488" t="s">
        <v>13</v>
      </c>
      <c r="B3488">
        <v>3851791</v>
      </c>
      <c r="C3488">
        <v>3853572</v>
      </c>
      <c r="E3488" t="s">
        <v>14</v>
      </c>
      <c r="F3488" t="s">
        <v>9337</v>
      </c>
      <c r="H3488">
        <v>0</v>
      </c>
      <c r="I3488" t="s">
        <v>17</v>
      </c>
      <c r="K3488" t="s">
        <v>9338</v>
      </c>
      <c r="L3488">
        <v>593</v>
      </c>
      <c r="M3488" t="s">
        <v>9339</v>
      </c>
    </row>
    <row r="3489" spans="1:13" x14ac:dyDescent="0.45">
      <c r="A3489" t="s">
        <v>13</v>
      </c>
      <c r="B3489">
        <v>3853712</v>
      </c>
      <c r="C3489">
        <v>3855508</v>
      </c>
      <c r="E3489" t="s">
        <v>96</v>
      </c>
      <c r="F3489" t="s">
        <v>9340</v>
      </c>
      <c r="H3489">
        <v>0</v>
      </c>
      <c r="I3489" t="s">
        <v>17</v>
      </c>
      <c r="K3489" t="s">
        <v>9341</v>
      </c>
      <c r="L3489">
        <v>598</v>
      </c>
      <c r="M3489" t="s">
        <v>9342</v>
      </c>
    </row>
    <row r="3490" spans="1:13" x14ac:dyDescent="0.45">
      <c r="A3490" t="s">
        <v>13</v>
      </c>
      <c r="B3490">
        <v>3855722</v>
      </c>
      <c r="C3490">
        <v>3856651</v>
      </c>
      <c r="E3490" t="s">
        <v>96</v>
      </c>
      <c r="F3490" t="s">
        <v>9343</v>
      </c>
      <c r="G3490" t="s">
        <v>9344</v>
      </c>
      <c r="H3490">
        <v>0</v>
      </c>
      <c r="I3490" t="s">
        <v>17</v>
      </c>
      <c r="K3490" t="s">
        <v>9345</v>
      </c>
      <c r="L3490">
        <v>309</v>
      </c>
      <c r="M3490" t="s">
        <v>9346</v>
      </c>
    </row>
    <row r="3491" spans="1:13" x14ac:dyDescent="0.45">
      <c r="A3491" t="s">
        <v>13</v>
      </c>
      <c r="B3491">
        <v>3856651</v>
      </c>
      <c r="C3491">
        <v>3858468</v>
      </c>
      <c r="E3491" t="s">
        <v>96</v>
      </c>
      <c r="F3491" t="s">
        <v>9347</v>
      </c>
      <c r="G3491" t="s">
        <v>9348</v>
      </c>
      <c r="H3491">
        <v>0</v>
      </c>
      <c r="I3491" t="s">
        <v>17</v>
      </c>
      <c r="K3491" t="s">
        <v>9349</v>
      </c>
      <c r="L3491">
        <v>605</v>
      </c>
      <c r="M3491" t="s">
        <v>9350</v>
      </c>
    </row>
    <row r="3492" spans="1:13" x14ac:dyDescent="0.45">
      <c r="A3492" t="s">
        <v>13</v>
      </c>
      <c r="B3492">
        <v>3858727</v>
      </c>
      <c r="C3492">
        <v>3861552</v>
      </c>
      <c r="E3492" t="s">
        <v>96</v>
      </c>
      <c r="F3492" t="s">
        <v>834</v>
      </c>
      <c r="G3492" t="s">
        <v>835</v>
      </c>
      <c r="H3492">
        <v>0</v>
      </c>
      <c r="I3492" t="s">
        <v>17</v>
      </c>
      <c r="K3492" t="s">
        <v>9351</v>
      </c>
      <c r="L3492">
        <v>941</v>
      </c>
      <c r="M3492" t="s">
        <v>9352</v>
      </c>
    </row>
    <row r="3493" spans="1:13" x14ac:dyDescent="0.45">
      <c r="A3493" t="s">
        <v>13</v>
      </c>
      <c r="B3493">
        <v>3861571</v>
      </c>
      <c r="C3493">
        <v>3863541</v>
      </c>
      <c r="E3493" t="s">
        <v>96</v>
      </c>
      <c r="F3493" t="s">
        <v>9353</v>
      </c>
      <c r="G3493" t="s">
        <v>9354</v>
      </c>
      <c r="H3493">
        <v>0</v>
      </c>
      <c r="I3493" t="s">
        <v>17</v>
      </c>
      <c r="K3493" t="s">
        <v>9355</v>
      </c>
      <c r="L3493">
        <v>656</v>
      </c>
      <c r="M3493" t="s">
        <v>9356</v>
      </c>
    </row>
    <row r="3494" spans="1:13" x14ac:dyDescent="0.45">
      <c r="A3494" t="s">
        <v>13</v>
      </c>
      <c r="B3494">
        <v>3863728</v>
      </c>
      <c r="C3494">
        <v>3864990</v>
      </c>
      <c r="E3494" t="s">
        <v>96</v>
      </c>
      <c r="F3494" t="s">
        <v>9357</v>
      </c>
      <c r="H3494">
        <v>0</v>
      </c>
      <c r="I3494" t="s">
        <v>17</v>
      </c>
      <c r="K3494" t="s">
        <v>9358</v>
      </c>
      <c r="L3494">
        <v>420</v>
      </c>
      <c r="M3494" t="s">
        <v>9359</v>
      </c>
    </row>
    <row r="3495" spans="1:13" x14ac:dyDescent="0.45">
      <c r="A3495" t="s">
        <v>13</v>
      </c>
      <c r="B3495">
        <v>3865053</v>
      </c>
      <c r="C3495">
        <v>3866357</v>
      </c>
      <c r="E3495" t="s">
        <v>96</v>
      </c>
      <c r="F3495" t="s">
        <v>2510</v>
      </c>
      <c r="H3495">
        <v>0</v>
      </c>
      <c r="I3495" t="s">
        <v>17</v>
      </c>
      <c r="K3495" t="s">
        <v>9360</v>
      </c>
      <c r="L3495">
        <v>434</v>
      </c>
      <c r="M3495" t="s">
        <v>9361</v>
      </c>
    </row>
    <row r="3496" spans="1:13" x14ac:dyDescent="0.45">
      <c r="A3496" t="s">
        <v>13</v>
      </c>
      <c r="B3496">
        <v>3866388</v>
      </c>
      <c r="C3496">
        <v>3867248</v>
      </c>
      <c r="E3496" t="s">
        <v>96</v>
      </c>
      <c r="F3496" t="s">
        <v>7186</v>
      </c>
      <c r="H3496">
        <v>0</v>
      </c>
      <c r="I3496" t="s">
        <v>17</v>
      </c>
      <c r="K3496" t="s">
        <v>9362</v>
      </c>
      <c r="L3496">
        <v>286</v>
      </c>
      <c r="M3496" t="s">
        <v>9363</v>
      </c>
    </row>
    <row r="3497" spans="1:13" x14ac:dyDescent="0.45">
      <c r="A3497" t="s">
        <v>13</v>
      </c>
      <c r="B3497">
        <v>3867292</v>
      </c>
      <c r="C3497">
        <v>3868161</v>
      </c>
      <c r="E3497" t="s">
        <v>96</v>
      </c>
      <c r="F3497" t="s">
        <v>7186</v>
      </c>
      <c r="H3497">
        <v>0</v>
      </c>
      <c r="I3497" t="s">
        <v>17</v>
      </c>
      <c r="K3497" t="s">
        <v>9364</v>
      </c>
      <c r="L3497">
        <v>289</v>
      </c>
      <c r="M3497" t="s">
        <v>9365</v>
      </c>
    </row>
    <row r="3498" spans="1:13" x14ac:dyDescent="0.45">
      <c r="A3498" t="s">
        <v>13</v>
      </c>
      <c r="B3498">
        <v>3868145</v>
      </c>
      <c r="C3498">
        <v>3869215</v>
      </c>
      <c r="E3498" t="s">
        <v>96</v>
      </c>
      <c r="F3498" t="s">
        <v>1140</v>
      </c>
      <c r="H3498">
        <v>0</v>
      </c>
      <c r="I3498" t="s">
        <v>17</v>
      </c>
      <c r="K3498" t="s">
        <v>9366</v>
      </c>
      <c r="L3498">
        <v>356</v>
      </c>
      <c r="M3498" t="s">
        <v>9367</v>
      </c>
    </row>
    <row r="3499" spans="1:13" x14ac:dyDescent="0.45">
      <c r="A3499" t="s">
        <v>13</v>
      </c>
      <c r="B3499">
        <v>3869670</v>
      </c>
      <c r="C3499">
        <v>3869786</v>
      </c>
      <c r="E3499" t="s">
        <v>96</v>
      </c>
      <c r="F3499" t="s">
        <v>60</v>
      </c>
      <c r="G3499" t="s">
        <v>61</v>
      </c>
      <c r="H3499">
        <v>0</v>
      </c>
      <c r="I3499" t="s">
        <v>56</v>
      </c>
      <c r="M3499" t="s">
        <v>9368</v>
      </c>
    </row>
    <row r="3500" spans="1:13" x14ac:dyDescent="0.45">
      <c r="A3500" t="s">
        <v>13</v>
      </c>
      <c r="B3500">
        <v>3869914</v>
      </c>
      <c r="C3500">
        <v>3872811</v>
      </c>
      <c r="E3500" t="s">
        <v>96</v>
      </c>
      <c r="F3500" t="s">
        <v>58</v>
      </c>
      <c r="H3500">
        <v>0</v>
      </c>
      <c r="I3500" t="s">
        <v>56</v>
      </c>
      <c r="M3500" t="s">
        <v>9369</v>
      </c>
    </row>
    <row r="3501" spans="1:13" x14ac:dyDescent="0.45">
      <c r="A3501" t="s">
        <v>13</v>
      </c>
      <c r="B3501">
        <v>3873097</v>
      </c>
      <c r="C3501">
        <v>3874599</v>
      </c>
      <c r="E3501" t="s">
        <v>96</v>
      </c>
      <c r="F3501" t="s">
        <v>55</v>
      </c>
      <c r="H3501">
        <v>0</v>
      </c>
      <c r="I3501" t="s">
        <v>56</v>
      </c>
      <c r="M3501" t="s">
        <v>9370</v>
      </c>
    </row>
    <row r="3502" spans="1:13" x14ac:dyDescent="0.45">
      <c r="A3502" t="s">
        <v>13</v>
      </c>
      <c r="B3502">
        <v>3874793</v>
      </c>
      <c r="C3502">
        <v>3875371</v>
      </c>
      <c r="E3502" t="s">
        <v>96</v>
      </c>
      <c r="F3502" t="s">
        <v>9371</v>
      </c>
      <c r="H3502">
        <v>0</v>
      </c>
      <c r="I3502" t="s">
        <v>17</v>
      </c>
      <c r="K3502" t="s">
        <v>9372</v>
      </c>
      <c r="L3502">
        <v>192</v>
      </c>
      <c r="M3502" t="s">
        <v>9373</v>
      </c>
    </row>
    <row r="3503" spans="1:13" x14ac:dyDescent="0.45">
      <c r="A3503" t="s">
        <v>13</v>
      </c>
      <c r="B3503">
        <v>3875524</v>
      </c>
      <c r="C3503">
        <v>3876489</v>
      </c>
      <c r="E3503" t="s">
        <v>96</v>
      </c>
      <c r="F3503" t="s">
        <v>9374</v>
      </c>
      <c r="G3503" t="s">
        <v>9375</v>
      </c>
      <c r="H3503">
        <v>0</v>
      </c>
      <c r="I3503" t="s">
        <v>17</v>
      </c>
      <c r="K3503" t="s">
        <v>9376</v>
      </c>
      <c r="L3503">
        <v>321</v>
      </c>
      <c r="M3503" t="s">
        <v>9377</v>
      </c>
    </row>
    <row r="3504" spans="1:13" x14ac:dyDescent="0.45">
      <c r="A3504" t="s">
        <v>13</v>
      </c>
      <c r="B3504">
        <v>3876506</v>
      </c>
      <c r="C3504">
        <v>3878005</v>
      </c>
      <c r="E3504" t="s">
        <v>96</v>
      </c>
      <c r="F3504" t="s">
        <v>9378</v>
      </c>
      <c r="G3504" t="s">
        <v>9379</v>
      </c>
      <c r="H3504">
        <v>0</v>
      </c>
      <c r="I3504" t="s">
        <v>17</v>
      </c>
      <c r="K3504" t="s">
        <v>9380</v>
      </c>
      <c r="L3504">
        <v>499</v>
      </c>
      <c r="M3504" t="s">
        <v>9381</v>
      </c>
    </row>
    <row r="3505" spans="1:13" x14ac:dyDescent="0.45">
      <c r="A3505" t="s">
        <v>13</v>
      </c>
      <c r="B3505">
        <v>3877995</v>
      </c>
      <c r="C3505">
        <v>3878900</v>
      </c>
      <c r="E3505" t="s">
        <v>96</v>
      </c>
      <c r="F3505" t="s">
        <v>9382</v>
      </c>
      <c r="G3505" t="s">
        <v>9383</v>
      </c>
      <c r="H3505">
        <v>0</v>
      </c>
      <c r="I3505" t="s">
        <v>17</v>
      </c>
      <c r="K3505" t="s">
        <v>9384</v>
      </c>
      <c r="L3505">
        <v>301</v>
      </c>
      <c r="M3505" t="s">
        <v>9385</v>
      </c>
    </row>
    <row r="3506" spans="1:13" x14ac:dyDescent="0.45">
      <c r="A3506" t="s">
        <v>13</v>
      </c>
      <c r="B3506">
        <v>3878930</v>
      </c>
      <c r="C3506">
        <v>3880408</v>
      </c>
      <c r="E3506" t="s">
        <v>96</v>
      </c>
      <c r="F3506" t="s">
        <v>9386</v>
      </c>
      <c r="H3506">
        <v>0</v>
      </c>
      <c r="I3506" t="s">
        <v>17</v>
      </c>
      <c r="K3506" t="s">
        <v>9387</v>
      </c>
      <c r="L3506">
        <v>492</v>
      </c>
      <c r="M3506" t="s">
        <v>9388</v>
      </c>
    </row>
    <row r="3507" spans="1:13" x14ac:dyDescent="0.45">
      <c r="A3507" t="s">
        <v>13</v>
      </c>
      <c r="B3507">
        <v>3880427</v>
      </c>
      <c r="C3507">
        <v>3881179</v>
      </c>
      <c r="E3507" t="s">
        <v>96</v>
      </c>
      <c r="F3507" t="s">
        <v>9389</v>
      </c>
      <c r="G3507" t="s">
        <v>9390</v>
      </c>
      <c r="H3507">
        <v>0</v>
      </c>
      <c r="I3507" t="s">
        <v>17</v>
      </c>
      <c r="K3507" t="s">
        <v>9391</v>
      </c>
      <c r="L3507">
        <v>250</v>
      </c>
      <c r="M3507" t="s">
        <v>9392</v>
      </c>
    </row>
    <row r="3508" spans="1:13" x14ac:dyDescent="0.45">
      <c r="A3508" t="s">
        <v>13</v>
      </c>
      <c r="B3508">
        <v>3881176</v>
      </c>
      <c r="C3508">
        <v>3881901</v>
      </c>
      <c r="E3508" t="s">
        <v>96</v>
      </c>
      <c r="F3508" t="s">
        <v>9393</v>
      </c>
      <c r="G3508" t="s">
        <v>9394</v>
      </c>
      <c r="H3508">
        <v>0</v>
      </c>
      <c r="I3508" t="s">
        <v>17</v>
      </c>
      <c r="K3508" t="s">
        <v>9395</v>
      </c>
      <c r="L3508">
        <v>241</v>
      </c>
      <c r="M3508" t="s">
        <v>9396</v>
      </c>
    </row>
    <row r="3509" spans="1:13" x14ac:dyDescent="0.45">
      <c r="A3509" t="s">
        <v>13</v>
      </c>
      <c r="B3509">
        <v>3881898</v>
      </c>
      <c r="C3509">
        <v>3883019</v>
      </c>
      <c r="E3509" t="s">
        <v>96</v>
      </c>
      <c r="F3509" t="s">
        <v>9397</v>
      </c>
      <c r="G3509" t="s">
        <v>9398</v>
      </c>
      <c r="H3509">
        <v>0</v>
      </c>
      <c r="I3509" t="s">
        <v>17</v>
      </c>
      <c r="K3509" t="s">
        <v>9399</v>
      </c>
      <c r="L3509">
        <v>373</v>
      </c>
      <c r="M3509" t="s">
        <v>9400</v>
      </c>
    </row>
    <row r="3510" spans="1:13" x14ac:dyDescent="0.45">
      <c r="A3510" t="s">
        <v>13</v>
      </c>
      <c r="B3510">
        <v>3883003</v>
      </c>
      <c r="C3510">
        <v>3883755</v>
      </c>
      <c r="E3510" t="s">
        <v>96</v>
      </c>
      <c r="F3510" t="s">
        <v>9401</v>
      </c>
      <c r="H3510">
        <v>0</v>
      </c>
      <c r="I3510" t="s">
        <v>17</v>
      </c>
      <c r="K3510" t="s">
        <v>9402</v>
      </c>
      <c r="L3510">
        <v>250</v>
      </c>
      <c r="M3510" t="s">
        <v>9403</v>
      </c>
    </row>
    <row r="3511" spans="1:13" x14ac:dyDescent="0.45">
      <c r="A3511" t="s">
        <v>13</v>
      </c>
      <c r="B3511">
        <v>3883748</v>
      </c>
      <c r="C3511">
        <v>3884323</v>
      </c>
      <c r="E3511" t="s">
        <v>96</v>
      </c>
      <c r="F3511" t="s">
        <v>9404</v>
      </c>
      <c r="H3511">
        <v>0</v>
      </c>
      <c r="I3511" t="s">
        <v>17</v>
      </c>
      <c r="K3511" t="s">
        <v>9405</v>
      </c>
      <c r="L3511">
        <v>191</v>
      </c>
      <c r="M3511" t="s">
        <v>9406</v>
      </c>
    </row>
    <row r="3512" spans="1:13" x14ac:dyDescent="0.45">
      <c r="A3512" t="s">
        <v>13</v>
      </c>
      <c r="B3512">
        <v>3884313</v>
      </c>
      <c r="C3512">
        <v>3884921</v>
      </c>
      <c r="E3512" t="s">
        <v>96</v>
      </c>
      <c r="F3512" t="s">
        <v>9407</v>
      </c>
      <c r="H3512">
        <v>0</v>
      </c>
      <c r="I3512" t="s">
        <v>17</v>
      </c>
      <c r="K3512" t="s">
        <v>9408</v>
      </c>
      <c r="L3512">
        <v>202</v>
      </c>
      <c r="M3512" t="s">
        <v>9409</v>
      </c>
    </row>
    <row r="3513" spans="1:13" x14ac:dyDescent="0.45">
      <c r="A3513" t="s">
        <v>13</v>
      </c>
      <c r="B3513">
        <v>3884918</v>
      </c>
      <c r="C3513">
        <v>3886144</v>
      </c>
      <c r="E3513" t="s">
        <v>96</v>
      </c>
      <c r="F3513" t="s">
        <v>9410</v>
      </c>
      <c r="G3513" t="s">
        <v>9411</v>
      </c>
      <c r="H3513">
        <v>0</v>
      </c>
      <c r="I3513" t="s">
        <v>17</v>
      </c>
      <c r="K3513" t="s">
        <v>9412</v>
      </c>
      <c r="L3513">
        <v>408</v>
      </c>
      <c r="M3513" t="s">
        <v>9413</v>
      </c>
    </row>
    <row r="3514" spans="1:13" x14ac:dyDescent="0.45">
      <c r="A3514" t="s">
        <v>13</v>
      </c>
      <c r="B3514">
        <v>3886153</v>
      </c>
      <c r="C3514">
        <v>3886785</v>
      </c>
      <c r="E3514" t="s">
        <v>96</v>
      </c>
      <c r="F3514" t="s">
        <v>9414</v>
      </c>
      <c r="H3514">
        <v>0</v>
      </c>
      <c r="I3514" t="s">
        <v>17</v>
      </c>
      <c r="K3514" t="s">
        <v>9415</v>
      </c>
      <c r="L3514">
        <v>210</v>
      </c>
      <c r="M3514" t="s">
        <v>9416</v>
      </c>
    </row>
    <row r="3515" spans="1:13" x14ac:dyDescent="0.45">
      <c r="A3515" t="s">
        <v>13</v>
      </c>
      <c r="B3515">
        <v>3886773</v>
      </c>
      <c r="C3515">
        <v>3887660</v>
      </c>
      <c r="E3515" t="s">
        <v>96</v>
      </c>
      <c r="F3515" t="s">
        <v>9417</v>
      </c>
      <c r="H3515">
        <v>0</v>
      </c>
      <c r="I3515" t="s">
        <v>17</v>
      </c>
      <c r="K3515" t="s">
        <v>9418</v>
      </c>
      <c r="L3515">
        <v>295</v>
      </c>
      <c r="M3515" t="s">
        <v>9419</v>
      </c>
    </row>
    <row r="3516" spans="1:13" x14ac:dyDescent="0.45">
      <c r="A3516" t="s">
        <v>13</v>
      </c>
      <c r="B3516">
        <v>3887662</v>
      </c>
      <c r="C3516">
        <v>3888732</v>
      </c>
      <c r="E3516" t="s">
        <v>96</v>
      </c>
      <c r="F3516" t="s">
        <v>509</v>
      </c>
      <c r="H3516">
        <v>0</v>
      </c>
      <c r="I3516" t="s">
        <v>17</v>
      </c>
      <c r="K3516" t="s">
        <v>9420</v>
      </c>
      <c r="L3516">
        <v>356</v>
      </c>
      <c r="M3516" t="s">
        <v>9421</v>
      </c>
    </row>
    <row r="3517" spans="1:13" x14ac:dyDescent="0.45">
      <c r="A3517" t="s">
        <v>13</v>
      </c>
      <c r="B3517">
        <v>3888764</v>
      </c>
      <c r="C3517">
        <v>3889735</v>
      </c>
      <c r="E3517" t="s">
        <v>96</v>
      </c>
      <c r="F3517" t="s">
        <v>9422</v>
      </c>
      <c r="G3517" t="s">
        <v>9423</v>
      </c>
      <c r="H3517">
        <v>0</v>
      </c>
      <c r="I3517" t="s">
        <v>17</v>
      </c>
      <c r="K3517" t="s">
        <v>9424</v>
      </c>
      <c r="L3517">
        <v>323</v>
      </c>
      <c r="M3517" t="s">
        <v>9425</v>
      </c>
    </row>
    <row r="3518" spans="1:13" x14ac:dyDescent="0.45">
      <c r="A3518" t="s">
        <v>13</v>
      </c>
      <c r="B3518">
        <v>3889736</v>
      </c>
      <c r="C3518">
        <v>3891112</v>
      </c>
      <c r="E3518" t="s">
        <v>96</v>
      </c>
      <c r="F3518" t="s">
        <v>9426</v>
      </c>
      <c r="H3518">
        <v>0</v>
      </c>
      <c r="I3518" t="s">
        <v>17</v>
      </c>
      <c r="K3518" t="s">
        <v>9427</v>
      </c>
      <c r="L3518">
        <v>458</v>
      </c>
      <c r="M3518" t="s">
        <v>9428</v>
      </c>
    </row>
    <row r="3519" spans="1:13" x14ac:dyDescent="0.45">
      <c r="A3519" t="s">
        <v>13</v>
      </c>
      <c r="B3519">
        <v>3891151</v>
      </c>
      <c r="C3519">
        <v>3892665</v>
      </c>
      <c r="E3519" t="s">
        <v>96</v>
      </c>
      <c r="F3519" t="s">
        <v>9429</v>
      </c>
      <c r="H3519">
        <v>0</v>
      </c>
      <c r="I3519" t="s">
        <v>17</v>
      </c>
      <c r="K3519" t="s">
        <v>9430</v>
      </c>
      <c r="L3519">
        <v>504</v>
      </c>
      <c r="M3519" t="s">
        <v>9431</v>
      </c>
    </row>
    <row r="3520" spans="1:13" x14ac:dyDescent="0.45">
      <c r="A3520" t="s">
        <v>13</v>
      </c>
      <c r="B3520">
        <v>3893026</v>
      </c>
      <c r="C3520">
        <v>3893640</v>
      </c>
      <c r="E3520" t="s">
        <v>96</v>
      </c>
      <c r="F3520" t="s">
        <v>5165</v>
      </c>
      <c r="H3520">
        <v>0</v>
      </c>
      <c r="I3520" t="s">
        <v>17</v>
      </c>
      <c r="K3520" t="s">
        <v>9432</v>
      </c>
      <c r="L3520">
        <v>204</v>
      </c>
      <c r="M3520" t="s">
        <v>9433</v>
      </c>
    </row>
    <row r="3521" spans="1:13" x14ac:dyDescent="0.45">
      <c r="A3521" t="s">
        <v>13</v>
      </c>
      <c r="B3521">
        <v>3893660</v>
      </c>
      <c r="C3521">
        <v>3894433</v>
      </c>
      <c r="E3521" t="s">
        <v>96</v>
      </c>
      <c r="F3521" t="s">
        <v>9434</v>
      </c>
      <c r="G3521" t="s">
        <v>9435</v>
      </c>
      <c r="H3521">
        <v>0</v>
      </c>
      <c r="I3521" t="s">
        <v>17</v>
      </c>
      <c r="K3521" t="s">
        <v>9436</v>
      </c>
      <c r="L3521">
        <v>257</v>
      </c>
      <c r="M3521" t="s">
        <v>9437</v>
      </c>
    </row>
    <row r="3522" spans="1:13" x14ac:dyDescent="0.45">
      <c r="A3522" t="s">
        <v>13</v>
      </c>
      <c r="B3522">
        <v>3894443</v>
      </c>
      <c r="C3522">
        <v>3895003</v>
      </c>
      <c r="E3522" t="s">
        <v>96</v>
      </c>
      <c r="F3522" t="s">
        <v>9438</v>
      </c>
      <c r="G3522" t="s">
        <v>9439</v>
      </c>
      <c r="H3522">
        <v>0</v>
      </c>
      <c r="I3522" t="s">
        <v>17</v>
      </c>
      <c r="K3522" t="s">
        <v>9440</v>
      </c>
      <c r="L3522">
        <v>186</v>
      </c>
      <c r="M3522" t="s">
        <v>9441</v>
      </c>
    </row>
    <row r="3523" spans="1:13" x14ac:dyDescent="0.45">
      <c r="A3523" t="s">
        <v>13</v>
      </c>
      <c r="B3523">
        <v>3895035</v>
      </c>
      <c r="C3523">
        <v>3896081</v>
      </c>
      <c r="E3523" t="s">
        <v>96</v>
      </c>
      <c r="F3523" t="s">
        <v>9442</v>
      </c>
      <c r="G3523" t="s">
        <v>9443</v>
      </c>
      <c r="H3523">
        <v>0</v>
      </c>
      <c r="I3523" t="s">
        <v>17</v>
      </c>
      <c r="K3523" t="s">
        <v>9444</v>
      </c>
      <c r="L3523">
        <v>348</v>
      </c>
      <c r="M3523" t="s">
        <v>9445</v>
      </c>
    </row>
    <row r="3524" spans="1:13" x14ac:dyDescent="0.45">
      <c r="A3524" t="s">
        <v>13</v>
      </c>
      <c r="B3524">
        <v>3896301</v>
      </c>
      <c r="C3524">
        <v>3896492</v>
      </c>
      <c r="E3524" t="s">
        <v>14</v>
      </c>
      <c r="F3524" t="s">
        <v>43</v>
      </c>
      <c r="H3524">
        <v>0</v>
      </c>
      <c r="I3524" t="s">
        <v>17</v>
      </c>
      <c r="K3524" t="s">
        <v>9446</v>
      </c>
      <c r="L3524">
        <v>63</v>
      </c>
      <c r="M3524" t="s">
        <v>9447</v>
      </c>
    </row>
    <row r="3525" spans="1:13" x14ac:dyDescent="0.45">
      <c r="A3525" t="s">
        <v>13</v>
      </c>
      <c r="B3525">
        <v>3896886</v>
      </c>
      <c r="C3525">
        <v>3897758</v>
      </c>
      <c r="E3525" t="s">
        <v>14</v>
      </c>
      <c r="F3525" t="s">
        <v>9448</v>
      </c>
      <c r="H3525">
        <v>0</v>
      </c>
      <c r="I3525" t="s">
        <v>17</v>
      </c>
      <c r="K3525" t="s">
        <v>9449</v>
      </c>
      <c r="L3525">
        <v>290</v>
      </c>
      <c r="M3525" t="s">
        <v>9450</v>
      </c>
    </row>
    <row r="3526" spans="1:13" x14ac:dyDescent="0.45">
      <c r="A3526" t="s">
        <v>13</v>
      </c>
      <c r="B3526">
        <v>3897955</v>
      </c>
      <c r="C3526">
        <v>3899142</v>
      </c>
      <c r="E3526" t="s">
        <v>96</v>
      </c>
      <c r="F3526" t="s">
        <v>5578</v>
      </c>
      <c r="H3526">
        <v>0</v>
      </c>
      <c r="I3526" t="s">
        <v>17</v>
      </c>
      <c r="K3526" t="s">
        <v>9451</v>
      </c>
      <c r="L3526">
        <v>395</v>
      </c>
      <c r="M3526" t="s">
        <v>9452</v>
      </c>
    </row>
    <row r="3527" spans="1:13" x14ac:dyDescent="0.45">
      <c r="A3527" t="s">
        <v>13</v>
      </c>
      <c r="B3527">
        <v>3899147</v>
      </c>
      <c r="C3527">
        <v>3900217</v>
      </c>
      <c r="E3527" t="s">
        <v>96</v>
      </c>
      <c r="F3527" t="s">
        <v>6428</v>
      </c>
      <c r="H3527">
        <v>0</v>
      </c>
      <c r="I3527" t="s">
        <v>17</v>
      </c>
      <c r="K3527" t="s">
        <v>9453</v>
      </c>
      <c r="L3527">
        <v>356</v>
      </c>
      <c r="M3527" t="s">
        <v>9454</v>
      </c>
    </row>
    <row r="3528" spans="1:13" x14ac:dyDescent="0.45">
      <c r="A3528" t="s">
        <v>13</v>
      </c>
      <c r="B3528">
        <v>3900227</v>
      </c>
      <c r="C3528">
        <v>3901549</v>
      </c>
      <c r="E3528" t="s">
        <v>96</v>
      </c>
      <c r="F3528" t="s">
        <v>2525</v>
      </c>
      <c r="H3528">
        <v>0</v>
      </c>
      <c r="I3528" t="s">
        <v>17</v>
      </c>
      <c r="K3528" t="s">
        <v>9455</v>
      </c>
      <c r="L3528">
        <v>440</v>
      </c>
      <c r="M3528" t="s">
        <v>9456</v>
      </c>
    </row>
    <row r="3529" spans="1:13" x14ac:dyDescent="0.45">
      <c r="A3529" t="s">
        <v>13</v>
      </c>
      <c r="B3529">
        <v>3901581</v>
      </c>
      <c r="C3529">
        <v>3901916</v>
      </c>
      <c r="E3529" t="s">
        <v>96</v>
      </c>
      <c r="F3529" t="s">
        <v>230</v>
      </c>
      <c r="H3529">
        <v>0</v>
      </c>
      <c r="I3529" t="s">
        <v>17</v>
      </c>
      <c r="K3529" t="s">
        <v>9457</v>
      </c>
      <c r="L3529">
        <v>111</v>
      </c>
      <c r="M3529" t="s">
        <v>9458</v>
      </c>
    </row>
    <row r="3530" spans="1:13" x14ac:dyDescent="0.45">
      <c r="A3530" t="s">
        <v>13</v>
      </c>
      <c r="B3530">
        <v>3902013</v>
      </c>
      <c r="C3530">
        <v>3902318</v>
      </c>
      <c r="E3530" t="s">
        <v>96</v>
      </c>
      <c r="F3530" t="s">
        <v>616</v>
      </c>
      <c r="H3530">
        <v>0</v>
      </c>
      <c r="I3530" t="s">
        <v>17</v>
      </c>
      <c r="K3530" t="s">
        <v>9459</v>
      </c>
      <c r="L3530">
        <v>101</v>
      </c>
      <c r="M3530" t="s">
        <v>9460</v>
      </c>
    </row>
    <row r="3531" spans="1:13" x14ac:dyDescent="0.45">
      <c r="A3531" t="s">
        <v>13</v>
      </c>
      <c r="B3531">
        <v>3902333</v>
      </c>
      <c r="C3531">
        <v>3903376</v>
      </c>
      <c r="E3531" t="s">
        <v>96</v>
      </c>
      <c r="F3531" t="s">
        <v>2923</v>
      </c>
      <c r="G3531" t="s">
        <v>9461</v>
      </c>
      <c r="H3531">
        <v>0</v>
      </c>
      <c r="I3531" t="s">
        <v>17</v>
      </c>
      <c r="K3531" t="s">
        <v>9462</v>
      </c>
      <c r="L3531">
        <v>347</v>
      </c>
      <c r="M3531" t="s">
        <v>9463</v>
      </c>
    </row>
    <row r="3532" spans="1:13" x14ac:dyDescent="0.45">
      <c r="A3532" t="s">
        <v>13</v>
      </c>
      <c r="B3532">
        <v>3903379</v>
      </c>
      <c r="C3532">
        <v>3905280</v>
      </c>
      <c r="E3532" t="s">
        <v>96</v>
      </c>
      <c r="F3532" t="s">
        <v>613</v>
      </c>
      <c r="H3532">
        <v>0</v>
      </c>
      <c r="I3532" t="s">
        <v>17</v>
      </c>
      <c r="K3532" t="s">
        <v>9464</v>
      </c>
      <c r="L3532">
        <v>633</v>
      </c>
      <c r="M3532" t="s">
        <v>9465</v>
      </c>
    </row>
    <row r="3533" spans="1:13" x14ac:dyDescent="0.45">
      <c r="A3533" t="s">
        <v>13</v>
      </c>
      <c r="B3533">
        <v>3905606</v>
      </c>
      <c r="C3533">
        <v>3906457</v>
      </c>
      <c r="E3533" t="s">
        <v>96</v>
      </c>
      <c r="F3533" t="s">
        <v>8493</v>
      </c>
      <c r="G3533" t="s">
        <v>9466</v>
      </c>
      <c r="H3533">
        <v>0</v>
      </c>
      <c r="I3533" t="s">
        <v>17</v>
      </c>
      <c r="K3533" t="s">
        <v>9467</v>
      </c>
      <c r="L3533">
        <v>283</v>
      </c>
      <c r="M3533" t="s">
        <v>9468</v>
      </c>
    </row>
    <row r="3534" spans="1:13" x14ac:dyDescent="0.45">
      <c r="A3534" t="s">
        <v>13</v>
      </c>
      <c r="B3534">
        <v>3906506</v>
      </c>
      <c r="C3534">
        <v>3907669</v>
      </c>
      <c r="E3534" t="s">
        <v>96</v>
      </c>
      <c r="F3534" t="s">
        <v>7193</v>
      </c>
      <c r="H3534">
        <v>0</v>
      </c>
      <c r="I3534" t="s">
        <v>17</v>
      </c>
      <c r="K3534" t="s">
        <v>9469</v>
      </c>
      <c r="L3534">
        <v>387</v>
      </c>
      <c r="M3534" t="s">
        <v>9470</v>
      </c>
    </row>
    <row r="3535" spans="1:13" x14ac:dyDescent="0.45">
      <c r="A3535" t="s">
        <v>13</v>
      </c>
      <c r="B3535">
        <v>3908137</v>
      </c>
      <c r="C3535">
        <v>3909054</v>
      </c>
      <c r="E3535" t="s">
        <v>14</v>
      </c>
      <c r="F3535" t="s">
        <v>3825</v>
      </c>
      <c r="H3535">
        <v>0</v>
      </c>
      <c r="I3535" t="s">
        <v>17</v>
      </c>
      <c r="K3535" t="s">
        <v>9471</v>
      </c>
      <c r="L3535">
        <v>305</v>
      </c>
      <c r="M3535" t="s">
        <v>9472</v>
      </c>
    </row>
    <row r="3536" spans="1:13" x14ac:dyDescent="0.45">
      <c r="A3536" t="s">
        <v>13</v>
      </c>
      <c r="B3536">
        <v>3909183</v>
      </c>
      <c r="C3536">
        <v>3910112</v>
      </c>
      <c r="E3536" t="s">
        <v>96</v>
      </c>
      <c r="F3536" t="s">
        <v>6446</v>
      </c>
      <c r="G3536" t="s">
        <v>6447</v>
      </c>
      <c r="H3536">
        <v>0</v>
      </c>
      <c r="I3536" t="s">
        <v>17</v>
      </c>
      <c r="K3536" t="s">
        <v>9473</v>
      </c>
      <c r="L3536">
        <v>309</v>
      </c>
      <c r="M3536" t="s">
        <v>9474</v>
      </c>
    </row>
    <row r="3537" spans="1:13" x14ac:dyDescent="0.45">
      <c r="A3537" t="s">
        <v>13</v>
      </c>
      <c r="B3537">
        <v>3910381</v>
      </c>
      <c r="C3537">
        <v>3911106</v>
      </c>
      <c r="E3537" t="s">
        <v>14</v>
      </c>
      <c r="F3537" t="s">
        <v>1909</v>
      </c>
      <c r="H3537">
        <v>0</v>
      </c>
      <c r="I3537" t="s">
        <v>17</v>
      </c>
      <c r="K3537" t="s">
        <v>9475</v>
      </c>
      <c r="L3537">
        <v>241</v>
      </c>
      <c r="M3537" t="s">
        <v>9476</v>
      </c>
    </row>
    <row r="3538" spans="1:13" x14ac:dyDescent="0.45">
      <c r="A3538" t="s">
        <v>13</v>
      </c>
      <c r="B3538">
        <v>3911189</v>
      </c>
      <c r="C3538">
        <v>3912343</v>
      </c>
      <c r="E3538" t="s">
        <v>14</v>
      </c>
      <c r="F3538" t="s">
        <v>2736</v>
      </c>
      <c r="G3538" t="s">
        <v>2737</v>
      </c>
      <c r="H3538">
        <v>0</v>
      </c>
      <c r="I3538" t="s">
        <v>17</v>
      </c>
      <c r="K3538" t="s">
        <v>9477</v>
      </c>
      <c r="L3538">
        <v>384</v>
      </c>
      <c r="M3538" t="s">
        <v>9478</v>
      </c>
    </row>
    <row r="3539" spans="1:13" x14ac:dyDescent="0.45">
      <c r="A3539" t="s">
        <v>13</v>
      </c>
      <c r="B3539">
        <v>3912703</v>
      </c>
      <c r="C3539">
        <v>3913917</v>
      </c>
      <c r="E3539" t="s">
        <v>96</v>
      </c>
      <c r="F3539" t="s">
        <v>271</v>
      </c>
      <c r="H3539">
        <v>0</v>
      </c>
      <c r="I3539" t="s">
        <v>272</v>
      </c>
      <c r="M3539" t="s">
        <v>9479</v>
      </c>
    </row>
    <row r="3540" spans="1:13" x14ac:dyDescent="0.45">
      <c r="A3540" t="s">
        <v>13</v>
      </c>
      <c r="B3540">
        <v>3914159</v>
      </c>
      <c r="C3540">
        <v>3914890</v>
      </c>
      <c r="E3540" t="s">
        <v>96</v>
      </c>
      <c r="F3540" t="s">
        <v>43</v>
      </c>
      <c r="H3540">
        <v>0</v>
      </c>
      <c r="I3540" t="s">
        <v>17</v>
      </c>
      <c r="K3540" t="s">
        <v>9480</v>
      </c>
      <c r="L3540">
        <v>243</v>
      </c>
      <c r="M3540" t="s">
        <v>9481</v>
      </c>
    </row>
    <row r="3541" spans="1:13" x14ac:dyDescent="0.45">
      <c r="A3541" t="s">
        <v>13</v>
      </c>
      <c r="B3541">
        <v>3915224</v>
      </c>
      <c r="C3541">
        <v>3916477</v>
      </c>
      <c r="E3541" t="s">
        <v>96</v>
      </c>
      <c r="F3541" t="s">
        <v>3710</v>
      </c>
      <c r="H3541">
        <v>0</v>
      </c>
      <c r="I3541" t="s">
        <v>17</v>
      </c>
      <c r="K3541" t="s">
        <v>9482</v>
      </c>
      <c r="L3541">
        <v>417</v>
      </c>
      <c r="M3541" t="s">
        <v>9483</v>
      </c>
    </row>
    <row r="3542" spans="1:13" x14ac:dyDescent="0.45">
      <c r="A3542" t="s">
        <v>13</v>
      </c>
      <c r="B3542">
        <v>3916817</v>
      </c>
      <c r="C3542">
        <v>3917953</v>
      </c>
      <c r="E3542" t="s">
        <v>14</v>
      </c>
      <c r="F3542" t="s">
        <v>1906</v>
      </c>
      <c r="H3542">
        <v>0</v>
      </c>
      <c r="I3542" t="s">
        <v>17</v>
      </c>
      <c r="K3542" t="s">
        <v>9484</v>
      </c>
      <c r="L3542">
        <v>378</v>
      </c>
      <c r="M3542" t="s">
        <v>9485</v>
      </c>
    </row>
    <row r="3543" spans="1:13" x14ac:dyDescent="0.45">
      <c r="A3543" t="s">
        <v>13</v>
      </c>
      <c r="B3543">
        <v>3918286</v>
      </c>
      <c r="C3543">
        <v>3918861</v>
      </c>
      <c r="E3543" t="s">
        <v>14</v>
      </c>
      <c r="F3543" t="s">
        <v>43</v>
      </c>
      <c r="H3543">
        <v>0</v>
      </c>
      <c r="I3543" t="s">
        <v>17</v>
      </c>
      <c r="K3543" t="s">
        <v>9486</v>
      </c>
      <c r="L3543">
        <v>191</v>
      </c>
      <c r="M3543" t="s">
        <v>9487</v>
      </c>
    </row>
    <row r="3544" spans="1:13" x14ac:dyDescent="0.45">
      <c r="A3544" t="s">
        <v>13</v>
      </c>
      <c r="B3544">
        <v>3918872</v>
      </c>
      <c r="C3544">
        <v>3919060</v>
      </c>
      <c r="E3544" t="s">
        <v>14</v>
      </c>
      <c r="F3544" t="s">
        <v>43</v>
      </c>
      <c r="H3544">
        <v>0</v>
      </c>
      <c r="I3544" t="s">
        <v>17</v>
      </c>
      <c r="K3544" t="s">
        <v>9488</v>
      </c>
      <c r="L3544">
        <v>62</v>
      </c>
      <c r="M3544" t="s">
        <v>9489</v>
      </c>
    </row>
    <row r="3545" spans="1:13" x14ac:dyDescent="0.45">
      <c r="A3545" t="s">
        <v>13</v>
      </c>
      <c r="B3545">
        <v>3919255</v>
      </c>
      <c r="C3545">
        <v>3919812</v>
      </c>
      <c r="E3545" t="s">
        <v>14</v>
      </c>
      <c r="F3545" t="s">
        <v>3330</v>
      </c>
      <c r="H3545">
        <v>0</v>
      </c>
      <c r="I3545" t="s">
        <v>17</v>
      </c>
      <c r="K3545" t="s">
        <v>9490</v>
      </c>
      <c r="L3545">
        <v>185</v>
      </c>
      <c r="M3545" t="s">
        <v>9491</v>
      </c>
    </row>
    <row r="3546" spans="1:13" x14ac:dyDescent="0.45">
      <c r="A3546" t="s">
        <v>13</v>
      </c>
      <c r="B3546">
        <v>3920112</v>
      </c>
      <c r="C3546">
        <v>3920855</v>
      </c>
      <c r="E3546" t="s">
        <v>14</v>
      </c>
      <c r="F3546" t="s">
        <v>43</v>
      </c>
      <c r="H3546">
        <v>0</v>
      </c>
      <c r="I3546" t="s">
        <v>17</v>
      </c>
      <c r="K3546" t="s">
        <v>9492</v>
      </c>
      <c r="L3546">
        <v>247</v>
      </c>
      <c r="M3546" t="s">
        <v>9493</v>
      </c>
    </row>
    <row r="3547" spans="1:13" x14ac:dyDescent="0.45">
      <c r="A3547" t="s">
        <v>13</v>
      </c>
      <c r="B3547">
        <v>3921051</v>
      </c>
      <c r="C3547">
        <v>3921269</v>
      </c>
      <c r="E3547" t="s">
        <v>14</v>
      </c>
      <c r="F3547" t="s">
        <v>43</v>
      </c>
      <c r="H3547">
        <v>0</v>
      </c>
      <c r="I3547" t="s">
        <v>17</v>
      </c>
      <c r="K3547" t="s">
        <v>9494</v>
      </c>
      <c r="L3547">
        <v>72</v>
      </c>
      <c r="M3547" t="s">
        <v>9495</v>
      </c>
    </row>
    <row r="3548" spans="1:13" x14ac:dyDescent="0.45">
      <c r="A3548" t="s">
        <v>13</v>
      </c>
      <c r="B3548">
        <v>3921309</v>
      </c>
      <c r="C3548">
        <v>3921851</v>
      </c>
      <c r="E3548" t="s">
        <v>14</v>
      </c>
      <c r="F3548" t="s">
        <v>43</v>
      </c>
      <c r="H3548">
        <v>0</v>
      </c>
      <c r="I3548" t="s">
        <v>17</v>
      </c>
      <c r="K3548" t="s">
        <v>9496</v>
      </c>
      <c r="L3548">
        <v>180</v>
      </c>
      <c r="M3548" t="s">
        <v>9497</v>
      </c>
    </row>
    <row r="3549" spans="1:13" x14ac:dyDescent="0.45">
      <c r="A3549" t="s">
        <v>13</v>
      </c>
      <c r="B3549">
        <v>3921937</v>
      </c>
      <c r="C3549">
        <v>3923151</v>
      </c>
      <c r="E3549" t="s">
        <v>14</v>
      </c>
      <c r="F3549" t="s">
        <v>271</v>
      </c>
      <c r="H3549">
        <v>0</v>
      </c>
      <c r="I3549" t="s">
        <v>272</v>
      </c>
      <c r="M3549" t="s">
        <v>9498</v>
      </c>
    </row>
    <row r="3550" spans="1:13" x14ac:dyDescent="0.45">
      <c r="A3550" t="s">
        <v>13</v>
      </c>
      <c r="B3550">
        <v>3923129</v>
      </c>
      <c r="C3550">
        <v>3923507</v>
      </c>
      <c r="E3550" t="s">
        <v>14</v>
      </c>
      <c r="F3550" t="s">
        <v>271</v>
      </c>
      <c r="H3550">
        <v>0</v>
      </c>
      <c r="I3550" t="s">
        <v>272</v>
      </c>
      <c r="M3550" t="s">
        <v>9499</v>
      </c>
    </row>
    <row r="3551" spans="1:13" x14ac:dyDescent="0.45">
      <c r="A3551" t="s">
        <v>13</v>
      </c>
      <c r="B3551">
        <v>3923680</v>
      </c>
      <c r="C3551">
        <v>3924123</v>
      </c>
      <c r="E3551" t="s">
        <v>96</v>
      </c>
      <c r="F3551" t="s">
        <v>43</v>
      </c>
      <c r="H3551">
        <v>0</v>
      </c>
      <c r="I3551" t="s">
        <v>17</v>
      </c>
      <c r="K3551" t="s">
        <v>9500</v>
      </c>
      <c r="L3551">
        <v>147</v>
      </c>
      <c r="M3551" t="s">
        <v>9501</v>
      </c>
    </row>
    <row r="3552" spans="1:13" x14ac:dyDescent="0.45">
      <c r="A3552" t="s">
        <v>13</v>
      </c>
      <c r="B3552">
        <v>3924341</v>
      </c>
      <c r="C3552">
        <v>3924784</v>
      </c>
      <c r="E3552" t="s">
        <v>96</v>
      </c>
      <c r="F3552" t="s">
        <v>43</v>
      </c>
      <c r="H3552">
        <v>0</v>
      </c>
      <c r="I3552" t="s">
        <v>17</v>
      </c>
      <c r="K3552" t="s">
        <v>9502</v>
      </c>
      <c r="L3552">
        <v>147</v>
      </c>
      <c r="M3552" t="s">
        <v>9503</v>
      </c>
    </row>
    <row r="3553" spans="1:13" x14ac:dyDescent="0.45">
      <c r="A3553" t="s">
        <v>13</v>
      </c>
      <c r="B3553">
        <v>3924806</v>
      </c>
      <c r="C3553">
        <v>3925123</v>
      </c>
      <c r="E3553" t="s">
        <v>96</v>
      </c>
      <c r="F3553" t="s">
        <v>9504</v>
      </c>
      <c r="H3553">
        <v>0</v>
      </c>
      <c r="I3553" t="s">
        <v>17</v>
      </c>
      <c r="K3553" t="s">
        <v>9505</v>
      </c>
      <c r="L3553">
        <v>105</v>
      </c>
      <c r="M3553" t="s">
        <v>9506</v>
      </c>
    </row>
    <row r="3554" spans="1:13" x14ac:dyDescent="0.45">
      <c r="A3554" t="s">
        <v>13</v>
      </c>
      <c r="B3554">
        <v>3925313</v>
      </c>
      <c r="C3554">
        <v>3926014</v>
      </c>
      <c r="E3554" t="s">
        <v>96</v>
      </c>
      <c r="F3554" t="s">
        <v>9507</v>
      </c>
      <c r="H3554">
        <v>0</v>
      </c>
      <c r="I3554" t="s">
        <v>17</v>
      </c>
      <c r="K3554" t="s">
        <v>9508</v>
      </c>
      <c r="L3554">
        <v>233</v>
      </c>
      <c r="M3554" t="s">
        <v>9509</v>
      </c>
    </row>
    <row r="3555" spans="1:13" x14ac:dyDescent="0.45">
      <c r="A3555" t="s">
        <v>13</v>
      </c>
      <c r="B3555">
        <v>3926007</v>
      </c>
      <c r="C3555">
        <v>3926549</v>
      </c>
      <c r="E3555" t="s">
        <v>96</v>
      </c>
      <c r="F3555" t="s">
        <v>1991</v>
      </c>
      <c r="H3555">
        <v>0</v>
      </c>
      <c r="I3555" t="s">
        <v>17</v>
      </c>
      <c r="K3555" t="s">
        <v>9510</v>
      </c>
      <c r="L3555">
        <v>180</v>
      </c>
      <c r="M3555" t="s">
        <v>9511</v>
      </c>
    </row>
    <row r="3556" spans="1:13" x14ac:dyDescent="0.45">
      <c r="A3556" t="s">
        <v>13</v>
      </c>
      <c r="B3556">
        <v>3926789</v>
      </c>
      <c r="C3556">
        <v>3926971</v>
      </c>
      <c r="E3556" t="s">
        <v>96</v>
      </c>
      <c r="F3556" t="s">
        <v>43</v>
      </c>
      <c r="H3556">
        <v>0</v>
      </c>
      <c r="I3556" t="s">
        <v>17</v>
      </c>
      <c r="K3556" t="s">
        <v>9512</v>
      </c>
      <c r="L3556">
        <v>60</v>
      </c>
      <c r="M3556" t="s">
        <v>9513</v>
      </c>
    </row>
    <row r="3557" spans="1:13" x14ac:dyDescent="0.45">
      <c r="A3557" t="s">
        <v>13</v>
      </c>
      <c r="B3557">
        <v>3926999</v>
      </c>
      <c r="C3557">
        <v>3927610</v>
      </c>
      <c r="E3557" t="s">
        <v>96</v>
      </c>
      <c r="F3557" t="s">
        <v>43</v>
      </c>
      <c r="H3557">
        <v>0</v>
      </c>
      <c r="I3557" t="s">
        <v>17</v>
      </c>
      <c r="K3557" t="s">
        <v>9514</v>
      </c>
      <c r="L3557">
        <v>203</v>
      </c>
      <c r="M3557" t="s">
        <v>9515</v>
      </c>
    </row>
    <row r="3558" spans="1:13" x14ac:dyDescent="0.45">
      <c r="A3558" t="s">
        <v>13</v>
      </c>
      <c r="B3558">
        <v>3928087</v>
      </c>
      <c r="C3558">
        <v>3929301</v>
      </c>
      <c r="E3558" t="s">
        <v>96</v>
      </c>
      <c r="F3558" t="s">
        <v>9516</v>
      </c>
      <c r="H3558">
        <v>0</v>
      </c>
      <c r="I3558" t="s">
        <v>17</v>
      </c>
      <c r="K3558" t="s">
        <v>9517</v>
      </c>
      <c r="L3558">
        <v>404</v>
      </c>
      <c r="M3558" t="s">
        <v>9518</v>
      </c>
    </row>
    <row r="3559" spans="1:13" x14ac:dyDescent="0.45">
      <c r="A3559" t="s">
        <v>13</v>
      </c>
      <c r="B3559">
        <v>3929488</v>
      </c>
      <c r="C3559">
        <v>3930645</v>
      </c>
      <c r="E3559" t="s">
        <v>96</v>
      </c>
      <c r="F3559" t="s">
        <v>8444</v>
      </c>
      <c r="H3559">
        <v>0</v>
      </c>
      <c r="I3559" t="s">
        <v>17</v>
      </c>
      <c r="K3559" t="s">
        <v>9519</v>
      </c>
      <c r="L3559">
        <v>385</v>
      </c>
      <c r="M3559" t="s">
        <v>9520</v>
      </c>
    </row>
    <row r="3560" spans="1:13" x14ac:dyDescent="0.45">
      <c r="A3560" t="s">
        <v>13</v>
      </c>
      <c r="B3560">
        <v>3930799</v>
      </c>
      <c r="C3560">
        <v>3931368</v>
      </c>
      <c r="E3560" t="s">
        <v>14</v>
      </c>
      <c r="F3560" t="s">
        <v>9521</v>
      </c>
      <c r="H3560">
        <v>0</v>
      </c>
      <c r="I3560" t="s">
        <v>17</v>
      </c>
      <c r="K3560" t="s">
        <v>9522</v>
      </c>
      <c r="L3560">
        <v>189</v>
      </c>
      <c r="M3560" t="s">
        <v>9523</v>
      </c>
    </row>
    <row r="3561" spans="1:13" x14ac:dyDescent="0.45">
      <c r="A3561" t="s">
        <v>13</v>
      </c>
      <c r="B3561">
        <v>3931550</v>
      </c>
      <c r="C3561">
        <v>3931966</v>
      </c>
      <c r="E3561" t="s">
        <v>96</v>
      </c>
      <c r="F3561" t="s">
        <v>43</v>
      </c>
      <c r="H3561">
        <v>0</v>
      </c>
      <c r="I3561" t="s">
        <v>17</v>
      </c>
      <c r="K3561" t="s">
        <v>9524</v>
      </c>
      <c r="L3561">
        <v>138</v>
      </c>
      <c r="M3561" t="s">
        <v>9525</v>
      </c>
    </row>
    <row r="3562" spans="1:13" x14ac:dyDescent="0.45">
      <c r="A3562" t="s">
        <v>13</v>
      </c>
      <c r="B3562">
        <v>3932192</v>
      </c>
      <c r="C3562">
        <v>3933286</v>
      </c>
      <c r="E3562" t="s">
        <v>96</v>
      </c>
      <c r="F3562" t="s">
        <v>43</v>
      </c>
      <c r="H3562">
        <v>0</v>
      </c>
      <c r="I3562" t="s">
        <v>17</v>
      </c>
      <c r="K3562" t="s">
        <v>9526</v>
      </c>
      <c r="L3562">
        <v>364</v>
      </c>
      <c r="M3562" t="s">
        <v>9527</v>
      </c>
    </row>
    <row r="3563" spans="1:13" x14ac:dyDescent="0.45">
      <c r="A3563" t="s">
        <v>13</v>
      </c>
      <c r="B3563">
        <v>3933709</v>
      </c>
      <c r="C3563">
        <v>3934650</v>
      </c>
      <c r="E3563" t="s">
        <v>96</v>
      </c>
      <c r="F3563" t="s">
        <v>6549</v>
      </c>
      <c r="H3563">
        <v>0</v>
      </c>
      <c r="I3563" t="s">
        <v>17</v>
      </c>
      <c r="K3563" t="s">
        <v>9528</v>
      </c>
      <c r="L3563">
        <v>313</v>
      </c>
      <c r="M3563" t="s">
        <v>9529</v>
      </c>
    </row>
    <row r="3564" spans="1:13" x14ac:dyDescent="0.45">
      <c r="A3564" t="s">
        <v>13</v>
      </c>
      <c r="B3564">
        <v>3934643</v>
      </c>
      <c r="C3564">
        <v>3935470</v>
      </c>
      <c r="E3564" t="s">
        <v>96</v>
      </c>
      <c r="F3564" t="s">
        <v>6552</v>
      </c>
      <c r="H3564">
        <v>0</v>
      </c>
      <c r="I3564" t="s">
        <v>17</v>
      </c>
      <c r="K3564" t="s">
        <v>9530</v>
      </c>
      <c r="L3564">
        <v>275</v>
      </c>
      <c r="M3564" t="s">
        <v>9531</v>
      </c>
    </row>
    <row r="3565" spans="1:13" x14ac:dyDescent="0.45">
      <c r="A3565" t="s">
        <v>13</v>
      </c>
      <c r="B3565">
        <v>3935641</v>
      </c>
      <c r="C3565">
        <v>3936024</v>
      </c>
      <c r="E3565" t="s">
        <v>96</v>
      </c>
      <c r="F3565" t="s">
        <v>9532</v>
      </c>
      <c r="H3565">
        <v>0</v>
      </c>
      <c r="I3565" t="s">
        <v>17</v>
      </c>
      <c r="K3565" t="s">
        <v>9533</v>
      </c>
      <c r="L3565">
        <v>127</v>
      </c>
      <c r="M3565" t="s">
        <v>9534</v>
      </c>
    </row>
    <row r="3566" spans="1:13" x14ac:dyDescent="0.45">
      <c r="A3566" t="s">
        <v>13</v>
      </c>
      <c r="B3566">
        <v>3935993</v>
      </c>
      <c r="C3566">
        <v>3936280</v>
      </c>
      <c r="E3566" t="s">
        <v>96</v>
      </c>
      <c r="F3566" t="s">
        <v>9535</v>
      </c>
      <c r="H3566">
        <v>0</v>
      </c>
      <c r="I3566" t="s">
        <v>17</v>
      </c>
      <c r="K3566" t="s">
        <v>9536</v>
      </c>
      <c r="L3566">
        <v>95</v>
      </c>
      <c r="M3566" t="s">
        <v>9537</v>
      </c>
    </row>
    <row r="3567" spans="1:13" x14ac:dyDescent="0.45">
      <c r="A3567" t="s">
        <v>13</v>
      </c>
      <c r="B3567">
        <v>3936313</v>
      </c>
      <c r="C3567">
        <v>3937470</v>
      </c>
      <c r="E3567" t="s">
        <v>96</v>
      </c>
      <c r="F3567" t="s">
        <v>7966</v>
      </c>
      <c r="G3567" t="s">
        <v>9538</v>
      </c>
      <c r="H3567">
        <v>0</v>
      </c>
      <c r="I3567" t="s">
        <v>17</v>
      </c>
      <c r="K3567" t="s">
        <v>9539</v>
      </c>
      <c r="L3567">
        <v>385</v>
      </c>
      <c r="M3567" t="s">
        <v>9540</v>
      </c>
    </row>
    <row r="3568" spans="1:13" x14ac:dyDescent="0.45">
      <c r="A3568" t="s">
        <v>13</v>
      </c>
      <c r="B3568">
        <v>3937485</v>
      </c>
      <c r="C3568">
        <v>3938075</v>
      </c>
      <c r="E3568" t="s">
        <v>96</v>
      </c>
      <c r="F3568" t="s">
        <v>9541</v>
      </c>
      <c r="G3568" t="s">
        <v>9542</v>
      </c>
      <c r="H3568">
        <v>0</v>
      </c>
      <c r="I3568" t="s">
        <v>17</v>
      </c>
      <c r="K3568" t="s">
        <v>9543</v>
      </c>
      <c r="L3568">
        <v>196</v>
      </c>
      <c r="M3568" t="s">
        <v>9544</v>
      </c>
    </row>
    <row r="3569" spans="1:13" x14ac:dyDescent="0.45">
      <c r="A3569" t="s">
        <v>13</v>
      </c>
      <c r="B3569">
        <v>3938096</v>
      </c>
      <c r="C3569">
        <v>3938557</v>
      </c>
      <c r="E3569" t="s">
        <v>96</v>
      </c>
      <c r="F3569" t="s">
        <v>3715</v>
      </c>
      <c r="H3569">
        <v>0</v>
      </c>
      <c r="I3569" t="s">
        <v>17</v>
      </c>
      <c r="K3569" t="s">
        <v>9545</v>
      </c>
      <c r="L3569">
        <v>153</v>
      </c>
      <c r="M3569" t="s">
        <v>9546</v>
      </c>
    </row>
    <row r="3570" spans="1:13" x14ac:dyDescent="0.45">
      <c r="A3570" t="s">
        <v>13</v>
      </c>
      <c r="B3570">
        <v>3938572</v>
      </c>
      <c r="C3570">
        <v>3938952</v>
      </c>
      <c r="E3570" t="s">
        <v>96</v>
      </c>
      <c r="F3570" t="s">
        <v>9547</v>
      </c>
      <c r="G3570" t="s">
        <v>9548</v>
      </c>
      <c r="H3570">
        <v>0</v>
      </c>
      <c r="I3570" t="s">
        <v>17</v>
      </c>
      <c r="K3570" t="s">
        <v>9549</v>
      </c>
      <c r="L3570">
        <v>126</v>
      </c>
      <c r="M3570" t="s">
        <v>9550</v>
      </c>
    </row>
    <row r="3571" spans="1:13" x14ac:dyDescent="0.45">
      <c r="A3571" t="s">
        <v>13</v>
      </c>
      <c r="B3571">
        <v>3939414</v>
      </c>
      <c r="C3571">
        <v>3939674</v>
      </c>
      <c r="E3571" t="s">
        <v>96</v>
      </c>
      <c r="F3571" t="s">
        <v>9551</v>
      </c>
      <c r="G3571" t="s">
        <v>9552</v>
      </c>
      <c r="H3571">
        <v>0</v>
      </c>
      <c r="I3571" t="s">
        <v>17</v>
      </c>
      <c r="K3571" t="s">
        <v>9553</v>
      </c>
      <c r="L3571">
        <v>86</v>
      </c>
      <c r="M3571" t="s">
        <v>9554</v>
      </c>
    </row>
    <row r="3572" spans="1:13" x14ac:dyDescent="0.45">
      <c r="A3572" t="s">
        <v>13</v>
      </c>
      <c r="B3572">
        <v>3939677</v>
      </c>
      <c r="C3572">
        <v>3941071</v>
      </c>
      <c r="E3572" t="s">
        <v>96</v>
      </c>
      <c r="F3572" t="s">
        <v>9555</v>
      </c>
      <c r="G3572" t="s">
        <v>9556</v>
      </c>
      <c r="H3572">
        <v>0</v>
      </c>
      <c r="I3572" t="s">
        <v>17</v>
      </c>
      <c r="K3572" t="s">
        <v>9557</v>
      </c>
      <c r="L3572">
        <v>464</v>
      </c>
      <c r="M3572" t="s">
        <v>9558</v>
      </c>
    </row>
    <row r="3573" spans="1:13" x14ac:dyDescent="0.45">
      <c r="A3573" t="s">
        <v>13</v>
      </c>
      <c r="B3573">
        <v>3941084</v>
      </c>
      <c r="C3573">
        <v>3941962</v>
      </c>
      <c r="E3573" t="s">
        <v>96</v>
      </c>
      <c r="F3573" t="s">
        <v>9559</v>
      </c>
      <c r="G3573" t="s">
        <v>9560</v>
      </c>
      <c r="H3573">
        <v>0</v>
      </c>
      <c r="I3573" t="s">
        <v>17</v>
      </c>
      <c r="K3573" t="s">
        <v>9561</v>
      </c>
      <c r="L3573">
        <v>292</v>
      </c>
      <c r="M3573" t="s">
        <v>9562</v>
      </c>
    </row>
    <row r="3574" spans="1:13" x14ac:dyDescent="0.45">
      <c r="A3574" t="s">
        <v>13</v>
      </c>
      <c r="B3574">
        <v>3941990</v>
      </c>
      <c r="C3574">
        <v>3943492</v>
      </c>
      <c r="E3574" t="s">
        <v>96</v>
      </c>
      <c r="F3574" t="s">
        <v>9563</v>
      </c>
      <c r="G3574" t="s">
        <v>9564</v>
      </c>
      <c r="H3574">
        <v>0</v>
      </c>
      <c r="I3574" t="s">
        <v>17</v>
      </c>
      <c r="K3574" t="s">
        <v>9565</v>
      </c>
      <c r="L3574">
        <v>500</v>
      </c>
      <c r="M3574" t="s">
        <v>9566</v>
      </c>
    </row>
    <row r="3575" spans="1:13" x14ac:dyDescent="0.45">
      <c r="A3575" t="s">
        <v>13</v>
      </c>
      <c r="B3575">
        <v>3943509</v>
      </c>
      <c r="C3575">
        <v>3944054</v>
      </c>
      <c r="E3575" t="s">
        <v>96</v>
      </c>
      <c r="F3575" t="s">
        <v>9567</v>
      </c>
      <c r="H3575">
        <v>0</v>
      </c>
      <c r="I3575" t="s">
        <v>17</v>
      </c>
      <c r="K3575" t="s">
        <v>9568</v>
      </c>
      <c r="L3575">
        <v>181</v>
      </c>
      <c r="M3575" t="s">
        <v>9569</v>
      </c>
    </row>
    <row r="3576" spans="1:13" x14ac:dyDescent="0.45">
      <c r="A3576" t="s">
        <v>13</v>
      </c>
      <c r="B3576">
        <v>3944051</v>
      </c>
      <c r="C3576">
        <v>3944548</v>
      </c>
      <c r="E3576" t="s">
        <v>96</v>
      </c>
      <c r="F3576" t="s">
        <v>9570</v>
      </c>
      <c r="G3576" t="s">
        <v>9571</v>
      </c>
      <c r="H3576">
        <v>0</v>
      </c>
      <c r="I3576" t="s">
        <v>17</v>
      </c>
      <c r="K3576" t="s">
        <v>9572</v>
      </c>
      <c r="L3576">
        <v>165</v>
      </c>
      <c r="M3576" t="s">
        <v>9573</v>
      </c>
    </row>
    <row r="3577" spans="1:13" x14ac:dyDescent="0.45">
      <c r="A3577" t="s">
        <v>13</v>
      </c>
      <c r="B3577">
        <v>3944671</v>
      </c>
      <c r="C3577">
        <v>3944931</v>
      </c>
      <c r="E3577" t="s">
        <v>96</v>
      </c>
      <c r="F3577" t="s">
        <v>9574</v>
      </c>
      <c r="G3577" t="s">
        <v>9575</v>
      </c>
      <c r="H3577">
        <v>0</v>
      </c>
      <c r="I3577" t="s">
        <v>17</v>
      </c>
      <c r="K3577" t="s">
        <v>9576</v>
      </c>
      <c r="L3577">
        <v>86</v>
      </c>
      <c r="M3577" t="s">
        <v>9577</v>
      </c>
    </row>
    <row r="3578" spans="1:13" x14ac:dyDescent="0.45">
      <c r="A3578" t="s">
        <v>13</v>
      </c>
      <c r="B3578">
        <v>3945000</v>
      </c>
      <c r="C3578">
        <v>3945704</v>
      </c>
      <c r="E3578" t="s">
        <v>96</v>
      </c>
      <c r="F3578" t="s">
        <v>9578</v>
      </c>
      <c r="G3578" t="s">
        <v>9579</v>
      </c>
      <c r="H3578">
        <v>0</v>
      </c>
      <c r="I3578" t="s">
        <v>17</v>
      </c>
      <c r="K3578" t="s">
        <v>9580</v>
      </c>
      <c r="L3578">
        <v>234</v>
      </c>
      <c r="M3578" t="s">
        <v>9581</v>
      </c>
    </row>
    <row r="3579" spans="1:13" x14ac:dyDescent="0.45">
      <c r="A3579" t="s">
        <v>13</v>
      </c>
      <c r="B3579">
        <v>3945707</v>
      </c>
      <c r="C3579">
        <v>3946093</v>
      </c>
      <c r="E3579" t="s">
        <v>96</v>
      </c>
      <c r="F3579" t="s">
        <v>9582</v>
      </c>
      <c r="H3579">
        <v>0</v>
      </c>
      <c r="I3579" t="s">
        <v>17</v>
      </c>
      <c r="K3579" t="s">
        <v>9583</v>
      </c>
      <c r="L3579">
        <v>128</v>
      </c>
      <c r="M3579" t="s">
        <v>9584</v>
      </c>
    </row>
    <row r="3580" spans="1:13" x14ac:dyDescent="0.45">
      <c r="A3580" t="s">
        <v>13</v>
      </c>
      <c r="B3580">
        <v>3946098</v>
      </c>
      <c r="C3580">
        <v>3946325</v>
      </c>
      <c r="E3580" t="s">
        <v>96</v>
      </c>
      <c r="F3580" t="s">
        <v>9585</v>
      </c>
      <c r="H3580">
        <v>0</v>
      </c>
      <c r="I3580" t="s">
        <v>17</v>
      </c>
      <c r="K3580" t="s">
        <v>9586</v>
      </c>
      <c r="L3580">
        <v>75</v>
      </c>
      <c r="M3580" t="s">
        <v>9587</v>
      </c>
    </row>
    <row r="3581" spans="1:13" x14ac:dyDescent="0.45">
      <c r="A3581" t="s">
        <v>13</v>
      </c>
      <c r="B3581">
        <v>3946510</v>
      </c>
      <c r="C3581">
        <v>3946947</v>
      </c>
      <c r="E3581" t="s">
        <v>96</v>
      </c>
      <c r="F3581" t="s">
        <v>5494</v>
      </c>
      <c r="H3581">
        <v>0</v>
      </c>
      <c r="I3581" t="s">
        <v>17</v>
      </c>
      <c r="K3581" t="s">
        <v>9588</v>
      </c>
      <c r="L3581">
        <v>145</v>
      </c>
      <c r="M3581" t="s">
        <v>9589</v>
      </c>
    </row>
    <row r="3582" spans="1:13" x14ac:dyDescent="0.45">
      <c r="A3582" t="s">
        <v>13</v>
      </c>
      <c r="B3582">
        <v>3947173</v>
      </c>
      <c r="C3582">
        <v>3947988</v>
      </c>
      <c r="E3582" t="s">
        <v>96</v>
      </c>
      <c r="F3582" t="s">
        <v>9590</v>
      </c>
      <c r="G3582" t="s">
        <v>9591</v>
      </c>
      <c r="H3582">
        <v>0</v>
      </c>
      <c r="I3582" t="s">
        <v>17</v>
      </c>
      <c r="K3582" t="s">
        <v>9592</v>
      </c>
      <c r="L3582">
        <v>271</v>
      </c>
      <c r="M3582" t="s">
        <v>9593</v>
      </c>
    </row>
    <row r="3583" spans="1:13" x14ac:dyDescent="0.45">
      <c r="A3583" t="s">
        <v>13</v>
      </c>
      <c r="B3583">
        <v>3948288</v>
      </c>
      <c r="C3583">
        <v>3948917</v>
      </c>
      <c r="E3583" t="s">
        <v>96</v>
      </c>
      <c r="F3583" t="s">
        <v>9594</v>
      </c>
      <c r="G3583" t="s">
        <v>9595</v>
      </c>
      <c r="H3583">
        <v>0</v>
      </c>
      <c r="I3583" t="s">
        <v>17</v>
      </c>
      <c r="K3583" t="s">
        <v>9596</v>
      </c>
      <c r="L3583">
        <v>209</v>
      </c>
      <c r="M3583" t="s">
        <v>9597</v>
      </c>
    </row>
    <row r="3584" spans="1:13" x14ac:dyDescent="0.45">
      <c r="A3584" t="s">
        <v>13</v>
      </c>
      <c r="B3584">
        <v>3948953</v>
      </c>
      <c r="C3584">
        <v>3949405</v>
      </c>
      <c r="E3584" t="s">
        <v>96</v>
      </c>
      <c r="F3584" t="s">
        <v>6545</v>
      </c>
      <c r="G3584" t="s">
        <v>6546</v>
      </c>
      <c r="H3584">
        <v>0</v>
      </c>
      <c r="I3584" t="s">
        <v>17</v>
      </c>
      <c r="K3584" t="s">
        <v>9598</v>
      </c>
      <c r="L3584">
        <v>150</v>
      </c>
      <c r="M3584" t="s">
        <v>9599</v>
      </c>
    </row>
    <row r="3585" spans="1:13" x14ac:dyDescent="0.45">
      <c r="A3585" t="s">
        <v>13</v>
      </c>
      <c r="B3585">
        <v>3949422</v>
      </c>
      <c r="C3585">
        <v>3949871</v>
      </c>
      <c r="E3585" t="s">
        <v>96</v>
      </c>
      <c r="F3585" t="s">
        <v>9600</v>
      </c>
      <c r="H3585">
        <v>0</v>
      </c>
      <c r="I3585" t="s">
        <v>17</v>
      </c>
      <c r="K3585" t="s">
        <v>9601</v>
      </c>
      <c r="L3585">
        <v>149</v>
      </c>
      <c r="M3585" t="s">
        <v>9602</v>
      </c>
    </row>
    <row r="3586" spans="1:13" x14ac:dyDescent="0.45">
      <c r="A3586" t="s">
        <v>13</v>
      </c>
      <c r="B3586">
        <v>3949888</v>
      </c>
      <c r="C3586">
        <v>3950928</v>
      </c>
      <c r="E3586" t="s">
        <v>96</v>
      </c>
      <c r="F3586" t="s">
        <v>9603</v>
      </c>
      <c r="H3586">
        <v>0</v>
      </c>
      <c r="I3586" t="s">
        <v>17</v>
      </c>
      <c r="K3586" t="s">
        <v>9604</v>
      </c>
      <c r="L3586">
        <v>346</v>
      </c>
      <c r="M3586" t="s">
        <v>9605</v>
      </c>
    </row>
    <row r="3587" spans="1:13" x14ac:dyDescent="0.45">
      <c r="A3587" t="s">
        <v>13</v>
      </c>
      <c r="B3587">
        <v>3950957</v>
      </c>
      <c r="C3587">
        <v>3951637</v>
      </c>
      <c r="E3587" t="s">
        <v>96</v>
      </c>
      <c r="F3587" t="s">
        <v>9606</v>
      </c>
      <c r="H3587">
        <v>0</v>
      </c>
      <c r="I3587" t="s">
        <v>17</v>
      </c>
      <c r="K3587" t="s">
        <v>9607</v>
      </c>
      <c r="L3587">
        <v>226</v>
      </c>
      <c r="M3587" t="s">
        <v>9608</v>
      </c>
    </row>
    <row r="3588" spans="1:13" x14ac:dyDescent="0.45">
      <c r="A3588" t="s">
        <v>13</v>
      </c>
      <c r="B3588">
        <v>3951766</v>
      </c>
      <c r="C3588">
        <v>3952830</v>
      </c>
      <c r="E3588" t="s">
        <v>96</v>
      </c>
      <c r="F3588" t="s">
        <v>9609</v>
      </c>
      <c r="G3588" t="s">
        <v>9610</v>
      </c>
      <c r="H3588">
        <v>0</v>
      </c>
      <c r="I3588" t="s">
        <v>17</v>
      </c>
      <c r="K3588" t="s">
        <v>9611</v>
      </c>
      <c r="L3588">
        <v>354</v>
      </c>
      <c r="M3588" t="s">
        <v>9612</v>
      </c>
    </row>
    <row r="3589" spans="1:13" x14ac:dyDescent="0.45">
      <c r="A3589" t="s">
        <v>13</v>
      </c>
      <c r="B3589">
        <v>3952874</v>
      </c>
      <c r="C3589">
        <v>3953722</v>
      </c>
      <c r="E3589" t="s">
        <v>96</v>
      </c>
      <c r="F3589" t="s">
        <v>9613</v>
      </c>
      <c r="G3589" t="s">
        <v>9614</v>
      </c>
      <c r="H3589">
        <v>0</v>
      </c>
      <c r="I3589" t="s">
        <v>17</v>
      </c>
      <c r="K3589" t="s">
        <v>9615</v>
      </c>
      <c r="L3589">
        <v>282</v>
      </c>
      <c r="M3589" t="s">
        <v>9616</v>
      </c>
    </row>
    <row r="3590" spans="1:13" x14ac:dyDescent="0.45">
      <c r="A3590" t="s">
        <v>13</v>
      </c>
      <c r="B3590">
        <v>3953740</v>
      </c>
      <c r="C3590">
        <v>3954633</v>
      </c>
      <c r="E3590" t="s">
        <v>96</v>
      </c>
      <c r="F3590" t="s">
        <v>9617</v>
      </c>
      <c r="H3590">
        <v>0</v>
      </c>
      <c r="I3590" t="s">
        <v>17</v>
      </c>
      <c r="K3590" t="s">
        <v>9618</v>
      </c>
      <c r="L3590">
        <v>297</v>
      </c>
      <c r="M3590" t="s">
        <v>9619</v>
      </c>
    </row>
    <row r="3591" spans="1:13" x14ac:dyDescent="0.45">
      <c r="A3591" t="s">
        <v>13</v>
      </c>
      <c r="B3591">
        <v>3954778</v>
      </c>
      <c r="C3591">
        <v>3954978</v>
      </c>
      <c r="E3591" t="s">
        <v>96</v>
      </c>
      <c r="F3591" t="s">
        <v>9620</v>
      </c>
      <c r="G3591" t="s">
        <v>9621</v>
      </c>
      <c r="H3591">
        <v>0</v>
      </c>
      <c r="I3591" t="s">
        <v>17</v>
      </c>
      <c r="K3591" t="s">
        <v>9622</v>
      </c>
      <c r="L3591">
        <v>66</v>
      </c>
      <c r="M3591" t="s">
        <v>9623</v>
      </c>
    </row>
    <row r="3592" spans="1:13" x14ac:dyDescent="0.45">
      <c r="A3592" t="s">
        <v>13</v>
      </c>
      <c r="B3592">
        <v>3955131</v>
      </c>
      <c r="C3592">
        <v>3956735</v>
      </c>
      <c r="E3592" t="s">
        <v>96</v>
      </c>
      <c r="F3592" t="s">
        <v>9624</v>
      </c>
      <c r="G3592" t="s">
        <v>9625</v>
      </c>
      <c r="H3592">
        <v>0</v>
      </c>
      <c r="I3592" t="s">
        <v>17</v>
      </c>
      <c r="K3592" t="s">
        <v>9626</v>
      </c>
      <c r="L3592">
        <v>534</v>
      </c>
      <c r="M3592" t="s">
        <v>9627</v>
      </c>
    </row>
    <row r="3593" spans="1:13" x14ac:dyDescent="0.45">
      <c r="A3593" t="s">
        <v>13</v>
      </c>
      <c r="B3593">
        <v>3957235</v>
      </c>
      <c r="C3593">
        <v>3958200</v>
      </c>
      <c r="E3593" t="s">
        <v>96</v>
      </c>
      <c r="F3593" t="s">
        <v>7667</v>
      </c>
      <c r="G3593" t="s">
        <v>7668</v>
      </c>
      <c r="H3593">
        <v>0</v>
      </c>
      <c r="I3593" t="s">
        <v>17</v>
      </c>
      <c r="K3593" t="s">
        <v>9628</v>
      </c>
      <c r="L3593">
        <v>321</v>
      </c>
      <c r="M3593" t="s">
        <v>9629</v>
      </c>
    </row>
    <row r="3594" spans="1:13" x14ac:dyDescent="0.45">
      <c r="A3594" t="s">
        <v>13</v>
      </c>
      <c r="B3594">
        <v>3958314</v>
      </c>
      <c r="C3594">
        <v>3960206</v>
      </c>
      <c r="E3594" t="s">
        <v>96</v>
      </c>
      <c r="F3594" t="s">
        <v>9072</v>
      </c>
      <c r="G3594" t="s">
        <v>9073</v>
      </c>
      <c r="H3594">
        <v>0</v>
      </c>
      <c r="I3594" t="s">
        <v>17</v>
      </c>
      <c r="K3594" t="s">
        <v>9630</v>
      </c>
      <c r="L3594">
        <v>630</v>
      </c>
      <c r="M3594" t="s">
        <v>9631</v>
      </c>
    </row>
    <row r="3595" spans="1:13" x14ac:dyDescent="0.45">
      <c r="A3595" t="s">
        <v>13</v>
      </c>
      <c r="B3595">
        <v>3960557</v>
      </c>
      <c r="C3595">
        <v>3962929</v>
      </c>
      <c r="E3595" t="s">
        <v>96</v>
      </c>
      <c r="F3595" t="s">
        <v>9632</v>
      </c>
      <c r="G3595" t="s">
        <v>9633</v>
      </c>
      <c r="H3595">
        <v>0</v>
      </c>
      <c r="I3595" t="s">
        <v>17</v>
      </c>
      <c r="K3595" t="s">
        <v>9634</v>
      </c>
      <c r="L3595">
        <v>790</v>
      </c>
      <c r="M3595" t="s">
        <v>9635</v>
      </c>
    </row>
    <row r="3596" spans="1:13" x14ac:dyDescent="0.45">
      <c r="A3596" t="s">
        <v>13</v>
      </c>
      <c r="B3596">
        <v>3963019</v>
      </c>
      <c r="C3596">
        <v>3963939</v>
      </c>
      <c r="E3596" t="s">
        <v>96</v>
      </c>
      <c r="F3596" t="s">
        <v>9636</v>
      </c>
      <c r="H3596">
        <v>0</v>
      </c>
      <c r="I3596" t="s">
        <v>17</v>
      </c>
      <c r="K3596" t="s">
        <v>9637</v>
      </c>
      <c r="L3596">
        <v>306</v>
      </c>
      <c r="M3596" t="s">
        <v>9638</v>
      </c>
    </row>
    <row r="3597" spans="1:13" x14ac:dyDescent="0.45">
      <c r="A3597" t="s">
        <v>13</v>
      </c>
      <c r="B3597">
        <v>3964052</v>
      </c>
      <c r="C3597">
        <v>3964336</v>
      </c>
      <c r="E3597" t="s">
        <v>96</v>
      </c>
      <c r="F3597" t="s">
        <v>9639</v>
      </c>
      <c r="H3597">
        <v>0</v>
      </c>
      <c r="I3597" t="s">
        <v>17</v>
      </c>
      <c r="K3597" t="s">
        <v>9640</v>
      </c>
      <c r="L3597">
        <v>94</v>
      </c>
      <c r="M3597" t="s">
        <v>9641</v>
      </c>
    </row>
    <row r="3598" spans="1:13" x14ac:dyDescent="0.45">
      <c r="A3598" t="s">
        <v>13</v>
      </c>
      <c r="B3598">
        <v>3964342</v>
      </c>
      <c r="C3598">
        <v>3964875</v>
      </c>
      <c r="E3598" t="s">
        <v>96</v>
      </c>
      <c r="F3598" t="s">
        <v>9642</v>
      </c>
      <c r="G3598" t="s">
        <v>9643</v>
      </c>
      <c r="H3598">
        <v>0</v>
      </c>
      <c r="I3598" t="s">
        <v>17</v>
      </c>
      <c r="K3598" t="s">
        <v>9644</v>
      </c>
      <c r="L3598">
        <v>177</v>
      </c>
      <c r="M3598" t="s">
        <v>9645</v>
      </c>
    </row>
    <row r="3599" spans="1:13" x14ac:dyDescent="0.45">
      <c r="A3599" t="s">
        <v>13</v>
      </c>
      <c r="B3599">
        <v>3964876</v>
      </c>
      <c r="C3599">
        <v>3965130</v>
      </c>
      <c r="E3599" t="s">
        <v>96</v>
      </c>
      <c r="F3599" t="s">
        <v>6898</v>
      </c>
      <c r="H3599">
        <v>0</v>
      </c>
      <c r="I3599" t="s">
        <v>17</v>
      </c>
      <c r="K3599" t="s">
        <v>9646</v>
      </c>
      <c r="L3599">
        <v>84</v>
      </c>
      <c r="M3599" t="s">
        <v>9647</v>
      </c>
    </row>
    <row r="3600" spans="1:13" x14ac:dyDescent="0.45">
      <c r="A3600" t="s">
        <v>13</v>
      </c>
      <c r="B3600">
        <v>3965192</v>
      </c>
      <c r="C3600">
        <v>3965434</v>
      </c>
      <c r="E3600" t="s">
        <v>96</v>
      </c>
      <c r="F3600" t="s">
        <v>9648</v>
      </c>
      <c r="H3600">
        <v>0</v>
      </c>
      <c r="I3600" t="s">
        <v>17</v>
      </c>
      <c r="K3600" t="s">
        <v>9649</v>
      </c>
      <c r="L3600">
        <v>80</v>
      </c>
      <c r="M3600" t="s">
        <v>9650</v>
      </c>
    </row>
    <row r="3601" spans="1:13" x14ac:dyDescent="0.45">
      <c r="A3601" t="s">
        <v>13</v>
      </c>
      <c r="B3601">
        <v>3965506</v>
      </c>
      <c r="C3601">
        <v>3965784</v>
      </c>
      <c r="E3601" t="s">
        <v>96</v>
      </c>
      <c r="F3601" t="s">
        <v>9651</v>
      </c>
      <c r="H3601">
        <v>0</v>
      </c>
      <c r="I3601" t="s">
        <v>17</v>
      </c>
      <c r="K3601" t="s">
        <v>9652</v>
      </c>
      <c r="L3601">
        <v>92</v>
      </c>
      <c r="M3601" t="s">
        <v>9653</v>
      </c>
    </row>
    <row r="3602" spans="1:13" x14ac:dyDescent="0.45">
      <c r="A3602" t="s">
        <v>13</v>
      </c>
      <c r="B3602">
        <v>3965873</v>
      </c>
      <c r="C3602">
        <v>3967321</v>
      </c>
      <c r="E3602" t="s">
        <v>96</v>
      </c>
      <c r="F3602" t="s">
        <v>9654</v>
      </c>
      <c r="G3602" t="s">
        <v>9655</v>
      </c>
      <c r="H3602">
        <v>0</v>
      </c>
      <c r="I3602" t="s">
        <v>17</v>
      </c>
      <c r="K3602" t="s">
        <v>9656</v>
      </c>
      <c r="L3602">
        <v>482</v>
      </c>
      <c r="M3602" t="s">
        <v>9657</v>
      </c>
    </row>
    <row r="3603" spans="1:13" x14ac:dyDescent="0.45">
      <c r="A3603" t="s">
        <v>13</v>
      </c>
      <c r="B3603">
        <v>3967428</v>
      </c>
      <c r="C3603">
        <v>3969041</v>
      </c>
      <c r="E3603" t="s">
        <v>96</v>
      </c>
      <c r="F3603" t="s">
        <v>9658</v>
      </c>
      <c r="H3603">
        <v>0</v>
      </c>
      <c r="I3603" t="s">
        <v>17</v>
      </c>
      <c r="K3603" t="s">
        <v>9659</v>
      </c>
      <c r="L3603">
        <v>537</v>
      </c>
      <c r="M3603" t="s">
        <v>9660</v>
      </c>
    </row>
    <row r="3604" spans="1:13" x14ac:dyDescent="0.45">
      <c r="A3604" t="s">
        <v>13</v>
      </c>
      <c r="B3604">
        <v>3969161</v>
      </c>
      <c r="C3604">
        <v>3969700</v>
      </c>
      <c r="E3604" t="s">
        <v>96</v>
      </c>
      <c r="F3604" t="s">
        <v>9661</v>
      </c>
      <c r="G3604" t="s">
        <v>9662</v>
      </c>
      <c r="H3604">
        <v>0</v>
      </c>
      <c r="I3604" t="s">
        <v>17</v>
      </c>
      <c r="K3604" t="s">
        <v>9663</v>
      </c>
      <c r="L3604">
        <v>179</v>
      </c>
      <c r="M3604" t="s">
        <v>9664</v>
      </c>
    </row>
    <row r="3605" spans="1:13" x14ac:dyDescent="0.45">
      <c r="A3605" t="s">
        <v>13</v>
      </c>
      <c r="B3605">
        <v>3969824</v>
      </c>
      <c r="C3605">
        <v>3970819</v>
      </c>
      <c r="E3605" t="s">
        <v>96</v>
      </c>
      <c r="F3605" t="s">
        <v>1254</v>
      </c>
      <c r="H3605">
        <v>0</v>
      </c>
      <c r="I3605" t="s">
        <v>17</v>
      </c>
      <c r="K3605" t="s">
        <v>9665</v>
      </c>
      <c r="L3605">
        <v>331</v>
      </c>
      <c r="M3605" t="s">
        <v>9666</v>
      </c>
    </row>
    <row r="3606" spans="1:13" x14ac:dyDescent="0.45">
      <c r="A3606" t="s">
        <v>13</v>
      </c>
      <c r="B3606">
        <v>3970850</v>
      </c>
      <c r="C3606">
        <v>3974236</v>
      </c>
      <c r="E3606" t="s">
        <v>96</v>
      </c>
      <c r="F3606" t="s">
        <v>9667</v>
      </c>
      <c r="G3606" t="s">
        <v>9668</v>
      </c>
      <c r="H3606">
        <v>0</v>
      </c>
      <c r="I3606" t="s">
        <v>17</v>
      </c>
      <c r="K3606" t="s">
        <v>9669</v>
      </c>
      <c r="L3606">
        <v>1128</v>
      </c>
      <c r="M3606" t="s">
        <v>9670</v>
      </c>
    </row>
    <row r="3607" spans="1:13" x14ac:dyDescent="0.45">
      <c r="A3607" t="s">
        <v>13</v>
      </c>
      <c r="B3607">
        <v>3974253</v>
      </c>
      <c r="C3607">
        <v>3974813</v>
      </c>
      <c r="E3607" t="s">
        <v>96</v>
      </c>
      <c r="F3607" t="s">
        <v>9671</v>
      </c>
      <c r="G3607" t="s">
        <v>9672</v>
      </c>
      <c r="H3607">
        <v>0</v>
      </c>
      <c r="I3607" t="s">
        <v>17</v>
      </c>
      <c r="K3607" t="s">
        <v>9673</v>
      </c>
      <c r="L3607">
        <v>186</v>
      </c>
      <c r="M3607" t="s">
        <v>9674</v>
      </c>
    </row>
    <row r="3608" spans="1:13" x14ac:dyDescent="0.45">
      <c r="A3608" t="s">
        <v>13</v>
      </c>
      <c r="B3608">
        <v>3974827</v>
      </c>
      <c r="C3608">
        <v>3975477</v>
      </c>
      <c r="E3608" t="s">
        <v>96</v>
      </c>
      <c r="F3608" t="s">
        <v>9675</v>
      </c>
      <c r="H3608">
        <v>0</v>
      </c>
      <c r="I3608" t="s">
        <v>17</v>
      </c>
      <c r="K3608" t="s">
        <v>9676</v>
      </c>
      <c r="L3608">
        <v>216</v>
      </c>
      <c r="M3608" t="s">
        <v>9677</v>
      </c>
    </row>
    <row r="3609" spans="1:13" x14ac:dyDescent="0.45">
      <c r="A3609" t="s">
        <v>13</v>
      </c>
      <c r="B3609">
        <v>3975579</v>
      </c>
      <c r="C3609">
        <v>3976361</v>
      </c>
      <c r="E3609" t="s">
        <v>96</v>
      </c>
      <c r="F3609" t="s">
        <v>9675</v>
      </c>
      <c r="H3609">
        <v>0</v>
      </c>
      <c r="I3609" t="s">
        <v>17</v>
      </c>
      <c r="K3609" t="s">
        <v>9678</v>
      </c>
      <c r="L3609">
        <v>260</v>
      </c>
      <c r="M3609" t="s">
        <v>9679</v>
      </c>
    </row>
    <row r="3610" spans="1:13" x14ac:dyDescent="0.45">
      <c r="A3610" t="s">
        <v>13</v>
      </c>
      <c r="B3610">
        <v>3976342</v>
      </c>
      <c r="C3610">
        <v>3977424</v>
      </c>
      <c r="E3610" t="s">
        <v>96</v>
      </c>
      <c r="F3610" t="s">
        <v>9680</v>
      </c>
      <c r="H3610">
        <v>0</v>
      </c>
      <c r="I3610" t="s">
        <v>17</v>
      </c>
      <c r="K3610" t="s">
        <v>9681</v>
      </c>
      <c r="L3610">
        <v>360</v>
      </c>
      <c r="M3610" t="s">
        <v>9682</v>
      </c>
    </row>
    <row r="3611" spans="1:13" x14ac:dyDescent="0.45">
      <c r="A3611" t="s">
        <v>13</v>
      </c>
      <c r="B3611">
        <v>3977524</v>
      </c>
      <c r="C3611">
        <v>3979062</v>
      </c>
      <c r="E3611" t="s">
        <v>96</v>
      </c>
      <c r="F3611" t="s">
        <v>43</v>
      </c>
      <c r="H3611">
        <v>0</v>
      </c>
      <c r="I3611" t="s">
        <v>17</v>
      </c>
      <c r="K3611" t="s">
        <v>9683</v>
      </c>
      <c r="L3611">
        <v>512</v>
      </c>
      <c r="M3611" t="s">
        <v>9684</v>
      </c>
    </row>
    <row r="3612" spans="1:13" x14ac:dyDescent="0.45">
      <c r="A3612" t="s">
        <v>13</v>
      </c>
      <c r="B3612">
        <v>3979083</v>
      </c>
      <c r="C3612">
        <v>3979610</v>
      </c>
      <c r="E3612" t="s">
        <v>96</v>
      </c>
      <c r="F3612" t="s">
        <v>2236</v>
      </c>
      <c r="H3612">
        <v>0</v>
      </c>
      <c r="I3612" t="s">
        <v>17</v>
      </c>
      <c r="K3612" t="s">
        <v>9685</v>
      </c>
      <c r="L3612">
        <v>175</v>
      </c>
      <c r="M3612" t="s">
        <v>9686</v>
      </c>
    </row>
    <row r="3613" spans="1:13" x14ac:dyDescent="0.45">
      <c r="A3613" t="s">
        <v>13</v>
      </c>
      <c r="B3613">
        <v>3979647</v>
      </c>
      <c r="C3613">
        <v>3980213</v>
      </c>
      <c r="E3613" t="s">
        <v>96</v>
      </c>
      <c r="F3613" t="s">
        <v>9687</v>
      </c>
      <c r="H3613">
        <v>0</v>
      </c>
      <c r="I3613" t="s">
        <v>17</v>
      </c>
      <c r="K3613" t="s">
        <v>9688</v>
      </c>
      <c r="L3613">
        <v>188</v>
      </c>
      <c r="M3613" t="s">
        <v>9689</v>
      </c>
    </row>
    <row r="3614" spans="1:13" x14ac:dyDescent="0.45">
      <c r="A3614" t="s">
        <v>13</v>
      </c>
      <c r="B3614">
        <v>3980240</v>
      </c>
      <c r="C3614">
        <v>3981148</v>
      </c>
      <c r="E3614" t="s">
        <v>96</v>
      </c>
      <c r="F3614" t="s">
        <v>9690</v>
      </c>
      <c r="G3614" t="s">
        <v>9691</v>
      </c>
      <c r="H3614">
        <v>0</v>
      </c>
      <c r="I3614" t="s">
        <v>17</v>
      </c>
      <c r="K3614" t="s">
        <v>9692</v>
      </c>
      <c r="L3614">
        <v>302</v>
      </c>
      <c r="M3614" t="s">
        <v>9693</v>
      </c>
    </row>
    <row r="3615" spans="1:13" x14ac:dyDescent="0.45">
      <c r="A3615" t="s">
        <v>13</v>
      </c>
      <c r="B3615">
        <v>3981141</v>
      </c>
      <c r="C3615">
        <v>3982853</v>
      </c>
      <c r="E3615" t="s">
        <v>96</v>
      </c>
      <c r="F3615" t="s">
        <v>9694</v>
      </c>
      <c r="H3615">
        <v>0</v>
      </c>
      <c r="I3615" t="s">
        <v>17</v>
      </c>
      <c r="K3615" t="s">
        <v>9695</v>
      </c>
      <c r="L3615">
        <v>570</v>
      </c>
      <c r="M3615" t="s">
        <v>9696</v>
      </c>
    </row>
    <row r="3616" spans="1:13" x14ac:dyDescent="0.45">
      <c r="A3616" t="s">
        <v>13</v>
      </c>
      <c r="B3616">
        <v>3982868</v>
      </c>
      <c r="C3616">
        <v>3984076</v>
      </c>
      <c r="E3616" t="s">
        <v>96</v>
      </c>
      <c r="F3616" t="s">
        <v>9136</v>
      </c>
      <c r="H3616">
        <v>0</v>
      </c>
      <c r="I3616" t="s">
        <v>17</v>
      </c>
      <c r="K3616" t="s">
        <v>9697</v>
      </c>
      <c r="L3616">
        <v>402</v>
      </c>
      <c r="M3616" t="s">
        <v>9698</v>
      </c>
    </row>
    <row r="3617" spans="1:13" x14ac:dyDescent="0.45">
      <c r="A3617" t="s">
        <v>13</v>
      </c>
      <c r="B3617">
        <v>3984088</v>
      </c>
      <c r="C3617">
        <v>3985764</v>
      </c>
      <c r="E3617" t="s">
        <v>96</v>
      </c>
      <c r="F3617" t="s">
        <v>9139</v>
      </c>
      <c r="H3617">
        <v>0</v>
      </c>
      <c r="I3617" t="s">
        <v>17</v>
      </c>
      <c r="K3617" t="s">
        <v>9699</v>
      </c>
      <c r="L3617">
        <v>558</v>
      </c>
      <c r="M3617" t="s">
        <v>9700</v>
      </c>
    </row>
    <row r="3618" spans="1:13" x14ac:dyDescent="0.45">
      <c r="A3618" t="s">
        <v>13</v>
      </c>
      <c r="B3618">
        <v>3985915</v>
      </c>
      <c r="C3618">
        <v>3986436</v>
      </c>
      <c r="E3618" t="s">
        <v>96</v>
      </c>
      <c r="F3618" t="s">
        <v>9133</v>
      </c>
      <c r="H3618">
        <v>0</v>
      </c>
      <c r="I3618" t="s">
        <v>17</v>
      </c>
      <c r="K3618" t="s">
        <v>9701</v>
      </c>
      <c r="L3618">
        <v>173</v>
      </c>
      <c r="M3618" t="s">
        <v>9702</v>
      </c>
    </row>
    <row r="3619" spans="1:13" x14ac:dyDescent="0.45">
      <c r="A3619" t="s">
        <v>13</v>
      </c>
      <c r="B3619">
        <v>3987523</v>
      </c>
      <c r="C3619">
        <v>3988473</v>
      </c>
      <c r="E3619" t="s">
        <v>96</v>
      </c>
      <c r="F3619" t="s">
        <v>9703</v>
      </c>
      <c r="H3619">
        <v>0</v>
      </c>
      <c r="I3619" t="s">
        <v>17</v>
      </c>
      <c r="K3619" t="s">
        <v>9704</v>
      </c>
      <c r="L3619">
        <v>316</v>
      </c>
      <c r="M3619" t="s">
        <v>9705</v>
      </c>
    </row>
    <row r="3620" spans="1:13" x14ac:dyDescent="0.45">
      <c r="A3620" t="s">
        <v>13</v>
      </c>
      <c r="B3620">
        <v>3988568</v>
      </c>
      <c r="C3620">
        <v>3989947</v>
      </c>
      <c r="E3620" t="s">
        <v>96</v>
      </c>
      <c r="F3620" t="s">
        <v>9706</v>
      </c>
      <c r="G3620" t="s">
        <v>9707</v>
      </c>
      <c r="H3620">
        <v>0</v>
      </c>
      <c r="I3620" t="s">
        <v>17</v>
      </c>
      <c r="K3620" t="s">
        <v>9708</v>
      </c>
      <c r="L3620">
        <v>459</v>
      </c>
      <c r="M3620" t="s">
        <v>9709</v>
      </c>
    </row>
    <row r="3621" spans="1:13" x14ac:dyDescent="0.45">
      <c r="A3621" t="s">
        <v>13</v>
      </c>
      <c r="B3621">
        <v>3990157</v>
      </c>
      <c r="C3621">
        <v>3990435</v>
      </c>
      <c r="E3621" t="s">
        <v>96</v>
      </c>
      <c r="F3621" t="s">
        <v>9710</v>
      </c>
      <c r="G3621" t="s">
        <v>9711</v>
      </c>
      <c r="H3621">
        <v>0</v>
      </c>
      <c r="I3621" t="s">
        <v>17</v>
      </c>
      <c r="K3621" t="s">
        <v>9712</v>
      </c>
      <c r="L3621">
        <v>92</v>
      </c>
      <c r="M3621" t="s">
        <v>9713</v>
      </c>
    </row>
    <row r="3622" spans="1:13" x14ac:dyDescent="0.45">
      <c r="A3622" t="s">
        <v>13</v>
      </c>
      <c r="B3622">
        <v>3990591</v>
      </c>
      <c r="C3622">
        <v>3991469</v>
      </c>
      <c r="E3622" t="s">
        <v>96</v>
      </c>
      <c r="F3622" t="s">
        <v>9714</v>
      </c>
      <c r="G3622" t="s">
        <v>9715</v>
      </c>
      <c r="H3622">
        <v>0</v>
      </c>
      <c r="I3622" t="s">
        <v>17</v>
      </c>
      <c r="K3622" t="s">
        <v>9716</v>
      </c>
      <c r="L3622">
        <v>292</v>
      </c>
      <c r="M3622" t="s">
        <v>9717</v>
      </c>
    </row>
    <row r="3623" spans="1:13" x14ac:dyDescent="0.45">
      <c r="A3623" t="s">
        <v>13</v>
      </c>
      <c r="B3623">
        <v>3991688</v>
      </c>
      <c r="C3623">
        <v>3993040</v>
      </c>
      <c r="E3623" t="s">
        <v>14</v>
      </c>
      <c r="F3623" t="s">
        <v>9718</v>
      </c>
      <c r="G3623" t="s">
        <v>9719</v>
      </c>
      <c r="H3623">
        <v>0</v>
      </c>
      <c r="I3623" t="s">
        <v>17</v>
      </c>
      <c r="K3623" t="s">
        <v>9720</v>
      </c>
      <c r="L3623">
        <v>450</v>
      </c>
      <c r="M3623" t="s">
        <v>9721</v>
      </c>
    </row>
    <row r="3624" spans="1:13" x14ac:dyDescent="0.45">
      <c r="A3624" t="s">
        <v>13</v>
      </c>
      <c r="B3624">
        <v>3993096</v>
      </c>
      <c r="C3624">
        <v>3993893</v>
      </c>
      <c r="E3624" t="s">
        <v>96</v>
      </c>
      <c r="F3624" t="s">
        <v>43</v>
      </c>
      <c r="H3624">
        <v>0</v>
      </c>
      <c r="I3624" t="s">
        <v>17</v>
      </c>
      <c r="K3624" t="s">
        <v>9722</v>
      </c>
      <c r="L3624">
        <v>265</v>
      </c>
      <c r="M3624" t="s">
        <v>9723</v>
      </c>
    </row>
    <row r="3625" spans="1:13" x14ac:dyDescent="0.45">
      <c r="A3625" t="s">
        <v>13</v>
      </c>
      <c r="B3625">
        <v>3993963</v>
      </c>
      <c r="C3625">
        <v>3994859</v>
      </c>
      <c r="E3625" t="s">
        <v>96</v>
      </c>
      <c r="F3625" t="s">
        <v>2644</v>
      </c>
      <c r="H3625">
        <v>0</v>
      </c>
      <c r="I3625" t="s">
        <v>17</v>
      </c>
      <c r="K3625" t="s">
        <v>9724</v>
      </c>
      <c r="L3625">
        <v>298</v>
      </c>
      <c r="M3625" t="s">
        <v>9725</v>
      </c>
    </row>
    <row r="3626" spans="1:13" x14ac:dyDescent="0.45">
      <c r="A3626" t="s">
        <v>13</v>
      </c>
      <c r="B3626">
        <v>3995045</v>
      </c>
      <c r="C3626">
        <v>3996160</v>
      </c>
      <c r="E3626" t="s">
        <v>96</v>
      </c>
      <c r="F3626" t="s">
        <v>1576</v>
      </c>
      <c r="H3626">
        <v>0</v>
      </c>
      <c r="I3626" t="s">
        <v>17</v>
      </c>
      <c r="K3626" t="s">
        <v>9726</v>
      </c>
      <c r="L3626">
        <v>371</v>
      </c>
      <c r="M3626" t="s">
        <v>9727</v>
      </c>
    </row>
    <row r="3627" spans="1:13" x14ac:dyDescent="0.45">
      <c r="A3627" t="s">
        <v>13</v>
      </c>
      <c r="B3627">
        <v>3996311</v>
      </c>
      <c r="C3627">
        <v>3997582</v>
      </c>
      <c r="E3627" t="s">
        <v>96</v>
      </c>
      <c r="F3627" t="s">
        <v>43</v>
      </c>
      <c r="H3627">
        <v>0</v>
      </c>
      <c r="I3627" t="s">
        <v>17</v>
      </c>
      <c r="K3627" t="s">
        <v>9728</v>
      </c>
      <c r="L3627">
        <v>423</v>
      </c>
      <c r="M3627" t="s">
        <v>9729</v>
      </c>
    </row>
    <row r="3628" spans="1:13" x14ac:dyDescent="0.45">
      <c r="A3628" t="s">
        <v>13</v>
      </c>
      <c r="B3628">
        <v>3997648</v>
      </c>
      <c r="C3628">
        <v>3998517</v>
      </c>
      <c r="E3628" t="s">
        <v>96</v>
      </c>
      <c r="F3628" t="s">
        <v>9730</v>
      </c>
      <c r="G3628" t="s">
        <v>9731</v>
      </c>
      <c r="H3628">
        <v>0</v>
      </c>
      <c r="I3628" t="s">
        <v>17</v>
      </c>
      <c r="K3628" t="s">
        <v>9732</v>
      </c>
      <c r="L3628">
        <v>289</v>
      </c>
      <c r="M3628" t="s">
        <v>9733</v>
      </c>
    </row>
    <row r="3629" spans="1:13" x14ac:dyDescent="0.45">
      <c r="A3629" t="s">
        <v>13</v>
      </c>
      <c r="B3629">
        <v>3998688</v>
      </c>
      <c r="C3629">
        <v>3999218</v>
      </c>
      <c r="E3629" t="s">
        <v>96</v>
      </c>
      <c r="F3629" t="s">
        <v>9734</v>
      </c>
      <c r="G3629" t="s">
        <v>9735</v>
      </c>
      <c r="H3629">
        <v>0</v>
      </c>
      <c r="I3629" t="s">
        <v>17</v>
      </c>
      <c r="K3629" t="s">
        <v>9736</v>
      </c>
      <c r="L3629">
        <v>176</v>
      </c>
      <c r="M3629" t="s">
        <v>9737</v>
      </c>
    </row>
    <row r="3630" spans="1:13" x14ac:dyDescent="0.45">
      <c r="A3630" t="s">
        <v>13</v>
      </c>
      <c r="B3630">
        <v>3999410</v>
      </c>
      <c r="C3630">
        <v>4000477</v>
      </c>
      <c r="E3630" t="s">
        <v>96</v>
      </c>
      <c r="F3630" t="s">
        <v>8161</v>
      </c>
      <c r="H3630">
        <v>0</v>
      </c>
      <c r="I3630" t="s">
        <v>17</v>
      </c>
      <c r="K3630" t="s">
        <v>9738</v>
      </c>
      <c r="L3630">
        <v>355</v>
      </c>
      <c r="M3630" t="s">
        <v>9739</v>
      </c>
    </row>
    <row r="3631" spans="1:13" x14ac:dyDescent="0.45">
      <c r="A3631" t="s">
        <v>13</v>
      </c>
      <c r="B3631">
        <v>4000641</v>
      </c>
      <c r="C3631">
        <v>4000757</v>
      </c>
      <c r="E3631" t="s">
        <v>96</v>
      </c>
      <c r="F3631" t="s">
        <v>43</v>
      </c>
      <c r="H3631">
        <v>0</v>
      </c>
      <c r="I3631" t="s">
        <v>17</v>
      </c>
      <c r="K3631" t="s">
        <v>9740</v>
      </c>
      <c r="L3631">
        <v>38</v>
      </c>
      <c r="M3631" t="s">
        <v>9741</v>
      </c>
    </row>
    <row r="3632" spans="1:13" x14ac:dyDescent="0.45">
      <c r="A3632" t="s">
        <v>13</v>
      </c>
      <c r="B3632">
        <v>4001243</v>
      </c>
      <c r="C3632">
        <v>4002310</v>
      </c>
      <c r="E3632" t="s">
        <v>96</v>
      </c>
      <c r="F3632" t="s">
        <v>8161</v>
      </c>
      <c r="H3632">
        <v>0</v>
      </c>
      <c r="I3632" t="s">
        <v>17</v>
      </c>
      <c r="K3632" t="s">
        <v>9742</v>
      </c>
      <c r="L3632">
        <v>355</v>
      </c>
      <c r="M3632" t="s">
        <v>9743</v>
      </c>
    </row>
    <row r="3633" spans="1:13" x14ac:dyDescent="0.45">
      <c r="A3633" t="s">
        <v>13</v>
      </c>
      <c r="B3633">
        <v>4002322</v>
      </c>
      <c r="C3633">
        <v>4004010</v>
      </c>
      <c r="E3633" t="s">
        <v>96</v>
      </c>
      <c r="F3633" t="s">
        <v>8156</v>
      </c>
      <c r="H3633">
        <v>0</v>
      </c>
      <c r="I3633" t="s">
        <v>17</v>
      </c>
      <c r="K3633" t="s">
        <v>9744</v>
      </c>
      <c r="L3633">
        <v>562</v>
      </c>
      <c r="M3633" t="s">
        <v>9745</v>
      </c>
    </row>
    <row r="3634" spans="1:13" x14ac:dyDescent="0.45">
      <c r="A3634" t="s">
        <v>13</v>
      </c>
      <c r="B3634">
        <v>4004028</v>
      </c>
      <c r="C3634">
        <v>4005023</v>
      </c>
      <c r="E3634" t="s">
        <v>96</v>
      </c>
      <c r="F3634" t="s">
        <v>1140</v>
      </c>
      <c r="H3634">
        <v>0</v>
      </c>
      <c r="I3634" t="s">
        <v>17</v>
      </c>
      <c r="K3634" t="s">
        <v>9746</v>
      </c>
      <c r="L3634">
        <v>331</v>
      </c>
      <c r="M3634" t="s">
        <v>9747</v>
      </c>
    </row>
    <row r="3635" spans="1:13" x14ac:dyDescent="0.45">
      <c r="A3635" t="s">
        <v>13</v>
      </c>
      <c r="B3635">
        <v>4005024</v>
      </c>
      <c r="C3635">
        <v>4005860</v>
      </c>
      <c r="E3635" t="s">
        <v>96</v>
      </c>
      <c r="F3635" t="s">
        <v>9320</v>
      </c>
      <c r="H3635">
        <v>0</v>
      </c>
      <c r="I3635" t="s">
        <v>17</v>
      </c>
      <c r="K3635" t="s">
        <v>9748</v>
      </c>
      <c r="L3635">
        <v>278</v>
      </c>
      <c r="M3635" t="s">
        <v>9749</v>
      </c>
    </row>
    <row r="3636" spans="1:13" x14ac:dyDescent="0.45">
      <c r="A3636" t="s">
        <v>13</v>
      </c>
      <c r="B3636">
        <v>4005864</v>
      </c>
      <c r="C3636">
        <v>4007033</v>
      </c>
      <c r="E3636" t="s">
        <v>96</v>
      </c>
      <c r="F3636" t="s">
        <v>9750</v>
      </c>
      <c r="H3636">
        <v>0</v>
      </c>
      <c r="I3636" t="s">
        <v>17</v>
      </c>
      <c r="K3636" t="s">
        <v>9751</v>
      </c>
      <c r="L3636">
        <v>389</v>
      </c>
      <c r="M3636" t="s">
        <v>9752</v>
      </c>
    </row>
    <row r="3637" spans="1:13" x14ac:dyDescent="0.45">
      <c r="A3637" t="s">
        <v>13</v>
      </c>
      <c r="B3637">
        <v>4007034</v>
      </c>
      <c r="C3637">
        <v>4007747</v>
      </c>
      <c r="E3637" t="s">
        <v>96</v>
      </c>
      <c r="F3637" t="s">
        <v>9753</v>
      </c>
      <c r="H3637">
        <v>0</v>
      </c>
      <c r="I3637" t="s">
        <v>17</v>
      </c>
      <c r="K3637" t="s">
        <v>9754</v>
      </c>
      <c r="L3637">
        <v>237</v>
      </c>
      <c r="M3637" t="s">
        <v>9755</v>
      </c>
    </row>
    <row r="3638" spans="1:13" x14ac:dyDescent="0.45">
      <c r="A3638" t="s">
        <v>13</v>
      </c>
      <c r="B3638">
        <v>4007788</v>
      </c>
      <c r="C3638">
        <v>4008654</v>
      </c>
      <c r="E3638" t="s">
        <v>96</v>
      </c>
      <c r="F3638" t="s">
        <v>700</v>
      </c>
      <c r="H3638">
        <v>0</v>
      </c>
      <c r="I3638" t="s">
        <v>17</v>
      </c>
      <c r="K3638" t="s">
        <v>9756</v>
      </c>
      <c r="L3638">
        <v>288</v>
      </c>
      <c r="M3638" t="s">
        <v>9757</v>
      </c>
    </row>
    <row r="3639" spans="1:13" x14ac:dyDescent="0.45">
      <c r="A3639" t="s">
        <v>13</v>
      </c>
      <c r="B3639">
        <v>4008647</v>
      </c>
      <c r="C3639">
        <v>4009516</v>
      </c>
      <c r="E3639" t="s">
        <v>96</v>
      </c>
      <c r="F3639" t="s">
        <v>9758</v>
      </c>
      <c r="H3639">
        <v>0</v>
      </c>
      <c r="I3639" t="s">
        <v>17</v>
      </c>
      <c r="K3639" t="s">
        <v>9759</v>
      </c>
      <c r="L3639">
        <v>289</v>
      </c>
      <c r="M3639" t="s">
        <v>9760</v>
      </c>
    </row>
    <row r="3640" spans="1:13" x14ac:dyDescent="0.45">
      <c r="A3640" t="s">
        <v>13</v>
      </c>
      <c r="B3640">
        <v>4009536</v>
      </c>
      <c r="C3640">
        <v>4010621</v>
      </c>
      <c r="E3640" t="s">
        <v>96</v>
      </c>
      <c r="F3640" t="s">
        <v>9761</v>
      </c>
      <c r="H3640">
        <v>0</v>
      </c>
      <c r="I3640" t="s">
        <v>17</v>
      </c>
      <c r="K3640" t="s">
        <v>9762</v>
      </c>
      <c r="L3640">
        <v>361</v>
      </c>
      <c r="M3640" t="s">
        <v>9763</v>
      </c>
    </row>
    <row r="3641" spans="1:13" x14ac:dyDescent="0.45">
      <c r="A3641" t="s">
        <v>13</v>
      </c>
      <c r="B3641">
        <v>4010624</v>
      </c>
      <c r="C3641">
        <v>4011199</v>
      </c>
      <c r="E3641" t="s">
        <v>96</v>
      </c>
      <c r="F3641" t="s">
        <v>9764</v>
      </c>
      <c r="G3641" t="s">
        <v>9765</v>
      </c>
      <c r="H3641">
        <v>0</v>
      </c>
      <c r="I3641" t="s">
        <v>17</v>
      </c>
      <c r="K3641" t="s">
        <v>9766</v>
      </c>
      <c r="L3641">
        <v>191</v>
      </c>
      <c r="M3641" t="s">
        <v>9767</v>
      </c>
    </row>
    <row r="3642" spans="1:13" x14ac:dyDescent="0.45">
      <c r="A3642" t="s">
        <v>13</v>
      </c>
      <c r="B3642">
        <v>4011214</v>
      </c>
      <c r="C3642">
        <v>4011645</v>
      </c>
      <c r="E3642" t="s">
        <v>96</v>
      </c>
      <c r="F3642" t="s">
        <v>9768</v>
      </c>
      <c r="G3642" t="s">
        <v>9769</v>
      </c>
      <c r="H3642">
        <v>0</v>
      </c>
      <c r="I3642" t="s">
        <v>17</v>
      </c>
      <c r="K3642" t="s">
        <v>9770</v>
      </c>
      <c r="L3642">
        <v>143</v>
      </c>
      <c r="M3642" t="s">
        <v>9771</v>
      </c>
    </row>
    <row r="3643" spans="1:13" x14ac:dyDescent="0.45">
      <c r="A3643" t="s">
        <v>13</v>
      </c>
      <c r="B3643">
        <v>4011982</v>
      </c>
      <c r="C3643">
        <v>4012752</v>
      </c>
      <c r="E3643" t="s">
        <v>96</v>
      </c>
      <c r="F3643" t="s">
        <v>9772</v>
      </c>
      <c r="H3643">
        <v>0</v>
      </c>
      <c r="I3643" t="s">
        <v>17</v>
      </c>
      <c r="K3643" t="s">
        <v>9773</v>
      </c>
      <c r="L3643">
        <v>256</v>
      </c>
      <c r="M3643" t="s">
        <v>9774</v>
      </c>
    </row>
    <row r="3644" spans="1:13" x14ac:dyDescent="0.45">
      <c r="A3644" t="s">
        <v>13</v>
      </c>
      <c r="B3644">
        <v>4012782</v>
      </c>
      <c r="C3644">
        <v>4014719</v>
      </c>
      <c r="E3644" t="s">
        <v>96</v>
      </c>
      <c r="F3644" t="s">
        <v>9775</v>
      </c>
      <c r="G3644" t="s">
        <v>9776</v>
      </c>
      <c r="H3644">
        <v>0</v>
      </c>
      <c r="I3644" t="s">
        <v>17</v>
      </c>
      <c r="K3644" t="s">
        <v>9777</v>
      </c>
      <c r="L3644">
        <v>645</v>
      </c>
      <c r="M3644" t="s">
        <v>9778</v>
      </c>
    </row>
    <row r="3645" spans="1:13" x14ac:dyDescent="0.45">
      <c r="A3645" t="s">
        <v>13</v>
      </c>
      <c r="B3645">
        <v>4015115</v>
      </c>
      <c r="C3645">
        <v>4015636</v>
      </c>
      <c r="E3645" t="s">
        <v>96</v>
      </c>
      <c r="F3645" t="s">
        <v>9779</v>
      </c>
      <c r="H3645">
        <v>0</v>
      </c>
      <c r="I3645" t="s">
        <v>17</v>
      </c>
      <c r="K3645" t="s">
        <v>9780</v>
      </c>
      <c r="L3645">
        <v>173</v>
      </c>
      <c r="M3645" t="s">
        <v>9781</v>
      </c>
    </row>
    <row r="3646" spans="1:13" x14ac:dyDescent="0.45">
      <c r="A3646" t="s">
        <v>13</v>
      </c>
      <c r="B3646">
        <v>4015652</v>
      </c>
      <c r="C3646">
        <v>4016236</v>
      </c>
      <c r="E3646" t="s">
        <v>96</v>
      </c>
      <c r="F3646" t="s">
        <v>9782</v>
      </c>
      <c r="H3646">
        <v>0</v>
      </c>
      <c r="I3646" t="s">
        <v>17</v>
      </c>
      <c r="K3646" t="s">
        <v>9783</v>
      </c>
      <c r="L3646">
        <v>194</v>
      </c>
      <c r="M3646" t="s">
        <v>9784</v>
      </c>
    </row>
    <row r="3647" spans="1:13" x14ac:dyDescent="0.45">
      <c r="A3647" t="s">
        <v>13</v>
      </c>
      <c r="B3647">
        <v>4016368</v>
      </c>
      <c r="C3647">
        <v>4017798</v>
      </c>
      <c r="E3647" t="s">
        <v>14</v>
      </c>
      <c r="F3647" t="s">
        <v>9785</v>
      </c>
      <c r="H3647">
        <v>0</v>
      </c>
      <c r="I3647" t="s">
        <v>17</v>
      </c>
      <c r="K3647" t="s">
        <v>9786</v>
      </c>
      <c r="L3647">
        <v>476</v>
      </c>
      <c r="M3647" t="s">
        <v>9787</v>
      </c>
    </row>
    <row r="3648" spans="1:13" x14ac:dyDescent="0.45">
      <c r="A3648" t="s">
        <v>13</v>
      </c>
      <c r="B3648">
        <v>4017835</v>
      </c>
      <c r="C3648">
        <v>4018263</v>
      </c>
      <c r="E3648" t="s">
        <v>14</v>
      </c>
      <c r="F3648" t="s">
        <v>9788</v>
      </c>
      <c r="H3648">
        <v>0</v>
      </c>
      <c r="I3648" t="s">
        <v>17</v>
      </c>
      <c r="K3648" t="s">
        <v>9789</v>
      </c>
      <c r="L3648">
        <v>142</v>
      </c>
      <c r="M3648" t="s">
        <v>9790</v>
      </c>
    </row>
    <row r="3649" spans="1:13" x14ac:dyDescent="0.45">
      <c r="A3649" t="s">
        <v>13</v>
      </c>
      <c r="B3649">
        <v>4018451</v>
      </c>
      <c r="C3649">
        <v>4019155</v>
      </c>
      <c r="E3649" t="s">
        <v>96</v>
      </c>
      <c r="F3649" t="s">
        <v>9791</v>
      </c>
      <c r="H3649">
        <v>0</v>
      </c>
      <c r="I3649" t="s">
        <v>17</v>
      </c>
      <c r="K3649" t="s">
        <v>9792</v>
      </c>
      <c r="L3649">
        <v>234</v>
      </c>
      <c r="M3649" t="s">
        <v>9793</v>
      </c>
    </row>
    <row r="3650" spans="1:13" x14ac:dyDescent="0.45">
      <c r="A3650" t="s">
        <v>13</v>
      </c>
      <c r="B3650">
        <v>4019178</v>
      </c>
      <c r="C3650">
        <v>4020011</v>
      </c>
      <c r="E3650" t="s">
        <v>96</v>
      </c>
      <c r="F3650" t="s">
        <v>9794</v>
      </c>
      <c r="G3650" t="s">
        <v>9795</v>
      </c>
      <c r="H3650">
        <v>0</v>
      </c>
      <c r="I3650" t="s">
        <v>17</v>
      </c>
      <c r="K3650" t="s">
        <v>9796</v>
      </c>
      <c r="L3650">
        <v>277</v>
      </c>
      <c r="M3650" t="s">
        <v>9797</v>
      </c>
    </row>
    <row r="3651" spans="1:13" x14ac:dyDescent="0.45">
      <c r="A3651" t="s">
        <v>13</v>
      </c>
      <c r="B3651">
        <v>4020012</v>
      </c>
      <c r="C3651">
        <v>4020758</v>
      </c>
      <c r="E3651" t="s">
        <v>96</v>
      </c>
      <c r="F3651" t="s">
        <v>9798</v>
      </c>
      <c r="H3651">
        <v>0</v>
      </c>
      <c r="I3651" t="s">
        <v>17</v>
      </c>
      <c r="K3651" t="s">
        <v>9799</v>
      </c>
      <c r="L3651">
        <v>248</v>
      </c>
      <c r="M3651" t="s">
        <v>9800</v>
      </c>
    </row>
    <row r="3652" spans="1:13" x14ac:dyDescent="0.45">
      <c r="A3652" t="s">
        <v>13</v>
      </c>
      <c r="B3652">
        <v>4020836</v>
      </c>
      <c r="C3652">
        <v>4021729</v>
      </c>
      <c r="E3652" t="s">
        <v>96</v>
      </c>
      <c r="F3652" t="s">
        <v>9801</v>
      </c>
      <c r="H3652">
        <v>0</v>
      </c>
      <c r="I3652" t="s">
        <v>17</v>
      </c>
      <c r="K3652" t="s">
        <v>9802</v>
      </c>
      <c r="L3652">
        <v>297</v>
      </c>
      <c r="M3652" t="s">
        <v>9803</v>
      </c>
    </row>
    <row r="3653" spans="1:13" x14ac:dyDescent="0.45">
      <c r="A3653" t="s">
        <v>13</v>
      </c>
      <c r="B3653">
        <v>4021726</v>
      </c>
      <c r="C3653">
        <v>4022661</v>
      </c>
      <c r="E3653" t="s">
        <v>96</v>
      </c>
      <c r="F3653" t="s">
        <v>49</v>
      </c>
      <c r="H3653">
        <v>0</v>
      </c>
      <c r="I3653" t="s">
        <v>17</v>
      </c>
      <c r="K3653" t="s">
        <v>9804</v>
      </c>
      <c r="L3653">
        <v>311</v>
      </c>
      <c r="M3653" t="s">
        <v>9805</v>
      </c>
    </row>
    <row r="3654" spans="1:13" x14ac:dyDescent="0.45">
      <c r="A3654" t="s">
        <v>13</v>
      </c>
      <c r="B3654">
        <v>4022664</v>
      </c>
      <c r="C3654">
        <v>4023353</v>
      </c>
      <c r="E3654" t="s">
        <v>96</v>
      </c>
      <c r="F3654" t="s">
        <v>9806</v>
      </c>
      <c r="H3654">
        <v>0</v>
      </c>
      <c r="I3654" t="s">
        <v>17</v>
      </c>
      <c r="K3654" t="s">
        <v>9807</v>
      </c>
      <c r="L3654">
        <v>229</v>
      </c>
      <c r="M3654" t="s">
        <v>9808</v>
      </c>
    </row>
    <row r="3655" spans="1:13" x14ac:dyDescent="0.45">
      <c r="A3655" t="s">
        <v>13</v>
      </c>
      <c r="B3655">
        <v>4023484</v>
      </c>
      <c r="C3655">
        <v>4024893</v>
      </c>
      <c r="E3655" t="s">
        <v>96</v>
      </c>
      <c r="F3655" t="s">
        <v>2601</v>
      </c>
      <c r="H3655">
        <v>0</v>
      </c>
      <c r="I3655" t="s">
        <v>17</v>
      </c>
      <c r="K3655" t="s">
        <v>9809</v>
      </c>
      <c r="L3655">
        <v>469</v>
      </c>
      <c r="M3655" t="s">
        <v>9810</v>
      </c>
    </row>
    <row r="3656" spans="1:13" x14ac:dyDescent="0.45">
      <c r="A3656" t="s">
        <v>13</v>
      </c>
      <c r="B3656">
        <v>4025048</v>
      </c>
      <c r="C3656">
        <v>4025239</v>
      </c>
      <c r="E3656" t="s">
        <v>96</v>
      </c>
      <c r="F3656" t="s">
        <v>9811</v>
      </c>
      <c r="H3656">
        <v>0</v>
      </c>
      <c r="I3656" t="s">
        <v>17</v>
      </c>
      <c r="K3656" t="s">
        <v>9812</v>
      </c>
      <c r="L3656">
        <v>63</v>
      </c>
      <c r="M3656" t="s">
        <v>9813</v>
      </c>
    </row>
    <row r="3657" spans="1:13" x14ac:dyDescent="0.45">
      <c r="A3657" t="s">
        <v>13</v>
      </c>
      <c r="B3657">
        <v>4025359</v>
      </c>
      <c r="C3657">
        <v>4025475</v>
      </c>
      <c r="E3657" t="s">
        <v>96</v>
      </c>
      <c r="F3657" t="s">
        <v>60</v>
      </c>
      <c r="G3657" t="s">
        <v>61</v>
      </c>
      <c r="H3657">
        <v>0</v>
      </c>
      <c r="I3657" t="s">
        <v>56</v>
      </c>
      <c r="M3657" t="s">
        <v>9814</v>
      </c>
    </row>
    <row r="3658" spans="1:13" x14ac:dyDescent="0.45">
      <c r="A3658" t="s">
        <v>13</v>
      </c>
      <c r="B3658">
        <v>4025603</v>
      </c>
      <c r="C3658">
        <v>4028500</v>
      </c>
      <c r="E3658" t="s">
        <v>96</v>
      </c>
      <c r="F3658" t="s">
        <v>58</v>
      </c>
      <c r="H3658">
        <v>0</v>
      </c>
      <c r="I3658" t="s">
        <v>56</v>
      </c>
      <c r="M3658" t="s">
        <v>9815</v>
      </c>
    </row>
    <row r="3659" spans="1:13" x14ac:dyDescent="0.45">
      <c r="A3659" t="s">
        <v>13</v>
      </c>
      <c r="B3659">
        <v>4028722</v>
      </c>
      <c r="C3659">
        <v>4030224</v>
      </c>
      <c r="E3659" t="s">
        <v>96</v>
      </c>
      <c r="F3659" t="s">
        <v>55</v>
      </c>
      <c r="H3659">
        <v>0</v>
      </c>
      <c r="I3659" t="s">
        <v>56</v>
      </c>
      <c r="M3659" t="s">
        <v>9816</v>
      </c>
    </row>
    <row r="3660" spans="1:13" x14ac:dyDescent="0.45">
      <c r="A3660" t="s">
        <v>13</v>
      </c>
      <c r="B3660">
        <v>4030509</v>
      </c>
      <c r="C3660">
        <v>4030703</v>
      </c>
      <c r="E3660" t="s">
        <v>96</v>
      </c>
      <c r="F3660" t="s">
        <v>43</v>
      </c>
      <c r="H3660">
        <v>0</v>
      </c>
      <c r="I3660" t="s">
        <v>17</v>
      </c>
      <c r="K3660" t="s">
        <v>9817</v>
      </c>
      <c r="L3660">
        <v>64</v>
      </c>
      <c r="M3660" t="s">
        <v>9818</v>
      </c>
    </row>
    <row r="3661" spans="1:13" x14ac:dyDescent="0.45">
      <c r="A3661" t="s">
        <v>13</v>
      </c>
      <c r="B3661">
        <v>4031012</v>
      </c>
      <c r="C3661">
        <v>4032541</v>
      </c>
      <c r="E3661" t="s">
        <v>96</v>
      </c>
      <c r="F3661" t="s">
        <v>9819</v>
      </c>
      <c r="G3661" t="s">
        <v>9820</v>
      </c>
      <c r="H3661">
        <v>0</v>
      </c>
      <c r="I3661" t="s">
        <v>17</v>
      </c>
      <c r="K3661" t="s">
        <v>9821</v>
      </c>
      <c r="L3661">
        <v>509</v>
      </c>
      <c r="M3661" t="s">
        <v>9822</v>
      </c>
    </row>
    <row r="3662" spans="1:13" x14ac:dyDescent="0.45">
      <c r="A3662" t="s">
        <v>13</v>
      </c>
      <c r="B3662">
        <v>4032556</v>
      </c>
      <c r="C3662">
        <v>4033035</v>
      </c>
      <c r="E3662" t="s">
        <v>96</v>
      </c>
      <c r="F3662" t="s">
        <v>9823</v>
      </c>
      <c r="G3662" t="s">
        <v>9824</v>
      </c>
      <c r="H3662">
        <v>0</v>
      </c>
      <c r="I3662" t="s">
        <v>17</v>
      </c>
      <c r="K3662" t="s">
        <v>9825</v>
      </c>
      <c r="L3662">
        <v>159</v>
      </c>
      <c r="M3662" t="s">
        <v>9826</v>
      </c>
    </row>
    <row r="3663" spans="1:13" x14ac:dyDescent="0.45">
      <c r="A3663" t="s">
        <v>13</v>
      </c>
      <c r="B3663">
        <v>4033144</v>
      </c>
      <c r="C3663">
        <v>4034112</v>
      </c>
      <c r="E3663" t="s">
        <v>96</v>
      </c>
      <c r="F3663" t="s">
        <v>9827</v>
      </c>
      <c r="G3663" t="s">
        <v>9828</v>
      </c>
      <c r="H3663">
        <v>0</v>
      </c>
      <c r="I3663" t="s">
        <v>17</v>
      </c>
      <c r="K3663" t="s">
        <v>9829</v>
      </c>
      <c r="L3663">
        <v>322</v>
      </c>
      <c r="M3663" t="s">
        <v>9830</v>
      </c>
    </row>
    <row r="3664" spans="1:13" x14ac:dyDescent="0.45">
      <c r="A3664" t="s">
        <v>13</v>
      </c>
      <c r="B3664">
        <v>4034249</v>
      </c>
      <c r="C3664">
        <v>4035019</v>
      </c>
      <c r="E3664" t="s">
        <v>96</v>
      </c>
      <c r="F3664" t="s">
        <v>9831</v>
      </c>
      <c r="H3664">
        <v>0</v>
      </c>
      <c r="I3664" t="s">
        <v>17</v>
      </c>
      <c r="K3664" t="s">
        <v>9832</v>
      </c>
      <c r="L3664">
        <v>256</v>
      </c>
      <c r="M3664" t="s">
        <v>9833</v>
      </c>
    </row>
    <row r="3665" spans="1:13" x14ac:dyDescent="0.45">
      <c r="A3665" t="s">
        <v>13</v>
      </c>
      <c r="B3665">
        <v>4035038</v>
      </c>
      <c r="C3665">
        <v>4035628</v>
      </c>
      <c r="E3665" t="s">
        <v>96</v>
      </c>
      <c r="F3665" t="s">
        <v>655</v>
      </c>
      <c r="H3665">
        <v>0</v>
      </c>
      <c r="I3665" t="s">
        <v>17</v>
      </c>
      <c r="K3665" t="s">
        <v>9834</v>
      </c>
      <c r="L3665">
        <v>196</v>
      </c>
      <c r="M3665" t="s">
        <v>9835</v>
      </c>
    </row>
    <row r="3666" spans="1:13" x14ac:dyDescent="0.45">
      <c r="A3666" t="s">
        <v>13</v>
      </c>
      <c r="B3666">
        <v>4035812</v>
      </c>
      <c r="C3666">
        <v>4036780</v>
      </c>
      <c r="E3666" t="s">
        <v>96</v>
      </c>
      <c r="F3666" t="s">
        <v>9836</v>
      </c>
      <c r="H3666">
        <v>0</v>
      </c>
      <c r="I3666" t="s">
        <v>17</v>
      </c>
      <c r="K3666" t="s">
        <v>9837</v>
      </c>
      <c r="L3666">
        <v>322</v>
      </c>
      <c r="M3666" t="s">
        <v>9838</v>
      </c>
    </row>
    <row r="3667" spans="1:13" x14ac:dyDescent="0.45">
      <c r="A3667" t="s">
        <v>13</v>
      </c>
      <c r="B3667">
        <v>4036773</v>
      </c>
      <c r="C3667">
        <v>4037750</v>
      </c>
      <c r="E3667" t="s">
        <v>96</v>
      </c>
      <c r="F3667" t="s">
        <v>9839</v>
      </c>
      <c r="H3667">
        <v>0</v>
      </c>
      <c r="I3667" t="s">
        <v>17</v>
      </c>
      <c r="K3667" t="s">
        <v>9840</v>
      </c>
      <c r="L3667">
        <v>325</v>
      </c>
      <c r="M3667" t="s">
        <v>9841</v>
      </c>
    </row>
    <row r="3668" spans="1:13" x14ac:dyDescent="0.45">
      <c r="A3668" t="s">
        <v>13</v>
      </c>
      <c r="B3668">
        <v>4038064</v>
      </c>
      <c r="C3668">
        <v>4040034</v>
      </c>
      <c r="E3668" t="s">
        <v>96</v>
      </c>
      <c r="F3668" t="s">
        <v>5204</v>
      </c>
      <c r="G3668" t="s">
        <v>5205</v>
      </c>
      <c r="H3668">
        <v>0</v>
      </c>
      <c r="I3668" t="s">
        <v>17</v>
      </c>
      <c r="K3668" t="s">
        <v>9842</v>
      </c>
      <c r="L3668">
        <v>656</v>
      </c>
      <c r="M3668" t="s">
        <v>9843</v>
      </c>
    </row>
    <row r="3669" spans="1:13" x14ac:dyDescent="0.45">
      <c r="A3669" t="s">
        <v>13</v>
      </c>
      <c r="B3669">
        <v>4040068</v>
      </c>
      <c r="C3669">
        <v>4041456</v>
      </c>
      <c r="E3669" t="s">
        <v>96</v>
      </c>
      <c r="F3669" t="s">
        <v>9844</v>
      </c>
      <c r="G3669" t="s">
        <v>9845</v>
      </c>
      <c r="H3669">
        <v>0</v>
      </c>
      <c r="I3669" t="s">
        <v>17</v>
      </c>
      <c r="K3669" t="s">
        <v>9846</v>
      </c>
      <c r="L3669">
        <v>462</v>
      </c>
      <c r="M3669" t="s">
        <v>9847</v>
      </c>
    </row>
    <row r="3670" spans="1:13" x14ac:dyDescent="0.45">
      <c r="A3670" t="s">
        <v>13</v>
      </c>
      <c r="B3670">
        <v>4041639</v>
      </c>
      <c r="C3670">
        <v>4042067</v>
      </c>
      <c r="E3670" t="s">
        <v>96</v>
      </c>
      <c r="F3670" t="s">
        <v>9848</v>
      </c>
      <c r="H3670">
        <v>0</v>
      </c>
      <c r="I3670" t="s">
        <v>17</v>
      </c>
      <c r="K3670" t="s">
        <v>9849</v>
      </c>
      <c r="L3670">
        <v>142</v>
      </c>
      <c r="M3670" t="s">
        <v>9850</v>
      </c>
    </row>
    <row r="3671" spans="1:13" x14ac:dyDescent="0.45">
      <c r="A3671" t="s">
        <v>13</v>
      </c>
      <c r="B3671">
        <v>4042084</v>
      </c>
      <c r="C3671">
        <v>4042890</v>
      </c>
      <c r="E3671" t="s">
        <v>96</v>
      </c>
      <c r="F3671" t="s">
        <v>9851</v>
      </c>
      <c r="G3671" t="s">
        <v>9852</v>
      </c>
      <c r="H3671">
        <v>0</v>
      </c>
      <c r="I3671" t="s">
        <v>17</v>
      </c>
      <c r="K3671" t="s">
        <v>9853</v>
      </c>
      <c r="L3671">
        <v>268</v>
      </c>
      <c r="M3671" t="s">
        <v>9854</v>
      </c>
    </row>
    <row r="3672" spans="1:13" x14ac:dyDescent="0.45">
      <c r="A3672" t="s">
        <v>13</v>
      </c>
      <c r="B3672">
        <v>4043092</v>
      </c>
      <c r="C3672">
        <v>4043577</v>
      </c>
      <c r="E3672" t="s">
        <v>96</v>
      </c>
      <c r="F3672" t="s">
        <v>9855</v>
      </c>
      <c r="H3672">
        <v>0</v>
      </c>
      <c r="I3672" t="s">
        <v>17</v>
      </c>
      <c r="K3672" t="s">
        <v>9856</v>
      </c>
      <c r="L3672">
        <v>161</v>
      </c>
      <c r="M3672" t="s">
        <v>9857</v>
      </c>
    </row>
    <row r="3673" spans="1:13" x14ac:dyDescent="0.45">
      <c r="A3673" t="s">
        <v>13</v>
      </c>
      <c r="B3673">
        <v>4043628</v>
      </c>
      <c r="C3673">
        <v>4044287</v>
      </c>
      <c r="E3673" t="s">
        <v>96</v>
      </c>
      <c r="F3673" t="s">
        <v>9858</v>
      </c>
      <c r="G3673" t="s">
        <v>9859</v>
      </c>
      <c r="H3673">
        <v>0</v>
      </c>
      <c r="I3673" t="s">
        <v>17</v>
      </c>
      <c r="K3673" t="s">
        <v>9860</v>
      </c>
      <c r="L3673">
        <v>219</v>
      </c>
      <c r="M3673" t="s">
        <v>9861</v>
      </c>
    </row>
    <row r="3674" spans="1:13" x14ac:dyDescent="0.45">
      <c r="A3674" t="s">
        <v>13</v>
      </c>
      <c r="B3674">
        <v>4044432</v>
      </c>
      <c r="C3674">
        <v>4045112</v>
      </c>
      <c r="E3674" t="s">
        <v>96</v>
      </c>
      <c r="F3674" t="s">
        <v>1909</v>
      </c>
      <c r="H3674">
        <v>0</v>
      </c>
      <c r="I3674" t="s">
        <v>17</v>
      </c>
      <c r="K3674" t="s">
        <v>9862</v>
      </c>
      <c r="L3674">
        <v>226</v>
      </c>
      <c r="M3674" t="s">
        <v>9863</v>
      </c>
    </row>
    <row r="3675" spans="1:13" x14ac:dyDescent="0.45">
      <c r="A3675" t="s">
        <v>13</v>
      </c>
      <c r="B3675">
        <v>4045096</v>
      </c>
      <c r="C3675">
        <v>4045986</v>
      </c>
      <c r="E3675" t="s">
        <v>96</v>
      </c>
      <c r="F3675" t="s">
        <v>9864</v>
      </c>
      <c r="G3675" t="s">
        <v>9865</v>
      </c>
      <c r="H3675">
        <v>0</v>
      </c>
      <c r="I3675" t="s">
        <v>17</v>
      </c>
      <c r="K3675" t="s">
        <v>9866</v>
      </c>
      <c r="L3675">
        <v>296</v>
      </c>
      <c r="M3675" t="s">
        <v>9867</v>
      </c>
    </row>
    <row r="3676" spans="1:13" x14ac:dyDescent="0.45">
      <c r="A3676" t="s">
        <v>13</v>
      </c>
      <c r="B3676">
        <v>4046104</v>
      </c>
      <c r="C3676">
        <v>4047654</v>
      </c>
      <c r="E3676" t="s">
        <v>96</v>
      </c>
      <c r="F3676" t="s">
        <v>9868</v>
      </c>
      <c r="H3676">
        <v>0</v>
      </c>
      <c r="I3676" t="s">
        <v>17</v>
      </c>
      <c r="K3676" t="s">
        <v>9869</v>
      </c>
      <c r="L3676">
        <v>516</v>
      </c>
      <c r="M3676" t="s">
        <v>9870</v>
      </c>
    </row>
    <row r="3677" spans="1:13" x14ac:dyDescent="0.45">
      <c r="A3677" t="s">
        <v>13</v>
      </c>
      <c r="B3677">
        <v>4047748</v>
      </c>
      <c r="C3677">
        <v>4048014</v>
      </c>
      <c r="E3677" t="s">
        <v>96</v>
      </c>
      <c r="F3677" t="s">
        <v>9871</v>
      </c>
      <c r="H3677">
        <v>0</v>
      </c>
      <c r="I3677" t="s">
        <v>17</v>
      </c>
      <c r="K3677" t="s">
        <v>9872</v>
      </c>
      <c r="L3677">
        <v>88</v>
      </c>
      <c r="M3677" t="s">
        <v>9873</v>
      </c>
    </row>
    <row r="3678" spans="1:13" x14ac:dyDescent="0.45">
      <c r="A3678" t="s">
        <v>13</v>
      </c>
      <c r="B3678">
        <v>4048162</v>
      </c>
      <c r="C3678">
        <v>4049022</v>
      </c>
      <c r="E3678" t="s">
        <v>96</v>
      </c>
      <c r="F3678" t="s">
        <v>9874</v>
      </c>
      <c r="G3678" t="s">
        <v>9875</v>
      </c>
      <c r="H3678">
        <v>0</v>
      </c>
      <c r="I3678" t="s">
        <v>17</v>
      </c>
      <c r="K3678" t="s">
        <v>9876</v>
      </c>
      <c r="L3678">
        <v>286</v>
      </c>
      <c r="M3678" t="s">
        <v>9877</v>
      </c>
    </row>
    <row r="3679" spans="1:13" x14ac:dyDescent="0.45">
      <c r="A3679" t="s">
        <v>13</v>
      </c>
      <c r="B3679">
        <v>4049106</v>
      </c>
      <c r="C3679">
        <v>4050044</v>
      </c>
      <c r="E3679" t="s">
        <v>96</v>
      </c>
      <c r="F3679" t="s">
        <v>4712</v>
      </c>
      <c r="H3679">
        <v>0</v>
      </c>
      <c r="I3679" t="s">
        <v>17</v>
      </c>
      <c r="K3679" t="s">
        <v>9878</v>
      </c>
      <c r="L3679">
        <v>312</v>
      </c>
      <c r="M3679" t="s">
        <v>9879</v>
      </c>
    </row>
    <row r="3680" spans="1:13" x14ac:dyDescent="0.45">
      <c r="A3680" t="s">
        <v>13</v>
      </c>
      <c r="B3680">
        <v>4050154</v>
      </c>
      <c r="C3680">
        <v>4050315</v>
      </c>
      <c r="E3680" t="s">
        <v>96</v>
      </c>
      <c r="F3680" t="s">
        <v>43</v>
      </c>
      <c r="H3680">
        <v>0</v>
      </c>
      <c r="I3680" t="s">
        <v>17</v>
      </c>
      <c r="K3680" t="s">
        <v>9880</v>
      </c>
      <c r="L3680">
        <v>53</v>
      </c>
      <c r="M3680" t="s">
        <v>9881</v>
      </c>
    </row>
    <row r="3681" spans="1:13" x14ac:dyDescent="0.45">
      <c r="A3681" t="s">
        <v>13</v>
      </c>
      <c r="B3681">
        <v>4050325</v>
      </c>
      <c r="C3681">
        <v>4050822</v>
      </c>
      <c r="E3681" t="s">
        <v>96</v>
      </c>
      <c r="F3681" t="s">
        <v>9882</v>
      </c>
      <c r="H3681">
        <v>0</v>
      </c>
      <c r="I3681" t="s">
        <v>17</v>
      </c>
      <c r="K3681" t="s">
        <v>9883</v>
      </c>
      <c r="L3681">
        <v>165</v>
      </c>
      <c r="M3681" t="s">
        <v>9884</v>
      </c>
    </row>
    <row r="3682" spans="1:13" x14ac:dyDescent="0.45">
      <c r="A3682" t="s">
        <v>13</v>
      </c>
      <c r="B3682">
        <v>4050937</v>
      </c>
      <c r="C3682">
        <v>4051647</v>
      </c>
      <c r="E3682" t="s">
        <v>96</v>
      </c>
      <c r="F3682" t="s">
        <v>9885</v>
      </c>
      <c r="H3682">
        <v>0</v>
      </c>
      <c r="I3682" t="s">
        <v>17</v>
      </c>
      <c r="K3682" t="s">
        <v>9886</v>
      </c>
      <c r="L3682">
        <v>236</v>
      </c>
      <c r="M3682" t="s">
        <v>9887</v>
      </c>
    </row>
    <row r="3683" spans="1:13" x14ac:dyDescent="0.45">
      <c r="A3683" t="s">
        <v>13</v>
      </c>
      <c r="B3683">
        <v>4051823</v>
      </c>
      <c r="C3683">
        <v>4052353</v>
      </c>
      <c r="E3683" t="s">
        <v>96</v>
      </c>
      <c r="F3683" t="s">
        <v>43</v>
      </c>
      <c r="H3683">
        <v>0</v>
      </c>
      <c r="I3683" t="s">
        <v>17</v>
      </c>
      <c r="K3683" t="s">
        <v>9888</v>
      </c>
      <c r="L3683">
        <v>176</v>
      </c>
      <c r="M3683" t="s">
        <v>9889</v>
      </c>
    </row>
    <row r="3684" spans="1:13" x14ac:dyDescent="0.45">
      <c r="A3684" t="s">
        <v>13</v>
      </c>
      <c r="B3684">
        <v>4052370</v>
      </c>
      <c r="C3684">
        <v>4052600</v>
      </c>
      <c r="E3684" t="s">
        <v>96</v>
      </c>
      <c r="F3684" t="s">
        <v>43</v>
      </c>
      <c r="H3684">
        <v>0</v>
      </c>
      <c r="I3684" t="s">
        <v>17</v>
      </c>
      <c r="K3684" t="s">
        <v>9890</v>
      </c>
      <c r="L3684">
        <v>76</v>
      </c>
      <c r="M3684" t="s">
        <v>9891</v>
      </c>
    </row>
    <row r="3685" spans="1:13" x14ac:dyDescent="0.45">
      <c r="A3685" t="s">
        <v>13</v>
      </c>
      <c r="B3685">
        <v>4052615</v>
      </c>
      <c r="C3685">
        <v>4054009</v>
      </c>
      <c r="E3685" t="s">
        <v>96</v>
      </c>
      <c r="F3685" t="s">
        <v>6294</v>
      </c>
      <c r="H3685">
        <v>0</v>
      </c>
      <c r="I3685" t="s">
        <v>17</v>
      </c>
      <c r="K3685" t="s">
        <v>9892</v>
      </c>
      <c r="L3685">
        <v>464</v>
      </c>
      <c r="M3685" t="s">
        <v>9893</v>
      </c>
    </row>
    <row r="3686" spans="1:13" x14ac:dyDescent="0.45">
      <c r="A3686" t="s">
        <v>13</v>
      </c>
      <c r="B3686">
        <v>4054135</v>
      </c>
      <c r="C3686">
        <v>4055388</v>
      </c>
      <c r="E3686" t="s">
        <v>96</v>
      </c>
      <c r="F3686" t="s">
        <v>205</v>
      </c>
      <c r="H3686">
        <v>0</v>
      </c>
      <c r="I3686" t="s">
        <v>17</v>
      </c>
      <c r="K3686" t="s">
        <v>9894</v>
      </c>
      <c r="L3686">
        <v>417</v>
      </c>
      <c r="M3686" t="s">
        <v>9895</v>
      </c>
    </row>
    <row r="3687" spans="1:13" x14ac:dyDescent="0.45">
      <c r="A3687" t="s">
        <v>13</v>
      </c>
      <c r="B3687">
        <v>4055439</v>
      </c>
      <c r="C3687">
        <v>4056593</v>
      </c>
      <c r="E3687" t="s">
        <v>96</v>
      </c>
      <c r="F3687" t="s">
        <v>9896</v>
      </c>
      <c r="H3687">
        <v>0</v>
      </c>
      <c r="I3687" t="s">
        <v>17</v>
      </c>
      <c r="K3687" t="s">
        <v>9897</v>
      </c>
      <c r="L3687">
        <v>384</v>
      </c>
      <c r="M3687" t="s">
        <v>9898</v>
      </c>
    </row>
    <row r="3688" spans="1:13" x14ac:dyDescent="0.45">
      <c r="A3688" t="s">
        <v>13</v>
      </c>
      <c r="B3688">
        <v>4057152</v>
      </c>
      <c r="C3688">
        <v>4057661</v>
      </c>
      <c r="E3688" t="s">
        <v>96</v>
      </c>
      <c r="F3688" t="s">
        <v>3330</v>
      </c>
      <c r="H3688">
        <v>0</v>
      </c>
      <c r="I3688" t="s">
        <v>17</v>
      </c>
      <c r="K3688" t="s">
        <v>9899</v>
      </c>
      <c r="L3688">
        <v>169</v>
      </c>
      <c r="M3688" t="s">
        <v>9900</v>
      </c>
    </row>
    <row r="3689" spans="1:13" x14ac:dyDescent="0.45">
      <c r="A3689" t="s">
        <v>13</v>
      </c>
      <c r="B3689">
        <v>4057924</v>
      </c>
      <c r="C3689">
        <v>4058151</v>
      </c>
      <c r="E3689" t="s">
        <v>14</v>
      </c>
      <c r="F3689" t="s">
        <v>5370</v>
      </c>
      <c r="H3689">
        <v>0</v>
      </c>
      <c r="I3689" t="s">
        <v>17</v>
      </c>
      <c r="K3689" t="s">
        <v>9901</v>
      </c>
      <c r="L3689">
        <v>75</v>
      </c>
      <c r="M3689" t="s">
        <v>9902</v>
      </c>
    </row>
    <row r="3690" spans="1:13" x14ac:dyDescent="0.45">
      <c r="A3690" t="s">
        <v>13</v>
      </c>
      <c r="B3690">
        <v>4058370</v>
      </c>
      <c r="C3690">
        <v>4059113</v>
      </c>
      <c r="E3690" t="s">
        <v>96</v>
      </c>
      <c r="F3690" t="s">
        <v>1623</v>
      </c>
      <c r="H3690">
        <v>0</v>
      </c>
      <c r="I3690" t="s">
        <v>17</v>
      </c>
      <c r="K3690" t="s">
        <v>9903</v>
      </c>
      <c r="L3690">
        <v>247</v>
      </c>
      <c r="M3690" t="s">
        <v>9904</v>
      </c>
    </row>
    <row r="3691" spans="1:13" x14ac:dyDescent="0.45">
      <c r="A3691" t="s">
        <v>13</v>
      </c>
      <c r="B3691">
        <v>4059281</v>
      </c>
      <c r="C3691">
        <v>4060153</v>
      </c>
      <c r="E3691" t="s">
        <v>14</v>
      </c>
      <c r="F3691" t="s">
        <v>1295</v>
      </c>
      <c r="H3691">
        <v>0</v>
      </c>
      <c r="I3691" t="s">
        <v>17</v>
      </c>
      <c r="K3691" t="s">
        <v>9905</v>
      </c>
      <c r="L3691">
        <v>290</v>
      </c>
      <c r="M3691" t="s">
        <v>9906</v>
      </c>
    </row>
    <row r="3692" spans="1:13" x14ac:dyDescent="0.45">
      <c r="A3692" t="s">
        <v>13</v>
      </c>
      <c r="B3692">
        <v>4060153</v>
      </c>
      <c r="C3692">
        <v>4060818</v>
      </c>
      <c r="E3692" t="s">
        <v>14</v>
      </c>
      <c r="F3692" t="s">
        <v>2877</v>
      </c>
      <c r="H3692">
        <v>0</v>
      </c>
      <c r="I3692" t="s">
        <v>17</v>
      </c>
      <c r="K3692" t="s">
        <v>9907</v>
      </c>
      <c r="L3692">
        <v>221</v>
      </c>
      <c r="M3692" t="s">
        <v>9908</v>
      </c>
    </row>
    <row r="3693" spans="1:13" x14ac:dyDescent="0.45">
      <c r="A3693" t="s">
        <v>13</v>
      </c>
      <c r="B3693">
        <v>4060839</v>
      </c>
      <c r="C3693">
        <v>4061696</v>
      </c>
      <c r="E3693" t="s">
        <v>14</v>
      </c>
      <c r="F3693" t="s">
        <v>1827</v>
      </c>
      <c r="H3693">
        <v>0</v>
      </c>
      <c r="I3693" t="s">
        <v>17</v>
      </c>
      <c r="K3693" t="s">
        <v>9909</v>
      </c>
      <c r="L3693">
        <v>285</v>
      </c>
      <c r="M3693" t="s">
        <v>9910</v>
      </c>
    </row>
    <row r="3694" spans="1:13" x14ac:dyDescent="0.45">
      <c r="A3694" t="s">
        <v>13</v>
      </c>
      <c r="B3694">
        <v>4061852</v>
      </c>
      <c r="C3694">
        <v>4064398</v>
      </c>
      <c r="E3694" t="s">
        <v>96</v>
      </c>
      <c r="F3694" t="s">
        <v>1143</v>
      </c>
      <c r="H3694">
        <v>0</v>
      </c>
      <c r="I3694" t="s">
        <v>17</v>
      </c>
      <c r="K3694" t="s">
        <v>9911</v>
      </c>
      <c r="L3694">
        <v>848</v>
      </c>
      <c r="M3694" t="s">
        <v>9912</v>
      </c>
    </row>
    <row r="3695" spans="1:13" x14ac:dyDescent="0.45">
      <c r="A3695" t="s">
        <v>13</v>
      </c>
      <c r="B3695">
        <v>4064398</v>
      </c>
      <c r="C3695">
        <v>4065084</v>
      </c>
      <c r="E3695" t="s">
        <v>96</v>
      </c>
      <c r="F3695" t="s">
        <v>1140</v>
      </c>
      <c r="H3695">
        <v>0</v>
      </c>
      <c r="I3695" t="s">
        <v>17</v>
      </c>
      <c r="K3695" t="s">
        <v>9913</v>
      </c>
      <c r="L3695">
        <v>228</v>
      </c>
      <c r="M3695" t="s">
        <v>9914</v>
      </c>
    </row>
    <row r="3696" spans="1:13" x14ac:dyDescent="0.45">
      <c r="A3696" t="s">
        <v>13</v>
      </c>
      <c r="B3696">
        <v>4065167</v>
      </c>
      <c r="C3696">
        <v>4066156</v>
      </c>
      <c r="E3696" t="s">
        <v>96</v>
      </c>
      <c r="F3696" t="s">
        <v>1219</v>
      </c>
      <c r="H3696">
        <v>0</v>
      </c>
      <c r="I3696" t="s">
        <v>17</v>
      </c>
      <c r="K3696" t="s">
        <v>9915</v>
      </c>
      <c r="L3696">
        <v>329</v>
      </c>
      <c r="M3696" t="s">
        <v>9916</v>
      </c>
    </row>
    <row r="3697" spans="1:13" x14ac:dyDescent="0.45">
      <c r="A3697" t="s">
        <v>13</v>
      </c>
      <c r="B3697">
        <v>4066143</v>
      </c>
      <c r="C3697">
        <v>4066829</v>
      </c>
      <c r="E3697" t="s">
        <v>96</v>
      </c>
      <c r="F3697" t="s">
        <v>1222</v>
      </c>
      <c r="H3697">
        <v>0</v>
      </c>
      <c r="I3697" t="s">
        <v>17</v>
      </c>
      <c r="K3697" t="s">
        <v>9917</v>
      </c>
      <c r="L3697">
        <v>228</v>
      </c>
      <c r="M3697" t="s">
        <v>9918</v>
      </c>
    </row>
    <row r="3698" spans="1:13" x14ac:dyDescent="0.45">
      <c r="A3698" t="s">
        <v>13</v>
      </c>
      <c r="B3698">
        <v>4066826</v>
      </c>
      <c r="C3698">
        <v>4066948</v>
      </c>
      <c r="E3698" t="s">
        <v>96</v>
      </c>
      <c r="F3698" t="s">
        <v>43</v>
      </c>
      <c r="H3698">
        <v>0</v>
      </c>
      <c r="I3698" t="s">
        <v>17</v>
      </c>
      <c r="K3698" t="s">
        <v>9919</v>
      </c>
      <c r="L3698">
        <v>40</v>
      </c>
      <c r="M3698" t="s">
        <v>9920</v>
      </c>
    </row>
    <row r="3699" spans="1:13" x14ac:dyDescent="0.45">
      <c r="A3699" t="s">
        <v>13</v>
      </c>
      <c r="B3699">
        <v>4067329</v>
      </c>
      <c r="C3699">
        <v>4070535</v>
      </c>
      <c r="E3699" t="s">
        <v>96</v>
      </c>
      <c r="F3699" t="s">
        <v>9921</v>
      </c>
      <c r="G3699" t="s">
        <v>9922</v>
      </c>
      <c r="H3699">
        <v>0</v>
      </c>
      <c r="I3699" t="s">
        <v>17</v>
      </c>
      <c r="K3699" t="s">
        <v>9923</v>
      </c>
      <c r="L3699">
        <v>1068</v>
      </c>
      <c r="M3699" t="s">
        <v>9924</v>
      </c>
    </row>
    <row r="3700" spans="1:13" x14ac:dyDescent="0.45">
      <c r="A3700" t="s">
        <v>13</v>
      </c>
      <c r="B3700">
        <v>4070728</v>
      </c>
      <c r="C3700">
        <v>4071777</v>
      </c>
      <c r="E3700" t="s">
        <v>96</v>
      </c>
      <c r="F3700" t="s">
        <v>9925</v>
      </c>
      <c r="G3700" t="s">
        <v>9926</v>
      </c>
      <c r="H3700">
        <v>0</v>
      </c>
      <c r="I3700" t="s">
        <v>17</v>
      </c>
      <c r="K3700" t="s">
        <v>9927</v>
      </c>
      <c r="L3700">
        <v>349</v>
      </c>
      <c r="M3700" t="s">
        <v>9928</v>
      </c>
    </row>
    <row r="3701" spans="1:13" x14ac:dyDescent="0.45">
      <c r="A3701" t="s">
        <v>13</v>
      </c>
      <c r="B3701">
        <v>4072035</v>
      </c>
      <c r="C3701">
        <v>4075241</v>
      </c>
      <c r="E3701" t="s">
        <v>96</v>
      </c>
      <c r="F3701" t="s">
        <v>9921</v>
      </c>
      <c r="G3701" t="s">
        <v>9922</v>
      </c>
      <c r="H3701">
        <v>0</v>
      </c>
      <c r="I3701" t="s">
        <v>17</v>
      </c>
      <c r="K3701" t="s">
        <v>9929</v>
      </c>
      <c r="L3701">
        <v>1068</v>
      </c>
      <c r="M3701" t="s">
        <v>9930</v>
      </c>
    </row>
    <row r="3702" spans="1:13" x14ac:dyDescent="0.45">
      <c r="A3702" t="s">
        <v>13</v>
      </c>
      <c r="B3702">
        <v>4075294</v>
      </c>
      <c r="C3702">
        <v>4076337</v>
      </c>
      <c r="E3702" t="s">
        <v>96</v>
      </c>
      <c r="F3702" t="s">
        <v>9925</v>
      </c>
      <c r="G3702" t="s">
        <v>9926</v>
      </c>
      <c r="H3702">
        <v>0</v>
      </c>
      <c r="I3702" t="s">
        <v>17</v>
      </c>
      <c r="K3702" t="s">
        <v>9931</v>
      </c>
      <c r="L3702">
        <v>347</v>
      </c>
      <c r="M3702" t="s">
        <v>9932</v>
      </c>
    </row>
    <row r="3703" spans="1:13" x14ac:dyDescent="0.45">
      <c r="A3703" t="s">
        <v>13</v>
      </c>
      <c r="B3703">
        <v>4076363</v>
      </c>
      <c r="C3703">
        <v>4077079</v>
      </c>
      <c r="E3703" t="s">
        <v>96</v>
      </c>
      <c r="F3703" t="s">
        <v>9933</v>
      </c>
      <c r="G3703" t="s">
        <v>9934</v>
      </c>
      <c r="H3703">
        <v>0</v>
      </c>
      <c r="I3703" t="s">
        <v>17</v>
      </c>
      <c r="K3703" t="s">
        <v>9935</v>
      </c>
      <c r="L3703">
        <v>238</v>
      </c>
      <c r="M3703" t="s">
        <v>9936</v>
      </c>
    </row>
    <row r="3704" spans="1:13" x14ac:dyDescent="0.45">
      <c r="A3704" t="s">
        <v>13</v>
      </c>
      <c r="B3704">
        <v>4077455</v>
      </c>
      <c r="C3704">
        <v>4078090</v>
      </c>
      <c r="E3704" t="s">
        <v>96</v>
      </c>
      <c r="F3704" t="s">
        <v>9937</v>
      </c>
      <c r="H3704">
        <v>0</v>
      </c>
      <c r="I3704" t="s">
        <v>17</v>
      </c>
      <c r="K3704" t="s">
        <v>9938</v>
      </c>
      <c r="L3704">
        <v>211</v>
      </c>
      <c r="M3704" t="s">
        <v>9939</v>
      </c>
    </row>
    <row r="3705" spans="1:13" x14ac:dyDescent="0.45">
      <c r="A3705" t="s">
        <v>13</v>
      </c>
      <c r="B3705">
        <v>4078114</v>
      </c>
      <c r="C3705">
        <v>4079028</v>
      </c>
      <c r="E3705" t="s">
        <v>96</v>
      </c>
      <c r="F3705" t="s">
        <v>862</v>
      </c>
      <c r="H3705">
        <v>0</v>
      </c>
      <c r="I3705" t="s">
        <v>17</v>
      </c>
      <c r="K3705" t="s">
        <v>9940</v>
      </c>
      <c r="L3705">
        <v>304</v>
      </c>
      <c r="M3705" t="s">
        <v>9941</v>
      </c>
    </row>
    <row r="3706" spans="1:13" x14ac:dyDescent="0.45">
      <c r="A3706" t="s">
        <v>13</v>
      </c>
      <c r="B3706">
        <v>4079628</v>
      </c>
      <c r="C3706">
        <v>4080857</v>
      </c>
      <c r="E3706" t="s">
        <v>14</v>
      </c>
      <c r="F3706" t="s">
        <v>2923</v>
      </c>
      <c r="H3706">
        <v>0</v>
      </c>
      <c r="I3706" t="s">
        <v>17</v>
      </c>
      <c r="K3706" t="s">
        <v>9942</v>
      </c>
      <c r="L3706">
        <v>409</v>
      </c>
      <c r="M3706" t="s">
        <v>9943</v>
      </c>
    </row>
    <row r="3707" spans="1:13" x14ac:dyDescent="0.45">
      <c r="A3707" t="s">
        <v>13</v>
      </c>
      <c r="B3707">
        <v>4081062</v>
      </c>
      <c r="C3707">
        <v>4083443</v>
      </c>
      <c r="E3707" t="s">
        <v>96</v>
      </c>
      <c r="F3707" t="s">
        <v>9944</v>
      </c>
      <c r="H3707">
        <v>0</v>
      </c>
      <c r="I3707" t="s">
        <v>17</v>
      </c>
      <c r="K3707" t="s">
        <v>9945</v>
      </c>
      <c r="L3707">
        <v>793</v>
      </c>
      <c r="M3707" t="s">
        <v>9946</v>
      </c>
    </row>
    <row r="3708" spans="1:13" x14ac:dyDescent="0.45">
      <c r="A3708" t="s">
        <v>13</v>
      </c>
      <c r="B3708">
        <v>4083415</v>
      </c>
      <c r="C3708">
        <v>4084140</v>
      </c>
      <c r="E3708" t="s">
        <v>96</v>
      </c>
      <c r="F3708" t="s">
        <v>9947</v>
      </c>
      <c r="H3708">
        <v>0</v>
      </c>
      <c r="I3708" t="s">
        <v>17</v>
      </c>
      <c r="K3708" t="s">
        <v>9948</v>
      </c>
      <c r="L3708">
        <v>241</v>
      </c>
      <c r="M3708" t="s">
        <v>9949</v>
      </c>
    </row>
    <row r="3709" spans="1:13" x14ac:dyDescent="0.45">
      <c r="A3709" t="s">
        <v>13</v>
      </c>
      <c r="B3709">
        <v>4084130</v>
      </c>
      <c r="C3709">
        <v>4084585</v>
      </c>
      <c r="E3709" t="s">
        <v>96</v>
      </c>
      <c r="F3709" t="s">
        <v>9950</v>
      </c>
      <c r="H3709">
        <v>0</v>
      </c>
      <c r="I3709" t="s">
        <v>17</v>
      </c>
      <c r="K3709" t="s">
        <v>9951</v>
      </c>
      <c r="L3709">
        <v>151</v>
      </c>
      <c r="M3709" t="s">
        <v>9952</v>
      </c>
    </row>
    <row r="3710" spans="1:13" x14ac:dyDescent="0.45">
      <c r="A3710" t="s">
        <v>13</v>
      </c>
      <c r="B3710">
        <v>4084867</v>
      </c>
      <c r="C3710">
        <v>4086048</v>
      </c>
      <c r="E3710" t="s">
        <v>96</v>
      </c>
      <c r="F3710" t="s">
        <v>1219</v>
      </c>
      <c r="H3710">
        <v>0</v>
      </c>
      <c r="I3710" t="s">
        <v>17</v>
      </c>
      <c r="K3710" t="s">
        <v>9953</v>
      </c>
      <c r="L3710">
        <v>393</v>
      </c>
      <c r="M3710" t="s">
        <v>9954</v>
      </c>
    </row>
    <row r="3711" spans="1:13" x14ac:dyDescent="0.45">
      <c r="A3711" t="s">
        <v>13</v>
      </c>
      <c r="B3711">
        <v>4086038</v>
      </c>
      <c r="C3711">
        <v>4086730</v>
      </c>
      <c r="E3711" t="s">
        <v>96</v>
      </c>
      <c r="F3711" t="s">
        <v>1222</v>
      </c>
      <c r="H3711">
        <v>0</v>
      </c>
      <c r="I3711" t="s">
        <v>17</v>
      </c>
      <c r="K3711" t="s">
        <v>9955</v>
      </c>
      <c r="L3711">
        <v>230</v>
      </c>
      <c r="M3711" t="s">
        <v>9956</v>
      </c>
    </row>
    <row r="3712" spans="1:13" x14ac:dyDescent="0.45">
      <c r="A3712" t="s">
        <v>13</v>
      </c>
      <c r="B3712">
        <v>4086864</v>
      </c>
      <c r="C3712">
        <v>4087580</v>
      </c>
      <c r="E3712" t="s">
        <v>96</v>
      </c>
      <c r="F3712" t="s">
        <v>3861</v>
      </c>
      <c r="H3712">
        <v>0</v>
      </c>
      <c r="I3712" t="s">
        <v>17</v>
      </c>
      <c r="K3712" t="s">
        <v>9957</v>
      </c>
      <c r="L3712">
        <v>238</v>
      </c>
      <c r="M3712" t="s">
        <v>9958</v>
      </c>
    </row>
    <row r="3713" spans="1:13" x14ac:dyDescent="0.45">
      <c r="A3713" t="s">
        <v>13</v>
      </c>
      <c r="B3713">
        <v>4087706</v>
      </c>
      <c r="C3713">
        <v>4088440</v>
      </c>
      <c r="E3713" t="s">
        <v>14</v>
      </c>
      <c r="F3713" t="s">
        <v>9959</v>
      </c>
      <c r="H3713">
        <v>0</v>
      </c>
      <c r="I3713" t="s">
        <v>17</v>
      </c>
      <c r="K3713" t="s">
        <v>9960</v>
      </c>
      <c r="L3713">
        <v>244</v>
      </c>
      <c r="M3713" t="s">
        <v>9961</v>
      </c>
    </row>
    <row r="3714" spans="1:13" x14ac:dyDescent="0.45">
      <c r="A3714" t="s">
        <v>13</v>
      </c>
      <c r="B3714">
        <v>4088725</v>
      </c>
      <c r="C3714">
        <v>4089480</v>
      </c>
      <c r="E3714" t="s">
        <v>96</v>
      </c>
      <c r="F3714" t="s">
        <v>822</v>
      </c>
      <c r="H3714">
        <v>0</v>
      </c>
      <c r="I3714" t="s">
        <v>17</v>
      </c>
      <c r="K3714" t="s">
        <v>9962</v>
      </c>
      <c r="L3714">
        <v>251</v>
      </c>
      <c r="M3714" t="s">
        <v>9963</v>
      </c>
    </row>
    <row r="3715" spans="1:13" x14ac:dyDescent="0.45">
      <c r="A3715" t="s">
        <v>13</v>
      </c>
      <c r="B3715">
        <v>4089602</v>
      </c>
      <c r="C3715">
        <v>4090540</v>
      </c>
      <c r="E3715" t="s">
        <v>96</v>
      </c>
      <c r="F3715" t="s">
        <v>9964</v>
      </c>
      <c r="H3715">
        <v>0</v>
      </c>
      <c r="I3715" t="s">
        <v>17</v>
      </c>
      <c r="K3715" t="s">
        <v>9965</v>
      </c>
      <c r="L3715">
        <v>312</v>
      </c>
      <c r="M3715" t="s">
        <v>9966</v>
      </c>
    </row>
    <row r="3716" spans="1:13" x14ac:dyDescent="0.45">
      <c r="A3716" t="s">
        <v>13</v>
      </c>
      <c r="B3716">
        <v>4090643</v>
      </c>
      <c r="C3716">
        <v>4091293</v>
      </c>
      <c r="E3716" t="s">
        <v>96</v>
      </c>
      <c r="F3716" t="s">
        <v>854</v>
      </c>
      <c r="H3716">
        <v>0</v>
      </c>
      <c r="I3716" t="s">
        <v>17</v>
      </c>
      <c r="K3716" t="s">
        <v>9967</v>
      </c>
      <c r="L3716">
        <v>216</v>
      </c>
      <c r="M3716" t="s">
        <v>9968</v>
      </c>
    </row>
    <row r="3717" spans="1:13" x14ac:dyDescent="0.45">
      <c r="A3717" t="s">
        <v>13</v>
      </c>
      <c r="B3717">
        <v>4091443</v>
      </c>
      <c r="C3717">
        <v>4091631</v>
      </c>
      <c r="E3717" t="s">
        <v>96</v>
      </c>
      <c r="F3717" t="s">
        <v>4576</v>
      </c>
      <c r="H3717">
        <v>0</v>
      </c>
      <c r="I3717" t="s">
        <v>17</v>
      </c>
      <c r="K3717" t="s">
        <v>9969</v>
      </c>
      <c r="L3717">
        <v>62</v>
      </c>
      <c r="M3717" t="s">
        <v>9970</v>
      </c>
    </row>
    <row r="3718" spans="1:13" x14ac:dyDescent="0.45">
      <c r="A3718" t="s">
        <v>13</v>
      </c>
      <c r="B3718">
        <v>4091738</v>
      </c>
      <c r="C3718">
        <v>4092922</v>
      </c>
      <c r="E3718" t="s">
        <v>96</v>
      </c>
      <c r="F3718" t="s">
        <v>4755</v>
      </c>
      <c r="H3718">
        <v>0</v>
      </c>
      <c r="I3718" t="s">
        <v>17</v>
      </c>
      <c r="K3718" t="s">
        <v>9971</v>
      </c>
      <c r="L3718">
        <v>394</v>
      </c>
      <c r="M3718" t="s">
        <v>9972</v>
      </c>
    </row>
    <row r="3719" spans="1:13" x14ac:dyDescent="0.45">
      <c r="A3719" t="s">
        <v>13</v>
      </c>
      <c r="B3719">
        <v>4093064</v>
      </c>
      <c r="C3719">
        <v>4093981</v>
      </c>
      <c r="E3719" t="s">
        <v>96</v>
      </c>
      <c r="F3719" t="s">
        <v>9973</v>
      </c>
      <c r="H3719">
        <v>0</v>
      </c>
      <c r="I3719" t="s">
        <v>17</v>
      </c>
      <c r="K3719" t="s">
        <v>9974</v>
      </c>
      <c r="L3719">
        <v>305</v>
      </c>
      <c r="M3719" t="s">
        <v>9975</v>
      </c>
    </row>
    <row r="3720" spans="1:13" x14ac:dyDescent="0.45">
      <c r="A3720" t="s">
        <v>13</v>
      </c>
      <c r="B3720">
        <v>4094003</v>
      </c>
      <c r="C3720">
        <v>4094731</v>
      </c>
      <c r="E3720" t="s">
        <v>96</v>
      </c>
      <c r="F3720" t="s">
        <v>1140</v>
      </c>
      <c r="H3720">
        <v>0</v>
      </c>
      <c r="I3720" t="s">
        <v>17</v>
      </c>
      <c r="K3720" t="s">
        <v>9976</v>
      </c>
      <c r="L3720">
        <v>242</v>
      </c>
      <c r="M3720" t="s">
        <v>9977</v>
      </c>
    </row>
    <row r="3721" spans="1:13" x14ac:dyDescent="0.45">
      <c r="A3721" t="s">
        <v>13</v>
      </c>
      <c r="B3721">
        <v>4094927</v>
      </c>
      <c r="C3721">
        <v>4095127</v>
      </c>
      <c r="E3721" t="s">
        <v>96</v>
      </c>
      <c r="F3721" t="s">
        <v>43</v>
      </c>
      <c r="H3721">
        <v>0</v>
      </c>
      <c r="I3721" t="s">
        <v>17</v>
      </c>
      <c r="K3721" t="s">
        <v>9978</v>
      </c>
      <c r="L3721">
        <v>66</v>
      </c>
      <c r="M3721" t="s">
        <v>9979</v>
      </c>
    </row>
    <row r="3722" spans="1:13" x14ac:dyDescent="0.45">
      <c r="A3722" t="s">
        <v>13</v>
      </c>
      <c r="B3722">
        <v>4095252</v>
      </c>
      <c r="C3722">
        <v>4095632</v>
      </c>
      <c r="E3722" t="s">
        <v>96</v>
      </c>
      <c r="F3722" t="s">
        <v>694</v>
      </c>
      <c r="H3722">
        <v>0</v>
      </c>
      <c r="I3722" t="s">
        <v>17</v>
      </c>
      <c r="K3722" t="s">
        <v>9980</v>
      </c>
      <c r="L3722">
        <v>126</v>
      </c>
      <c r="M3722" t="s">
        <v>9981</v>
      </c>
    </row>
    <row r="3723" spans="1:13" x14ac:dyDescent="0.45">
      <c r="A3723" t="s">
        <v>13</v>
      </c>
      <c r="B3723">
        <v>4095905</v>
      </c>
      <c r="C3723">
        <v>4097263</v>
      </c>
      <c r="E3723" t="s">
        <v>96</v>
      </c>
      <c r="F3723" t="s">
        <v>729</v>
      </c>
      <c r="H3723">
        <v>0</v>
      </c>
      <c r="I3723" t="s">
        <v>17</v>
      </c>
      <c r="K3723" t="s">
        <v>9982</v>
      </c>
      <c r="L3723">
        <v>452</v>
      </c>
      <c r="M3723" t="s">
        <v>9983</v>
      </c>
    </row>
    <row r="3724" spans="1:13" x14ac:dyDescent="0.45">
      <c r="A3724" t="s">
        <v>13</v>
      </c>
      <c r="B3724">
        <v>4097711</v>
      </c>
      <c r="C3724">
        <v>4098163</v>
      </c>
      <c r="E3724" t="s">
        <v>14</v>
      </c>
      <c r="F3724" t="s">
        <v>9984</v>
      </c>
      <c r="H3724">
        <v>0</v>
      </c>
      <c r="I3724" t="s">
        <v>17</v>
      </c>
      <c r="K3724" t="s">
        <v>9985</v>
      </c>
      <c r="L3724">
        <v>150</v>
      </c>
      <c r="M3724" t="s">
        <v>9986</v>
      </c>
    </row>
    <row r="3725" spans="1:13" x14ac:dyDescent="0.45">
      <c r="A3725" t="s">
        <v>13</v>
      </c>
      <c r="B3725">
        <v>4098320</v>
      </c>
      <c r="C3725">
        <v>4098937</v>
      </c>
      <c r="E3725" t="s">
        <v>96</v>
      </c>
      <c r="F3725" t="s">
        <v>9987</v>
      </c>
      <c r="H3725">
        <v>0</v>
      </c>
      <c r="I3725" t="s">
        <v>17</v>
      </c>
      <c r="K3725" t="s">
        <v>9988</v>
      </c>
      <c r="L3725">
        <v>205</v>
      </c>
      <c r="M3725" t="s">
        <v>9989</v>
      </c>
    </row>
    <row r="3726" spans="1:13" x14ac:dyDescent="0.45">
      <c r="A3726" t="s">
        <v>13</v>
      </c>
      <c r="B3726">
        <v>4099486</v>
      </c>
      <c r="C3726">
        <v>4102146</v>
      </c>
      <c r="E3726" t="s">
        <v>14</v>
      </c>
      <c r="F3726" t="s">
        <v>9990</v>
      </c>
      <c r="H3726">
        <v>0</v>
      </c>
      <c r="I3726" t="s">
        <v>17</v>
      </c>
      <c r="K3726" t="s">
        <v>9991</v>
      </c>
      <c r="L3726">
        <v>886</v>
      </c>
      <c r="M3726" t="s">
        <v>9992</v>
      </c>
    </row>
    <row r="3727" spans="1:13" x14ac:dyDescent="0.45">
      <c r="A3727" t="s">
        <v>13</v>
      </c>
      <c r="B3727">
        <v>4102371</v>
      </c>
      <c r="C3727">
        <v>4102694</v>
      </c>
      <c r="E3727" t="s">
        <v>14</v>
      </c>
      <c r="F3727" t="s">
        <v>9993</v>
      </c>
      <c r="H3727">
        <v>0</v>
      </c>
      <c r="I3727" t="s">
        <v>17</v>
      </c>
      <c r="K3727" t="s">
        <v>9994</v>
      </c>
      <c r="L3727">
        <v>107</v>
      </c>
      <c r="M3727" t="s">
        <v>9995</v>
      </c>
    </row>
    <row r="3728" spans="1:13" x14ac:dyDescent="0.45">
      <c r="A3728" t="s">
        <v>13</v>
      </c>
      <c r="B3728">
        <v>4102709</v>
      </c>
      <c r="C3728">
        <v>4103092</v>
      </c>
      <c r="E3728" t="s">
        <v>14</v>
      </c>
      <c r="F3728" t="s">
        <v>9993</v>
      </c>
      <c r="H3728">
        <v>0</v>
      </c>
      <c r="I3728" t="s">
        <v>17</v>
      </c>
      <c r="K3728" t="s">
        <v>9996</v>
      </c>
      <c r="L3728">
        <v>127</v>
      </c>
      <c r="M3728" t="s">
        <v>9997</v>
      </c>
    </row>
    <row r="3729" spans="1:13" x14ac:dyDescent="0.45">
      <c r="A3729" t="s">
        <v>13</v>
      </c>
      <c r="B3729">
        <v>4103188</v>
      </c>
      <c r="C3729">
        <v>4103601</v>
      </c>
      <c r="E3729" t="s">
        <v>14</v>
      </c>
      <c r="F3729" t="s">
        <v>1093</v>
      </c>
      <c r="H3729">
        <v>0</v>
      </c>
      <c r="I3729" t="s">
        <v>17</v>
      </c>
      <c r="K3729" t="s">
        <v>9998</v>
      </c>
      <c r="L3729">
        <v>137</v>
      </c>
      <c r="M3729" t="s">
        <v>9999</v>
      </c>
    </row>
    <row r="3730" spans="1:13" x14ac:dyDescent="0.45">
      <c r="A3730" t="s">
        <v>13</v>
      </c>
      <c r="B3730">
        <v>4103708</v>
      </c>
      <c r="C3730">
        <v>4104166</v>
      </c>
      <c r="E3730" t="s">
        <v>14</v>
      </c>
      <c r="F3730" t="s">
        <v>694</v>
      </c>
      <c r="H3730">
        <v>0</v>
      </c>
      <c r="I3730" t="s">
        <v>17</v>
      </c>
      <c r="K3730" t="s">
        <v>10000</v>
      </c>
      <c r="L3730">
        <v>152</v>
      </c>
      <c r="M3730" t="s">
        <v>10001</v>
      </c>
    </row>
    <row r="3731" spans="1:13" x14ac:dyDescent="0.45">
      <c r="A3731" t="s">
        <v>13</v>
      </c>
      <c r="B3731">
        <v>4104191</v>
      </c>
      <c r="C3731">
        <v>4104733</v>
      </c>
      <c r="E3731" t="s">
        <v>14</v>
      </c>
      <c r="F3731" t="s">
        <v>1797</v>
      </c>
      <c r="H3731">
        <v>0</v>
      </c>
      <c r="I3731" t="s">
        <v>17</v>
      </c>
      <c r="K3731" t="s">
        <v>10002</v>
      </c>
      <c r="L3731">
        <v>180</v>
      </c>
      <c r="M3731" t="s">
        <v>10003</v>
      </c>
    </row>
    <row r="3732" spans="1:13" x14ac:dyDescent="0.45">
      <c r="A3732" t="s">
        <v>13</v>
      </c>
      <c r="B3732">
        <v>4104790</v>
      </c>
      <c r="C3732">
        <v>4105296</v>
      </c>
      <c r="E3732" t="s">
        <v>14</v>
      </c>
      <c r="F3732" t="s">
        <v>10004</v>
      </c>
      <c r="H3732">
        <v>0</v>
      </c>
      <c r="I3732" t="s">
        <v>17</v>
      </c>
      <c r="K3732" t="s">
        <v>10005</v>
      </c>
      <c r="L3732">
        <v>168</v>
      </c>
      <c r="M3732" t="s">
        <v>10006</v>
      </c>
    </row>
    <row r="3733" spans="1:13" x14ac:dyDescent="0.45">
      <c r="A3733" t="s">
        <v>13</v>
      </c>
      <c r="B3733">
        <v>4105406</v>
      </c>
      <c r="C3733">
        <v>4106800</v>
      </c>
      <c r="E3733" t="s">
        <v>14</v>
      </c>
      <c r="F3733" t="s">
        <v>10007</v>
      </c>
      <c r="H3733">
        <v>0</v>
      </c>
      <c r="I3733" t="s">
        <v>17</v>
      </c>
      <c r="K3733" t="s">
        <v>10008</v>
      </c>
      <c r="L3733">
        <v>464</v>
      </c>
      <c r="M3733" t="s">
        <v>10009</v>
      </c>
    </row>
    <row r="3734" spans="1:13" x14ac:dyDescent="0.45">
      <c r="A3734" t="s">
        <v>13</v>
      </c>
      <c r="B3734">
        <v>4107002</v>
      </c>
      <c r="C3734">
        <v>4108201</v>
      </c>
      <c r="E3734" t="s">
        <v>14</v>
      </c>
      <c r="F3734" t="s">
        <v>10010</v>
      </c>
      <c r="G3734" t="s">
        <v>10011</v>
      </c>
      <c r="H3734">
        <v>0</v>
      </c>
      <c r="I3734" t="s">
        <v>17</v>
      </c>
      <c r="K3734" t="s">
        <v>10012</v>
      </c>
      <c r="L3734">
        <v>399</v>
      </c>
      <c r="M3734" t="s">
        <v>10013</v>
      </c>
    </row>
    <row r="3735" spans="1:13" x14ac:dyDescent="0.45">
      <c r="A3735" t="s">
        <v>13</v>
      </c>
      <c r="B3735">
        <v>4108208</v>
      </c>
      <c r="C3735">
        <v>4108342</v>
      </c>
      <c r="E3735" t="s">
        <v>14</v>
      </c>
      <c r="F3735" t="s">
        <v>10014</v>
      </c>
      <c r="H3735">
        <v>0</v>
      </c>
      <c r="I3735" t="s">
        <v>17</v>
      </c>
      <c r="K3735" t="s">
        <v>10015</v>
      </c>
      <c r="L3735">
        <v>44</v>
      </c>
      <c r="M3735" t="s">
        <v>10016</v>
      </c>
    </row>
    <row r="3736" spans="1:13" x14ac:dyDescent="0.45">
      <c r="A3736" t="s">
        <v>13</v>
      </c>
      <c r="B3736">
        <v>4108343</v>
      </c>
      <c r="C3736">
        <v>4108564</v>
      </c>
      <c r="E3736" t="s">
        <v>14</v>
      </c>
      <c r="F3736" t="s">
        <v>43</v>
      </c>
      <c r="H3736">
        <v>0</v>
      </c>
      <c r="I3736" t="s">
        <v>17</v>
      </c>
      <c r="K3736" t="s">
        <v>10017</v>
      </c>
      <c r="L3736">
        <v>73</v>
      </c>
      <c r="M3736" t="s">
        <v>10018</v>
      </c>
    </row>
    <row r="3737" spans="1:13" x14ac:dyDescent="0.45">
      <c r="A3737" t="s">
        <v>13</v>
      </c>
      <c r="B3737">
        <v>4108884</v>
      </c>
      <c r="C3737">
        <v>4109522</v>
      </c>
      <c r="E3737" t="s">
        <v>14</v>
      </c>
      <c r="F3737" t="s">
        <v>10019</v>
      </c>
      <c r="H3737">
        <v>0</v>
      </c>
      <c r="I3737" t="s">
        <v>17</v>
      </c>
      <c r="K3737" t="s">
        <v>10020</v>
      </c>
      <c r="L3737">
        <v>212</v>
      </c>
      <c r="M3737" t="s">
        <v>10021</v>
      </c>
    </row>
    <row r="3738" spans="1:13" x14ac:dyDescent="0.45">
      <c r="A3738" t="s">
        <v>13</v>
      </c>
      <c r="B3738">
        <v>4109599</v>
      </c>
      <c r="C3738">
        <v>4109787</v>
      </c>
      <c r="E3738" t="s">
        <v>14</v>
      </c>
      <c r="F3738" t="s">
        <v>43</v>
      </c>
      <c r="H3738">
        <v>0</v>
      </c>
      <c r="I3738" t="s">
        <v>17</v>
      </c>
      <c r="K3738" t="s">
        <v>10022</v>
      </c>
      <c r="L3738">
        <v>62</v>
      </c>
      <c r="M3738" t="s">
        <v>10023</v>
      </c>
    </row>
    <row r="3739" spans="1:13" x14ac:dyDescent="0.45">
      <c r="A3739" t="s">
        <v>13</v>
      </c>
      <c r="B3739">
        <v>4109808</v>
      </c>
      <c r="C3739">
        <v>4110305</v>
      </c>
      <c r="E3739" t="s">
        <v>14</v>
      </c>
      <c r="F3739" t="s">
        <v>10024</v>
      </c>
      <c r="H3739">
        <v>0</v>
      </c>
      <c r="I3739" t="s">
        <v>17</v>
      </c>
      <c r="K3739" t="s">
        <v>10025</v>
      </c>
      <c r="L3739">
        <v>165</v>
      </c>
      <c r="M3739" t="s">
        <v>10026</v>
      </c>
    </row>
    <row r="3740" spans="1:13" x14ac:dyDescent="0.45">
      <c r="A3740" t="s">
        <v>13</v>
      </c>
      <c r="B3740">
        <v>4110321</v>
      </c>
      <c r="C3740">
        <v>4110824</v>
      </c>
      <c r="E3740" t="s">
        <v>14</v>
      </c>
      <c r="F3740" t="s">
        <v>10024</v>
      </c>
      <c r="H3740">
        <v>0</v>
      </c>
      <c r="I3740" t="s">
        <v>17</v>
      </c>
      <c r="K3740" t="s">
        <v>10027</v>
      </c>
      <c r="L3740">
        <v>167</v>
      </c>
      <c r="M3740" t="s">
        <v>10028</v>
      </c>
    </row>
    <row r="3741" spans="1:13" x14ac:dyDescent="0.45">
      <c r="A3741" t="s">
        <v>13</v>
      </c>
      <c r="B3741">
        <v>4110937</v>
      </c>
      <c r="C3741">
        <v>4111326</v>
      </c>
      <c r="E3741" t="s">
        <v>14</v>
      </c>
      <c r="F3741" t="s">
        <v>10029</v>
      </c>
      <c r="H3741">
        <v>0</v>
      </c>
      <c r="I3741" t="s">
        <v>17</v>
      </c>
      <c r="K3741" t="s">
        <v>10030</v>
      </c>
      <c r="L3741">
        <v>129</v>
      </c>
      <c r="M3741" t="s">
        <v>10031</v>
      </c>
    </row>
    <row r="3742" spans="1:13" x14ac:dyDescent="0.45">
      <c r="A3742" t="s">
        <v>13</v>
      </c>
      <c r="B3742">
        <v>4111313</v>
      </c>
      <c r="C3742">
        <v>4113745</v>
      </c>
      <c r="E3742" t="s">
        <v>14</v>
      </c>
      <c r="F3742" t="s">
        <v>49</v>
      </c>
      <c r="H3742">
        <v>0</v>
      </c>
      <c r="I3742" t="s">
        <v>17</v>
      </c>
      <c r="K3742" t="s">
        <v>10032</v>
      </c>
      <c r="L3742">
        <v>810</v>
      </c>
      <c r="M3742" t="s">
        <v>10033</v>
      </c>
    </row>
    <row r="3743" spans="1:13" x14ac:dyDescent="0.45">
      <c r="A3743" t="s">
        <v>13</v>
      </c>
      <c r="B3743">
        <v>4113745</v>
      </c>
      <c r="C3743">
        <v>4115880</v>
      </c>
      <c r="E3743" t="s">
        <v>14</v>
      </c>
      <c r="F3743" t="s">
        <v>10034</v>
      </c>
      <c r="H3743">
        <v>0</v>
      </c>
      <c r="I3743" t="s">
        <v>17</v>
      </c>
      <c r="K3743" t="s">
        <v>10035</v>
      </c>
      <c r="L3743">
        <v>711</v>
      </c>
      <c r="M3743" t="s">
        <v>10036</v>
      </c>
    </row>
    <row r="3744" spans="1:13" x14ac:dyDescent="0.45">
      <c r="A3744" t="s">
        <v>13</v>
      </c>
      <c r="B3744">
        <v>4115877</v>
      </c>
      <c r="C3744">
        <v>4116884</v>
      </c>
      <c r="E3744" t="s">
        <v>14</v>
      </c>
      <c r="F3744" t="s">
        <v>10037</v>
      </c>
      <c r="H3744">
        <v>0</v>
      </c>
      <c r="I3744" t="s">
        <v>17</v>
      </c>
      <c r="K3744" t="s">
        <v>10038</v>
      </c>
      <c r="L3744">
        <v>335</v>
      </c>
      <c r="M3744" t="s">
        <v>10039</v>
      </c>
    </row>
    <row r="3745" spans="1:13" x14ac:dyDescent="0.45">
      <c r="A3745" t="s">
        <v>13</v>
      </c>
      <c r="B3745">
        <v>4116900</v>
      </c>
      <c r="C3745">
        <v>4117793</v>
      </c>
      <c r="E3745" t="s">
        <v>14</v>
      </c>
      <c r="F3745" t="s">
        <v>10029</v>
      </c>
      <c r="H3745">
        <v>0</v>
      </c>
      <c r="I3745" t="s">
        <v>17</v>
      </c>
      <c r="K3745" t="s">
        <v>10040</v>
      </c>
      <c r="L3745">
        <v>297</v>
      </c>
      <c r="M3745" t="s">
        <v>10041</v>
      </c>
    </row>
    <row r="3746" spans="1:13" x14ac:dyDescent="0.45">
      <c r="A3746" t="s">
        <v>13</v>
      </c>
      <c r="B3746">
        <v>4118006</v>
      </c>
      <c r="C3746">
        <v>4118863</v>
      </c>
      <c r="E3746" t="s">
        <v>14</v>
      </c>
      <c r="F3746" t="s">
        <v>2536</v>
      </c>
      <c r="H3746">
        <v>0</v>
      </c>
      <c r="I3746" t="s">
        <v>17</v>
      </c>
      <c r="K3746" t="s">
        <v>10042</v>
      </c>
      <c r="L3746">
        <v>285</v>
      </c>
      <c r="M3746" t="s">
        <v>10043</v>
      </c>
    </row>
    <row r="3747" spans="1:13" x14ac:dyDescent="0.45">
      <c r="A3747" t="s">
        <v>13</v>
      </c>
      <c r="B3747">
        <v>4118941</v>
      </c>
      <c r="C3747">
        <v>4119522</v>
      </c>
      <c r="E3747" t="s">
        <v>14</v>
      </c>
      <c r="F3747" t="s">
        <v>1178</v>
      </c>
      <c r="H3747">
        <v>0</v>
      </c>
      <c r="I3747" t="s">
        <v>17</v>
      </c>
      <c r="K3747" t="s">
        <v>10044</v>
      </c>
      <c r="L3747">
        <v>193</v>
      </c>
      <c r="M3747" t="s">
        <v>10045</v>
      </c>
    </row>
    <row r="3748" spans="1:13" x14ac:dyDescent="0.45">
      <c r="A3748" t="s">
        <v>13</v>
      </c>
      <c r="B3748">
        <v>4119626</v>
      </c>
      <c r="C3748">
        <v>4120471</v>
      </c>
      <c r="E3748" t="s">
        <v>14</v>
      </c>
      <c r="F3748" t="s">
        <v>1140</v>
      </c>
      <c r="H3748">
        <v>0</v>
      </c>
      <c r="I3748" t="s">
        <v>17</v>
      </c>
      <c r="K3748" t="s">
        <v>10046</v>
      </c>
      <c r="L3748">
        <v>281</v>
      </c>
      <c r="M3748" t="s">
        <v>10047</v>
      </c>
    </row>
    <row r="3749" spans="1:13" x14ac:dyDescent="0.45">
      <c r="A3749" t="s">
        <v>13</v>
      </c>
      <c r="B3749">
        <v>4120468</v>
      </c>
      <c r="C3749">
        <v>4121151</v>
      </c>
      <c r="E3749" t="s">
        <v>14</v>
      </c>
      <c r="F3749" t="s">
        <v>1143</v>
      </c>
      <c r="H3749">
        <v>0</v>
      </c>
      <c r="I3749" t="s">
        <v>17</v>
      </c>
      <c r="K3749" t="s">
        <v>10048</v>
      </c>
      <c r="L3749">
        <v>227</v>
      </c>
      <c r="M3749" t="s">
        <v>10049</v>
      </c>
    </row>
    <row r="3750" spans="1:13" x14ac:dyDescent="0.45">
      <c r="A3750" t="s">
        <v>13</v>
      </c>
      <c r="B3750">
        <v>4121148</v>
      </c>
      <c r="C3750">
        <v>4121846</v>
      </c>
      <c r="E3750" t="s">
        <v>14</v>
      </c>
      <c r="F3750" t="s">
        <v>43</v>
      </c>
      <c r="H3750">
        <v>0</v>
      </c>
      <c r="I3750" t="s">
        <v>17</v>
      </c>
      <c r="K3750" t="s">
        <v>10050</v>
      </c>
      <c r="L3750">
        <v>232</v>
      </c>
      <c r="M3750" t="s">
        <v>10051</v>
      </c>
    </row>
    <row r="3751" spans="1:13" x14ac:dyDescent="0.45">
      <c r="A3751" t="s">
        <v>13</v>
      </c>
      <c r="B3751">
        <v>4121858</v>
      </c>
      <c r="C3751">
        <v>4122769</v>
      </c>
      <c r="E3751" t="s">
        <v>14</v>
      </c>
      <c r="F3751" t="s">
        <v>2644</v>
      </c>
      <c r="H3751">
        <v>0</v>
      </c>
      <c r="I3751" t="s">
        <v>17</v>
      </c>
      <c r="K3751" t="s">
        <v>10052</v>
      </c>
      <c r="L3751">
        <v>303</v>
      </c>
      <c r="M3751" t="s">
        <v>10053</v>
      </c>
    </row>
    <row r="3752" spans="1:13" x14ac:dyDescent="0.45">
      <c r="A3752" t="s">
        <v>13</v>
      </c>
      <c r="B3752">
        <v>4122822</v>
      </c>
      <c r="C3752">
        <v>4122962</v>
      </c>
      <c r="E3752" t="s">
        <v>14</v>
      </c>
      <c r="F3752" t="s">
        <v>43</v>
      </c>
      <c r="H3752">
        <v>0</v>
      </c>
      <c r="I3752" t="s">
        <v>17</v>
      </c>
      <c r="K3752" t="s">
        <v>10054</v>
      </c>
      <c r="L3752">
        <v>46</v>
      </c>
      <c r="M3752" t="s">
        <v>10055</v>
      </c>
    </row>
    <row r="3753" spans="1:13" x14ac:dyDescent="0.45">
      <c r="A3753" t="s">
        <v>13</v>
      </c>
      <c r="B3753">
        <v>4123077</v>
      </c>
      <c r="C3753">
        <v>4123268</v>
      </c>
      <c r="E3753" t="s">
        <v>14</v>
      </c>
      <c r="F3753" t="s">
        <v>10056</v>
      </c>
      <c r="H3753">
        <v>0</v>
      </c>
      <c r="I3753" t="s">
        <v>17</v>
      </c>
      <c r="K3753" t="s">
        <v>10057</v>
      </c>
      <c r="L3753">
        <v>63</v>
      </c>
      <c r="M3753" t="s">
        <v>10058</v>
      </c>
    </row>
    <row r="3754" spans="1:13" x14ac:dyDescent="0.45">
      <c r="A3754" t="s">
        <v>13</v>
      </c>
      <c r="B3754">
        <v>4123292</v>
      </c>
      <c r="C3754">
        <v>4123522</v>
      </c>
      <c r="E3754" t="s">
        <v>14</v>
      </c>
      <c r="F3754" t="s">
        <v>43</v>
      </c>
      <c r="H3754">
        <v>0</v>
      </c>
      <c r="I3754" t="s">
        <v>17</v>
      </c>
      <c r="K3754" t="s">
        <v>10059</v>
      </c>
      <c r="L3754">
        <v>76</v>
      </c>
      <c r="M3754" t="s">
        <v>10060</v>
      </c>
    </row>
    <row r="3755" spans="1:13" x14ac:dyDescent="0.45">
      <c r="A3755" t="s">
        <v>13</v>
      </c>
      <c r="B3755">
        <v>4123788</v>
      </c>
      <c r="C3755">
        <v>4124212</v>
      </c>
      <c r="E3755" t="s">
        <v>14</v>
      </c>
      <c r="F3755" t="s">
        <v>271</v>
      </c>
      <c r="H3755">
        <v>0</v>
      </c>
      <c r="I3755" t="s">
        <v>272</v>
      </c>
      <c r="M3755" t="s">
        <v>10061</v>
      </c>
    </row>
    <row r="3756" spans="1:13" x14ac:dyDescent="0.45">
      <c r="A3756" t="s">
        <v>13</v>
      </c>
      <c r="B3756">
        <v>4124193</v>
      </c>
      <c r="C3756">
        <v>4125374</v>
      </c>
      <c r="E3756" t="s">
        <v>14</v>
      </c>
      <c r="F3756" t="s">
        <v>3896</v>
      </c>
      <c r="H3756">
        <v>0</v>
      </c>
      <c r="I3756" t="s">
        <v>17</v>
      </c>
      <c r="K3756" t="s">
        <v>10062</v>
      </c>
      <c r="L3756">
        <v>393</v>
      </c>
      <c r="M3756" t="s">
        <v>10063</v>
      </c>
    </row>
    <row r="3757" spans="1:13" x14ac:dyDescent="0.45">
      <c r="A3757" t="s">
        <v>13</v>
      </c>
      <c r="B3757">
        <v>4125714</v>
      </c>
      <c r="C3757">
        <v>4126526</v>
      </c>
      <c r="E3757" t="s">
        <v>96</v>
      </c>
      <c r="F3757" t="s">
        <v>1827</v>
      </c>
      <c r="H3757">
        <v>0</v>
      </c>
      <c r="I3757" t="s">
        <v>17</v>
      </c>
      <c r="K3757" t="s">
        <v>10064</v>
      </c>
      <c r="L3757">
        <v>270</v>
      </c>
      <c r="M3757" t="s">
        <v>10065</v>
      </c>
    </row>
    <row r="3758" spans="1:13" x14ac:dyDescent="0.45">
      <c r="A3758" t="s">
        <v>13</v>
      </c>
      <c r="B3758">
        <v>4126602</v>
      </c>
      <c r="C3758">
        <v>4127819</v>
      </c>
      <c r="E3758" t="s">
        <v>96</v>
      </c>
      <c r="F3758" t="s">
        <v>10066</v>
      </c>
      <c r="H3758">
        <v>0</v>
      </c>
      <c r="I3758" t="s">
        <v>17</v>
      </c>
      <c r="K3758" t="s">
        <v>10067</v>
      </c>
      <c r="L3758">
        <v>405</v>
      </c>
      <c r="M3758" t="s">
        <v>10068</v>
      </c>
    </row>
    <row r="3759" spans="1:13" x14ac:dyDescent="0.45">
      <c r="A3759" t="s">
        <v>13</v>
      </c>
      <c r="B3759">
        <v>4127985</v>
      </c>
      <c r="C3759">
        <v>4129103</v>
      </c>
      <c r="E3759" t="s">
        <v>96</v>
      </c>
      <c r="F3759" t="s">
        <v>1370</v>
      </c>
      <c r="G3759" t="s">
        <v>1371</v>
      </c>
      <c r="H3759">
        <v>0</v>
      </c>
      <c r="I3759" t="s">
        <v>17</v>
      </c>
      <c r="K3759" t="s">
        <v>10069</v>
      </c>
      <c r="L3759">
        <v>372</v>
      </c>
      <c r="M3759" t="s">
        <v>10070</v>
      </c>
    </row>
    <row r="3760" spans="1:13" x14ac:dyDescent="0.45">
      <c r="A3760" t="s">
        <v>13</v>
      </c>
      <c r="B3760">
        <v>4129105</v>
      </c>
      <c r="C3760">
        <v>4129203</v>
      </c>
      <c r="E3760" t="s">
        <v>96</v>
      </c>
      <c r="F3760" t="s">
        <v>271</v>
      </c>
      <c r="H3760">
        <v>0</v>
      </c>
      <c r="I3760" t="s">
        <v>272</v>
      </c>
      <c r="M3760" t="s">
        <v>10071</v>
      </c>
    </row>
    <row r="3761" spans="1:13" x14ac:dyDescent="0.45">
      <c r="A3761" t="s">
        <v>13</v>
      </c>
      <c r="B3761">
        <v>4129841</v>
      </c>
      <c r="C3761">
        <v>4129996</v>
      </c>
      <c r="E3761" t="s">
        <v>96</v>
      </c>
      <c r="F3761" t="s">
        <v>43</v>
      </c>
      <c r="H3761">
        <v>0</v>
      </c>
      <c r="I3761" t="s">
        <v>17</v>
      </c>
      <c r="K3761" t="s">
        <v>10072</v>
      </c>
      <c r="L3761">
        <v>51</v>
      </c>
      <c r="M3761" t="s">
        <v>10073</v>
      </c>
    </row>
    <row r="3762" spans="1:13" x14ac:dyDescent="0.45">
      <c r="A3762" t="s">
        <v>13</v>
      </c>
      <c r="B3762">
        <v>4130479</v>
      </c>
      <c r="C3762">
        <v>4131387</v>
      </c>
      <c r="E3762" t="s">
        <v>96</v>
      </c>
      <c r="F3762" t="s">
        <v>10074</v>
      </c>
      <c r="H3762">
        <v>0</v>
      </c>
      <c r="I3762" t="s">
        <v>17</v>
      </c>
      <c r="K3762" t="s">
        <v>10075</v>
      </c>
      <c r="L3762">
        <v>302</v>
      </c>
      <c r="M3762" t="s">
        <v>10076</v>
      </c>
    </row>
    <row r="3763" spans="1:13" x14ac:dyDescent="0.45">
      <c r="A3763" t="s">
        <v>13</v>
      </c>
      <c r="B3763">
        <v>4131658</v>
      </c>
      <c r="C3763">
        <v>4132035</v>
      </c>
      <c r="E3763" t="s">
        <v>14</v>
      </c>
      <c r="F3763" t="s">
        <v>694</v>
      </c>
      <c r="H3763">
        <v>0</v>
      </c>
      <c r="I3763" t="s">
        <v>17</v>
      </c>
      <c r="K3763" t="s">
        <v>10077</v>
      </c>
      <c r="L3763">
        <v>125</v>
      </c>
      <c r="M3763" t="s">
        <v>10078</v>
      </c>
    </row>
    <row r="3764" spans="1:13" x14ac:dyDescent="0.45">
      <c r="A3764" t="s">
        <v>13</v>
      </c>
      <c r="B3764">
        <v>4132191</v>
      </c>
      <c r="C3764">
        <v>4132640</v>
      </c>
      <c r="E3764" t="s">
        <v>96</v>
      </c>
      <c r="F3764" t="s">
        <v>1183</v>
      </c>
      <c r="H3764">
        <v>0</v>
      </c>
      <c r="I3764" t="s">
        <v>17</v>
      </c>
      <c r="K3764" t="s">
        <v>10079</v>
      </c>
      <c r="L3764">
        <v>149</v>
      </c>
      <c r="M3764" t="s">
        <v>10080</v>
      </c>
    </row>
    <row r="3765" spans="1:13" x14ac:dyDescent="0.45">
      <c r="A3765" t="s">
        <v>13</v>
      </c>
      <c r="B3765">
        <v>4132818</v>
      </c>
      <c r="C3765">
        <v>4133222</v>
      </c>
      <c r="E3765" t="s">
        <v>96</v>
      </c>
      <c r="F3765" t="s">
        <v>10081</v>
      </c>
      <c r="H3765">
        <v>0</v>
      </c>
      <c r="I3765" t="s">
        <v>17</v>
      </c>
      <c r="K3765" t="s">
        <v>10082</v>
      </c>
      <c r="L3765">
        <v>134</v>
      </c>
      <c r="M3765" t="s">
        <v>10083</v>
      </c>
    </row>
    <row r="3766" spans="1:13" x14ac:dyDescent="0.45">
      <c r="A3766" t="s">
        <v>13</v>
      </c>
      <c r="B3766">
        <v>4133335</v>
      </c>
      <c r="C3766">
        <v>4134201</v>
      </c>
      <c r="E3766" t="s">
        <v>96</v>
      </c>
      <c r="F3766" t="s">
        <v>7638</v>
      </c>
      <c r="H3766">
        <v>0</v>
      </c>
      <c r="I3766" t="s">
        <v>17</v>
      </c>
      <c r="K3766" t="s">
        <v>10084</v>
      </c>
      <c r="L3766">
        <v>288</v>
      </c>
      <c r="M3766" t="s">
        <v>10085</v>
      </c>
    </row>
    <row r="3767" spans="1:13" x14ac:dyDescent="0.45">
      <c r="A3767" t="s">
        <v>13</v>
      </c>
      <c r="B3767">
        <v>4134771</v>
      </c>
      <c r="C3767">
        <v>4135115</v>
      </c>
      <c r="E3767" t="s">
        <v>96</v>
      </c>
      <c r="F3767" t="s">
        <v>10086</v>
      </c>
      <c r="H3767">
        <v>0</v>
      </c>
      <c r="I3767" t="s">
        <v>17</v>
      </c>
      <c r="K3767" t="s">
        <v>10087</v>
      </c>
      <c r="L3767">
        <v>114</v>
      </c>
      <c r="M3767" t="s">
        <v>10088</v>
      </c>
    </row>
    <row r="3768" spans="1:13" x14ac:dyDescent="0.45">
      <c r="A3768" t="s">
        <v>13</v>
      </c>
      <c r="B3768">
        <v>4135304</v>
      </c>
      <c r="C3768">
        <v>4135921</v>
      </c>
      <c r="E3768" t="s">
        <v>96</v>
      </c>
      <c r="F3768" t="s">
        <v>1140</v>
      </c>
      <c r="H3768">
        <v>0</v>
      </c>
      <c r="I3768" t="s">
        <v>17</v>
      </c>
      <c r="K3768" t="s">
        <v>10089</v>
      </c>
      <c r="L3768">
        <v>205</v>
      </c>
      <c r="M3768" t="s">
        <v>10090</v>
      </c>
    </row>
    <row r="3769" spans="1:13" x14ac:dyDescent="0.45">
      <c r="A3769" t="s">
        <v>13</v>
      </c>
      <c r="B3769">
        <v>4135926</v>
      </c>
      <c r="C3769">
        <v>4138097</v>
      </c>
      <c r="E3769" t="s">
        <v>96</v>
      </c>
      <c r="F3769" t="s">
        <v>10091</v>
      </c>
      <c r="H3769">
        <v>0</v>
      </c>
      <c r="I3769" t="s">
        <v>17</v>
      </c>
      <c r="K3769" t="s">
        <v>10092</v>
      </c>
      <c r="L3769">
        <v>723</v>
      </c>
      <c r="M3769" t="s">
        <v>10093</v>
      </c>
    </row>
    <row r="3770" spans="1:13" x14ac:dyDescent="0.45">
      <c r="A3770" t="s">
        <v>13</v>
      </c>
      <c r="B3770">
        <v>4138512</v>
      </c>
      <c r="C3770">
        <v>4139144</v>
      </c>
      <c r="E3770" t="s">
        <v>96</v>
      </c>
      <c r="F3770" t="s">
        <v>10094</v>
      </c>
      <c r="H3770">
        <v>0</v>
      </c>
      <c r="I3770" t="s">
        <v>17</v>
      </c>
      <c r="K3770" t="s">
        <v>10095</v>
      </c>
      <c r="L3770">
        <v>210</v>
      </c>
      <c r="M3770" t="s">
        <v>10096</v>
      </c>
    </row>
    <row r="3771" spans="1:13" x14ac:dyDescent="0.45">
      <c r="A3771" t="s">
        <v>13</v>
      </c>
      <c r="B3771">
        <v>4139250</v>
      </c>
      <c r="C3771">
        <v>4140155</v>
      </c>
      <c r="E3771" t="s">
        <v>96</v>
      </c>
      <c r="F3771" t="s">
        <v>8935</v>
      </c>
      <c r="G3771" t="s">
        <v>8936</v>
      </c>
      <c r="H3771">
        <v>0</v>
      </c>
      <c r="I3771" t="s">
        <v>17</v>
      </c>
      <c r="K3771" t="s">
        <v>10097</v>
      </c>
      <c r="L3771">
        <v>301</v>
      </c>
      <c r="M3771" t="s">
        <v>10098</v>
      </c>
    </row>
    <row r="3772" spans="1:13" x14ac:dyDescent="0.45">
      <c r="A3772" t="s">
        <v>13</v>
      </c>
      <c r="B3772">
        <v>4140160</v>
      </c>
      <c r="C3772">
        <v>4140759</v>
      </c>
      <c r="E3772" t="s">
        <v>96</v>
      </c>
      <c r="F3772" t="s">
        <v>7193</v>
      </c>
      <c r="H3772">
        <v>0</v>
      </c>
      <c r="I3772" t="s">
        <v>17</v>
      </c>
      <c r="K3772" t="s">
        <v>10099</v>
      </c>
      <c r="L3772">
        <v>199</v>
      </c>
      <c r="M3772" t="s">
        <v>10100</v>
      </c>
    </row>
    <row r="3773" spans="1:13" x14ac:dyDescent="0.45">
      <c r="A3773" t="s">
        <v>13</v>
      </c>
      <c r="B3773">
        <v>4140817</v>
      </c>
      <c r="C3773">
        <v>4142088</v>
      </c>
      <c r="E3773" t="s">
        <v>96</v>
      </c>
      <c r="F3773" t="s">
        <v>7196</v>
      </c>
      <c r="H3773">
        <v>0</v>
      </c>
      <c r="I3773" t="s">
        <v>17</v>
      </c>
      <c r="K3773" t="s">
        <v>10101</v>
      </c>
      <c r="L3773">
        <v>423</v>
      </c>
      <c r="M3773" t="s">
        <v>10102</v>
      </c>
    </row>
    <row r="3774" spans="1:13" x14ac:dyDescent="0.45">
      <c r="A3774" t="s">
        <v>13</v>
      </c>
      <c r="B3774">
        <v>4142115</v>
      </c>
      <c r="C3774">
        <v>4142402</v>
      </c>
      <c r="E3774" t="s">
        <v>96</v>
      </c>
      <c r="F3774" t="s">
        <v>230</v>
      </c>
      <c r="H3774">
        <v>0</v>
      </c>
      <c r="I3774" t="s">
        <v>17</v>
      </c>
      <c r="K3774" t="s">
        <v>10103</v>
      </c>
      <c r="L3774">
        <v>95</v>
      </c>
      <c r="M3774" t="s">
        <v>10104</v>
      </c>
    </row>
    <row r="3775" spans="1:13" x14ac:dyDescent="0.45">
      <c r="A3775" t="s">
        <v>13</v>
      </c>
      <c r="B3775">
        <v>4142417</v>
      </c>
      <c r="C3775">
        <v>4144504</v>
      </c>
      <c r="E3775" t="s">
        <v>96</v>
      </c>
      <c r="F3775" t="s">
        <v>613</v>
      </c>
      <c r="H3775">
        <v>0</v>
      </c>
      <c r="I3775" t="s">
        <v>17</v>
      </c>
      <c r="K3775" t="s">
        <v>10105</v>
      </c>
      <c r="L3775">
        <v>695</v>
      </c>
      <c r="M3775" t="s">
        <v>10106</v>
      </c>
    </row>
    <row r="3776" spans="1:13" x14ac:dyDescent="0.45">
      <c r="A3776" t="s">
        <v>13</v>
      </c>
      <c r="B3776">
        <v>4145071</v>
      </c>
      <c r="C3776">
        <v>4145925</v>
      </c>
      <c r="E3776" t="s">
        <v>96</v>
      </c>
      <c r="F3776" t="s">
        <v>43</v>
      </c>
      <c r="H3776">
        <v>0</v>
      </c>
      <c r="I3776" t="s">
        <v>17</v>
      </c>
      <c r="K3776" t="s">
        <v>10107</v>
      </c>
      <c r="L3776">
        <v>284</v>
      </c>
      <c r="M3776" t="s">
        <v>10108</v>
      </c>
    </row>
    <row r="3777" spans="1:13" x14ac:dyDescent="0.45">
      <c r="A3777" t="s">
        <v>13</v>
      </c>
      <c r="B3777">
        <v>4145957</v>
      </c>
      <c r="C3777">
        <v>4146469</v>
      </c>
      <c r="E3777" t="s">
        <v>96</v>
      </c>
      <c r="F3777" t="s">
        <v>10109</v>
      </c>
      <c r="H3777">
        <v>0</v>
      </c>
      <c r="I3777" t="s">
        <v>17</v>
      </c>
      <c r="K3777" t="s">
        <v>10110</v>
      </c>
      <c r="L3777">
        <v>170</v>
      </c>
      <c r="M3777" t="s">
        <v>10111</v>
      </c>
    </row>
    <row r="3778" spans="1:13" x14ac:dyDescent="0.45">
      <c r="A3778" t="s">
        <v>13</v>
      </c>
      <c r="B3778">
        <v>4146462</v>
      </c>
      <c r="C3778">
        <v>4146686</v>
      </c>
      <c r="E3778" t="s">
        <v>96</v>
      </c>
      <c r="F3778" t="s">
        <v>43</v>
      </c>
      <c r="H3778">
        <v>0</v>
      </c>
      <c r="I3778" t="s">
        <v>17</v>
      </c>
      <c r="K3778" t="s">
        <v>10112</v>
      </c>
      <c r="L3778">
        <v>74</v>
      </c>
      <c r="M3778" t="s">
        <v>10113</v>
      </c>
    </row>
    <row r="3779" spans="1:13" x14ac:dyDescent="0.45">
      <c r="A3779" t="s">
        <v>13</v>
      </c>
      <c r="B3779">
        <v>4146746</v>
      </c>
      <c r="C3779">
        <v>4147699</v>
      </c>
      <c r="E3779" t="s">
        <v>96</v>
      </c>
      <c r="F3779" t="s">
        <v>1482</v>
      </c>
      <c r="H3779">
        <v>0</v>
      </c>
      <c r="I3779" t="s">
        <v>17</v>
      </c>
      <c r="K3779" t="s">
        <v>10114</v>
      </c>
      <c r="L3779">
        <v>317</v>
      </c>
      <c r="M3779" t="s">
        <v>10115</v>
      </c>
    </row>
    <row r="3780" spans="1:13" x14ac:dyDescent="0.45">
      <c r="A3780" t="s">
        <v>13</v>
      </c>
      <c r="B3780">
        <v>4147727</v>
      </c>
      <c r="C3780">
        <v>4149115</v>
      </c>
      <c r="E3780" t="s">
        <v>96</v>
      </c>
      <c r="F3780" t="s">
        <v>10116</v>
      </c>
      <c r="H3780">
        <v>0</v>
      </c>
      <c r="I3780" t="s">
        <v>17</v>
      </c>
      <c r="K3780" t="s">
        <v>10117</v>
      </c>
      <c r="L3780">
        <v>462</v>
      </c>
      <c r="M3780" t="s">
        <v>10118</v>
      </c>
    </row>
    <row r="3781" spans="1:13" x14ac:dyDescent="0.45">
      <c r="A3781" t="s">
        <v>13</v>
      </c>
      <c r="B3781">
        <v>4149388</v>
      </c>
      <c r="C3781">
        <v>4150269</v>
      </c>
      <c r="E3781" t="s">
        <v>14</v>
      </c>
      <c r="F3781" t="s">
        <v>792</v>
      </c>
      <c r="H3781">
        <v>0</v>
      </c>
      <c r="I3781" t="s">
        <v>17</v>
      </c>
      <c r="K3781" t="s">
        <v>10119</v>
      </c>
      <c r="L3781">
        <v>293</v>
      </c>
      <c r="M3781" t="s">
        <v>10120</v>
      </c>
    </row>
    <row r="3782" spans="1:13" x14ac:dyDescent="0.45">
      <c r="A3782" t="s">
        <v>13</v>
      </c>
      <c r="B3782">
        <v>4150456</v>
      </c>
      <c r="C3782">
        <v>4151448</v>
      </c>
      <c r="E3782" t="s">
        <v>96</v>
      </c>
      <c r="F3782" t="s">
        <v>10121</v>
      </c>
      <c r="H3782">
        <v>0</v>
      </c>
      <c r="I3782" t="s">
        <v>17</v>
      </c>
      <c r="K3782" t="s">
        <v>10122</v>
      </c>
      <c r="L3782">
        <v>330</v>
      </c>
      <c r="M3782" t="s">
        <v>10123</v>
      </c>
    </row>
    <row r="3783" spans="1:13" x14ac:dyDescent="0.45">
      <c r="A3783" t="s">
        <v>13</v>
      </c>
      <c r="B3783">
        <v>4151453</v>
      </c>
      <c r="C3783">
        <v>4152193</v>
      </c>
      <c r="E3783" t="s">
        <v>96</v>
      </c>
      <c r="F3783" t="s">
        <v>10124</v>
      </c>
      <c r="G3783" t="s">
        <v>10125</v>
      </c>
      <c r="H3783">
        <v>0</v>
      </c>
      <c r="I3783" t="s">
        <v>17</v>
      </c>
      <c r="K3783" t="s">
        <v>10126</v>
      </c>
      <c r="L3783">
        <v>246</v>
      </c>
      <c r="M3783" t="s">
        <v>10127</v>
      </c>
    </row>
    <row r="3784" spans="1:13" x14ac:dyDescent="0.45">
      <c r="A3784" t="s">
        <v>13</v>
      </c>
      <c r="B3784">
        <v>4152258</v>
      </c>
      <c r="C3784">
        <v>4153367</v>
      </c>
      <c r="E3784" t="s">
        <v>96</v>
      </c>
      <c r="F3784" t="s">
        <v>10128</v>
      </c>
      <c r="H3784">
        <v>0</v>
      </c>
      <c r="I3784" t="s">
        <v>17</v>
      </c>
      <c r="K3784" t="s">
        <v>10129</v>
      </c>
      <c r="L3784">
        <v>369</v>
      </c>
      <c r="M3784" t="s">
        <v>10130</v>
      </c>
    </row>
    <row r="3785" spans="1:13" x14ac:dyDescent="0.45">
      <c r="A3785" t="s">
        <v>13</v>
      </c>
      <c r="B3785">
        <v>4153385</v>
      </c>
      <c r="C3785">
        <v>4154518</v>
      </c>
      <c r="E3785" t="s">
        <v>96</v>
      </c>
      <c r="F3785" t="s">
        <v>10131</v>
      </c>
      <c r="H3785">
        <v>0</v>
      </c>
      <c r="I3785" t="s">
        <v>17</v>
      </c>
      <c r="K3785" t="s">
        <v>10132</v>
      </c>
      <c r="L3785">
        <v>377</v>
      </c>
      <c r="M3785" t="s">
        <v>10133</v>
      </c>
    </row>
    <row r="3786" spans="1:13" x14ac:dyDescent="0.45">
      <c r="A3786" t="s">
        <v>13</v>
      </c>
      <c r="B3786">
        <v>4154520</v>
      </c>
      <c r="C3786">
        <v>4155614</v>
      </c>
      <c r="E3786" t="s">
        <v>96</v>
      </c>
      <c r="F3786" t="s">
        <v>8409</v>
      </c>
      <c r="H3786">
        <v>0</v>
      </c>
      <c r="I3786" t="s">
        <v>17</v>
      </c>
      <c r="K3786" t="s">
        <v>10134</v>
      </c>
      <c r="L3786">
        <v>364</v>
      </c>
      <c r="M3786" t="s">
        <v>10135</v>
      </c>
    </row>
    <row r="3787" spans="1:13" x14ac:dyDescent="0.45">
      <c r="A3787" t="s">
        <v>13</v>
      </c>
      <c r="B3787">
        <v>4155751</v>
      </c>
      <c r="C3787">
        <v>4157052</v>
      </c>
      <c r="E3787" t="s">
        <v>96</v>
      </c>
      <c r="F3787" t="s">
        <v>2525</v>
      </c>
      <c r="H3787">
        <v>0</v>
      </c>
      <c r="I3787" t="s">
        <v>17</v>
      </c>
      <c r="K3787" t="s">
        <v>10136</v>
      </c>
      <c r="L3787">
        <v>433</v>
      </c>
      <c r="M3787" t="s">
        <v>10137</v>
      </c>
    </row>
    <row r="3788" spans="1:13" x14ac:dyDescent="0.45">
      <c r="A3788" t="s">
        <v>13</v>
      </c>
      <c r="B3788">
        <v>4157276</v>
      </c>
      <c r="C3788">
        <v>4157977</v>
      </c>
      <c r="E3788" t="s">
        <v>96</v>
      </c>
      <c r="F3788" t="s">
        <v>1909</v>
      </c>
      <c r="H3788">
        <v>0</v>
      </c>
      <c r="I3788" t="s">
        <v>17</v>
      </c>
      <c r="K3788" t="s">
        <v>10138</v>
      </c>
      <c r="L3788">
        <v>233</v>
      </c>
      <c r="M3788" t="s">
        <v>10139</v>
      </c>
    </row>
    <row r="3789" spans="1:13" x14ac:dyDescent="0.45">
      <c r="A3789" t="s">
        <v>13</v>
      </c>
      <c r="B3789">
        <v>4158190</v>
      </c>
      <c r="C3789">
        <v>4158507</v>
      </c>
      <c r="E3789" t="s">
        <v>96</v>
      </c>
      <c r="F3789" t="s">
        <v>616</v>
      </c>
      <c r="H3789">
        <v>0</v>
      </c>
      <c r="I3789" t="s">
        <v>17</v>
      </c>
      <c r="K3789" t="s">
        <v>10140</v>
      </c>
      <c r="L3789">
        <v>105</v>
      </c>
      <c r="M3789" t="s">
        <v>10141</v>
      </c>
    </row>
    <row r="3790" spans="1:13" x14ac:dyDescent="0.45">
      <c r="A3790" t="s">
        <v>13</v>
      </c>
      <c r="B3790">
        <v>4158555</v>
      </c>
      <c r="C3790">
        <v>4158866</v>
      </c>
      <c r="E3790" t="s">
        <v>96</v>
      </c>
      <c r="F3790" t="s">
        <v>230</v>
      </c>
      <c r="H3790">
        <v>0</v>
      </c>
      <c r="I3790" t="s">
        <v>17</v>
      </c>
      <c r="K3790" t="s">
        <v>10142</v>
      </c>
      <c r="L3790">
        <v>103</v>
      </c>
      <c r="M3790" t="s">
        <v>10143</v>
      </c>
    </row>
    <row r="3791" spans="1:13" x14ac:dyDescent="0.45">
      <c r="A3791" t="s">
        <v>13</v>
      </c>
      <c r="B3791">
        <v>4159015</v>
      </c>
      <c r="C3791">
        <v>4159494</v>
      </c>
      <c r="E3791" t="s">
        <v>96</v>
      </c>
      <c r="F3791" t="s">
        <v>10144</v>
      </c>
      <c r="G3791" t="s">
        <v>10145</v>
      </c>
      <c r="H3791">
        <v>0</v>
      </c>
      <c r="I3791" t="s">
        <v>17</v>
      </c>
      <c r="K3791" t="s">
        <v>10146</v>
      </c>
      <c r="L3791">
        <v>159</v>
      </c>
      <c r="M3791" t="s">
        <v>10147</v>
      </c>
    </row>
    <row r="3792" spans="1:13" x14ac:dyDescent="0.45">
      <c r="A3792" t="s">
        <v>13</v>
      </c>
      <c r="B3792">
        <v>4159562</v>
      </c>
      <c r="C3792">
        <v>4161664</v>
      </c>
      <c r="E3792" t="s">
        <v>96</v>
      </c>
      <c r="F3792" t="s">
        <v>1748</v>
      </c>
      <c r="H3792">
        <v>0</v>
      </c>
      <c r="I3792" t="s">
        <v>17</v>
      </c>
      <c r="K3792" t="s">
        <v>10148</v>
      </c>
      <c r="L3792">
        <v>700</v>
      </c>
      <c r="M3792" t="s">
        <v>10149</v>
      </c>
    </row>
    <row r="3793" spans="1:13" x14ac:dyDescent="0.45">
      <c r="A3793" t="s">
        <v>13</v>
      </c>
      <c r="B3793">
        <v>4161677</v>
      </c>
      <c r="C3793">
        <v>4162474</v>
      </c>
      <c r="E3793" t="s">
        <v>96</v>
      </c>
      <c r="F3793" t="s">
        <v>1285</v>
      </c>
      <c r="H3793">
        <v>0</v>
      </c>
      <c r="I3793" t="s">
        <v>17</v>
      </c>
      <c r="K3793" t="s">
        <v>10150</v>
      </c>
      <c r="L3793">
        <v>265</v>
      </c>
      <c r="M3793" t="s">
        <v>10151</v>
      </c>
    </row>
    <row r="3794" spans="1:13" x14ac:dyDescent="0.45">
      <c r="A3794" t="s">
        <v>13</v>
      </c>
      <c r="B3794">
        <v>4162576</v>
      </c>
      <c r="C3794">
        <v>4164039</v>
      </c>
      <c r="E3794" t="s">
        <v>96</v>
      </c>
      <c r="F3794" t="s">
        <v>10152</v>
      </c>
      <c r="H3794">
        <v>0</v>
      </c>
      <c r="I3794" t="s">
        <v>17</v>
      </c>
      <c r="K3794" t="s">
        <v>10153</v>
      </c>
      <c r="L3794">
        <v>487</v>
      </c>
      <c r="M3794" t="s">
        <v>10154</v>
      </c>
    </row>
    <row r="3795" spans="1:13" x14ac:dyDescent="0.45">
      <c r="A3795" t="s">
        <v>13</v>
      </c>
      <c r="B3795">
        <v>4164164</v>
      </c>
      <c r="C3795">
        <v>4165222</v>
      </c>
      <c r="E3795" t="s">
        <v>14</v>
      </c>
      <c r="F3795" t="s">
        <v>10155</v>
      </c>
      <c r="H3795">
        <v>0</v>
      </c>
      <c r="I3795" t="s">
        <v>17</v>
      </c>
      <c r="K3795" t="s">
        <v>10156</v>
      </c>
      <c r="L3795">
        <v>352</v>
      </c>
      <c r="M3795" t="s">
        <v>10157</v>
      </c>
    </row>
    <row r="3796" spans="1:13" x14ac:dyDescent="0.45">
      <c r="A3796" t="s">
        <v>13</v>
      </c>
      <c r="B3796">
        <v>4165231</v>
      </c>
      <c r="C3796">
        <v>4166223</v>
      </c>
      <c r="E3796" t="s">
        <v>14</v>
      </c>
      <c r="F3796" t="s">
        <v>49</v>
      </c>
      <c r="H3796">
        <v>0</v>
      </c>
      <c r="I3796" t="s">
        <v>17</v>
      </c>
      <c r="K3796" t="s">
        <v>10158</v>
      </c>
      <c r="L3796">
        <v>330</v>
      </c>
      <c r="M3796" t="s">
        <v>10159</v>
      </c>
    </row>
    <row r="3797" spans="1:13" x14ac:dyDescent="0.45">
      <c r="A3797" t="s">
        <v>13</v>
      </c>
      <c r="B3797">
        <v>4166606</v>
      </c>
      <c r="C3797">
        <v>4166680</v>
      </c>
      <c r="E3797" t="s">
        <v>96</v>
      </c>
      <c r="F3797" t="s">
        <v>117</v>
      </c>
      <c r="H3797">
        <v>0</v>
      </c>
      <c r="I3797" t="s">
        <v>77</v>
      </c>
      <c r="M3797" t="s">
        <v>10160</v>
      </c>
    </row>
    <row r="3798" spans="1:13" x14ac:dyDescent="0.45">
      <c r="A3798" t="s">
        <v>13</v>
      </c>
      <c r="B3798">
        <v>4166714</v>
      </c>
      <c r="C3798">
        <v>4166789</v>
      </c>
      <c r="E3798" t="s">
        <v>96</v>
      </c>
      <c r="F3798" t="s">
        <v>113</v>
      </c>
      <c r="H3798">
        <v>0</v>
      </c>
      <c r="I3798" t="s">
        <v>77</v>
      </c>
      <c r="M3798" t="s">
        <v>10161</v>
      </c>
    </row>
    <row r="3799" spans="1:13" x14ac:dyDescent="0.45">
      <c r="A3799" t="s">
        <v>13</v>
      </c>
      <c r="B3799">
        <v>4166794</v>
      </c>
      <c r="C3799">
        <v>4166868</v>
      </c>
      <c r="E3799" t="s">
        <v>96</v>
      </c>
      <c r="F3799" t="s">
        <v>109</v>
      </c>
      <c r="H3799">
        <v>0</v>
      </c>
      <c r="I3799" t="s">
        <v>77</v>
      </c>
      <c r="M3799" t="s">
        <v>10162</v>
      </c>
    </row>
    <row r="3800" spans="1:13" x14ac:dyDescent="0.45">
      <c r="A3800" t="s">
        <v>13</v>
      </c>
      <c r="B3800">
        <v>4166875</v>
      </c>
      <c r="C3800">
        <v>4166950</v>
      </c>
      <c r="E3800" t="s">
        <v>96</v>
      </c>
      <c r="F3800" t="s">
        <v>136</v>
      </c>
      <c r="H3800">
        <v>0</v>
      </c>
      <c r="I3800" t="s">
        <v>77</v>
      </c>
      <c r="M3800" t="s">
        <v>10163</v>
      </c>
    </row>
    <row r="3801" spans="1:13" x14ac:dyDescent="0.45">
      <c r="A3801" t="s">
        <v>13</v>
      </c>
      <c r="B3801">
        <v>4167276</v>
      </c>
      <c r="C3801">
        <v>4168565</v>
      </c>
      <c r="E3801" t="s">
        <v>96</v>
      </c>
      <c r="F3801" t="s">
        <v>10164</v>
      </c>
      <c r="H3801">
        <v>0</v>
      </c>
      <c r="I3801" t="s">
        <v>17</v>
      </c>
      <c r="K3801" t="s">
        <v>10165</v>
      </c>
      <c r="L3801">
        <v>429</v>
      </c>
      <c r="M3801" t="s">
        <v>10166</v>
      </c>
    </row>
    <row r="3802" spans="1:13" x14ac:dyDescent="0.45">
      <c r="A3802" t="s">
        <v>13</v>
      </c>
      <c r="B3802">
        <v>4168647</v>
      </c>
      <c r="C3802">
        <v>4168955</v>
      </c>
      <c r="E3802" t="s">
        <v>96</v>
      </c>
      <c r="F3802" t="s">
        <v>43</v>
      </c>
      <c r="H3802">
        <v>0</v>
      </c>
      <c r="I3802" t="s">
        <v>17</v>
      </c>
      <c r="K3802" t="s">
        <v>10167</v>
      </c>
      <c r="L3802">
        <v>102</v>
      </c>
      <c r="M3802" t="s">
        <v>10168</v>
      </c>
    </row>
    <row r="3803" spans="1:13" x14ac:dyDescent="0.45">
      <c r="A3803" t="s">
        <v>13</v>
      </c>
      <c r="B3803">
        <v>4169160</v>
      </c>
      <c r="C3803">
        <v>4170488</v>
      </c>
      <c r="E3803" t="s">
        <v>96</v>
      </c>
      <c r="F3803" t="s">
        <v>1851</v>
      </c>
      <c r="G3803" t="s">
        <v>10169</v>
      </c>
      <c r="H3803">
        <v>0</v>
      </c>
      <c r="I3803" t="s">
        <v>17</v>
      </c>
      <c r="K3803" t="s">
        <v>10170</v>
      </c>
      <c r="L3803">
        <v>442</v>
      </c>
      <c r="M3803" t="s">
        <v>10171</v>
      </c>
    </row>
    <row r="3804" spans="1:13" x14ac:dyDescent="0.45">
      <c r="A3804" t="s">
        <v>13</v>
      </c>
      <c r="B3804">
        <v>4170507</v>
      </c>
      <c r="C3804">
        <v>4170956</v>
      </c>
      <c r="E3804" t="s">
        <v>96</v>
      </c>
      <c r="F3804" t="s">
        <v>10172</v>
      </c>
      <c r="G3804" t="s">
        <v>10173</v>
      </c>
      <c r="H3804">
        <v>0</v>
      </c>
      <c r="I3804" t="s">
        <v>17</v>
      </c>
      <c r="K3804" t="s">
        <v>10174</v>
      </c>
      <c r="L3804">
        <v>149</v>
      </c>
      <c r="M3804" t="s">
        <v>10175</v>
      </c>
    </row>
    <row r="3805" spans="1:13" x14ac:dyDescent="0.45">
      <c r="A3805" t="s">
        <v>13</v>
      </c>
      <c r="B3805">
        <v>4170957</v>
      </c>
      <c r="C3805">
        <v>4172951</v>
      </c>
      <c r="E3805" t="s">
        <v>96</v>
      </c>
      <c r="F3805" t="s">
        <v>3590</v>
      </c>
      <c r="H3805">
        <v>0</v>
      </c>
      <c r="I3805" t="s">
        <v>17</v>
      </c>
      <c r="K3805" t="s">
        <v>10176</v>
      </c>
      <c r="L3805">
        <v>664</v>
      </c>
      <c r="M3805" t="s">
        <v>10177</v>
      </c>
    </row>
    <row r="3806" spans="1:13" x14ac:dyDescent="0.45">
      <c r="A3806" t="s">
        <v>13</v>
      </c>
      <c r="B3806">
        <v>4172962</v>
      </c>
      <c r="C3806">
        <v>4173918</v>
      </c>
      <c r="E3806" t="s">
        <v>96</v>
      </c>
      <c r="F3806" t="s">
        <v>10178</v>
      </c>
      <c r="H3806">
        <v>0</v>
      </c>
      <c r="I3806" t="s">
        <v>17</v>
      </c>
      <c r="K3806" t="s">
        <v>10179</v>
      </c>
      <c r="L3806">
        <v>318</v>
      </c>
      <c r="M3806" t="s">
        <v>10180</v>
      </c>
    </row>
    <row r="3807" spans="1:13" x14ac:dyDescent="0.45">
      <c r="A3807" t="s">
        <v>13</v>
      </c>
      <c r="B3807">
        <v>4173926</v>
      </c>
      <c r="C3807">
        <v>4174246</v>
      </c>
      <c r="E3807" t="s">
        <v>96</v>
      </c>
      <c r="F3807" t="s">
        <v>3554</v>
      </c>
      <c r="H3807">
        <v>0</v>
      </c>
      <c r="I3807" t="s">
        <v>17</v>
      </c>
      <c r="K3807" t="s">
        <v>10181</v>
      </c>
      <c r="L3807">
        <v>106</v>
      </c>
      <c r="M3807" t="s">
        <v>10182</v>
      </c>
    </row>
    <row r="3808" spans="1:13" x14ac:dyDescent="0.45">
      <c r="A3808" t="s">
        <v>13</v>
      </c>
      <c r="B3808">
        <v>4174389</v>
      </c>
      <c r="C3808">
        <v>4174616</v>
      </c>
      <c r="E3808" t="s">
        <v>96</v>
      </c>
      <c r="F3808" t="s">
        <v>10183</v>
      </c>
      <c r="G3808" t="s">
        <v>10184</v>
      </c>
      <c r="H3808">
        <v>0</v>
      </c>
      <c r="I3808" t="s">
        <v>17</v>
      </c>
      <c r="K3808" t="s">
        <v>10185</v>
      </c>
      <c r="L3808">
        <v>75</v>
      </c>
      <c r="M3808" t="s">
        <v>10186</v>
      </c>
    </row>
    <row r="3809" spans="1:13" x14ac:dyDescent="0.45">
      <c r="A3809" t="s">
        <v>13</v>
      </c>
      <c r="B3809">
        <v>4174635</v>
      </c>
      <c r="C3809">
        <v>4175069</v>
      </c>
      <c r="E3809" t="s">
        <v>96</v>
      </c>
      <c r="F3809" t="s">
        <v>5370</v>
      </c>
      <c r="H3809">
        <v>0</v>
      </c>
      <c r="I3809" t="s">
        <v>17</v>
      </c>
      <c r="K3809" t="s">
        <v>10187</v>
      </c>
      <c r="L3809">
        <v>144</v>
      </c>
      <c r="M3809" t="s">
        <v>10188</v>
      </c>
    </row>
    <row r="3810" spans="1:13" x14ac:dyDescent="0.45">
      <c r="A3810" t="s">
        <v>13</v>
      </c>
      <c r="B3810">
        <v>4175106</v>
      </c>
      <c r="C3810">
        <v>4175384</v>
      </c>
      <c r="E3810" t="s">
        <v>96</v>
      </c>
      <c r="F3810" t="s">
        <v>10189</v>
      </c>
      <c r="G3810" t="s">
        <v>10190</v>
      </c>
      <c r="H3810">
        <v>0</v>
      </c>
      <c r="I3810" t="s">
        <v>17</v>
      </c>
      <c r="K3810" t="s">
        <v>10191</v>
      </c>
      <c r="L3810">
        <v>92</v>
      </c>
      <c r="M3810" t="s">
        <v>10192</v>
      </c>
    </row>
    <row r="3811" spans="1:13" x14ac:dyDescent="0.45">
      <c r="A3811" t="s">
        <v>13</v>
      </c>
      <c r="B3811">
        <v>4175598</v>
      </c>
      <c r="C3811">
        <v>4176794</v>
      </c>
      <c r="E3811" t="s">
        <v>96</v>
      </c>
      <c r="F3811" t="s">
        <v>2917</v>
      </c>
      <c r="H3811">
        <v>0</v>
      </c>
      <c r="I3811" t="s">
        <v>17</v>
      </c>
      <c r="K3811" t="s">
        <v>10193</v>
      </c>
      <c r="L3811">
        <v>398</v>
      </c>
      <c r="M3811" t="s">
        <v>10194</v>
      </c>
    </row>
    <row r="3812" spans="1:13" x14ac:dyDescent="0.45">
      <c r="A3812" t="s">
        <v>13</v>
      </c>
      <c r="B3812">
        <v>4176897</v>
      </c>
      <c r="C3812">
        <v>4177082</v>
      </c>
      <c r="E3812" t="s">
        <v>96</v>
      </c>
      <c r="F3812" t="s">
        <v>10195</v>
      </c>
      <c r="H3812">
        <v>0</v>
      </c>
      <c r="I3812" t="s">
        <v>17</v>
      </c>
      <c r="K3812" t="s">
        <v>10196</v>
      </c>
      <c r="L3812">
        <v>61</v>
      </c>
      <c r="M3812" t="s">
        <v>10197</v>
      </c>
    </row>
    <row r="3813" spans="1:13" x14ac:dyDescent="0.45">
      <c r="A3813" t="s">
        <v>13</v>
      </c>
      <c r="B3813">
        <v>4177097</v>
      </c>
      <c r="C3813">
        <v>4177360</v>
      </c>
      <c r="E3813" t="s">
        <v>96</v>
      </c>
      <c r="F3813" t="s">
        <v>10198</v>
      </c>
      <c r="H3813">
        <v>0</v>
      </c>
      <c r="I3813" t="s">
        <v>17</v>
      </c>
      <c r="K3813" t="s">
        <v>10199</v>
      </c>
      <c r="L3813">
        <v>87</v>
      </c>
      <c r="M3813" t="s">
        <v>10200</v>
      </c>
    </row>
    <row r="3814" spans="1:13" x14ac:dyDescent="0.45">
      <c r="A3814" t="s">
        <v>13</v>
      </c>
      <c r="B3814">
        <v>4177433</v>
      </c>
      <c r="C3814">
        <v>4178035</v>
      </c>
      <c r="E3814" t="s">
        <v>96</v>
      </c>
      <c r="F3814" t="s">
        <v>10201</v>
      </c>
      <c r="G3814" t="s">
        <v>10202</v>
      </c>
      <c r="H3814">
        <v>0</v>
      </c>
      <c r="I3814" t="s">
        <v>17</v>
      </c>
      <c r="K3814" t="s">
        <v>10203</v>
      </c>
      <c r="L3814">
        <v>200</v>
      </c>
      <c r="M3814" t="s">
        <v>10204</v>
      </c>
    </row>
    <row r="3815" spans="1:13" x14ac:dyDescent="0.45">
      <c r="A3815" t="s">
        <v>13</v>
      </c>
      <c r="B3815">
        <v>4178140</v>
      </c>
      <c r="C3815">
        <v>4179432</v>
      </c>
      <c r="E3815" t="s">
        <v>96</v>
      </c>
      <c r="F3815" t="s">
        <v>10205</v>
      </c>
      <c r="G3815" t="s">
        <v>10206</v>
      </c>
      <c r="H3815">
        <v>0</v>
      </c>
      <c r="I3815" t="s">
        <v>17</v>
      </c>
      <c r="K3815" t="s">
        <v>10207</v>
      </c>
      <c r="L3815">
        <v>430</v>
      </c>
      <c r="M3815" t="s">
        <v>10208</v>
      </c>
    </row>
    <row r="3816" spans="1:13" x14ac:dyDescent="0.45">
      <c r="A3816" t="s">
        <v>13</v>
      </c>
      <c r="B3816">
        <v>4179692</v>
      </c>
      <c r="C3816">
        <v>4180267</v>
      </c>
      <c r="E3816" t="s">
        <v>14</v>
      </c>
      <c r="F3816" t="s">
        <v>10209</v>
      </c>
      <c r="H3816">
        <v>0</v>
      </c>
      <c r="I3816" t="s">
        <v>17</v>
      </c>
      <c r="K3816" t="s">
        <v>10210</v>
      </c>
      <c r="L3816">
        <v>191</v>
      </c>
      <c r="M3816" t="s">
        <v>10211</v>
      </c>
    </row>
    <row r="3817" spans="1:13" x14ac:dyDescent="0.45">
      <c r="A3817" t="s">
        <v>13</v>
      </c>
      <c r="B3817">
        <v>4180401</v>
      </c>
      <c r="C3817">
        <v>4181543</v>
      </c>
      <c r="E3817" t="s">
        <v>96</v>
      </c>
      <c r="F3817" t="s">
        <v>8370</v>
      </c>
      <c r="H3817">
        <v>0</v>
      </c>
      <c r="I3817" t="s">
        <v>17</v>
      </c>
      <c r="K3817" t="s">
        <v>10212</v>
      </c>
      <c r="L3817">
        <v>380</v>
      </c>
      <c r="M3817" t="s">
        <v>10213</v>
      </c>
    </row>
    <row r="3818" spans="1:13" x14ac:dyDescent="0.45">
      <c r="A3818" t="s">
        <v>13</v>
      </c>
      <c r="B3818">
        <v>4181576</v>
      </c>
      <c r="C3818">
        <v>4182439</v>
      </c>
      <c r="E3818" t="s">
        <v>96</v>
      </c>
      <c r="F3818" t="s">
        <v>10214</v>
      </c>
      <c r="H3818">
        <v>0</v>
      </c>
      <c r="I3818" t="s">
        <v>17</v>
      </c>
      <c r="K3818" t="s">
        <v>10215</v>
      </c>
      <c r="L3818">
        <v>287</v>
      </c>
      <c r="M3818" t="s">
        <v>10216</v>
      </c>
    </row>
    <row r="3819" spans="1:13" x14ac:dyDescent="0.45">
      <c r="A3819" t="s">
        <v>13</v>
      </c>
      <c r="B3819">
        <v>4182441</v>
      </c>
      <c r="C3819">
        <v>4183214</v>
      </c>
      <c r="E3819" t="s">
        <v>96</v>
      </c>
      <c r="F3819" t="s">
        <v>10217</v>
      </c>
      <c r="H3819">
        <v>0</v>
      </c>
      <c r="I3819" t="s">
        <v>17</v>
      </c>
      <c r="K3819" t="s">
        <v>10218</v>
      </c>
      <c r="L3819">
        <v>257</v>
      </c>
      <c r="M3819" t="s">
        <v>10219</v>
      </c>
    </row>
    <row r="3820" spans="1:13" x14ac:dyDescent="0.45">
      <c r="A3820" t="s">
        <v>13</v>
      </c>
      <c r="B3820">
        <v>4183349</v>
      </c>
      <c r="C3820">
        <v>4184134</v>
      </c>
      <c r="E3820" t="s">
        <v>96</v>
      </c>
      <c r="F3820" t="s">
        <v>10220</v>
      </c>
      <c r="G3820" t="s">
        <v>10221</v>
      </c>
      <c r="H3820">
        <v>0</v>
      </c>
      <c r="I3820" t="s">
        <v>17</v>
      </c>
      <c r="K3820" t="s">
        <v>10222</v>
      </c>
      <c r="L3820">
        <v>261</v>
      </c>
      <c r="M3820" t="s">
        <v>10223</v>
      </c>
    </row>
    <row r="3821" spans="1:13" x14ac:dyDescent="0.45">
      <c r="A3821" t="s">
        <v>13</v>
      </c>
      <c r="B3821">
        <v>4184309</v>
      </c>
      <c r="C3821">
        <v>4185028</v>
      </c>
      <c r="E3821" t="s">
        <v>96</v>
      </c>
      <c r="F3821" t="s">
        <v>10224</v>
      </c>
      <c r="G3821" t="s">
        <v>10225</v>
      </c>
      <c r="H3821">
        <v>0</v>
      </c>
      <c r="I3821" t="s">
        <v>17</v>
      </c>
      <c r="K3821" t="s">
        <v>10226</v>
      </c>
      <c r="L3821">
        <v>239</v>
      </c>
      <c r="M3821" t="s">
        <v>10227</v>
      </c>
    </row>
    <row r="3822" spans="1:13" x14ac:dyDescent="0.45">
      <c r="A3822" t="s">
        <v>13</v>
      </c>
      <c r="B3822">
        <v>4185021</v>
      </c>
      <c r="C3822">
        <v>4186916</v>
      </c>
      <c r="E3822" t="s">
        <v>96</v>
      </c>
      <c r="F3822" t="s">
        <v>10228</v>
      </c>
      <c r="G3822" t="s">
        <v>10229</v>
      </c>
      <c r="H3822">
        <v>0</v>
      </c>
      <c r="I3822" t="s">
        <v>17</v>
      </c>
      <c r="K3822" t="s">
        <v>10230</v>
      </c>
      <c r="L3822">
        <v>631</v>
      </c>
      <c r="M3822" t="s">
        <v>10231</v>
      </c>
    </row>
    <row r="3823" spans="1:13" x14ac:dyDescent="0.45">
      <c r="A3823" t="s">
        <v>13</v>
      </c>
      <c r="B3823">
        <v>4187011</v>
      </c>
      <c r="C3823">
        <v>4188390</v>
      </c>
      <c r="E3823" t="s">
        <v>96</v>
      </c>
      <c r="F3823" t="s">
        <v>10232</v>
      </c>
      <c r="G3823" t="s">
        <v>10233</v>
      </c>
      <c r="H3823">
        <v>0</v>
      </c>
      <c r="I3823" t="s">
        <v>17</v>
      </c>
      <c r="K3823" t="s">
        <v>10234</v>
      </c>
      <c r="L3823">
        <v>459</v>
      </c>
      <c r="M3823" t="s">
        <v>10235</v>
      </c>
    </row>
    <row r="3824" spans="1:13" x14ac:dyDescent="0.45">
      <c r="A3824" t="s">
        <v>13</v>
      </c>
      <c r="B3824">
        <v>4188502</v>
      </c>
      <c r="C3824">
        <v>4189131</v>
      </c>
      <c r="E3824" t="s">
        <v>96</v>
      </c>
      <c r="F3824" t="s">
        <v>10236</v>
      </c>
      <c r="G3824" t="s">
        <v>10237</v>
      </c>
      <c r="H3824">
        <v>0</v>
      </c>
      <c r="I3824" t="s">
        <v>17</v>
      </c>
      <c r="K3824" t="s">
        <v>10238</v>
      </c>
      <c r="L3824">
        <v>209</v>
      </c>
      <c r="M3824" t="s">
        <v>10239</v>
      </c>
    </row>
    <row r="3825" spans="1:13" x14ac:dyDescent="0.45">
      <c r="A3825" t="s">
        <v>13</v>
      </c>
      <c r="B3825">
        <v>4189100</v>
      </c>
      <c r="C3825">
        <v>4189807</v>
      </c>
      <c r="E3825" t="s">
        <v>96</v>
      </c>
      <c r="F3825" t="s">
        <v>8886</v>
      </c>
      <c r="H3825">
        <v>0</v>
      </c>
      <c r="I3825" t="s">
        <v>17</v>
      </c>
      <c r="K3825" t="s">
        <v>10240</v>
      </c>
      <c r="L3825">
        <v>235</v>
      </c>
      <c r="M3825" t="s">
        <v>10241</v>
      </c>
    </row>
    <row r="3826" spans="1:13" x14ac:dyDescent="0.45">
      <c r="A3826" t="s">
        <v>13</v>
      </c>
      <c r="B3826">
        <v>4189839</v>
      </c>
      <c r="C3826">
        <v>4190090</v>
      </c>
      <c r="E3826" t="s">
        <v>96</v>
      </c>
      <c r="F3826" t="s">
        <v>10242</v>
      </c>
      <c r="G3826" t="s">
        <v>10243</v>
      </c>
      <c r="H3826">
        <v>0</v>
      </c>
      <c r="I3826" t="s">
        <v>17</v>
      </c>
      <c r="K3826" t="s">
        <v>10244</v>
      </c>
      <c r="L3826">
        <v>83</v>
      </c>
      <c r="M3826" t="s">
        <v>10245</v>
      </c>
    </row>
    <row r="3827" spans="1:13" x14ac:dyDescent="0.45">
      <c r="A3827" t="s">
        <v>13</v>
      </c>
      <c r="B3827">
        <v>4190122</v>
      </c>
      <c r="C3827">
        <v>4190466</v>
      </c>
      <c r="E3827" t="s">
        <v>96</v>
      </c>
      <c r="F3827" t="s">
        <v>10246</v>
      </c>
      <c r="G3827" t="s">
        <v>10247</v>
      </c>
      <c r="H3827">
        <v>0</v>
      </c>
      <c r="I3827" t="s">
        <v>17</v>
      </c>
      <c r="K3827" t="s">
        <v>10248</v>
      </c>
      <c r="L3827">
        <v>114</v>
      </c>
      <c r="M3827" t="s">
        <v>10249</v>
      </c>
    </row>
    <row r="3828" spans="1:13" x14ac:dyDescent="0.45">
      <c r="A3828" t="s">
        <v>13</v>
      </c>
      <c r="B3828">
        <v>4190544</v>
      </c>
      <c r="C3828">
        <v>4190681</v>
      </c>
      <c r="E3828" t="s">
        <v>96</v>
      </c>
      <c r="F3828" t="s">
        <v>10250</v>
      </c>
      <c r="G3828" t="s">
        <v>10251</v>
      </c>
      <c r="H3828">
        <v>0</v>
      </c>
      <c r="I3828" t="s">
        <v>17</v>
      </c>
      <c r="K3828" t="s">
        <v>10252</v>
      </c>
      <c r="L3828">
        <v>45</v>
      </c>
      <c r="M3828" t="s">
        <v>10253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8A2E0-20DA-4F7F-BCB6-19151296CDC0}">
  <dimension ref="A1:H4314"/>
  <sheetViews>
    <sheetView workbookViewId="0">
      <pane ySplit="1" topLeftCell="A2" activePane="bottomLeft" state="frozen"/>
      <selection activeCell="C9" sqref="C9"/>
      <selection pane="bottomLeft"/>
    </sheetView>
  </sheetViews>
  <sheetFormatPr defaultRowHeight="14.25" x14ac:dyDescent="0.45"/>
  <cols>
    <col min="1" max="1" width="15.19921875" bestFit="1" customWidth="1"/>
    <col min="2" max="2" width="17.19921875" bestFit="1" customWidth="1"/>
    <col min="3" max="3" width="10.06640625" bestFit="1" customWidth="1"/>
    <col min="4" max="4" width="14.1328125" bestFit="1" customWidth="1"/>
    <col min="5" max="5" width="32.19921875" bestFit="1" customWidth="1"/>
    <col min="6" max="6" width="30.6640625" bestFit="1" customWidth="1"/>
    <col min="7" max="8" width="38.33203125" bestFit="1" customWidth="1"/>
  </cols>
  <sheetData>
    <row r="1" spans="1:8" x14ac:dyDescent="0.45">
      <c r="A1" t="s">
        <v>10315</v>
      </c>
      <c r="B1" t="s">
        <v>10317</v>
      </c>
      <c r="C1" t="s">
        <v>10279</v>
      </c>
      <c r="D1" t="s">
        <v>10316</v>
      </c>
      <c r="E1" t="s">
        <v>10280</v>
      </c>
      <c r="F1" t="s">
        <v>10281</v>
      </c>
      <c r="G1" t="s">
        <v>10282</v>
      </c>
      <c r="H1" t="s">
        <v>10283</v>
      </c>
    </row>
    <row r="2" spans="1:8" x14ac:dyDescent="0.45">
      <c r="A2" t="s">
        <v>755</v>
      </c>
      <c r="B2" t="s">
        <v>756</v>
      </c>
      <c r="C2" t="s">
        <v>10318</v>
      </c>
    </row>
    <row r="3" spans="1:8" x14ac:dyDescent="0.45">
      <c r="A3" t="s">
        <v>790</v>
      </c>
      <c r="B3" t="s">
        <v>791</v>
      </c>
      <c r="C3" t="s">
        <v>10318</v>
      </c>
    </row>
    <row r="4" spans="1:8" x14ac:dyDescent="0.45">
      <c r="A4" t="s">
        <v>863</v>
      </c>
      <c r="B4" t="s">
        <v>864</v>
      </c>
      <c r="C4" t="s">
        <v>10318</v>
      </c>
    </row>
    <row r="5" spans="1:8" x14ac:dyDescent="0.45">
      <c r="A5" t="s">
        <v>1176</v>
      </c>
      <c r="B5" t="s">
        <v>1177</v>
      </c>
      <c r="C5" t="s">
        <v>10318</v>
      </c>
    </row>
    <row r="6" spans="1:8" x14ac:dyDescent="0.45">
      <c r="A6" t="s">
        <v>2087</v>
      </c>
      <c r="B6" t="s">
        <v>2088</v>
      </c>
      <c r="C6" t="s">
        <v>10318</v>
      </c>
    </row>
    <row r="7" spans="1:8" x14ac:dyDescent="0.45">
      <c r="A7" t="s">
        <v>2240</v>
      </c>
      <c r="B7" t="s">
        <v>2241</v>
      </c>
      <c r="C7" t="s">
        <v>10318</v>
      </c>
    </row>
    <row r="8" spans="1:8" x14ac:dyDescent="0.45">
      <c r="A8" t="s">
        <v>2391</v>
      </c>
      <c r="B8" t="s">
        <v>2392</v>
      </c>
      <c r="C8" t="s">
        <v>10318</v>
      </c>
    </row>
    <row r="9" spans="1:8" x14ac:dyDescent="0.45">
      <c r="A9" t="s">
        <v>2465</v>
      </c>
      <c r="B9" t="s">
        <v>2466</v>
      </c>
      <c r="C9" t="s">
        <v>10318</v>
      </c>
    </row>
    <row r="10" spans="1:8" x14ac:dyDescent="0.45">
      <c r="A10" t="s">
        <v>2865</v>
      </c>
      <c r="B10" t="s">
        <v>2866</v>
      </c>
      <c r="C10" t="s">
        <v>10318</v>
      </c>
    </row>
    <row r="11" spans="1:8" x14ac:dyDescent="0.45">
      <c r="A11" t="s">
        <v>3141</v>
      </c>
      <c r="B11" t="s">
        <v>3142</v>
      </c>
      <c r="C11" t="s">
        <v>10318</v>
      </c>
    </row>
    <row r="12" spans="1:8" x14ac:dyDescent="0.45">
      <c r="A12" t="s">
        <v>3147</v>
      </c>
      <c r="B12" t="s">
        <v>3148</v>
      </c>
      <c r="C12" t="s">
        <v>10318</v>
      </c>
    </row>
    <row r="13" spans="1:8" x14ac:dyDescent="0.45">
      <c r="A13" t="s">
        <v>3439</v>
      </c>
      <c r="B13" t="s">
        <v>3440</v>
      </c>
      <c r="C13" t="s">
        <v>10318</v>
      </c>
    </row>
    <row r="14" spans="1:8" x14ac:dyDescent="0.45">
      <c r="A14" t="s">
        <v>4246</v>
      </c>
      <c r="B14" t="s">
        <v>4247</v>
      </c>
      <c r="C14" t="s">
        <v>10318</v>
      </c>
    </row>
    <row r="15" spans="1:8" x14ac:dyDescent="0.45">
      <c r="A15" t="s">
        <v>4831</v>
      </c>
      <c r="B15" t="s">
        <v>4832</v>
      </c>
      <c r="C15" t="s">
        <v>10318</v>
      </c>
    </row>
    <row r="16" spans="1:8" x14ac:dyDescent="0.45">
      <c r="A16" t="s">
        <v>5766</v>
      </c>
      <c r="B16" t="s">
        <v>5767</v>
      </c>
      <c r="C16" t="s">
        <v>10318</v>
      </c>
    </row>
    <row r="17" spans="1:3" x14ac:dyDescent="0.45">
      <c r="A17" t="s">
        <v>5943</v>
      </c>
      <c r="B17" t="s">
        <v>5944</v>
      </c>
      <c r="C17" t="s">
        <v>10318</v>
      </c>
    </row>
    <row r="18" spans="1:3" x14ac:dyDescent="0.45">
      <c r="A18" t="s">
        <v>5957</v>
      </c>
      <c r="B18" t="s">
        <v>5958</v>
      </c>
      <c r="C18" t="s">
        <v>10318</v>
      </c>
    </row>
    <row r="19" spans="1:3" x14ac:dyDescent="0.45">
      <c r="A19" t="s">
        <v>5959</v>
      </c>
      <c r="B19" t="s">
        <v>5960</v>
      </c>
      <c r="C19" t="s">
        <v>10318</v>
      </c>
    </row>
    <row r="20" spans="1:3" x14ac:dyDescent="0.45">
      <c r="A20" t="s">
        <v>5979</v>
      </c>
      <c r="B20" t="s">
        <v>5980</v>
      </c>
      <c r="C20" t="s">
        <v>10318</v>
      </c>
    </row>
    <row r="21" spans="1:3" x14ac:dyDescent="0.45">
      <c r="A21" t="s">
        <v>6007</v>
      </c>
      <c r="B21" t="s">
        <v>6008</v>
      </c>
      <c r="C21" t="s">
        <v>10318</v>
      </c>
    </row>
    <row r="22" spans="1:3" x14ac:dyDescent="0.45">
      <c r="A22" t="s">
        <v>6011</v>
      </c>
      <c r="B22" t="s">
        <v>6012</v>
      </c>
      <c r="C22" t="s">
        <v>10318</v>
      </c>
    </row>
    <row r="23" spans="1:3" x14ac:dyDescent="0.45">
      <c r="A23" t="s">
        <v>6237</v>
      </c>
      <c r="B23" t="s">
        <v>6238</v>
      </c>
      <c r="C23" t="s">
        <v>10318</v>
      </c>
    </row>
    <row r="24" spans="1:3" x14ac:dyDescent="0.45">
      <c r="A24" t="s">
        <v>6439</v>
      </c>
      <c r="B24" t="s">
        <v>6440</v>
      </c>
      <c r="C24" t="s">
        <v>10318</v>
      </c>
    </row>
    <row r="25" spans="1:3" x14ac:dyDescent="0.45">
      <c r="A25" t="s">
        <v>6734</v>
      </c>
      <c r="B25" t="s">
        <v>6735</v>
      </c>
      <c r="C25" t="s">
        <v>10318</v>
      </c>
    </row>
    <row r="26" spans="1:3" x14ac:dyDescent="0.45">
      <c r="A26" t="s">
        <v>8108</v>
      </c>
      <c r="B26" t="s">
        <v>8109</v>
      </c>
      <c r="C26" t="s">
        <v>10318</v>
      </c>
    </row>
    <row r="27" spans="1:3" x14ac:dyDescent="0.45">
      <c r="A27" t="s">
        <v>8317</v>
      </c>
      <c r="B27" t="s">
        <v>8318</v>
      </c>
      <c r="C27" t="s">
        <v>10318</v>
      </c>
    </row>
    <row r="28" spans="1:3" x14ac:dyDescent="0.45">
      <c r="A28" t="s">
        <v>8891</v>
      </c>
      <c r="B28" t="s">
        <v>8892</v>
      </c>
      <c r="C28" t="s">
        <v>10318</v>
      </c>
    </row>
    <row r="29" spans="1:3" x14ac:dyDescent="0.45">
      <c r="A29" t="s">
        <v>9332</v>
      </c>
      <c r="B29" t="s">
        <v>9333</v>
      </c>
      <c r="C29" t="s">
        <v>10318</v>
      </c>
    </row>
    <row r="30" spans="1:3" x14ac:dyDescent="0.45">
      <c r="A30" t="s">
        <v>9965</v>
      </c>
      <c r="B30" t="s">
        <v>9966</v>
      </c>
      <c r="C30" t="s">
        <v>10318</v>
      </c>
    </row>
    <row r="31" spans="1:3" x14ac:dyDescent="0.45">
      <c r="A31" t="s">
        <v>5509</v>
      </c>
      <c r="B31" t="s">
        <v>5510</v>
      </c>
      <c r="C31" t="s">
        <v>10319</v>
      </c>
    </row>
    <row r="32" spans="1:3" x14ac:dyDescent="0.45">
      <c r="A32" t="s">
        <v>332</v>
      </c>
      <c r="B32" t="s">
        <v>333</v>
      </c>
      <c r="C32" t="s">
        <v>10320</v>
      </c>
    </row>
    <row r="33" spans="1:8" x14ac:dyDescent="0.45">
      <c r="A33" t="s">
        <v>1675</v>
      </c>
      <c r="B33" t="s">
        <v>1676</v>
      </c>
      <c r="C33" t="s">
        <v>10320</v>
      </c>
    </row>
    <row r="34" spans="1:8" x14ac:dyDescent="0.45">
      <c r="A34" t="s">
        <v>2041</v>
      </c>
      <c r="B34" t="s">
        <v>2042</v>
      </c>
      <c r="C34" t="s">
        <v>10320</v>
      </c>
    </row>
    <row r="35" spans="1:8" x14ac:dyDescent="0.45">
      <c r="A35" t="s">
        <v>2459</v>
      </c>
      <c r="B35" t="s">
        <v>2460</v>
      </c>
      <c r="C35" t="s">
        <v>10320</v>
      </c>
    </row>
    <row r="36" spans="1:8" x14ac:dyDescent="0.45">
      <c r="A36" t="s">
        <v>2647</v>
      </c>
      <c r="B36" t="s">
        <v>2648</v>
      </c>
      <c r="C36" t="s">
        <v>10320</v>
      </c>
    </row>
    <row r="37" spans="1:8" x14ac:dyDescent="0.45">
      <c r="A37" t="s">
        <v>7826</v>
      </c>
      <c r="B37" t="s">
        <v>7827</v>
      </c>
      <c r="C37" t="s">
        <v>10320</v>
      </c>
    </row>
    <row r="38" spans="1:8" x14ac:dyDescent="0.45">
      <c r="A38" t="s">
        <v>8308</v>
      </c>
      <c r="B38" t="s">
        <v>8309</v>
      </c>
      <c r="C38" t="s">
        <v>10320</v>
      </c>
    </row>
    <row r="39" spans="1:8" x14ac:dyDescent="0.45">
      <c r="A39" t="s">
        <v>8846</v>
      </c>
      <c r="B39" t="s">
        <v>8847</v>
      </c>
      <c r="C39" t="s">
        <v>10320</v>
      </c>
    </row>
    <row r="40" spans="1:8" x14ac:dyDescent="0.45">
      <c r="A40" t="s">
        <v>1263</v>
      </c>
      <c r="B40" t="s">
        <v>1264</v>
      </c>
      <c r="C40" t="s">
        <v>10321</v>
      </c>
      <c r="E40" t="s">
        <v>10322</v>
      </c>
      <c r="F40" t="s">
        <v>10323</v>
      </c>
      <c r="G40" t="s">
        <v>10324</v>
      </c>
      <c r="H40" t="s">
        <v>10325</v>
      </c>
    </row>
    <row r="41" spans="1:8" x14ac:dyDescent="0.45">
      <c r="A41" t="s">
        <v>1263</v>
      </c>
      <c r="B41" t="s">
        <v>1264</v>
      </c>
      <c r="C41" t="s">
        <v>10321</v>
      </c>
      <c r="E41" t="s">
        <v>10322</v>
      </c>
      <c r="F41" t="s">
        <v>10326</v>
      </c>
      <c r="G41" t="s">
        <v>10327</v>
      </c>
      <c r="H41" t="s">
        <v>10328</v>
      </c>
    </row>
    <row r="42" spans="1:8" x14ac:dyDescent="0.45">
      <c r="A42" t="s">
        <v>1263</v>
      </c>
      <c r="B42" t="s">
        <v>1264</v>
      </c>
      <c r="C42" t="s">
        <v>10321</v>
      </c>
      <c r="E42" t="s">
        <v>10322</v>
      </c>
      <c r="F42" t="s">
        <v>10329</v>
      </c>
      <c r="G42" t="s">
        <v>10330</v>
      </c>
      <c r="H42" t="s">
        <v>10331</v>
      </c>
    </row>
    <row r="43" spans="1:8" x14ac:dyDescent="0.45">
      <c r="A43" t="s">
        <v>1263</v>
      </c>
      <c r="B43" t="s">
        <v>1264</v>
      </c>
      <c r="C43" t="s">
        <v>10321</v>
      </c>
      <c r="E43" t="s">
        <v>10322</v>
      </c>
      <c r="F43" t="s">
        <v>10332</v>
      </c>
      <c r="G43" t="s">
        <v>10333</v>
      </c>
      <c r="H43" t="s">
        <v>10334</v>
      </c>
    </row>
    <row r="44" spans="1:8" x14ac:dyDescent="0.45">
      <c r="A44" t="s">
        <v>1263</v>
      </c>
      <c r="B44" t="s">
        <v>1264</v>
      </c>
      <c r="C44" t="s">
        <v>10321</v>
      </c>
      <c r="E44" t="s">
        <v>10322</v>
      </c>
      <c r="F44" t="s">
        <v>10335</v>
      </c>
      <c r="G44" t="s">
        <v>10336</v>
      </c>
      <c r="H44" t="s">
        <v>10337</v>
      </c>
    </row>
    <row r="45" spans="1:8" x14ac:dyDescent="0.45">
      <c r="A45" t="s">
        <v>1263</v>
      </c>
      <c r="B45" t="s">
        <v>1264</v>
      </c>
      <c r="C45" t="s">
        <v>10321</v>
      </c>
      <c r="E45" t="s">
        <v>10322</v>
      </c>
      <c r="F45" t="s">
        <v>10338</v>
      </c>
      <c r="G45" t="s">
        <v>10339</v>
      </c>
      <c r="H45" t="s">
        <v>10340</v>
      </c>
    </row>
    <row r="46" spans="1:8" x14ac:dyDescent="0.45">
      <c r="A46" t="s">
        <v>1263</v>
      </c>
      <c r="B46" t="s">
        <v>1264</v>
      </c>
      <c r="C46" t="s">
        <v>10321</v>
      </c>
      <c r="E46" t="s">
        <v>10322</v>
      </c>
      <c r="F46" t="s">
        <v>10341</v>
      </c>
      <c r="G46" t="s">
        <v>10342</v>
      </c>
      <c r="H46" t="s">
        <v>10343</v>
      </c>
    </row>
    <row r="47" spans="1:8" x14ac:dyDescent="0.45">
      <c r="A47" t="s">
        <v>1263</v>
      </c>
      <c r="B47" t="s">
        <v>1264</v>
      </c>
      <c r="C47" t="s">
        <v>10321</v>
      </c>
      <c r="E47" t="s">
        <v>10322</v>
      </c>
      <c r="F47" t="s">
        <v>10344</v>
      </c>
      <c r="G47" t="s">
        <v>10345</v>
      </c>
      <c r="H47" t="s">
        <v>10346</v>
      </c>
    </row>
    <row r="48" spans="1:8" x14ac:dyDescent="0.45">
      <c r="A48" t="s">
        <v>1263</v>
      </c>
      <c r="B48" t="s">
        <v>1264</v>
      </c>
      <c r="C48" t="s">
        <v>10321</v>
      </c>
      <c r="E48" t="s">
        <v>10322</v>
      </c>
      <c r="F48" t="s">
        <v>10347</v>
      </c>
      <c r="G48" t="s">
        <v>10348</v>
      </c>
      <c r="H48" t="s">
        <v>10349</v>
      </c>
    </row>
    <row r="49" spans="1:8" x14ac:dyDescent="0.45">
      <c r="A49" t="s">
        <v>1263</v>
      </c>
      <c r="B49" t="s">
        <v>1264</v>
      </c>
      <c r="C49" t="s">
        <v>10321</v>
      </c>
      <c r="E49" t="s">
        <v>10322</v>
      </c>
      <c r="F49" t="s">
        <v>10350</v>
      </c>
      <c r="G49" t="s">
        <v>10351</v>
      </c>
      <c r="H49" t="s">
        <v>10352</v>
      </c>
    </row>
    <row r="50" spans="1:8" x14ac:dyDescent="0.45">
      <c r="A50" t="s">
        <v>1263</v>
      </c>
      <c r="B50" t="s">
        <v>1264</v>
      </c>
      <c r="C50" t="s">
        <v>10321</v>
      </c>
      <c r="E50" t="s">
        <v>10322</v>
      </c>
      <c r="F50" t="s">
        <v>10353</v>
      </c>
      <c r="G50" t="s">
        <v>10354</v>
      </c>
      <c r="H50" t="s">
        <v>10355</v>
      </c>
    </row>
    <row r="51" spans="1:8" x14ac:dyDescent="0.45">
      <c r="A51" t="s">
        <v>1263</v>
      </c>
      <c r="B51" t="s">
        <v>1264</v>
      </c>
      <c r="C51" t="s">
        <v>10321</v>
      </c>
      <c r="E51" t="s">
        <v>10322</v>
      </c>
      <c r="F51" t="s">
        <v>10356</v>
      </c>
      <c r="G51" t="s">
        <v>10357</v>
      </c>
      <c r="H51" t="s">
        <v>10358</v>
      </c>
    </row>
    <row r="52" spans="1:8" x14ac:dyDescent="0.45">
      <c r="A52" t="s">
        <v>1263</v>
      </c>
      <c r="B52" t="s">
        <v>1264</v>
      </c>
      <c r="C52" t="s">
        <v>10321</v>
      </c>
      <c r="E52" t="s">
        <v>10322</v>
      </c>
      <c r="F52" t="s">
        <v>10359</v>
      </c>
      <c r="G52" t="s">
        <v>10360</v>
      </c>
      <c r="H52" t="s">
        <v>10361</v>
      </c>
    </row>
    <row r="53" spans="1:8" x14ac:dyDescent="0.45">
      <c r="A53" t="s">
        <v>1263</v>
      </c>
      <c r="B53" t="s">
        <v>1264</v>
      </c>
      <c r="C53" t="s">
        <v>10321</v>
      </c>
      <c r="E53" t="s">
        <v>10322</v>
      </c>
      <c r="F53" t="s">
        <v>10362</v>
      </c>
      <c r="G53" t="s">
        <v>10363</v>
      </c>
      <c r="H53" t="s">
        <v>10364</v>
      </c>
    </row>
    <row r="54" spans="1:8" x14ac:dyDescent="0.45">
      <c r="A54" t="s">
        <v>1263</v>
      </c>
      <c r="B54" t="s">
        <v>1264</v>
      </c>
      <c r="C54" t="s">
        <v>10321</v>
      </c>
      <c r="E54" t="s">
        <v>10322</v>
      </c>
      <c r="F54" t="s">
        <v>10365</v>
      </c>
      <c r="G54" t="s">
        <v>10366</v>
      </c>
      <c r="H54" t="s">
        <v>10367</v>
      </c>
    </row>
    <row r="55" spans="1:8" x14ac:dyDescent="0.45">
      <c r="A55" t="s">
        <v>1263</v>
      </c>
      <c r="B55" t="s">
        <v>1264</v>
      </c>
      <c r="C55" t="s">
        <v>10321</v>
      </c>
      <c r="E55" t="s">
        <v>10322</v>
      </c>
      <c r="F55" t="s">
        <v>10368</v>
      </c>
      <c r="G55" t="s">
        <v>10369</v>
      </c>
      <c r="H55" t="s">
        <v>10370</v>
      </c>
    </row>
    <row r="56" spans="1:8" x14ac:dyDescent="0.45">
      <c r="A56" t="s">
        <v>1263</v>
      </c>
      <c r="B56" t="s">
        <v>1264</v>
      </c>
      <c r="C56" t="s">
        <v>10321</v>
      </c>
      <c r="E56" t="s">
        <v>10322</v>
      </c>
      <c r="F56" t="s">
        <v>10371</v>
      </c>
      <c r="G56" t="s">
        <v>10372</v>
      </c>
      <c r="H56" t="s">
        <v>10373</v>
      </c>
    </row>
    <row r="57" spans="1:8" x14ac:dyDescent="0.45">
      <c r="A57" t="s">
        <v>1263</v>
      </c>
      <c r="B57" t="s">
        <v>1264</v>
      </c>
      <c r="C57" t="s">
        <v>10321</v>
      </c>
      <c r="E57" t="s">
        <v>10322</v>
      </c>
      <c r="F57" t="s">
        <v>10374</v>
      </c>
      <c r="G57" t="s">
        <v>10375</v>
      </c>
      <c r="H57" t="s">
        <v>10376</v>
      </c>
    </row>
    <row r="58" spans="1:8" x14ac:dyDescent="0.45">
      <c r="A58" t="s">
        <v>1263</v>
      </c>
      <c r="B58" t="s">
        <v>1264</v>
      </c>
      <c r="C58" t="s">
        <v>10321</v>
      </c>
      <c r="E58" t="s">
        <v>10322</v>
      </c>
      <c r="F58" t="s">
        <v>10377</v>
      </c>
      <c r="G58" t="s">
        <v>10378</v>
      </c>
      <c r="H58" t="s">
        <v>10379</v>
      </c>
    </row>
    <row r="59" spans="1:8" x14ac:dyDescent="0.45">
      <c r="A59" t="s">
        <v>8200</v>
      </c>
      <c r="B59" t="s">
        <v>8201</v>
      </c>
      <c r="C59" t="s">
        <v>10321</v>
      </c>
      <c r="E59" t="s">
        <v>10322</v>
      </c>
      <c r="F59" t="s">
        <v>10323</v>
      </c>
      <c r="G59" t="s">
        <v>10324</v>
      </c>
      <c r="H59" t="s">
        <v>10325</v>
      </c>
    </row>
    <row r="60" spans="1:8" x14ac:dyDescent="0.45">
      <c r="A60" t="s">
        <v>8200</v>
      </c>
      <c r="B60" t="s">
        <v>8201</v>
      </c>
      <c r="C60" t="s">
        <v>10321</v>
      </c>
      <c r="E60" t="s">
        <v>10322</v>
      </c>
      <c r="F60" t="s">
        <v>10326</v>
      </c>
      <c r="G60" t="s">
        <v>10327</v>
      </c>
      <c r="H60" t="s">
        <v>10328</v>
      </c>
    </row>
    <row r="61" spans="1:8" x14ac:dyDescent="0.45">
      <c r="A61" t="s">
        <v>8200</v>
      </c>
      <c r="B61" t="s">
        <v>8201</v>
      </c>
      <c r="C61" t="s">
        <v>10321</v>
      </c>
      <c r="E61" t="s">
        <v>10322</v>
      </c>
      <c r="F61" t="s">
        <v>10329</v>
      </c>
      <c r="G61" t="s">
        <v>10330</v>
      </c>
      <c r="H61" t="s">
        <v>10331</v>
      </c>
    </row>
    <row r="62" spans="1:8" x14ac:dyDescent="0.45">
      <c r="A62" t="s">
        <v>8200</v>
      </c>
      <c r="B62" t="s">
        <v>8201</v>
      </c>
      <c r="C62" t="s">
        <v>10321</v>
      </c>
      <c r="E62" t="s">
        <v>10322</v>
      </c>
      <c r="F62" t="s">
        <v>10332</v>
      </c>
      <c r="G62" t="s">
        <v>10333</v>
      </c>
      <c r="H62" t="s">
        <v>10334</v>
      </c>
    </row>
    <row r="63" spans="1:8" x14ac:dyDescent="0.45">
      <c r="A63" t="s">
        <v>8200</v>
      </c>
      <c r="B63" t="s">
        <v>8201</v>
      </c>
      <c r="C63" t="s">
        <v>10321</v>
      </c>
      <c r="E63" t="s">
        <v>10322</v>
      </c>
      <c r="F63" t="s">
        <v>10335</v>
      </c>
      <c r="G63" t="s">
        <v>10336</v>
      </c>
      <c r="H63" t="s">
        <v>10337</v>
      </c>
    </row>
    <row r="64" spans="1:8" x14ac:dyDescent="0.45">
      <c r="A64" t="s">
        <v>8200</v>
      </c>
      <c r="B64" t="s">
        <v>8201</v>
      </c>
      <c r="C64" t="s">
        <v>10321</v>
      </c>
      <c r="E64" t="s">
        <v>10322</v>
      </c>
      <c r="F64" t="s">
        <v>10338</v>
      </c>
      <c r="G64" t="s">
        <v>10339</v>
      </c>
      <c r="H64" t="s">
        <v>10340</v>
      </c>
    </row>
    <row r="65" spans="1:8" x14ac:dyDescent="0.45">
      <c r="A65" t="s">
        <v>8200</v>
      </c>
      <c r="B65" t="s">
        <v>8201</v>
      </c>
      <c r="C65" t="s">
        <v>10321</v>
      </c>
      <c r="E65" t="s">
        <v>10322</v>
      </c>
      <c r="F65" t="s">
        <v>10341</v>
      </c>
      <c r="G65" t="s">
        <v>10342</v>
      </c>
      <c r="H65" t="s">
        <v>10343</v>
      </c>
    </row>
    <row r="66" spans="1:8" x14ac:dyDescent="0.45">
      <c r="A66" t="s">
        <v>8200</v>
      </c>
      <c r="B66" t="s">
        <v>8201</v>
      </c>
      <c r="C66" t="s">
        <v>10321</v>
      </c>
      <c r="E66" t="s">
        <v>10322</v>
      </c>
      <c r="F66" t="s">
        <v>10344</v>
      </c>
      <c r="G66" t="s">
        <v>10345</v>
      </c>
      <c r="H66" t="s">
        <v>10346</v>
      </c>
    </row>
    <row r="67" spans="1:8" x14ac:dyDescent="0.45">
      <c r="A67" t="s">
        <v>8200</v>
      </c>
      <c r="B67" t="s">
        <v>8201</v>
      </c>
      <c r="C67" t="s">
        <v>10321</v>
      </c>
      <c r="E67" t="s">
        <v>10322</v>
      </c>
      <c r="F67" t="s">
        <v>10347</v>
      </c>
      <c r="G67" t="s">
        <v>10348</v>
      </c>
      <c r="H67" t="s">
        <v>10349</v>
      </c>
    </row>
    <row r="68" spans="1:8" x14ac:dyDescent="0.45">
      <c r="A68" t="s">
        <v>8200</v>
      </c>
      <c r="B68" t="s">
        <v>8201</v>
      </c>
      <c r="C68" t="s">
        <v>10321</v>
      </c>
      <c r="E68" t="s">
        <v>10322</v>
      </c>
      <c r="F68" t="s">
        <v>10350</v>
      </c>
      <c r="G68" t="s">
        <v>10351</v>
      </c>
      <c r="H68" t="s">
        <v>10352</v>
      </c>
    </row>
    <row r="69" spans="1:8" x14ac:dyDescent="0.45">
      <c r="A69" t="s">
        <v>8200</v>
      </c>
      <c r="B69" t="s">
        <v>8201</v>
      </c>
      <c r="C69" t="s">
        <v>10321</v>
      </c>
      <c r="E69" t="s">
        <v>10322</v>
      </c>
      <c r="F69" t="s">
        <v>10353</v>
      </c>
      <c r="G69" t="s">
        <v>10354</v>
      </c>
      <c r="H69" t="s">
        <v>10355</v>
      </c>
    </row>
    <row r="70" spans="1:8" x14ac:dyDescent="0.45">
      <c r="A70" t="s">
        <v>8200</v>
      </c>
      <c r="B70" t="s">
        <v>8201</v>
      </c>
      <c r="C70" t="s">
        <v>10321</v>
      </c>
      <c r="E70" t="s">
        <v>10322</v>
      </c>
      <c r="F70" t="s">
        <v>10356</v>
      </c>
      <c r="G70" t="s">
        <v>10357</v>
      </c>
      <c r="H70" t="s">
        <v>10358</v>
      </c>
    </row>
    <row r="71" spans="1:8" x14ac:dyDescent="0.45">
      <c r="A71" t="s">
        <v>8200</v>
      </c>
      <c r="B71" t="s">
        <v>8201</v>
      </c>
      <c r="C71" t="s">
        <v>10321</v>
      </c>
      <c r="E71" t="s">
        <v>10322</v>
      </c>
      <c r="F71" t="s">
        <v>10359</v>
      </c>
      <c r="G71" t="s">
        <v>10360</v>
      </c>
      <c r="H71" t="s">
        <v>10361</v>
      </c>
    </row>
    <row r="72" spans="1:8" x14ac:dyDescent="0.45">
      <c r="A72" t="s">
        <v>8200</v>
      </c>
      <c r="B72" t="s">
        <v>8201</v>
      </c>
      <c r="C72" t="s">
        <v>10321</v>
      </c>
      <c r="E72" t="s">
        <v>10322</v>
      </c>
      <c r="F72" t="s">
        <v>10362</v>
      </c>
      <c r="G72" t="s">
        <v>10363</v>
      </c>
      <c r="H72" t="s">
        <v>10364</v>
      </c>
    </row>
    <row r="73" spans="1:8" x14ac:dyDescent="0.45">
      <c r="A73" t="s">
        <v>8200</v>
      </c>
      <c r="B73" t="s">
        <v>8201</v>
      </c>
      <c r="C73" t="s">
        <v>10321</v>
      </c>
      <c r="E73" t="s">
        <v>10322</v>
      </c>
      <c r="F73" t="s">
        <v>10365</v>
      </c>
      <c r="G73" t="s">
        <v>10366</v>
      </c>
      <c r="H73" t="s">
        <v>10367</v>
      </c>
    </row>
    <row r="74" spans="1:8" x14ac:dyDescent="0.45">
      <c r="A74" t="s">
        <v>8200</v>
      </c>
      <c r="B74" t="s">
        <v>8201</v>
      </c>
      <c r="C74" t="s">
        <v>10321</v>
      </c>
      <c r="E74" t="s">
        <v>10322</v>
      </c>
      <c r="F74" t="s">
        <v>10368</v>
      </c>
      <c r="G74" t="s">
        <v>10369</v>
      </c>
      <c r="H74" t="s">
        <v>10370</v>
      </c>
    </row>
    <row r="75" spans="1:8" x14ac:dyDescent="0.45">
      <c r="A75" t="s">
        <v>8200</v>
      </c>
      <c r="B75" t="s">
        <v>8201</v>
      </c>
      <c r="C75" t="s">
        <v>10321</v>
      </c>
      <c r="E75" t="s">
        <v>10322</v>
      </c>
      <c r="F75" t="s">
        <v>10371</v>
      </c>
      <c r="G75" t="s">
        <v>10372</v>
      </c>
      <c r="H75" t="s">
        <v>10373</v>
      </c>
    </row>
    <row r="76" spans="1:8" x14ac:dyDescent="0.45">
      <c r="A76" t="s">
        <v>8200</v>
      </c>
      <c r="B76" t="s">
        <v>8201</v>
      </c>
      <c r="C76" t="s">
        <v>10321</v>
      </c>
      <c r="E76" t="s">
        <v>10322</v>
      </c>
      <c r="F76" t="s">
        <v>10374</v>
      </c>
      <c r="G76" t="s">
        <v>10375</v>
      </c>
      <c r="H76" t="s">
        <v>10376</v>
      </c>
    </row>
    <row r="77" spans="1:8" x14ac:dyDescent="0.45">
      <c r="A77" t="s">
        <v>8200</v>
      </c>
      <c r="B77" t="s">
        <v>8201</v>
      </c>
      <c r="C77" t="s">
        <v>10321</v>
      </c>
      <c r="E77" t="s">
        <v>10322</v>
      </c>
      <c r="F77" t="s">
        <v>10377</v>
      </c>
      <c r="G77" t="s">
        <v>10378</v>
      </c>
      <c r="H77" t="s">
        <v>10379</v>
      </c>
    </row>
    <row r="78" spans="1:8" x14ac:dyDescent="0.45">
      <c r="A78" t="s">
        <v>3183</v>
      </c>
      <c r="B78" t="s">
        <v>3184</v>
      </c>
      <c r="C78" t="s">
        <v>10380</v>
      </c>
      <c r="E78" t="s">
        <v>10381</v>
      </c>
      <c r="F78" t="s">
        <v>10382</v>
      </c>
      <c r="G78" t="s">
        <v>10383</v>
      </c>
      <c r="H78" t="s">
        <v>10384</v>
      </c>
    </row>
    <row r="79" spans="1:8" x14ac:dyDescent="0.45">
      <c r="A79" t="s">
        <v>3183</v>
      </c>
      <c r="B79" t="s">
        <v>3184</v>
      </c>
      <c r="C79" t="s">
        <v>10380</v>
      </c>
      <c r="E79" t="s">
        <v>10381</v>
      </c>
      <c r="F79" t="s">
        <v>10385</v>
      </c>
      <c r="G79" t="s">
        <v>10386</v>
      </c>
      <c r="H79" t="s">
        <v>10387</v>
      </c>
    </row>
    <row r="80" spans="1:8" x14ac:dyDescent="0.45">
      <c r="A80" t="s">
        <v>3183</v>
      </c>
      <c r="B80" t="s">
        <v>3184</v>
      </c>
      <c r="C80" t="s">
        <v>10380</v>
      </c>
      <c r="E80" t="s">
        <v>10381</v>
      </c>
      <c r="F80" t="s">
        <v>10388</v>
      </c>
      <c r="G80" t="s">
        <v>10389</v>
      </c>
      <c r="H80" t="s">
        <v>10390</v>
      </c>
    </row>
    <row r="81" spans="1:8" x14ac:dyDescent="0.45">
      <c r="A81" t="s">
        <v>3183</v>
      </c>
      <c r="B81" t="s">
        <v>3184</v>
      </c>
      <c r="C81" t="s">
        <v>10380</v>
      </c>
      <c r="E81" t="s">
        <v>10381</v>
      </c>
      <c r="F81" t="s">
        <v>10391</v>
      </c>
      <c r="G81" t="s">
        <v>10392</v>
      </c>
      <c r="H81" t="s">
        <v>10393</v>
      </c>
    </row>
    <row r="82" spans="1:8" x14ac:dyDescent="0.45">
      <c r="A82" t="s">
        <v>3183</v>
      </c>
      <c r="B82" t="s">
        <v>3184</v>
      </c>
      <c r="C82" t="s">
        <v>10380</v>
      </c>
      <c r="E82" t="s">
        <v>10381</v>
      </c>
      <c r="F82" t="s">
        <v>10394</v>
      </c>
      <c r="G82" t="s">
        <v>10395</v>
      </c>
      <c r="H82" t="s">
        <v>10396</v>
      </c>
    </row>
    <row r="83" spans="1:8" x14ac:dyDescent="0.45">
      <c r="A83" t="s">
        <v>3183</v>
      </c>
      <c r="B83" t="s">
        <v>3184</v>
      </c>
      <c r="C83" t="s">
        <v>10380</v>
      </c>
      <c r="E83" t="s">
        <v>10381</v>
      </c>
      <c r="F83" t="s">
        <v>10397</v>
      </c>
      <c r="G83" t="s">
        <v>10398</v>
      </c>
      <c r="H83" t="s">
        <v>10399</v>
      </c>
    </row>
    <row r="84" spans="1:8" x14ac:dyDescent="0.45">
      <c r="A84" t="s">
        <v>3183</v>
      </c>
      <c r="B84" t="s">
        <v>3184</v>
      </c>
      <c r="C84" t="s">
        <v>10380</v>
      </c>
      <c r="E84" t="s">
        <v>10381</v>
      </c>
      <c r="F84" t="s">
        <v>10400</v>
      </c>
      <c r="G84" t="s">
        <v>10401</v>
      </c>
      <c r="H84" t="s">
        <v>10402</v>
      </c>
    </row>
    <row r="85" spans="1:8" x14ac:dyDescent="0.45">
      <c r="A85" t="s">
        <v>3183</v>
      </c>
      <c r="B85" t="s">
        <v>3184</v>
      </c>
      <c r="C85" t="s">
        <v>10380</v>
      </c>
      <c r="E85" t="s">
        <v>10381</v>
      </c>
      <c r="F85" t="s">
        <v>10403</v>
      </c>
      <c r="G85" t="s">
        <v>10404</v>
      </c>
      <c r="H85" t="s">
        <v>10405</v>
      </c>
    </row>
    <row r="86" spans="1:8" x14ac:dyDescent="0.45">
      <c r="A86" t="s">
        <v>3183</v>
      </c>
      <c r="B86" t="s">
        <v>3184</v>
      </c>
      <c r="C86" t="s">
        <v>10380</v>
      </c>
      <c r="E86" t="s">
        <v>10381</v>
      </c>
      <c r="F86" t="s">
        <v>10406</v>
      </c>
      <c r="G86" t="s">
        <v>10407</v>
      </c>
      <c r="H86" t="s">
        <v>10408</v>
      </c>
    </row>
    <row r="87" spans="1:8" x14ac:dyDescent="0.45">
      <c r="A87" t="s">
        <v>3183</v>
      </c>
      <c r="B87" t="s">
        <v>3184</v>
      </c>
      <c r="C87" t="s">
        <v>10380</v>
      </c>
      <c r="E87" t="s">
        <v>10381</v>
      </c>
      <c r="F87" t="s">
        <v>10409</v>
      </c>
      <c r="G87" t="s">
        <v>10410</v>
      </c>
      <c r="H87" t="s">
        <v>10411</v>
      </c>
    </row>
    <row r="88" spans="1:8" x14ac:dyDescent="0.45">
      <c r="A88" t="s">
        <v>3183</v>
      </c>
      <c r="B88" t="s">
        <v>3184</v>
      </c>
      <c r="C88" t="s">
        <v>10380</v>
      </c>
      <c r="E88" t="s">
        <v>10381</v>
      </c>
      <c r="F88" t="s">
        <v>10412</v>
      </c>
      <c r="G88" t="s">
        <v>10413</v>
      </c>
      <c r="H88" t="s">
        <v>10414</v>
      </c>
    </row>
    <row r="89" spans="1:8" x14ac:dyDescent="0.45">
      <c r="A89" t="s">
        <v>898</v>
      </c>
      <c r="B89" t="s">
        <v>899</v>
      </c>
      <c r="C89" t="s">
        <v>10415</v>
      </c>
      <c r="E89" t="s">
        <v>10416</v>
      </c>
      <c r="F89" t="s">
        <v>10417</v>
      </c>
      <c r="G89" t="s">
        <v>10418</v>
      </c>
      <c r="H89" t="s">
        <v>10419</v>
      </c>
    </row>
    <row r="90" spans="1:8" x14ac:dyDescent="0.45">
      <c r="A90" t="s">
        <v>2276</v>
      </c>
      <c r="B90" t="s">
        <v>2277</v>
      </c>
      <c r="C90" t="s">
        <v>10420</v>
      </c>
      <c r="E90" t="s">
        <v>10421</v>
      </c>
      <c r="F90" t="s">
        <v>10422</v>
      </c>
      <c r="G90" t="s">
        <v>10423</v>
      </c>
      <c r="H90" t="s">
        <v>10424</v>
      </c>
    </row>
    <row r="91" spans="1:8" x14ac:dyDescent="0.45">
      <c r="A91" t="s">
        <v>2276</v>
      </c>
      <c r="B91" t="s">
        <v>2277</v>
      </c>
      <c r="C91" t="s">
        <v>10420</v>
      </c>
      <c r="E91" t="s">
        <v>10421</v>
      </c>
      <c r="F91" t="s">
        <v>10425</v>
      </c>
      <c r="G91" t="s">
        <v>10423</v>
      </c>
      <c r="H91" t="s">
        <v>10426</v>
      </c>
    </row>
    <row r="92" spans="1:8" x14ac:dyDescent="0.45">
      <c r="A92" t="s">
        <v>2872</v>
      </c>
      <c r="B92" t="s">
        <v>2873</v>
      </c>
      <c r="C92" t="s">
        <v>10427</v>
      </c>
      <c r="E92" t="s">
        <v>10428</v>
      </c>
      <c r="F92" t="s">
        <v>10429</v>
      </c>
      <c r="G92" t="s">
        <v>10430</v>
      </c>
      <c r="H92" t="s">
        <v>10431</v>
      </c>
    </row>
    <row r="93" spans="1:8" x14ac:dyDescent="0.45">
      <c r="A93" t="s">
        <v>2872</v>
      </c>
      <c r="B93" t="s">
        <v>2873</v>
      </c>
      <c r="C93" t="s">
        <v>10427</v>
      </c>
      <c r="E93" t="s">
        <v>10428</v>
      </c>
      <c r="F93" t="s">
        <v>10432</v>
      </c>
      <c r="G93" t="s">
        <v>10433</v>
      </c>
      <c r="H93" t="s">
        <v>10431</v>
      </c>
    </row>
    <row r="94" spans="1:8" x14ac:dyDescent="0.45">
      <c r="A94" t="s">
        <v>2872</v>
      </c>
      <c r="B94" t="s">
        <v>2873</v>
      </c>
      <c r="C94" t="s">
        <v>10427</v>
      </c>
      <c r="E94" t="s">
        <v>10428</v>
      </c>
      <c r="F94" t="s">
        <v>10434</v>
      </c>
      <c r="G94" t="s">
        <v>10435</v>
      </c>
      <c r="H94" t="s">
        <v>10436</v>
      </c>
    </row>
    <row r="95" spans="1:8" x14ac:dyDescent="0.45">
      <c r="A95" t="s">
        <v>6574</v>
      </c>
      <c r="B95" t="s">
        <v>6575</v>
      </c>
      <c r="C95" t="s">
        <v>10437</v>
      </c>
      <c r="E95" t="s">
        <v>10438</v>
      </c>
      <c r="F95" t="s">
        <v>10439</v>
      </c>
      <c r="G95" t="s">
        <v>10440</v>
      </c>
      <c r="H95" t="s">
        <v>10424</v>
      </c>
    </row>
    <row r="96" spans="1:8" x14ac:dyDescent="0.45">
      <c r="A96" t="s">
        <v>6574</v>
      </c>
      <c r="B96" t="s">
        <v>6575</v>
      </c>
      <c r="C96" t="s">
        <v>10437</v>
      </c>
      <c r="E96" t="s">
        <v>10438</v>
      </c>
      <c r="F96" t="s">
        <v>10441</v>
      </c>
      <c r="G96" t="s">
        <v>10440</v>
      </c>
      <c r="H96" t="s">
        <v>10426</v>
      </c>
    </row>
    <row r="97" spans="1:8" x14ac:dyDescent="0.45">
      <c r="A97" t="s">
        <v>4858</v>
      </c>
      <c r="B97" t="s">
        <v>4859</v>
      </c>
      <c r="C97" t="s">
        <v>10442</v>
      </c>
      <c r="E97" t="s">
        <v>10443</v>
      </c>
      <c r="F97" t="s">
        <v>10444</v>
      </c>
      <c r="G97" t="s">
        <v>10445</v>
      </c>
      <c r="H97" t="s">
        <v>10446</v>
      </c>
    </row>
    <row r="98" spans="1:8" x14ac:dyDescent="0.45">
      <c r="A98" t="s">
        <v>6584</v>
      </c>
      <c r="B98" t="s">
        <v>6585</v>
      </c>
      <c r="C98" t="s">
        <v>10447</v>
      </c>
      <c r="E98" t="s">
        <v>10448</v>
      </c>
      <c r="F98" t="s">
        <v>10449</v>
      </c>
      <c r="G98" t="s">
        <v>10450</v>
      </c>
      <c r="H98" t="s">
        <v>10451</v>
      </c>
    </row>
    <row r="99" spans="1:8" x14ac:dyDescent="0.45">
      <c r="A99" t="s">
        <v>6584</v>
      </c>
      <c r="B99" t="s">
        <v>6585</v>
      </c>
      <c r="C99" t="s">
        <v>10447</v>
      </c>
      <c r="E99" t="s">
        <v>10448</v>
      </c>
      <c r="F99" t="s">
        <v>10452</v>
      </c>
      <c r="G99" t="s">
        <v>10453</v>
      </c>
      <c r="H99" t="s">
        <v>10454</v>
      </c>
    </row>
    <row r="100" spans="1:8" x14ac:dyDescent="0.45">
      <c r="A100" t="s">
        <v>4529</v>
      </c>
      <c r="B100" t="s">
        <v>4530</v>
      </c>
      <c r="C100" t="s">
        <v>10455</v>
      </c>
      <c r="E100" t="s">
        <v>10456</v>
      </c>
      <c r="F100" t="s">
        <v>10457</v>
      </c>
      <c r="G100" t="s">
        <v>10458</v>
      </c>
      <c r="H100" t="s">
        <v>10459</v>
      </c>
    </row>
    <row r="101" spans="1:8" x14ac:dyDescent="0.45">
      <c r="A101" t="s">
        <v>4529</v>
      </c>
      <c r="B101" t="s">
        <v>4530</v>
      </c>
      <c r="C101" t="s">
        <v>10455</v>
      </c>
      <c r="E101" t="s">
        <v>10456</v>
      </c>
      <c r="F101" t="s">
        <v>10460</v>
      </c>
      <c r="G101" t="s">
        <v>10461</v>
      </c>
      <c r="H101" t="s">
        <v>10459</v>
      </c>
    </row>
    <row r="102" spans="1:8" x14ac:dyDescent="0.45">
      <c r="A102" t="s">
        <v>4529</v>
      </c>
      <c r="B102" t="s">
        <v>4530</v>
      </c>
      <c r="C102" t="s">
        <v>10455</v>
      </c>
      <c r="E102" t="s">
        <v>10456</v>
      </c>
      <c r="F102" t="s">
        <v>10462</v>
      </c>
      <c r="G102" t="s">
        <v>10463</v>
      </c>
      <c r="H102" t="s">
        <v>10464</v>
      </c>
    </row>
    <row r="103" spans="1:8" x14ac:dyDescent="0.45">
      <c r="A103" t="s">
        <v>5237</v>
      </c>
      <c r="B103" t="s">
        <v>5238</v>
      </c>
      <c r="C103" t="s">
        <v>10465</v>
      </c>
      <c r="E103" t="s">
        <v>10466</v>
      </c>
      <c r="F103" t="s">
        <v>10467</v>
      </c>
      <c r="G103" t="s">
        <v>10468</v>
      </c>
      <c r="H103" t="s">
        <v>10469</v>
      </c>
    </row>
    <row r="104" spans="1:8" x14ac:dyDescent="0.45">
      <c r="A104" t="s">
        <v>5237</v>
      </c>
      <c r="B104" t="s">
        <v>5238</v>
      </c>
      <c r="C104" t="s">
        <v>10465</v>
      </c>
      <c r="E104" t="s">
        <v>10466</v>
      </c>
      <c r="F104" t="s">
        <v>10470</v>
      </c>
      <c r="G104" t="s">
        <v>10471</v>
      </c>
      <c r="H104" t="s">
        <v>10472</v>
      </c>
    </row>
    <row r="105" spans="1:8" x14ac:dyDescent="0.45">
      <c r="A105" t="s">
        <v>7649</v>
      </c>
      <c r="B105" t="s">
        <v>7650</v>
      </c>
      <c r="C105" t="s">
        <v>10465</v>
      </c>
      <c r="E105" t="s">
        <v>10466</v>
      </c>
      <c r="F105" t="s">
        <v>10467</v>
      </c>
      <c r="G105" t="s">
        <v>10468</v>
      </c>
      <c r="H105" t="s">
        <v>10469</v>
      </c>
    </row>
    <row r="106" spans="1:8" x14ac:dyDescent="0.45">
      <c r="A106" t="s">
        <v>7649</v>
      </c>
      <c r="B106" t="s">
        <v>7650</v>
      </c>
      <c r="C106" t="s">
        <v>10465</v>
      </c>
      <c r="E106" t="s">
        <v>10466</v>
      </c>
      <c r="F106" t="s">
        <v>10470</v>
      </c>
      <c r="G106" t="s">
        <v>10471</v>
      </c>
      <c r="H106" t="s">
        <v>10472</v>
      </c>
    </row>
    <row r="107" spans="1:8" x14ac:dyDescent="0.45">
      <c r="A107" t="s">
        <v>6106</v>
      </c>
      <c r="B107" t="s">
        <v>6107</v>
      </c>
      <c r="C107" t="s">
        <v>10473</v>
      </c>
      <c r="E107" t="s">
        <v>10474</v>
      </c>
      <c r="F107" t="s">
        <v>10475</v>
      </c>
      <c r="G107" t="s">
        <v>10476</v>
      </c>
      <c r="H107" t="s">
        <v>10477</v>
      </c>
    </row>
    <row r="108" spans="1:8" x14ac:dyDescent="0.45">
      <c r="A108" t="s">
        <v>6203</v>
      </c>
      <c r="B108" t="s">
        <v>6204</v>
      </c>
      <c r="C108" t="s">
        <v>10478</v>
      </c>
      <c r="E108" t="s">
        <v>10479</v>
      </c>
      <c r="F108" t="s">
        <v>10480</v>
      </c>
      <c r="G108" t="s">
        <v>10481</v>
      </c>
      <c r="H108" t="s">
        <v>10482</v>
      </c>
    </row>
    <row r="109" spans="1:8" x14ac:dyDescent="0.45">
      <c r="A109" t="s">
        <v>6203</v>
      </c>
      <c r="B109" t="s">
        <v>6204</v>
      </c>
      <c r="C109" t="s">
        <v>10478</v>
      </c>
      <c r="E109" t="s">
        <v>10479</v>
      </c>
      <c r="F109" t="s">
        <v>10483</v>
      </c>
      <c r="G109" t="s">
        <v>10484</v>
      </c>
      <c r="H109" t="s">
        <v>10485</v>
      </c>
    </row>
    <row r="110" spans="1:8" x14ac:dyDescent="0.45">
      <c r="A110" t="s">
        <v>6203</v>
      </c>
      <c r="B110" t="s">
        <v>6204</v>
      </c>
      <c r="C110" t="s">
        <v>10478</v>
      </c>
      <c r="E110" t="s">
        <v>10479</v>
      </c>
      <c r="F110" t="s">
        <v>10486</v>
      </c>
      <c r="G110" t="s">
        <v>10487</v>
      </c>
      <c r="H110" t="s">
        <v>10488</v>
      </c>
    </row>
    <row r="111" spans="1:8" x14ac:dyDescent="0.45">
      <c r="A111" t="s">
        <v>3128</v>
      </c>
      <c r="B111" t="s">
        <v>3129</v>
      </c>
      <c r="C111" t="s">
        <v>10489</v>
      </c>
      <c r="E111" t="s">
        <v>10490</v>
      </c>
      <c r="F111" t="s">
        <v>10491</v>
      </c>
      <c r="G111" t="s">
        <v>10492</v>
      </c>
      <c r="H111" t="s">
        <v>10493</v>
      </c>
    </row>
    <row r="112" spans="1:8" x14ac:dyDescent="0.45">
      <c r="A112" t="s">
        <v>3128</v>
      </c>
      <c r="B112" t="s">
        <v>3129</v>
      </c>
      <c r="C112" t="s">
        <v>10489</v>
      </c>
      <c r="E112" t="s">
        <v>10490</v>
      </c>
      <c r="F112" t="s">
        <v>10494</v>
      </c>
      <c r="G112" t="s">
        <v>10495</v>
      </c>
      <c r="H112" t="s">
        <v>10496</v>
      </c>
    </row>
    <row r="113" spans="1:8" x14ac:dyDescent="0.45">
      <c r="A113" t="s">
        <v>4521</v>
      </c>
      <c r="B113" t="s">
        <v>4522</v>
      </c>
      <c r="C113" t="s">
        <v>10489</v>
      </c>
      <c r="E113" t="s">
        <v>10490</v>
      </c>
      <c r="F113" t="s">
        <v>10491</v>
      </c>
      <c r="G113" t="s">
        <v>10492</v>
      </c>
      <c r="H113" t="s">
        <v>10493</v>
      </c>
    </row>
    <row r="114" spans="1:8" x14ac:dyDescent="0.45">
      <c r="A114" t="s">
        <v>4521</v>
      </c>
      <c r="B114" t="s">
        <v>4522</v>
      </c>
      <c r="C114" t="s">
        <v>10489</v>
      </c>
      <c r="E114" t="s">
        <v>10490</v>
      </c>
      <c r="F114" t="s">
        <v>10494</v>
      </c>
      <c r="G114" t="s">
        <v>10495</v>
      </c>
      <c r="H114" t="s">
        <v>10496</v>
      </c>
    </row>
    <row r="115" spans="1:8" x14ac:dyDescent="0.45">
      <c r="A115" t="s">
        <v>7571</v>
      </c>
      <c r="B115" t="s">
        <v>7572</v>
      </c>
      <c r="C115" t="s">
        <v>10497</v>
      </c>
      <c r="E115" t="s">
        <v>10498</v>
      </c>
      <c r="F115" t="s">
        <v>10499</v>
      </c>
      <c r="G115" t="s">
        <v>10500</v>
      </c>
      <c r="H115" t="s">
        <v>10501</v>
      </c>
    </row>
    <row r="116" spans="1:8" x14ac:dyDescent="0.45">
      <c r="A116" t="s">
        <v>2718</v>
      </c>
      <c r="B116" t="s">
        <v>2719</v>
      </c>
      <c r="C116" t="s">
        <v>10502</v>
      </c>
      <c r="E116" t="s">
        <v>10503</v>
      </c>
      <c r="F116" t="s">
        <v>10504</v>
      </c>
      <c r="G116" t="s">
        <v>10505</v>
      </c>
      <c r="H116" t="s">
        <v>10506</v>
      </c>
    </row>
    <row r="117" spans="1:8" x14ac:dyDescent="0.45">
      <c r="A117" t="s">
        <v>2718</v>
      </c>
      <c r="B117" t="s">
        <v>2719</v>
      </c>
      <c r="C117" t="s">
        <v>10502</v>
      </c>
      <c r="E117" t="s">
        <v>10503</v>
      </c>
      <c r="F117" t="s">
        <v>10507</v>
      </c>
      <c r="G117" t="s">
        <v>10508</v>
      </c>
      <c r="H117" t="s">
        <v>10509</v>
      </c>
    </row>
    <row r="118" spans="1:8" x14ac:dyDescent="0.45">
      <c r="A118" t="s">
        <v>7949</v>
      </c>
      <c r="B118" t="s">
        <v>7950</v>
      </c>
      <c r="C118" t="s">
        <v>10510</v>
      </c>
      <c r="E118" t="s">
        <v>10511</v>
      </c>
      <c r="F118" t="s">
        <v>10512</v>
      </c>
      <c r="G118" t="s">
        <v>10513</v>
      </c>
      <c r="H118" t="s">
        <v>10514</v>
      </c>
    </row>
    <row r="119" spans="1:8" x14ac:dyDescent="0.45">
      <c r="A119" t="s">
        <v>7949</v>
      </c>
      <c r="B119" t="s">
        <v>7950</v>
      </c>
      <c r="C119" t="s">
        <v>10510</v>
      </c>
      <c r="E119" t="s">
        <v>10511</v>
      </c>
      <c r="F119" t="s">
        <v>10515</v>
      </c>
      <c r="G119" t="s">
        <v>10516</v>
      </c>
      <c r="H119" t="s">
        <v>10517</v>
      </c>
    </row>
    <row r="120" spans="1:8" x14ac:dyDescent="0.45">
      <c r="A120" t="s">
        <v>2684</v>
      </c>
      <c r="B120" t="s">
        <v>2685</v>
      </c>
      <c r="C120" t="s">
        <v>10518</v>
      </c>
      <c r="E120" t="s">
        <v>10519</v>
      </c>
      <c r="F120" t="s">
        <v>10520</v>
      </c>
      <c r="G120" t="s">
        <v>10521</v>
      </c>
      <c r="H120" t="s">
        <v>10522</v>
      </c>
    </row>
    <row r="121" spans="1:8" x14ac:dyDescent="0.45">
      <c r="A121" t="s">
        <v>2684</v>
      </c>
      <c r="B121" t="s">
        <v>2685</v>
      </c>
      <c r="C121" t="s">
        <v>10518</v>
      </c>
      <c r="E121" t="s">
        <v>10519</v>
      </c>
      <c r="F121" t="s">
        <v>10523</v>
      </c>
      <c r="G121" t="s">
        <v>10521</v>
      </c>
      <c r="H121" t="s">
        <v>10524</v>
      </c>
    </row>
    <row r="122" spans="1:8" x14ac:dyDescent="0.45">
      <c r="A122" t="s">
        <v>2684</v>
      </c>
      <c r="B122" t="s">
        <v>2685</v>
      </c>
      <c r="C122" t="s">
        <v>10518</v>
      </c>
      <c r="E122" t="s">
        <v>10519</v>
      </c>
      <c r="F122" t="s">
        <v>10525</v>
      </c>
      <c r="G122" t="s">
        <v>10526</v>
      </c>
      <c r="H122" t="s">
        <v>10527</v>
      </c>
    </row>
    <row r="123" spans="1:8" x14ac:dyDescent="0.45">
      <c r="A123" t="s">
        <v>2684</v>
      </c>
      <c r="B123" t="s">
        <v>2685</v>
      </c>
      <c r="C123" t="s">
        <v>10518</v>
      </c>
      <c r="E123" t="s">
        <v>10519</v>
      </c>
      <c r="F123" t="s">
        <v>10528</v>
      </c>
      <c r="G123" t="s">
        <v>10529</v>
      </c>
      <c r="H123" t="s">
        <v>10530</v>
      </c>
    </row>
    <row r="124" spans="1:8" x14ac:dyDescent="0.45">
      <c r="A124" t="s">
        <v>4314</v>
      </c>
      <c r="B124" t="s">
        <v>4315</v>
      </c>
      <c r="C124" t="s">
        <v>10531</v>
      </c>
      <c r="E124" t="s">
        <v>10532</v>
      </c>
      <c r="F124" t="s">
        <v>10533</v>
      </c>
      <c r="G124" t="s">
        <v>10534</v>
      </c>
      <c r="H124" t="s">
        <v>10535</v>
      </c>
    </row>
    <row r="125" spans="1:8" x14ac:dyDescent="0.45">
      <c r="A125" t="s">
        <v>4314</v>
      </c>
      <c r="B125" t="s">
        <v>4315</v>
      </c>
      <c r="C125" t="s">
        <v>10531</v>
      </c>
      <c r="E125" t="s">
        <v>10532</v>
      </c>
      <c r="F125" t="s">
        <v>10536</v>
      </c>
      <c r="G125" t="s">
        <v>10537</v>
      </c>
      <c r="H125" t="s">
        <v>10538</v>
      </c>
    </row>
    <row r="126" spans="1:8" x14ac:dyDescent="0.45">
      <c r="A126" t="s">
        <v>4314</v>
      </c>
      <c r="B126" t="s">
        <v>4315</v>
      </c>
      <c r="C126" t="s">
        <v>10531</v>
      </c>
      <c r="E126" t="s">
        <v>10532</v>
      </c>
      <c r="F126" t="s">
        <v>10539</v>
      </c>
      <c r="G126" t="s">
        <v>10534</v>
      </c>
      <c r="H126" t="s">
        <v>10540</v>
      </c>
    </row>
    <row r="127" spans="1:8" x14ac:dyDescent="0.45">
      <c r="A127" t="s">
        <v>4314</v>
      </c>
      <c r="B127" t="s">
        <v>4315</v>
      </c>
      <c r="C127" t="s">
        <v>10531</v>
      </c>
      <c r="E127" t="s">
        <v>10532</v>
      </c>
      <c r="F127" t="s">
        <v>10541</v>
      </c>
      <c r="G127" t="s">
        <v>10542</v>
      </c>
      <c r="H127" t="s">
        <v>10543</v>
      </c>
    </row>
    <row r="128" spans="1:8" x14ac:dyDescent="0.45">
      <c r="A128" t="s">
        <v>4314</v>
      </c>
      <c r="B128" t="s">
        <v>4315</v>
      </c>
      <c r="C128" t="s">
        <v>10531</v>
      </c>
      <c r="E128" t="s">
        <v>10532</v>
      </c>
      <c r="F128" t="s">
        <v>10544</v>
      </c>
      <c r="G128" t="s">
        <v>10545</v>
      </c>
      <c r="H128" t="s">
        <v>10546</v>
      </c>
    </row>
    <row r="129" spans="1:8" x14ac:dyDescent="0.45">
      <c r="A129" t="s">
        <v>4314</v>
      </c>
      <c r="B129" t="s">
        <v>4315</v>
      </c>
      <c r="C129" t="s">
        <v>10531</v>
      </c>
      <c r="E129" t="s">
        <v>10532</v>
      </c>
      <c r="F129" t="s">
        <v>10547</v>
      </c>
      <c r="G129" t="s">
        <v>10548</v>
      </c>
      <c r="H129" t="s">
        <v>10549</v>
      </c>
    </row>
    <row r="130" spans="1:8" x14ac:dyDescent="0.45">
      <c r="A130" t="s">
        <v>7425</v>
      </c>
      <c r="B130" t="s">
        <v>7426</v>
      </c>
      <c r="C130" t="s">
        <v>10550</v>
      </c>
      <c r="E130" t="s">
        <v>10551</v>
      </c>
      <c r="F130" t="s">
        <v>10552</v>
      </c>
      <c r="G130" t="s">
        <v>10553</v>
      </c>
      <c r="H130" t="s">
        <v>10554</v>
      </c>
    </row>
    <row r="131" spans="1:8" x14ac:dyDescent="0.45">
      <c r="A131" t="s">
        <v>7425</v>
      </c>
      <c r="B131" t="s">
        <v>7426</v>
      </c>
      <c r="C131" t="s">
        <v>10550</v>
      </c>
      <c r="E131" t="s">
        <v>10551</v>
      </c>
      <c r="F131" t="s">
        <v>10555</v>
      </c>
      <c r="G131" t="s">
        <v>10556</v>
      </c>
      <c r="H131" t="s">
        <v>10557</v>
      </c>
    </row>
    <row r="132" spans="1:8" x14ac:dyDescent="0.45">
      <c r="A132" t="s">
        <v>2434</v>
      </c>
      <c r="B132" t="s">
        <v>2435</v>
      </c>
      <c r="C132" t="s">
        <v>10558</v>
      </c>
      <c r="E132" t="s">
        <v>10559</v>
      </c>
      <c r="F132" t="s">
        <v>10560</v>
      </c>
      <c r="G132" t="s">
        <v>10561</v>
      </c>
      <c r="H132" t="s">
        <v>10562</v>
      </c>
    </row>
    <row r="133" spans="1:8" x14ac:dyDescent="0.45">
      <c r="A133" t="s">
        <v>4056</v>
      </c>
      <c r="B133" t="s">
        <v>4057</v>
      </c>
      <c r="C133" t="s">
        <v>10558</v>
      </c>
      <c r="E133" t="s">
        <v>10559</v>
      </c>
      <c r="F133" t="s">
        <v>10560</v>
      </c>
      <c r="G133" t="s">
        <v>10561</v>
      </c>
      <c r="H133" t="s">
        <v>10562</v>
      </c>
    </row>
    <row r="134" spans="1:8" x14ac:dyDescent="0.45">
      <c r="A134" t="s">
        <v>4199</v>
      </c>
      <c r="B134" t="s">
        <v>4200</v>
      </c>
      <c r="C134" t="s">
        <v>10558</v>
      </c>
      <c r="E134" t="s">
        <v>10559</v>
      </c>
      <c r="F134" t="s">
        <v>10560</v>
      </c>
      <c r="G134" t="s">
        <v>10561</v>
      </c>
      <c r="H134" t="s">
        <v>10562</v>
      </c>
    </row>
    <row r="135" spans="1:8" x14ac:dyDescent="0.45">
      <c r="A135" t="s">
        <v>8038</v>
      </c>
      <c r="B135" t="s">
        <v>8039</v>
      </c>
      <c r="C135" t="s">
        <v>10558</v>
      </c>
      <c r="E135" t="s">
        <v>10559</v>
      </c>
      <c r="F135" t="s">
        <v>10560</v>
      </c>
      <c r="G135" t="s">
        <v>10561</v>
      </c>
      <c r="H135" t="s">
        <v>10562</v>
      </c>
    </row>
    <row r="136" spans="1:8" x14ac:dyDescent="0.45">
      <c r="A136" t="s">
        <v>3942</v>
      </c>
      <c r="B136" t="s">
        <v>3943</v>
      </c>
      <c r="C136" t="s">
        <v>10563</v>
      </c>
      <c r="E136" t="s">
        <v>10564</v>
      </c>
      <c r="F136" t="s">
        <v>10565</v>
      </c>
      <c r="G136" t="s">
        <v>10566</v>
      </c>
      <c r="H136" t="s">
        <v>10567</v>
      </c>
    </row>
    <row r="137" spans="1:8" x14ac:dyDescent="0.45">
      <c r="A137" t="s">
        <v>5188</v>
      </c>
      <c r="B137" t="s">
        <v>5189</v>
      </c>
      <c r="C137" t="s">
        <v>10563</v>
      </c>
      <c r="E137" t="s">
        <v>10564</v>
      </c>
      <c r="F137" t="s">
        <v>10565</v>
      </c>
      <c r="G137" t="s">
        <v>10566</v>
      </c>
      <c r="H137" t="s">
        <v>10567</v>
      </c>
    </row>
    <row r="138" spans="1:8" x14ac:dyDescent="0.45">
      <c r="A138" t="s">
        <v>1787</v>
      </c>
      <c r="B138" t="s">
        <v>1788</v>
      </c>
      <c r="C138" t="s">
        <v>10568</v>
      </c>
      <c r="E138" t="s">
        <v>10569</v>
      </c>
      <c r="F138" t="s">
        <v>10570</v>
      </c>
      <c r="G138" t="s">
        <v>10571</v>
      </c>
      <c r="H138" t="s">
        <v>10572</v>
      </c>
    </row>
    <row r="139" spans="1:8" x14ac:dyDescent="0.45">
      <c r="A139" t="s">
        <v>1787</v>
      </c>
      <c r="B139" t="s">
        <v>1788</v>
      </c>
      <c r="C139" t="s">
        <v>10568</v>
      </c>
      <c r="E139" t="s">
        <v>10569</v>
      </c>
      <c r="F139" t="s">
        <v>10573</v>
      </c>
      <c r="G139" t="s">
        <v>10574</v>
      </c>
      <c r="H139" t="s">
        <v>10575</v>
      </c>
    </row>
    <row r="140" spans="1:8" x14ac:dyDescent="0.45">
      <c r="A140" t="s">
        <v>1787</v>
      </c>
      <c r="B140" t="s">
        <v>1788</v>
      </c>
      <c r="C140" t="s">
        <v>10568</v>
      </c>
      <c r="E140" t="s">
        <v>10569</v>
      </c>
      <c r="F140" t="s">
        <v>10576</v>
      </c>
      <c r="G140" t="s">
        <v>10577</v>
      </c>
      <c r="H140" t="s">
        <v>10578</v>
      </c>
    </row>
    <row r="141" spans="1:8" x14ac:dyDescent="0.45">
      <c r="A141" t="s">
        <v>4490</v>
      </c>
      <c r="B141" t="s">
        <v>4491</v>
      </c>
      <c r="C141" t="s">
        <v>10568</v>
      </c>
      <c r="E141" t="s">
        <v>10569</v>
      </c>
      <c r="F141" t="s">
        <v>10570</v>
      </c>
      <c r="G141" t="s">
        <v>10571</v>
      </c>
      <c r="H141" t="s">
        <v>10572</v>
      </c>
    </row>
    <row r="142" spans="1:8" x14ac:dyDescent="0.45">
      <c r="A142" t="s">
        <v>4490</v>
      </c>
      <c r="B142" t="s">
        <v>4491</v>
      </c>
      <c r="C142" t="s">
        <v>10568</v>
      </c>
      <c r="E142" t="s">
        <v>10569</v>
      </c>
      <c r="F142" t="s">
        <v>10573</v>
      </c>
      <c r="G142" t="s">
        <v>10574</v>
      </c>
      <c r="H142" t="s">
        <v>10575</v>
      </c>
    </row>
    <row r="143" spans="1:8" x14ac:dyDescent="0.45">
      <c r="A143" t="s">
        <v>4490</v>
      </c>
      <c r="B143" t="s">
        <v>4491</v>
      </c>
      <c r="C143" t="s">
        <v>10568</v>
      </c>
      <c r="E143" t="s">
        <v>10569</v>
      </c>
      <c r="F143" t="s">
        <v>10576</v>
      </c>
      <c r="G143" t="s">
        <v>10577</v>
      </c>
      <c r="H143" t="s">
        <v>10578</v>
      </c>
    </row>
    <row r="144" spans="1:8" x14ac:dyDescent="0.45">
      <c r="A144" t="s">
        <v>6775</v>
      </c>
      <c r="B144" t="s">
        <v>6776</v>
      </c>
      <c r="C144" t="s">
        <v>10568</v>
      </c>
      <c r="E144" t="s">
        <v>10569</v>
      </c>
      <c r="F144" t="s">
        <v>10570</v>
      </c>
      <c r="G144" t="s">
        <v>10571</v>
      </c>
      <c r="H144" t="s">
        <v>10572</v>
      </c>
    </row>
    <row r="145" spans="1:8" x14ac:dyDescent="0.45">
      <c r="A145" t="s">
        <v>6775</v>
      </c>
      <c r="B145" t="s">
        <v>6776</v>
      </c>
      <c r="C145" t="s">
        <v>10568</v>
      </c>
      <c r="E145" t="s">
        <v>10569</v>
      </c>
      <c r="F145" t="s">
        <v>10573</v>
      </c>
      <c r="G145" t="s">
        <v>10574</v>
      </c>
      <c r="H145" t="s">
        <v>10575</v>
      </c>
    </row>
    <row r="146" spans="1:8" x14ac:dyDescent="0.45">
      <c r="A146" t="s">
        <v>6775</v>
      </c>
      <c r="B146" t="s">
        <v>6776</v>
      </c>
      <c r="C146" t="s">
        <v>10568</v>
      </c>
      <c r="E146" t="s">
        <v>10569</v>
      </c>
      <c r="F146" t="s">
        <v>10576</v>
      </c>
      <c r="G146" t="s">
        <v>10577</v>
      </c>
      <c r="H146" t="s">
        <v>10578</v>
      </c>
    </row>
    <row r="147" spans="1:8" x14ac:dyDescent="0.45">
      <c r="A147" t="s">
        <v>6069</v>
      </c>
      <c r="B147" t="s">
        <v>6070</v>
      </c>
      <c r="C147" t="s">
        <v>10579</v>
      </c>
    </row>
    <row r="148" spans="1:8" x14ac:dyDescent="0.45">
      <c r="A148" t="s">
        <v>4673</v>
      </c>
      <c r="B148" t="s">
        <v>4674</v>
      </c>
      <c r="C148" t="s">
        <v>10580</v>
      </c>
      <c r="E148" t="s">
        <v>10581</v>
      </c>
      <c r="F148" t="s">
        <v>10582</v>
      </c>
      <c r="G148" t="s">
        <v>10583</v>
      </c>
      <c r="H148" t="s">
        <v>10584</v>
      </c>
    </row>
    <row r="149" spans="1:8" x14ac:dyDescent="0.45">
      <c r="A149" t="s">
        <v>6276</v>
      </c>
      <c r="B149" t="s">
        <v>6277</v>
      </c>
      <c r="C149" t="s">
        <v>10585</v>
      </c>
      <c r="E149" t="s">
        <v>10586</v>
      </c>
      <c r="F149" t="s">
        <v>10587</v>
      </c>
      <c r="G149" t="s">
        <v>10588</v>
      </c>
      <c r="H149" t="s">
        <v>10589</v>
      </c>
    </row>
    <row r="150" spans="1:8" x14ac:dyDescent="0.45">
      <c r="A150" t="s">
        <v>6276</v>
      </c>
      <c r="B150" t="s">
        <v>6277</v>
      </c>
      <c r="C150" t="s">
        <v>10585</v>
      </c>
      <c r="E150" t="s">
        <v>10586</v>
      </c>
      <c r="F150" t="s">
        <v>10590</v>
      </c>
      <c r="G150" t="s">
        <v>10588</v>
      </c>
      <c r="H150" t="s">
        <v>10591</v>
      </c>
    </row>
    <row r="151" spans="1:8" x14ac:dyDescent="0.45">
      <c r="A151" t="s">
        <v>6276</v>
      </c>
      <c r="B151" t="s">
        <v>6277</v>
      </c>
      <c r="C151" t="s">
        <v>10585</v>
      </c>
      <c r="E151" t="s">
        <v>10586</v>
      </c>
      <c r="F151" t="s">
        <v>10592</v>
      </c>
      <c r="G151" t="s">
        <v>10593</v>
      </c>
      <c r="H151" t="s">
        <v>10589</v>
      </c>
    </row>
    <row r="152" spans="1:8" x14ac:dyDescent="0.45">
      <c r="A152" t="s">
        <v>8813</v>
      </c>
      <c r="B152" t="s">
        <v>8814</v>
      </c>
      <c r="C152" t="s">
        <v>10594</v>
      </c>
      <c r="E152" t="s">
        <v>10595</v>
      </c>
      <c r="F152" t="s">
        <v>10596</v>
      </c>
      <c r="G152" t="s">
        <v>10597</v>
      </c>
      <c r="H152" t="s">
        <v>10598</v>
      </c>
    </row>
    <row r="153" spans="1:8" x14ac:dyDescent="0.45">
      <c r="A153" t="s">
        <v>8813</v>
      </c>
      <c r="B153" t="s">
        <v>8814</v>
      </c>
      <c r="C153" t="s">
        <v>10594</v>
      </c>
      <c r="E153" t="s">
        <v>10595</v>
      </c>
      <c r="F153" t="s">
        <v>10599</v>
      </c>
      <c r="G153" t="s">
        <v>10600</v>
      </c>
      <c r="H153" t="s">
        <v>10601</v>
      </c>
    </row>
    <row r="154" spans="1:8" x14ac:dyDescent="0.45">
      <c r="A154" t="s">
        <v>8813</v>
      </c>
      <c r="B154" t="s">
        <v>8814</v>
      </c>
      <c r="C154" t="s">
        <v>10594</v>
      </c>
      <c r="E154" t="s">
        <v>10595</v>
      </c>
      <c r="F154" t="s">
        <v>10602</v>
      </c>
      <c r="G154" t="s">
        <v>10603</v>
      </c>
      <c r="H154" t="s">
        <v>10604</v>
      </c>
    </row>
    <row r="155" spans="1:8" x14ac:dyDescent="0.45">
      <c r="A155" t="s">
        <v>8813</v>
      </c>
      <c r="B155" t="s">
        <v>8814</v>
      </c>
      <c r="C155" t="s">
        <v>10594</v>
      </c>
      <c r="E155" t="s">
        <v>10595</v>
      </c>
      <c r="F155" t="s">
        <v>10605</v>
      </c>
      <c r="G155" t="s">
        <v>10606</v>
      </c>
      <c r="H155" t="s">
        <v>10607</v>
      </c>
    </row>
    <row r="156" spans="1:8" x14ac:dyDescent="0.45">
      <c r="A156" t="s">
        <v>8946</v>
      </c>
      <c r="B156" t="s">
        <v>8947</v>
      </c>
      <c r="C156" t="s">
        <v>10608</v>
      </c>
      <c r="E156" t="s">
        <v>10609</v>
      </c>
      <c r="F156" t="s">
        <v>10610</v>
      </c>
      <c r="G156" t="s">
        <v>10611</v>
      </c>
      <c r="H156" t="s">
        <v>10612</v>
      </c>
    </row>
    <row r="157" spans="1:8" x14ac:dyDescent="0.45">
      <c r="A157" t="s">
        <v>8946</v>
      </c>
      <c r="B157" t="s">
        <v>8947</v>
      </c>
      <c r="C157" t="s">
        <v>10608</v>
      </c>
      <c r="E157" t="s">
        <v>10609</v>
      </c>
      <c r="F157" t="s">
        <v>10613</v>
      </c>
      <c r="G157" t="s">
        <v>10614</v>
      </c>
      <c r="H157" t="s">
        <v>10615</v>
      </c>
    </row>
    <row r="158" spans="1:8" x14ac:dyDescent="0.45">
      <c r="A158" t="s">
        <v>8954</v>
      </c>
      <c r="B158" t="s">
        <v>8955</v>
      </c>
      <c r="C158" t="s">
        <v>10608</v>
      </c>
      <c r="E158" t="s">
        <v>10609</v>
      </c>
      <c r="F158" t="s">
        <v>10610</v>
      </c>
      <c r="G158" t="s">
        <v>10611</v>
      </c>
      <c r="H158" t="s">
        <v>10612</v>
      </c>
    </row>
    <row r="159" spans="1:8" x14ac:dyDescent="0.45">
      <c r="A159" t="s">
        <v>8954</v>
      </c>
      <c r="B159" t="s">
        <v>8955</v>
      </c>
      <c r="C159" t="s">
        <v>10608</v>
      </c>
      <c r="E159" t="s">
        <v>10609</v>
      </c>
      <c r="F159" t="s">
        <v>10613</v>
      </c>
      <c r="G159" t="s">
        <v>10614</v>
      </c>
      <c r="H159" t="s">
        <v>10615</v>
      </c>
    </row>
    <row r="160" spans="1:8" x14ac:dyDescent="0.45">
      <c r="A160" t="s">
        <v>9207</v>
      </c>
      <c r="B160" t="s">
        <v>9208</v>
      </c>
      <c r="C160" t="s">
        <v>10616</v>
      </c>
      <c r="E160" t="s">
        <v>10617</v>
      </c>
      <c r="F160" t="s">
        <v>10618</v>
      </c>
      <c r="G160" t="s">
        <v>10619</v>
      </c>
      <c r="H160" t="s">
        <v>10620</v>
      </c>
    </row>
    <row r="161" spans="1:8" x14ac:dyDescent="0.45">
      <c r="A161" t="s">
        <v>3433</v>
      </c>
      <c r="B161" t="s">
        <v>3434</v>
      </c>
      <c r="C161" t="s">
        <v>10621</v>
      </c>
      <c r="E161" t="s">
        <v>10622</v>
      </c>
      <c r="F161" t="s">
        <v>10623</v>
      </c>
      <c r="G161" t="s">
        <v>10624</v>
      </c>
      <c r="H161" t="s">
        <v>10625</v>
      </c>
    </row>
    <row r="162" spans="1:8" x14ac:dyDescent="0.45">
      <c r="A162" t="s">
        <v>3433</v>
      </c>
      <c r="B162" t="s">
        <v>3434</v>
      </c>
      <c r="C162" t="s">
        <v>10621</v>
      </c>
      <c r="E162" t="s">
        <v>10622</v>
      </c>
      <c r="F162" t="s">
        <v>10626</v>
      </c>
      <c r="G162" t="s">
        <v>10627</v>
      </c>
      <c r="H162" t="s">
        <v>10628</v>
      </c>
    </row>
    <row r="163" spans="1:8" x14ac:dyDescent="0.45">
      <c r="A163" t="s">
        <v>3433</v>
      </c>
      <c r="B163" t="s">
        <v>3434</v>
      </c>
      <c r="C163" t="s">
        <v>10621</v>
      </c>
      <c r="E163" t="s">
        <v>10622</v>
      </c>
      <c r="F163" t="s">
        <v>10629</v>
      </c>
      <c r="G163" t="s">
        <v>10630</v>
      </c>
      <c r="H163" t="s">
        <v>10631</v>
      </c>
    </row>
    <row r="164" spans="1:8" x14ac:dyDescent="0.45">
      <c r="A164" t="s">
        <v>3433</v>
      </c>
      <c r="B164" t="s">
        <v>3434</v>
      </c>
      <c r="C164" t="s">
        <v>10621</v>
      </c>
      <c r="E164" t="s">
        <v>10622</v>
      </c>
      <c r="F164" t="s">
        <v>10632</v>
      </c>
      <c r="G164" t="s">
        <v>10633</v>
      </c>
      <c r="H164" t="s">
        <v>10634</v>
      </c>
    </row>
    <row r="165" spans="1:8" x14ac:dyDescent="0.45">
      <c r="A165" t="s">
        <v>3433</v>
      </c>
      <c r="B165" t="s">
        <v>3434</v>
      </c>
      <c r="C165" t="s">
        <v>10621</v>
      </c>
      <c r="E165" t="s">
        <v>10622</v>
      </c>
      <c r="F165" t="s">
        <v>10635</v>
      </c>
      <c r="G165" t="s">
        <v>10636</v>
      </c>
      <c r="H165" t="s">
        <v>10637</v>
      </c>
    </row>
    <row r="166" spans="1:8" x14ac:dyDescent="0.45">
      <c r="A166" t="s">
        <v>3433</v>
      </c>
      <c r="B166" t="s">
        <v>3434</v>
      </c>
      <c r="C166" t="s">
        <v>10621</v>
      </c>
      <c r="E166" t="s">
        <v>10622</v>
      </c>
      <c r="F166" t="s">
        <v>10638</v>
      </c>
      <c r="G166" t="s">
        <v>10639</v>
      </c>
      <c r="H166" t="s">
        <v>10640</v>
      </c>
    </row>
    <row r="167" spans="1:8" x14ac:dyDescent="0.45">
      <c r="A167" t="s">
        <v>3433</v>
      </c>
      <c r="B167" t="s">
        <v>3434</v>
      </c>
      <c r="C167" t="s">
        <v>10621</v>
      </c>
      <c r="E167" t="s">
        <v>10622</v>
      </c>
      <c r="F167" t="s">
        <v>10641</v>
      </c>
      <c r="G167" t="s">
        <v>10642</v>
      </c>
      <c r="H167" t="s">
        <v>10643</v>
      </c>
    </row>
    <row r="168" spans="1:8" x14ac:dyDescent="0.45">
      <c r="A168" t="s">
        <v>3433</v>
      </c>
      <c r="B168" t="s">
        <v>3434</v>
      </c>
      <c r="C168" t="s">
        <v>10621</v>
      </c>
      <c r="E168" t="s">
        <v>10622</v>
      </c>
      <c r="F168" t="s">
        <v>10644</v>
      </c>
      <c r="G168" t="s">
        <v>10645</v>
      </c>
      <c r="H168" t="s">
        <v>10646</v>
      </c>
    </row>
    <row r="169" spans="1:8" x14ac:dyDescent="0.45">
      <c r="A169" t="s">
        <v>8276</v>
      </c>
      <c r="B169" t="s">
        <v>8277</v>
      </c>
      <c r="C169" t="s">
        <v>10621</v>
      </c>
      <c r="E169" t="s">
        <v>10622</v>
      </c>
      <c r="F169" t="s">
        <v>10623</v>
      </c>
      <c r="G169" t="s">
        <v>10624</v>
      </c>
      <c r="H169" t="s">
        <v>10625</v>
      </c>
    </row>
    <row r="170" spans="1:8" x14ac:dyDescent="0.45">
      <c r="A170" t="s">
        <v>8276</v>
      </c>
      <c r="B170" t="s">
        <v>8277</v>
      </c>
      <c r="C170" t="s">
        <v>10621</v>
      </c>
      <c r="E170" t="s">
        <v>10622</v>
      </c>
      <c r="F170" t="s">
        <v>10626</v>
      </c>
      <c r="G170" t="s">
        <v>10627</v>
      </c>
      <c r="H170" t="s">
        <v>10628</v>
      </c>
    </row>
    <row r="171" spans="1:8" x14ac:dyDescent="0.45">
      <c r="A171" t="s">
        <v>8276</v>
      </c>
      <c r="B171" t="s">
        <v>8277</v>
      </c>
      <c r="C171" t="s">
        <v>10621</v>
      </c>
      <c r="E171" t="s">
        <v>10622</v>
      </c>
      <c r="F171" t="s">
        <v>10629</v>
      </c>
      <c r="G171" t="s">
        <v>10630</v>
      </c>
      <c r="H171" t="s">
        <v>10631</v>
      </c>
    </row>
    <row r="172" spans="1:8" x14ac:dyDescent="0.45">
      <c r="A172" t="s">
        <v>8276</v>
      </c>
      <c r="B172" t="s">
        <v>8277</v>
      </c>
      <c r="C172" t="s">
        <v>10621</v>
      </c>
      <c r="E172" t="s">
        <v>10622</v>
      </c>
      <c r="F172" t="s">
        <v>10632</v>
      </c>
      <c r="G172" t="s">
        <v>10633</v>
      </c>
      <c r="H172" t="s">
        <v>10634</v>
      </c>
    </row>
    <row r="173" spans="1:8" x14ac:dyDescent="0.45">
      <c r="A173" t="s">
        <v>8276</v>
      </c>
      <c r="B173" t="s">
        <v>8277</v>
      </c>
      <c r="C173" t="s">
        <v>10621</v>
      </c>
      <c r="E173" t="s">
        <v>10622</v>
      </c>
      <c r="F173" t="s">
        <v>10635</v>
      </c>
      <c r="G173" t="s">
        <v>10636</v>
      </c>
      <c r="H173" t="s">
        <v>10637</v>
      </c>
    </row>
    <row r="174" spans="1:8" x14ac:dyDescent="0.45">
      <c r="A174" t="s">
        <v>8276</v>
      </c>
      <c r="B174" t="s">
        <v>8277</v>
      </c>
      <c r="C174" t="s">
        <v>10621</v>
      </c>
      <c r="E174" t="s">
        <v>10622</v>
      </c>
      <c r="F174" t="s">
        <v>10638</v>
      </c>
      <c r="G174" t="s">
        <v>10639</v>
      </c>
      <c r="H174" t="s">
        <v>10640</v>
      </c>
    </row>
    <row r="175" spans="1:8" x14ac:dyDescent="0.45">
      <c r="A175" t="s">
        <v>8276</v>
      </c>
      <c r="B175" t="s">
        <v>8277</v>
      </c>
      <c r="C175" t="s">
        <v>10621</v>
      </c>
      <c r="E175" t="s">
        <v>10622</v>
      </c>
      <c r="F175" t="s">
        <v>10641</v>
      </c>
      <c r="G175" t="s">
        <v>10642</v>
      </c>
      <c r="H175" t="s">
        <v>10643</v>
      </c>
    </row>
    <row r="176" spans="1:8" x14ac:dyDescent="0.45">
      <c r="A176" t="s">
        <v>8276</v>
      </c>
      <c r="B176" t="s">
        <v>8277</v>
      </c>
      <c r="C176" t="s">
        <v>10621</v>
      </c>
      <c r="E176" t="s">
        <v>10622</v>
      </c>
      <c r="F176" t="s">
        <v>10644</v>
      </c>
      <c r="G176" t="s">
        <v>10645</v>
      </c>
      <c r="H176" t="s">
        <v>10646</v>
      </c>
    </row>
    <row r="177" spans="1:8" x14ac:dyDescent="0.45">
      <c r="A177" t="s">
        <v>8280</v>
      </c>
      <c r="B177" t="s">
        <v>8281</v>
      </c>
      <c r="C177" t="s">
        <v>10621</v>
      </c>
      <c r="E177" t="s">
        <v>10622</v>
      </c>
      <c r="F177" t="s">
        <v>10623</v>
      </c>
      <c r="G177" t="s">
        <v>10624</v>
      </c>
      <c r="H177" t="s">
        <v>10625</v>
      </c>
    </row>
    <row r="178" spans="1:8" x14ac:dyDescent="0.45">
      <c r="A178" t="s">
        <v>8280</v>
      </c>
      <c r="B178" t="s">
        <v>8281</v>
      </c>
      <c r="C178" t="s">
        <v>10621</v>
      </c>
      <c r="E178" t="s">
        <v>10622</v>
      </c>
      <c r="F178" t="s">
        <v>10626</v>
      </c>
      <c r="G178" t="s">
        <v>10627</v>
      </c>
      <c r="H178" t="s">
        <v>10628</v>
      </c>
    </row>
    <row r="179" spans="1:8" x14ac:dyDescent="0.45">
      <c r="A179" t="s">
        <v>8280</v>
      </c>
      <c r="B179" t="s">
        <v>8281</v>
      </c>
      <c r="C179" t="s">
        <v>10621</v>
      </c>
      <c r="E179" t="s">
        <v>10622</v>
      </c>
      <c r="F179" t="s">
        <v>10629</v>
      </c>
      <c r="G179" t="s">
        <v>10630</v>
      </c>
      <c r="H179" t="s">
        <v>10631</v>
      </c>
    </row>
    <row r="180" spans="1:8" x14ac:dyDescent="0.45">
      <c r="A180" t="s">
        <v>8280</v>
      </c>
      <c r="B180" t="s">
        <v>8281</v>
      </c>
      <c r="C180" t="s">
        <v>10621</v>
      </c>
      <c r="E180" t="s">
        <v>10622</v>
      </c>
      <c r="F180" t="s">
        <v>10632</v>
      </c>
      <c r="G180" t="s">
        <v>10633</v>
      </c>
      <c r="H180" t="s">
        <v>10634</v>
      </c>
    </row>
    <row r="181" spans="1:8" x14ac:dyDescent="0.45">
      <c r="A181" t="s">
        <v>8280</v>
      </c>
      <c r="B181" t="s">
        <v>8281</v>
      </c>
      <c r="C181" t="s">
        <v>10621</v>
      </c>
      <c r="E181" t="s">
        <v>10622</v>
      </c>
      <c r="F181" t="s">
        <v>10635</v>
      </c>
      <c r="G181" t="s">
        <v>10636</v>
      </c>
      <c r="H181" t="s">
        <v>10637</v>
      </c>
    </row>
    <row r="182" spans="1:8" x14ac:dyDescent="0.45">
      <c r="A182" t="s">
        <v>8280</v>
      </c>
      <c r="B182" t="s">
        <v>8281</v>
      </c>
      <c r="C182" t="s">
        <v>10621</v>
      </c>
      <c r="E182" t="s">
        <v>10622</v>
      </c>
      <c r="F182" t="s">
        <v>10638</v>
      </c>
      <c r="G182" t="s">
        <v>10639</v>
      </c>
      <c r="H182" t="s">
        <v>10640</v>
      </c>
    </row>
    <row r="183" spans="1:8" x14ac:dyDescent="0.45">
      <c r="A183" t="s">
        <v>8280</v>
      </c>
      <c r="B183" t="s">
        <v>8281</v>
      </c>
      <c r="C183" t="s">
        <v>10621</v>
      </c>
      <c r="E183" t="s">
        <v>10622</v>
      </c>
      <c r="F183" t="s">
        <v>10641</v>
      </c>
      <c r="G183" t="s">
        <v>10642</v>
      </c>
      <c r="H183" t="s">
        <v>10643</v>
      </c>
    </row>
    <row r="184" spans="1:8" x14ac:dyDescent="0.45">
      <c r="A184" t="s">
        <v>8280</v>
      </c>
      <c r="B184" t="s">
        <v>8281</v>
      </c>
      <c r="C184" t="s">
        <v>10621</v>
      </c>
      <c r="E184" t="s">
        <v>10622</v>
      </c>
      <c r="F184" t="s">
        <v>10644</v>
      </c>
      <c r="G184" t="s">
        <v>10645</v>
      </c>
      <c r="H184" t="s">
        <v>10646</v>
      </c>
    </row>
    <row r="185" spans="1:8" x14ac:dyDescent="0.45">
      <c r="A185" t="s">
        <v>513</v>
      </c>
      <c r="B185" t="s">
        <v>514</v>
      </c>
      <c r="C185" t="s">
        <v>10647</v>
      </c>
      <c r="E185" t="s">
        <v>10648</v>
      </c>
      <c r="F185" t="s">
        <v>10649</v>
      </c>
      <c r="G185" t="s">
        <v>10650</v>
      </c>
      <c r="H185" t="s">
        <v>10651</v>
      </c>
    </row>
    <row r="186" spans="1:8" x14ac:dyDescent="0.45">
      <c r="A186" t="s">
        <v>513</v>
      </c>
      <c r="B186" t="s">
        <v>514</v>
      </c>
      <c r="C186" t="s">
        <v>10647</v>
      </c>
      <c r="E186" t="s">
        <v>10648</v>
      </c>
      <c r="F186" t="s">
        <v>10652</v>
      </c>
      <c r="G186" t="s">
        <v>10653</v>
      </c>
      <c r="H186" t="s">
        <v>10654</v>
      </c>
    </row>
    <row r="187" spans="1:8" x14ac:dyDescent="0.45">
      <c r="A187" t="s">
        <v>513</v>
      </c>
      <c r="B187" t="s">
        <v>514</v>
      </c>
      <c r="C187" t="s">
        <v>10647</v>
      </c>
      <c r="E187" t="s">
        <v>10648</v>
      </c>
      <c r="F187" t="s">
        <v>10655</v>
      </c>
      <c r="G187" t="s">
        <v>10656</v>
      </c>
      <c r="H187" t="s">
        <v>10657</v>
      </c>
    </row>
    <row r="188" spans="1:8" x14ac:dyDescent="0.45">
      <c r="A188" t="s">
        <v>513</v>
      </c>
      <c r="B188" t="s">
        <v>514</v>
      </c>
      <c r="C188" t="s">
        <v>10647</v>
      </c>
      <c r="E188" t="s">
        <v>10648</v>
      </c>
      <c r="F188" t="s">
        <v>10658</v>
      </c>
      <c r="G188" t="s">
        <v>10659</v>
      </c>
      <c r="H188" t="s">
        <v>10660</v>
      </c>
    </row>
    <row r="189" spans="1:8" x14ac:dyDescent="0.45">
      <c r="A189" t="s">
        <v>513</v>
      </c>
      <c r="B189" t="s">
        <v>514</v>
      </c>
      <c r="C189" t="s">
        <v>10647</v>
      </c>
      <c r="E189" t="s">
        <v>10648</v>
      </c>
      <c r="F189" t="s">
        <v>10661</v>
      </c>
      <c r="G189" t="s">
        <v>10662</v>
      </c>
      <c r="H189" t="s">
        <v>10663</v>
      </c>
    </row>
    <row r="190" spans="1:8" x14ac:dyDescent="0.45">
      <c r="A190" t="s">
        <v>6099</v>
      </c>
      <c r="B190" t="s">
        <v>6100</v>
      </c>
      <c r="C190" t="s">
        <v>10664</v>
      </c>
      <c r="E190" t="s">
        <v>10665</v>
      </c>
      <c r="F190" t="s">
        <v>10666</v>
      </c>
      <c r="G190" t="s">
        <v>10667</v>
      </c>
      <c r="H190" t="s">
        <v>10668</v>
      </c>
    </row>
    <row r="191" spans="1:8" x14ac:dyDescent="0.45">
      <c r="A191" t="s">
        <v>5177</v>
      </c>
      <c r="B191" t="s">
        <v>5178</v>
      </c>
      <c r="C191" t="s">
        <v>10669</v>
      </c>
      <c r="E191" t="s">
        <v>10670</v>
      </c>
      <c r="F191" t="s">
        <v>10671</v>
      </c>
      <c r="G191" t="s">
        <v>10672</v>
      </c>
      <c r="H191" t="s">
        <v>10673</v>
      </c>
    </row>
    <row r="192" spans="1:8" x14ac:dyDescent="0.45">
      <c r="A192" t="s">
        <v>5177</v>
      </c>
      <c r="B192" t="s">
        <v>5178</v>
      </c>
      <c r="C192" t="s">
        <v>10669</v>
      </c>
      <c r="E192" t="s">
        <v>10670</v>
      </c>
      <c r="F192" t="s">
        <v>10674</v>
      </c>
      <c r="G192" t="s">
        <v>10675</v>
      </c>
      <c r="H192" t="s">
        <v>10672</v>
      </c>
    </row>
    <row r="193" spans="1:8" x14ac:dyDescent="0.45">
      <c r="A193" t="s">
        <v>1682</v>
      </c>
      <c r="B193" t="s">
        <v>1683</v>
      </c>
      <c r="C193" t="s">
        <v>10676</v>
      </c>
      <c r="E193" t="s">
        <v>10677</v>
      </c>
      <c r="F193" t="s">
        <v>10678</v>
      </c>
      <c r="G193" t="s">
        <v>10679</v>
      </c>
      <c r="H193" t="s">
        <v>10680</v>
      </c>
    </row>
    <row r="194" spans="1:8" x14ac:dyDescent="0.45">
      <c r="A194" t="s">
        <v>5543</v>
      </c>
      <c r="B194" t="s">
        <v>5544</v>
      </c>
      <c r="C194" t="s">
        <v>10681</v>
      </c>
      <c r="E194" t="s">
        <v>10682</v>
      </c>
      <c r="F194" t="s">
        <v>10683</v>
      </c>
      <c r="G194" t="s">
        <v>10684</v>
      </c>
      <c r="H194" t="s">
        <v>10685</v>
      </c>
    </row>
    <row r="195" spans="1:8" x14ac:dyDescent="0.45">
      <c r="A195" t="s">
        <v>5543</v>
      </c>
      <c r="B195" t="s">
        <v>5544</v>
      </c>
      <c r="C195" t="s">
        <v>10681</v>
      </c>
      <c r="E195" t="s">
        <v>10682</v>
      </c>
      <c r="F195" t="s">
        <v>10686</v>
      </c>
      <c r="G195" t="s">
        <v>10687</v>
      </c>
      <c r="H195" t="s">
        <v>10688</v>
      </c>
    </row>
    <row r="196" spans="1:8" x14ac:dyDescent="0.45">
      <c r="A196" t="s">
        <v>1263</v>
      </c>
      <c r="B196" t="s">
        <v>1264</v>
      </c>
      <c r="C196" t="s">
        <v>10681</v>
      </c>
      <c r="E196" t="s">
        <v>10682</v>
      </c>
      <c r="F196" t="s">
        <v>10683</v>
      </c>
      <c r="G196" t="s">
        <v>10684</v>
      </c>
      <c r="H196" t="s">
        <v>10685</v>
      </c>
    </row>
    <row r="197" spans="1:8" x14ac:dyDescent="0.45">
      <c r="A197" t="s">
        <v>1263</v>
      </c>
      <c r="B197" t="s">
        <v>1264</v>
      </c>
      <c r="C197" t="s">
        <v>10681</v>
      </c>
      <c r="E197" t="s">
        <v>10682</v>
      </c>
      <c r="F197" t="s">
        <v>10686</v>
      </c>
      <c r="G197" t="s">
        <v>10687</v>
      </c>
      <c r="H197" t="s">
        <v>10688</v>
      </c>
    </row>
    <row r="198" spans="1:8" x14ac:dyDescent="0.45">
      <c r="A198" t="s">
        <v>8200</v>
      </c>
      <c r="B198" t="s">
        <v>8201</v>
      </c>
      <c r="C198" t="s">
        <v>10681</v>
      </c>
      <c r="E198" t="s">
        <v>10682</v>
      </c>
      <c r="F198" t="s">
        <v>10683</v>
      </c>
      <c r="G198" t="s">
        <v>10684</v>
      </c>
      <c r="H198" t="s">
        <v>10685</v>
      </c>
    </row>
    <row r="199" spans="1:8" x14ac:dyDescent="0.45">
      <c r="A199" t="s">
        <v>8200</v>
      </c>
      <c r="B199" t="s">
        <v>8201</v>
      </c>
      <c r="C199" t="s">
        <v>10681</v>
      </c>
      <c r="E199" t="s">
        <v>10682</v>
      </c>
      <c r="F199" t="s">
        <v>10686</v>
      </c>
      <c r="G199" t="s">
        <v>10687</v>
      </c>
      <c r="H199" t="s">
        <v>10688</v>
      </c>
    </row>
    <row r="200" spans="1:8" x14ac:dyDescent="0.45">
      <c r="A200" t="s">
        <v>8940</v>
      </c>
      <c r="B200" t="s">
        <v>8941</v>
      </c>
      <c r="C200" t="s">
        <v>10689</v>
      </c>
      <c r="E200" t="s">
        <v>10690</v>
      </c>
      <c r="F200" t="s">
        <v>10691</v>
      </c>
      <c r="G200" t="s">
        <v>10692</v>
      </c>
      <c r="H200" t="s">
        <v>10693</v>
      </c>
    </row>
    <row r="201" spans="1:8" x14ac:dyDescent="0.45">
      <c r="A201" t="s">
        <v>5857</v>
      </c>
      <c r="B201" t="s">
        <v>5858</v>
      </c>
      <c r="C201" t="s">
        <v>10694</v>
      </c>
      <c r="E201" t="s">
        <v>10695</v>
      </c>
      <c r="F201" t="s">
        <v>10696</v>
      </c>
      <c r="G201" t="s">
        <v>10697</v>
      </c>
      <c r="H201" t="s">
        <v>10698</v>
      </c>
    </row>
    <row r="202" spans="1:8" x14ac:dyDescent="0.45">
      <c r="A202" t="s">
        <v>212</v>
      </c>
      <c r="B202" t="s">
        <v>213</v>
      </c>
      <c r="C202" t="s">
        <v>10699</v>
      </c>
    </row>
    <row r="203" spans="1:8" x14ac:dyDescent="0.45">
      <c r="A203" t="s">
        <v>215</v>
      </c>
      <c r="B203" t="s">
        <v>216</v>
      </c>
      <c r="C203" t="s">
        <v>10699</v>
      </c>
    </row>
    <row r="204" spans="1:8" x14ac:dyDescent="0.45">
      <c r="A204" t="s">
        <v>749</v>
      </c>
      <c r="B204" t="s">
        <v>750</v>
      </c>
      <c r="C204" t="s">
        <v>10700</v>
      </c>
      <c r="E204" t="s">
        <v>10701</v>
      </c>
      <c r="F204" t="s">
        <v>10702</v>
      </c>
      <c r="G204" t="s">
        <v>10703</v>
      </c>
      <c r="H204" t="s">
        <v>10704</v>
      </c>
    </row>
    <row r="205" spans="1:8" x14ac:dyDescent="0.45">
      <c r="A205" t="s">
        <v>749</v>
      </c>
      <c r="B205" t="s">
        <v>750</v>
      </c>
      <c r="C205" t="s">
        <v>10700</v>
      </c>
      <c r="E205" t="s">
        <v>10701</v>
      </c>
      <c r="F205" t="s">
        <v>10705</v>
      </c>
      <c r="G205" t="s">
        <v>10706</v>
      </c>
      <c r="H205" t="s">
        <v>10707</v>
      </c>
    </row>
    <row r="206" spans="1:8" x14ac:dyDescent="0.45">
      <c r="A206" t="s">
        <v>749</v>
      </c>
      <c r="B206" t="s">
        <v>750</v>
      </c>
      <c r="C206" t="s">
        <v>10700</v>
      </c>
      <c r="E206" t="s">
        <v>10701</v>
      </c>
      <c r="F206" t="s">
        <v>10708</v>
      </c>
      <c r="G206" t="s">
        <v>10709</v>
      </c>
      <c r="H206" t="s">
        <v>10710</v>
      </c>
    </row>
    <row r="207" spans="1:8" x14ac:dyDescent="0.45">
      <c r="A207" t="s">
        <v>2118</v>
      </c>
      <c r="B207" t="s">
        <v>2119</v>
      </c>
      <c r="C207" t="s">
        <v>10700</v>
      </c>
      <c r="E207" t="s">
        <v>10701</v>
      </c>
      <c r="F207" t="s">
        <v>10702</v>
      </c>
      <c r="G207" t="s">
        <v>10703</v>
      </c>
      <c r="H207" t="s">
        <v>10704</v>
      </c>
    </row>
    <row r="208" spans="1:8" x14ac:dyDescent="0.45">
      <c r="A208" t="s">
        <v>2118</v>
      </c>
      <c r="B208" t="s">
        <v>2119</v>
      </c>
      <c r="C208" t="s">
        <v>10700</v>
      </c>
      <c r="E208" t="s">
        <v>10701</v>
      </c>
      <c r="F208" t="s">
        <v>10705</v>
      </c>
      <c r="G208" t="s">
        <v>10706</v>
      </c>
      <c r="H208" t="s">
        <v>10707</v>
      </c>
    </row>
    <row r="209" spans="1:8" x14ac:dyDescent="0.45">
      <c r="A209" t="s">
        <v>2118</v>
      </c>
      <c r="B209" t="s">
        <v>2119</v>
      </c>
      <c r="C209" t="s">
        <v>10700</v>
      </c>
      <c r="E209" t="s">
        <v>10701</v>
      </c>
      <c r="F209" t="s">
        <v>10708</v>
      </c>
      <c r="G209" t="s">
        <v>10709</v>
      </c>
      <c r="H209" t="s">
        <v>10710</v>
      </c>
    </row>
    <row r="210" spans="1:8" x14ac:dyDescent="0.45">
      <c r="A210" t="s">
        <v>6719</v>
      </c>
      <c r="B210" t="s">
        <v>6720</v>
      </c>
      <c r="C210" t="s">
        <v>10711</v>
      </c>
      <c r="E210" t="s">
        <v>10712</v>
      </c>
      <c r="F210" t="s">
        <v>10713</v>
      </c>
      <c r="G210" t="s">
        <v>10714</v>
      </c>
      <c r="H210" t="s">
        <v>10715</v>
      </c>
    </row>
    <row r="211" spans="1:8" x14ac:dyDescent="0.45">
      <c r="A211" t="s">
        <v>6619</v>
      </c>
      <c r="B211" t="s">
        <v>6620</v>
      </c>
      <c r="C211" t="s">
        <v>10716</v>
      </c>
    </row>
    <row r="212" spans="1:8" x14ac:dyDescent="0.45">
      <c r="A212" t="s">
        <v>6623</v>
      </c>
      <c r="B212" t="s">
        <v>6624</v>
      </c>
      <c r="C212" t="s">
        <v>10716</v>
      </c>
    </row>
    <row r="213" spans="1:8" x14ac:dyDescent="0.45">
      <c r="A213" t="s">
        <v>8989</v>
      </c>
      <c r="B213" t="s">
        <v>8990</v>
      </c>
      <c r="C213" t="s">
        <v>10717</v>
      </c>
      <c r="E213" t="s">
        <v>10718</v>
      </c>
      <c r="F213" t="s">
        <v>10719</v>
      </c>
      <c r="G213" t="s">
        <v>10720</v>
      </c>
      <c r="H213" t="s">
        <v>10721</v>
      </c>
    </row>
    <row r="214" spans="1:8" x14ac:dyDescent="0.45">
      <c r="A214" t="s">
        <v>8996</v>
      </c>
      <c r="B214" t="s">
        <v>8997</v>
      </c>
      <c r="C214" t="s">
        <v>10717</v>
      </c>
      <c r="E214" t="s">
        <v>10718</v>
      </c>
      <c r="F214" t="s">
        <v>10719</v>
      </c>
      <c r="G214" t="s">
        <v>10720</v>
      </c>
      <c r="H214" t="s">
        <v>10721</v>
      </c>
    </row>
    <row r="215" spans="1:8" x14ac:dyDescent="0.45">
      <c r="A215" t="s">
        <v>6627</v>
      </c>
      <c r="B215" t="s">
        <v>6628</v>
      </c>
      <c r="C215" t="s">
        <v>10722</v>
      </c>
      <c r="E215" t="s">
        <v>10723</v>
      </c>
      <c r="F215" t="s">
        <v>10724</v>
      </c>
      <c r="G215" t="s">
        <v>10725</v>
      </c>
      <c r="H215" t="s">
        <v>10726</v>
      </c>
    </row>
    <row r="216" spans="1:8" x14ac:dyDescent="0.45">
      <c r="A216" t="s">
        <v>4975</v>
      </c>
      <c r="B216" t="s">
        <v>4976</v>
      </c>
      <c r="C216" t="s">
        <v>10727</v>
      </c>
      <c r="E216" t="s">
        <v>10728</v>
      </c>
      <c r="F216" t="s">
        <v>10729</v>
      </c>
      <c r="G216" t="s">
        <v>10730</v>
      </c>
      <c r="H216" t="s">
        <v>10731</v>
      </c>
    </row>
    <row r="217" spans="1:8" x14ac:dyDescent="0.45">
      <c r="A217" t="s">
        <v>5168</v>
      </c>
      <c r="B217" t="s">
        <v>5169</v>
      </c>
      <c r="C217" t="s">
        <v>10732</v>
      </c>
    </row>
    <row r="218" spans="1:8" x14ac:dyDescent="0.45">
      <c r="A218" t="s">
        <v>5243</v>
      </c>
      <c r="B218" t="s">
        <v>5244</v>
      </c>
      <c r="C218" t="s">
        <v>10732</v>
      </c>
    </row>
    <row r="219" spans="1:8" x14ac:dyDescent="0.45">
      <c r="A219" t="s">
        <v>7599</v>
      </c>
      <c r="B219" t="s">
        <v>7600</v>
      </c>
      <c r="C219" t="s">
        <v>10732</v>
      </c>
    </row>
    <row r="220" spans="1:8" x14ac:dyDescent="0.45">
      <c r="A220" t="s">
        <v>9829</v>
      </c>
      <c r="B220" t="s">
        <v>9830</v>
      </c>
      <c r="C220" t="s">
        <v>10732</v>
      </c>
    </row>
    <row r="221" spans="1:8" x14ac:dyDescent="0.45">
      <c r="A221" t="s">
        <v>783</v>
      </c>
      <c r="B221" t="s">
        <v>784</v>
      </c>
      <c r="C221" t="s">
        <v>10733</v>
      </c>
      <c r="E221" t="s">
        <v>10734</v>
      </c>
      <c r="F221" t="s">
        <v>10735</v>
      </c>
      <c r="G221" t="s">
        <v>10736</v>
      </c>
      <c r="H221" t="s">
        <v>10737</v>
      </c>
    </row>
    <row r="222" spans="1:8" x14ac:dyDescent="0.45">
      <c r="A222" t="s">
        <v>9391</v>
      </c>
      <c r="B222" t="s">
        <v>9392</v>
      </c>
      <c r="C222" t="s">
        <v>10738</v>
      </c>
      <c r="E222" t="s">
        <v>10739</v>
      </c>
      <c r="F222" t="s">
        <v>10740</v>
      </c>
      <c r="G222" t="s">
        <v>10741</v>
      </c>
      <c r="H222" t="s">
        <v>10742</v>
      </c>
    </row>
    <row r="223" spans="1:8" x14ac:dyDescent="0.45">
      <c r="A223" t="s">
        <v>9372</v>
      </c>
      <c r="B223" t="s">
        <v>9373</v>
      </c>
      <c r="C223" t="s">
        <v>10743</v>
      </c>
      <c r="E223" t="s">
        <v>10744</v>
      </c>
      <c r="F223" t="s">
        <v>10745</v>
      </c>
      <c r="G223" t="s">
        <v>10746</v>
      </c>
      <c r="H223" t="s">
        <v>10747</v>
      </c>
    </row>
    <row r="224" spans="1:8" x14ac:dyDescent="0.45">
      <c r="A224" t="s">
        <v>2388</v>
      </c>
      <c r="B224" t="s">
        <v>2389</v>
      </c>
      <c r="C224" t="s">
        <v>10748</v>
      </c>
      <c r="E224" t="s">
        <v>10749</v>
      </c>
      <c r="F224" t="s">
        <v>10750</v>
      </c>
      <c r="G224" t="s">
        <v>10751</v>
      </c>
      <c r="H224" t="s">
        <v>10752</v>
      </c>
    </row>
    <row r="225" spans="1:8" x14ac:dyDescent="0.45">
      <c r="A225" t="s">
        <v>9325</v>
      </c>
      <c r="B225" t="s">
        <v>9326</v>
      </c>
      <c r="C225" t="s">
        <v>10753</v>
      </c>
      <c r="E225" t="s">
        <v>10754</v>
      </c>
      <c r="F225" t="s">
        <v>10755</v>
      </c>
      <c r="G225" t="s">
        <v>10756</v>
      </c>
      <c r="H225" t="s">
        <v>10757</v>
      </c>
    </row>
    <row r="226" spans="1:8" x14ac:dyDescent="0.45">
      <c r="A226" t="s">
        <v>9325</v>
      </c>
      <c r="B226" t="s">
        <v>9326</v>
      </c>
      <c r="C226" t="s">
        <v>10753</v>
      </c>
      <c r="E226" t="s">
        <v>10754</v>
      </c>
      <c r="F226" t="s">
        <v>10758</v>
      </c>
      <c r="G226" t="s">
        <v>10759</v>
      </c>
      <c r="H226" t="s">
        <v>10760</v>
      </c>
    </row>
    <row r="227" spans="1:8" x14ac:dyDescent="0.45">
      <c r="A227" t="s">
        <v>1399</v>
      </c>
      <c r="B227" t="s">
        <v>1400</v>
      </c>
      <c r="C227" t="s">
        <v>10761</v>
      </c>
    </row>
    <row r="228" spans="1:8" x14ac:dyDescent="0.45">
      <c r="A228" t="s">
        <v>4233</v>
      </c>
      <c r="B228" t="s">
        <v>4234</v>
      </c>
      <c r="C228" t="s">
        <v>10762</v>
      </c>
      <c r="E228" t="s">
        <v>10763</v>
      </c>
      <c r="F228" t="s">
        <v>10764</v>
      </c>
      <c r="G228" t="s">
        <v>10765</v>
      </c>
      <c r="H228" t="s">
        <v>10766</v>
      </c>
    </row>
    <row r="229" spans="1:8" x14ac:dyDescent="0.45">
      <c r="A229" t="s">
        <v>4233</v>
      </c>
      <c r="B229" t="s">
        <v>4234</v>
      </c>
      <c r="C229" t="s">
        <v>10762</v>
      </c>
      <c r="E229" t="s">
        <v>10763</v>
      </c>
      <c r="F229" t="s">
        <v>10767</v>
      </c>
      <c r="G229" t="s">
        <v>10768</v>
      </c>
      <c r="H229" t="s">
        <v>10769</v>
      </c>
    </row>
    <row r="230" spans="1:8" x14ac:dyDescent="0.45">
      <c r="A230" t="s">
        <v>4233</v>
      </c>
      <c r="B230" t="s">
        <v>4234</v>
      </c>
      <c r="C230" t="s">
        <v>10762</v>
      </c>
      <c r="E230" t="s">
        <v>10763</v>
      </c>
      <c r="F230" t="s">
        <v>10770</v>
      </c>
      <c r="G230" t="s">
        <v>10771</v>
      </c>
      <c r="H230" t="s">
        <v>10772</v>
      </c>
    </row>
    <row r="231" spans="1:8" x14ac:dyDescent="0.45">
      <c r="A231" t="s">
        <v>765</v>
      </c>
      <c r="B231" t="s">
        <v>766</v>
      </c>
      <c r="C231" t="s">
        <v>10773</v>
      </c>
      <c r="E231" t="s">
        <v>10774</v>
      </c>
      <c r="F231" t="s">
        <v>10775</v>
      </c>
      <c r="G231" t="s">
        <v>10776</v>
      </c>
      <c r="H231" t="s">
        <v>10777</v>
      </c>
    </row>
    <row r="232" spans="1:8" x14ac:dyDescent="0.45">
      <c r="A232" t="s">
        <v>765</v>
      </c>
      <c r="B232" t="s">
        <v>766</v>
      </c>
      <c r="C232" t="s">
        <v>10773</v>
      </c>
      <c r="E232" t="s">
        <v>10774</v>
      </c>
      <c r="F232" t="s">
        <v>10778</v>
      </c>
      <c r="G232" t="s">
        <v>10779</v>
      </c>
      <c r="H232" t="s">
        <v>10780</v>
      </c>
    </row>
    <row r="233" spans="1:8" x14ac:dyDescent="0.45">
      <c r="A233" t="s">
        <v>765</v>
      </c>
      <c r="B233" t="s">
        <v>766</v>
      </c>
      <c r="C233" t="s">
        <v>10773</v>
      </c>
      <c r="E233" t="s">
        <v>10774</v>
      </c>
      <c r="F233" t="s">
        <v>10781</v>
      </c>
      <c r="G233" t="s">
        <v>10782</v>
      </c>
      <c r="H233" t="s">
        <v>10783</v>
      </c>
    </row>
    <row r="234" spans="1:8" x14ac:dyDescent="0.45">
      <c r="A234" t="s">
        <v>6692</v>
      </c>
      <c r="B234" t="s">
        <v>6693</v>
      </c>
      <c r="C234" t="s">
        <v>10784</v>
      </c>
      <c r="E234" t="s">
        <v>10785</v>
      </c>
      <c r="F234" t="s">
        <v>10786</v>
      </c>
      <c r="G234" t="s">
        <v>10787</v>
      </c>
      <c r="H234" t="s">
        <v>10788</v>
      </c>
    </row>
    <row r="235" spans="1:8" x14ac:dyDescent="0.45">
      <c r="A235" t="s">
        <v>6692</v>
      </c>
      <c r="B235" t="s">
        <v>6693</v>
      </c>
      <c r="C235" t="s">
        <v>10784</v>
      </c>
      <c r="E235" t="s">
        <v>10785</v>
      </c>
      <c r="F235" t="s">
        <v>10789</v>
      </c>
      <c r="G235" t="s">
        <v>10790</v>
      </c>
      <c r="H235" t="s">
        <v>10791</v>
      </c>
    </row>
    <row r="236" spans="1:8" x14ac:dyDescent="0.45">
      <c r="A236" t="s">
        <v>4740</v>
      </c>
      <c r="B236" t="s">
        <v>4741</v>
      </c>
      <c r="C236" t="s">
        <v>10792</v>
      </c>
      <c r="E236" t="s">
        <v>10793</v>
      </c>
      <c r="F236" t="s">
        <v>10794</v>
      </c>
      <c r="G236" t="s">
        <v>10795</v>
      </c>
      <c r="H236" t="s">
        <v>10796</v>
      </c>
    </row>
    <row r="237" spans="1:8" x14ac:dyDescent="0.45">
      <c r="A237" t="s">
        <v>4744</v>
      </c>
      <c r="B237" t="s">
        <v>4745</v>
      </c>
      <c r="C237" t="s">
        <v>10792</v>
      </c>
      <c r="E237" t="s">
        <v>10793</v>
      </c>
      <c r="F237" t="s">
        <v>10794</v>
      </c>
      <c r="G237" t="s">
        <v>10795</v>
      </c>
      <c r="H237" t="s">
        <v>10796</v>
      </c>
    </row>
    <row r="238" spans="1:8" x14ac:dyDescent="0.45">
      <c r="A238" t="s">
        <v>4117</v>
      </c>
      <c r="B238" t="s">
        <v>4118</v>
      </c>
      <c r="C238" t="s">
        <v>10797</v>
      </c>
      <c r="E238" t="s">
        <v>10798</v>
      </c>
      <c r="F238" t="s">
        <v>10799</v>
      </c>
      <c r="G238" t="s">
        <v>10800</v>
      </c>
      <c r="H238" t="s">
        <v>10801</v>
      </c>
    </row>
    <row r="239" spans="1:8" x14ac:dyDescent="0.45">
      <c r="A239" t="s">
        <v>4117</v>
      </c>
      <c r="B239" t="s">
        <v>4118</v>
      </c>
      <c r="C239" t="s">
        <v>10797</v>
      </c>
      <c r="E239" t="s">
        <v>10798</v>
      </c>
      <c r="F239" t="s">
        <v>10802</v>
      </c>
      <c r="G239" t="s">
        <v>10803</v>
      </c>
      <c r="H239" t="s">
        <v>10804</v>
      </c>
    </row>
    <row r="240" spans="1:8" x14ac:dyDescent="0.45">
      <c r="A240" t="s">
        <v>4117</v>
      </c>
      <c r="B240" t="s">
        <v>4118</v>
      </c>
      <c r="C240" t="s">
        <v>10797</v>
      </c>
      <c r="E240" t="s">
        <v>10798</v>
      </c>
      <c r="F240" t="s">
        <v>10805</v>
      </c>
      <c r="G240" t="s">
        <v>10806</v>
      </c>
      <c r="H240" t="s">
        <v>10807</v>
      </c>
    </row>
    <row r="241" spans="1:8" x14ac:dyDescent="0.45">
      <c r="A241" t="s">
        <v>4117</v>
      </c>
      <c r="B241" t="s">
        <v>4118</v>
      </c>
      <c r="C241" t="s">
        <v>10797</v>
      </c>
      <c r="E241" t="s">
        <v>10798</v>
      </c>
      <c r="F241" t="s">
        <v>10808</v>
      </c>
      <c r="G241" t="s">
        <v>10809</v>
      </c>
      <c r="H241" t="s">
        <v>10810</v>
      </c>
    </row>
    <row r="242" spans="1:8" x14ac:dyDescent="0.45">
      <c r="A242" t="s">
        <v>9100</v>
      </c>
      <c r="B242" t="s">
        <v>9101</v>
      </c>
      <c r="C242" t="s">
        <v>10797</v>
      </c>
      <c r="E242" t="s">
        <v>10798</v>
      </c>
      <c r="F242" t="s">
        <v>10799</v>
      </c>
      <c r="G242" t="s">
        <v>10800</v>
      </c>
      <c r="H242" t="s">
        <v>10801</v>
      </c>
    </row>
    <row r="243" spans="1:8" x14ac:dyDescent="0.45">
      <c r="A243" t="s">
        <v>9100</v>
      </c>
      <c r="B243" t="s">
        <v>9101</v>
      </c>
      <c r="C243" t="s">
        <v>10797</v>
      </c>
      <c r="E243" t="s">
        <v>10798</v>
      </c>
      <c r="F243" t="s">
        <v>10802</v>
      </c>
      <c r="G243" t="s">
        <v>10803</v>
      </c>
      <c r="H243" t="s">
        <v>10804</v>
      </c>
    </row>
    <row r="244" spans="1:8" x14ac:dyDescent="0.45">
      <c r="A244" t="s">
        <v>9100</v>
      </c>
      <c r="B244" t="s">
        <v>9101</v>
      </c>
      <c r="C244" t="s">
        <v>10797</v>
      </c>
      <c r="E244" t="s">
        <v>10798</v>
      </c>
      <c r="F244" t="s">
        <v>10805</v>
      </c>
      <c r="G244" t="s">
        <v>10806</v>
      </c>
      <c r="H244" t="s">
        <v>10807</v>
      </c>
    </row>
    <row r="245" spans="1:8" x14ac:dyDescent="0.45">
      <c r="A245" t="s">
        <v>9100</v>
      </c>
      <c r="B245" t="s">
        <v>9101</v>
      </c>
      <c r="C245" t="s">
        <v>10797</v>
      </c>
      <c r="E245" t="s">
        <v>10798</v>
      </c>
      <c r="F245" t="s">
        <v>10808</v>
      </c>
      <c r="G245" t="s">
        <v>10809</v>
      </c>
      <c r="H245" t="s">
        <v>10810</v>
      </c>
    </row>
    <row r="246" spans="1:8" x14ac:dyDescent="0.45">
      <c r="A246" t="s">
        <v>2135</v>
      </c>
      <c r="B246" t="s">
        <v>2136</v>
      </c>
      <c r="C246" t="s">
        <v>10811</v>
      </c>
      <c r="E246" t="s">
        <v>10812</v>
      </c>
      <c r="F246" t="s">
        <v>10813</v>
      </c>
      <c r="G246" t="s">
        <v>10814</v>
      </c>
      <c r="H246" t="s">
        <v>10815</v>
      </c>
    </row>
    <row r="247" spans="1:8" x14ac:dyDescent="0.45">
      <c r="A247" t="s">
        <v>2135</v>
      </c>
      <c r="B247" t="s">
        <v>2136</v>
      </c>
      <c r="C247" t="s">
        <v>10811</v>
      </c>
      <c r="E247" t="s">
        <v>10812</v>
      </c>
      <c r="F247" t="s">
        <v>10816</v>
      </c>
      <c r="G247" t="s">
        <v>10817</v>
      </c>
      <c r="H247" t="s">
        <v>10818</v>
      </c>
    </row>
    <row r="248" spans="1:8" x14ac:dyDescent="0.45">
      <c r="A248" t="s">
        <v>279</v>
      </c>
      <c r="B248" t="s">
        <v>280</v>
      </c>
      <c r="C248" t="s">
        <v>10819</v>
      </c>
      <c r="E248" t="s">
        <v>10820</v>
      </c>
      <c r="F248" t="s">
        <v>10821</v>
      </c>
      <c r="G248" t="s">
        <v>10822</v>
      </c>
      <c r="H248" t="s">
        <v>10823</v>
      </c>
    </row>
    <row r="249" spans="1:8" x14ac:dyDescent="0.45">
      <c r="A249" t="s">
        <v>279</v>
      </c>
      <c r="B249" t="s">
        <v>280</v>
      </c>
      <c r="C249" t="s">
        <v>10819</v>
      </c>
      <c r="E249" t="s">
        <v>10820</v>
      </c>
      <c r="F249" t="s">
        <v>10824</v>
      </c>
      <c r="G249" t="s">
        <v>10825</v>
      </c>
      <c r="H249" t="s">
        <v>10826</v>
      </c>
    </row>
    <row r="250" spans="1:8" x14ac:dyDescent="0.45">
      <c r="A250" t="s">
        <v>279</v>
      </c>
      <c r="B250" t="s">
        <v>280</v>
      </c>
      <c r="C250" t="s">
        <v>10819</v>
      </c>
      <c r="E250" t="s">
        <v>10820</v>
      </c>
      <c r="F250" t="s">
        <v>10827</v>
      </c>
      <c r="G250" t="s">
        <v>10825</v>
      </c>
      <c r="H250" t="s">
        <v>10828</v>
      </c>
    </row>
    <row r="251" spans="1:8" x14ac:dyDescent="0.45">
      <c r="A251" t="s">
        <v>279</v>
      </c>
      <c r="B251" t="s">
        <v>280</v>
      </c>
      <c r="C251" t="s">
        <v>10819</v>
      </c>
      <c r="E251" t="s">
        <v>10820</v>
      </c>
      <c r="F251" t="s">
        <v>10829</v>
      </c>
      <c r="G251" t="s">
        <v>10822</v>
      </c>
      <c r="H251" t="s">
        <v>10830</v>
      </c>
    </row>
    <row r="252" spans="1:8" x14ac:dyDescent="0.45">
      <c r="A252" t="s">
        <v>279</v>
      </c>
      <c r="B252" t="s">
        <v>280</v>
      </c>
      <c r="C252" t="s">
        <v>10819</v>
      </c>
      <c r="E252" t="s">
        <v>10820</v>
      </c>
      <c r="F252" t="s">
        <v>10831</v>
      </c>
      <c r="G252" t="s">
        <v>10832</v>
      </c>
      <c r="H252" t="s">
        <v>10828</v>
      </c>
    </row>
    <row r="253" spans="1:8" x14ac:dyDescent="0.45">
      <c r="A253" t="s">
        <v>279</v>
      </c>
      <c r="B253" t="s">
        <v>280</v>
      </c>
      <c r="C253" t="s">
        <v>10819</v>
      </c>
      <c r="E253" t="s">
        <v>10820</v>
      </c>
      <c r="F253" t="s">
        <v>10833</v>
      </c>
      <c r="G253" t="s">
        <v>10834</v>
      </c>
      <c r="H253" t="s">
        <v>10830</v>
      </c>
    </row>
    <row r="254" spans="1:8" x14ac:dyDescent="0.45">
      <c r="A254" t="s">
        <v>279</v>
      </c>
      <c r="B254" t="s">
        <v>280</v>
      </c>
      <c r="C254" t="s">
        <v>10819</v>
      </c>
      <c r="E254" t="s">
        <v>10820</v>
      </c>
      <c r="F254" t="s">
        <v>10835</v>
      </c>
      <c r="G254" t="s">
        <v>10836</v>
      </c>
      <c r="H254" t="s">
        <v>10837</v>
      </c>
    </row>
    <row r="255" spans="1:8" x14ac:dyDescent="0.45">
      <c r="A255" t="s">
        <v>7962</v>
      </c>
      <c r="B255" t="s">
        <v>7963</v>
      </c>
      <c r="C255" t="s">
        <v>10819</v>
      </c>
      <c r="E255" t="s">
        <v>10820</v>
      </c>
      <c r="F255" t="s">
        <v>10821</v>
      </c>
      <c r="G255" t="s">
        <v>10822</v>
      </c>
      <c r="H255" t="s">
        <v>10823</v>
      </c>
    </row>
    <row r="256" spans="1:8" x14ac:dyDescent="0.45">
      <c r="A256" t="s">
        <v>7962</v>
      </c>
      <c r="B256" t="s">
        <v>7963</v>
      </c>
      <c r="C256" t="s">
        <v>10819</v>
      </c>
      <c r="E256" t="s">
        <v>10820</v>
      </c>
      <c r="F256" t="s">
        <v>10824</v>
      </c>
      <c r="G256" t="s">
        <v>10825</v>
      </c>
      <c r="H256" t="s">
        <v>10826</v>
      </c>
    </row>
    <row r="257" spans="1:8" x14ac:dyDescent="0.45">
      <c r="A257" t="s">
        <v>7962</v>
      </c>
      <c r="B257" t="s">
        <v>7963</v>
      </c>
      <c r="C257" t="s">
        <v>10819</v>
      </c>
      <c r="E257" t="s">
        <v>10820</v>
      </c>
      <c r="F257" t="s">
        <v>10827</v>
      </c>
      <c r="G257" t="s">
        <v>10825</v>
      </c>
      <c r="H257" t="s">
        <v>10828</v>
      </c>
    </row>
    <row r="258" spans="1:8" x14ac:dyDescent="0.45">
      <c r="A258" t="s">
        <v>7962</v>
      </c>
      <c r="B258" t="s">
        <v>7963</v>
      </c>
      <c r="C258" t="s">
        <v>10819</v>
      </c>
      <c r="E258" t="s">
        <v>10820</v>
      </c>
      <c r="F258" t="s">
        <v>10829</v>
      </c>
      <c r="G258" t="s">
        <v>10822</v>
      </c>
      <c r="H258" t="s">
        <v>10830</v>
      </c>
    </row>
    <row r="259" spans="1:8" x14ac:dyDescent="0.45">
      <c r="A259" t="s">
        <v>7962</v>
      </c>
      <c r="B259" t="s">
        <v>7963</v>
      </c>
      <c r="C259" t="s">
        <v>10819</v>
      </c>
      <c r="E259" t="s">
        <v>10820</v>
      </c>
      <c r="F259" t="s">
        <v>10831</v>
      </c>
      <c r="G259" t="s">
        <v>10832</v>
      </c>
      <c r="H259" t="s">
        <v>10828</v>
      </c>
    </row>
    <row r="260" spans="1:8" x14ac:dyDescent="0.45">
      <c r="A260" t="s">
        <v>7962</v>
      </c>
      <c r="B260" t="s">
        <v>7963</v>
      </c>
      <c r="C260" t="s">
        <v>10819</v>
      </c>
      <c r="E260" t="s">
        <v>10820</v>
      </c>
      <c r="F260" t="s">
        <v>10833</v>
      </c>
      <c r="G260" t="s">
        <v>10834</v>
      </c>
      <c r="H260" t="s">
        <v>10830</v>
      </c>
    </row>
    <row r="261" spans="1:8" x14ac:dyDescent="0.45">
      <c r="A261" t="s">
        <v>7962</v>
      </c>
      <c r="B261" t="s">
        <v>7963</v>
      </c>
      <c r="C261" t="s">
        <v>10819</v>
      </c>
      <c r="E261" t="s">
        <v>10820</v>
      </c>
      <c r="F261" t="s">
        <v>10835</v>
      </c>
      <c r="G261" t="s">
        <v>10836</v>
      </c>
      <c r="H261" t="s">
        <v>10837</v>
      </c>
    </row>
    <row r="262" spans="1:8" x14ac:dyDescent="0.45">
      <c r="A262" t="s">
        <v>7964</v>
      </c>
      <c r="B262" t="s">
        <v>7965</v>
      </c>
      <c r="C262" t="s">
        <v>10819</v>
      </c>
      <c r="E262" t="s">
        <v>10820</v>
      </c>
      <c r="F262" t="s">
        <v>10821</v>
      </c>
      <c r="G262" t="s">
        <v>10822</v>
      </c>
      <c r="H262" t="s">
        <v>10823</v>
      </c>
    </row>
    <row r="263" spans="1:8" x14ac:dyDescent="0.45">
      <c r="A263" t="s">
        <v>7964</v>
      </c>
      <c r="B263" t="s">
        <v>7965</v>
      </c>
      <c r="C263" t="s">
        <v>10819</v>
      </c>
      <c r="E263" t="s">
        <v>10820</v>
      </c>
      <c r="F263" t="s">
        <v>10824</v>
      </c>
      <c r="G263" t="s">
        <v>10825</v>
      </c>
      <c r="H263" t="s">
        <v>10826</v>
      </c>
    </row>
    <row r="264" spans="1:8" x14ac:dyDescent="0.45">
      <c r="A264" t="s">
        <v>7964</v>
      </c>
      <c r="B264" t="s">
        <v>7965</v>
      </c>
      <c r="C264" t="s">
        <v>10819</v>
      </c>
      <c r="E264" t="s">
        <v>10820</v>
      </c>
      <c r="F264" t="s">
        <v>10827</v>
      </c>
      <c r="G264" t="s">
        <v>10825</v>
      </c>
      <c r="H264" t="s">
        <v>10828</v>
      </c>
    </row>
    <row r="265" spans="1:8" x14ac:dyDescent="0.45">
      <c r="A265" t="s">
        <v>7964</v>
      </c>
      <c r="B265" t="s">
        <v>7965</v>
      </c>
      <c r="C265" t="s">
        <v>10819</v>
      </c>
      <c r="E265" t="s">
        <v>10820</v>
      </c>
      <c r="F265" t="s">
        <v>10829</v>
      </c>
      <c r="G265" t="s">
        <v>10822</v>
      </c>
      <c r="H265" t="s">
        <v>10830</v>
      </c>
    </row>
    <row r="266" spans="1:8" x14ac:dyDescent="0.45">
      <c r="A266" t="s">
        <v>7964</v>
      </c>
      <c r="B266" t="s">
        <v>7965</v>
      </c>
      <c r="C266" t="s">
        <v>10819</v>
      </c>
      <c r="E266" t="s">
        <v>10820</v>
      </c>
      <c r="F266" t="s">
        <v>10831</v>
      </c>
      <c r="G266" t="s">
        <v>10832</v>
      </c>
      <c r="H266" t="s">
        <v>10828</v>
      </c>
    </row>
    <row r="267" spans="1:8" x14ac:dyDescent="0.45">
      <c r="A267" t="s">
        <v>7964</v>
      </c>
      <c r="B267" t="s">
        <v>7965</v>
      </c>
      <c r="C267" t="s">
        <v>10819</v>
      </c>
      <c r="E267" t="s">
        <v>10820</v>
      </c>
      <c r="F267" t="s">
        <v>10833</v>
      </c>
      <c r="G267" t="s">
        <v>10834</v>
      </c>
      <c r="H267" t="s">
        <v>10830</v>
      </c>
    </row>
    <row r="268" spans="1:8" x14ac:dyDescent="0.45">
      <c r="A268" t="s">
        <v>7964</v>
      </c>
      <c r="B268" t="s">
        <v>7965</v>
      </c>
      <c r="C268" t="s">
        <v>10819</v>
      </c>
      <c r="E268" t="s">
        <v>10820</v>
      </c>
      <c r="F268" t="s">
        <v>10835</v>
      </c>
      <c r="G268" t="s">
        <v>10836</v>
      </c>
      <c r="H268" t="s">
        <v>10837</v>
      </c>
    </row>
    <row r="269" spans="1:8" x14ac:dyDescent="0.45">
      <c r="A269" t="s">
        <v>2129</v>
      </c>
      <c r="B269" t="s">
        <v>2130</v>
      </c>
      <c r="C269" t="s">
        <v>10838</v>
      </c>
      <c r="E269" t="s">
        <v>10839</v>
      </c>
      <c r="F269" t="s">
        <v>10840</v>
      </c>
      <c r="G269" t="s">
        <v>10841</v>
      </c>
      <c r="H269" t="s">
        <v>10842</v>
      </c>
    </row>
    <row r="270" spans="1:8" x14ac:dyDescent="0.45">
      <c r="A270" t="s">
        <v>6215</v>
      </c>
      <c r="B270" t="s">
        <v>6216</v>
      </c>
      <c r="C270" t="s">
        <v>10843</v>
      </c>
      <c r="E270" t="s">
        <v>10844</v>
      </c>
      <c r="F270" t="s">
        <v>10845</v>
      </c>
      <c r="G270" t="s">
        <v>10846</v>
      </c>
      <c r="H270" t="s">
        <v>10847</v>
      </c>
    </row>
    <row r="271" spans="1:8" x14ac:dyDescent="0.45">
      <c r="A271" t="s">
        <v>6215</v>
      </c>
      <c r="B271" t="s">
        <v>6216</v>
      </c>
      <c r="C271" t="s">
        <v>10843</v>
      </c>
      <c r="E271" t="s">
        <v>10844</v>
      </c>
      <c r="F271" t="s">
        <v>10848</v>
      </c>
      <c r="G271" t="s">
        <v>10849</v>
      </c>
      <c r="H271" t="s">
        <v>10850</v>
      </c>
    </row>
    <row r="272" spans="1:8" x14ac:dyDescent="0.45">
      <c r="A272" t="s">
        <v>6854</v>
      </c>
      <c r="B272" t="s">
        <v>6855</v>
      </c>
      <c r="C272" t="s">
        <v>10851</v>
      </c>
    </row>
    <row r="273" spans="1:8" x14ac:dyDescent="0.45">
      <c r="A273" t="s">
        <v>7166</v>
      </c>
      <c r="B273" t="s">
        <v>7167</v>
      </c>
      <c r="C273" t="s">
        <v>10852</v>
      </c>
      <c r="E273" t="s">
        <v>10853</v>
      </c>
      <c r="F273" t="s">
        <v>10854</v>
      </c>
      <c r="G273" t="s">
        <v>10855</v>
      </c>
      <c r="H273" t="s">
        <v>10856</v>
      </c>
    </row>
    <row r="274" spans="1:8" x14ac:dyDescent="0.45">
      <c r="A274" t="s">
        <v>222</v>
      </c>
      <c r="B274" t="s">
        <v>223</v>
      </c>
      <c r="C274" t="s">
        <v>10857</v>
      </c>
      <c r="E274" t="s">
        <v>10858</v>
      </c>
      <c r="F274" t="s">
        <v>10859</v>
      </c>
      <c r="G274" t="s">
        <v>10860</v>
      </c>
      <c r="H274" t="s">
        <v>10861</v>
      </c>
    </row>
    <row r="275" spans="1:8" x14ac:dyDescent="0.45">
      <c r="A275" t="s">
        <v>222</v>
      </c>
      <c r="B275" t="s">
        <v>223</v>
      </c>
      <c r="C275" t="s">
        <v>10857</v>
      </c>
      <c r="E275" t="s">
        <v>10858</v>
      </c>
      <c r="F275" t="s">
        <v>10862</v>
      </c>
      <c r="G275" t="s">
        <v>10863</v>
      </c>
      <c r="H275" t="s">
        <v>10864</v>
      </c>
    </row>
    <row r="276" spans="1:8" x14ac:dyDescent="0.45">
      <c r="A276" t="s">
        <v>222</v>
      </c>
      <c r="B276" t="s">
        <v>223</v>
      </c>
      <c r="C276" t="s">
        <v>10857</v>
      </c>
      <c r="E276" t="s">
        <v>10858</v>
      </c>
      <c r="F276" t="s">
        <v>10865</v>
      </c>
      <c r="G276" t="s">
        <v>10866</v>
      </c>
      <c r="H276" t="s">
        <v>10867</v>
      </c>
    </row>
    <row r="277" spans="1:8" x14ac:dyDescent="0.45">
      <c r="A277" t="s">
        <v>222</v>
      </c>
      <c r="B277" t="s">
        <v>223</v>
      </c>
      <c r="C277" t="s">
        <v>10857</v>
      </c>
      <c r="E277" t="s">
        <v>10858</v>
      </c>
      <c r="F277" t="s">
        <v>10868</v>
      </c>
      <c r="G277" t="s">
        <v>10869</v>
      </c>
      <c r="H277" t="s">
        <v>10870</v>
      </c>
    </row>
    <row r="278" spans="1:8" x14ac:dyDescent="0.45">
      <c r="A278" t="s">
        <v>2137</v>
      </c>
      <c r="B278" t="s">
        <v>2138</v>
      </c>
      <c r="C278" t="s">
        <v>10857</v>
      </c>
      <c r="E278" t="s">
        <v>10858</v>
      </c>
      <c r="F278" t="s">
        <v>10859</v>
      </c>
      <c r="G278" t="s">
        <v>10860</v>
      </c>
      <c r="H278" t="s">
        <v>10861</v>
      </c>
    </row>
    <row r="279" spans="1:8" x14ac:dyDescent="0.45">
      <c r="A279" t="s">
        <v>2137</v>
      </c>
      <c r="B279" t="s">
        <v>2138</v>
      </c>
      <c r="C279" t="s">
        <v>10857</v>
      </c>
      <c r="E279" t="s">
        <v>10858</v>
      </c>
      <c r="F279" t="s">
        <v>10862</v>
      </c>
      <c r="G279" t="s">
        <v>10863</v>
      </c>
      <c r="H279" t="s">
        <v>10864</v>
      </c>
    </row>
    <row r="280" spans="1:8" x14ac:dyDescent="0.45">
      <c r="A280" t="s">
        <v>2137</v>
      </c>
      <c r="B280" t="s">
        <v>2138</v>
      </c>
      <c r="C280" t="s">
        <v>10857</v>
      </c>
      <c r="E280" t="s">
        <v>10858</v>
      </c>
      <c r="F280" t="s">
        <v>10865</v>
      </c>
      <c r="G280" t="s">
        <v>10866</v>
      </c>
      <c r="H280" t="s">
        <v>10867</v>
      </c>
    </row>
    <row r="281" spans="1:8" x14ac:dyDescent="0.45">
      <c r="A281" t="s">
        <v>2137</v>
      </c>
      <c r="B281" t="s">
        <v>2138</v>
      </c>
      <c r="C281" t="s">
        <v>10857</v>
      </c>
      <c r="E281" t="s">
        <v>10858</v>
      </c>
      <c r="F281" t="s">
        <v>10868</v>
      </c>
      <c r="G281" t="s">
        <v>10869</v>
      </c>
      <c r="H281" t="s">
        <v>10870</v>
      </c>
    </row>
    <row r="282" spans="1:8" x14ac:dyDescent="0.45">
      <c r="A282" t="s">
        <v>6058</v>
      </c>
      <c r="B282" t="s">
        <v>6059</v>
      </c>
      <c r="C282" t="s">
        <v>10871</v>
      </c>
      <c r="E282" t="s">
        <v>10872</v>
      </c>
      <c r="F282" t="s">
        <v>10873</v>
      </c>
      <c r="G282" t="s">
        <v>10874</v>
      </c>
      <c r="H282" t="s">
        <v>10875</v>
      </c>
    </row>
    <row r="283" spans="1:8" x14ac:dyDescent="0.45">
      <c r="A283" t="s">
        <v>6058</v>
      </c>
      <c r="B283" t="s">
        <v>6059</v>
      </c>
      <c r="C283" t="s">
        <v>10871</v>
      </c>
      <c r="E283" t="s">
        <v>10872</v>
      </c>
      <c r="F283" t="s">
        <v>10876</v>
      </c>
      <c r="G283" t="s">
        <v>10877</v>
      </c>
      <c r="H283" t="s">
        <v>10878</v>
      </c>
    </row>
    <row r="284" spans="1:8" x14ac:dyDescent="0.45">
      <c r="A284" t="s">
        <v>6058</v>
      </c>
      <c r="B284" t="s">
        <v>6059</v>
      </c>
      <c r="C284" t="s">
        <v>10871</v>
      </c>
      <c r="E284" t="s">
        <v>10872</v>
      </c>
      <c r="F284" t="s">
        <v>10879</v>
      </c>
      <c r="G284" t="s">
        <v>10880</v>
      </c>
      <c r="H284" t="s">
        <v>10881</v>
      </c>
    </row>
    <row r="285" spans="1:8" x14ac:dyDescent="0.45">
      <c r="A285" t="s">
        <v>6058</v>
      </c>
      <c r="B285" t="s">
        <v>6059</v>
      </c>
      <c r="C285" t="s">
        <v>10871</v>
      </c>
      <c r="E285" t="s">
        <v>10872</v>
      </c>
      <c r="F285" t="s">
        <v>10882</v>
      </c>
      <c r="G285" t="s">
        <v>10883</v>
      </c>
      <c r="H285" t="s">
        <v>10884</v>
      </c>
    </row>
    <row r="286" spans="1:8" x14ac:dyDescent="0.45">
      <c r="A286" t="s">
        <v>6639</v>
      </c>
      <c r="B286" t="s">
        <v>6640</v>
      </c>
      <c r="C286" t="s">
        <v>10871</v>
      </c>
      <c r="E286" t="s">
        <v>10872</v>
      </c>
      <c r="F286" t="s">
        <v>10873</v>
      </c>
      <c r="G286" t="s">
        <v>10874</v>
      </c>
      <c r="H286" t="s">
        <v>10875</v>
      </c>
    </row>
    <row r="287" spans="1:8" x14ac:dyDescent="0.45">
      <c r="A287" t="s">
        <v>6639</v>
      </c>
      <c r="B287" t="s">
        <v>6640</v>
      </c>
      <c r="C287" t="s">
        <v>10871</v>
      </c>
      <c r="E287" t="s">
        <v>10872</v>
      </c>
      <c r="F287" t="s">
        <v>10876</v>
      </c>
      <c r="G287" t="s">
        <v>10877</v>
      </c>
      <c r="H287" t="s">
        <v>10878</v>
      </c>
    </row>
    <row r="288" spans="1:8" x14ac:dyDescent="0.45">
      <c r="A288" t="s">
        <v>6639</v>
      </c>
      <c r="B288" t="s">
        <v>6640</v>
      </c>
      <c r="C288" t="s">
        <v>10871</v>
      </c>
      <c r="E288" t="s">
        <v>10872</v>
      </c>
      <c r="F288" t="s">
        <v>10879</v>
      </c>
      <c r="G288" t="s">
        <v>10880</v>
      </c>
      <c r="H288" t="s">
        <v>10881</v>
      </c>
    </row>
    <row r="289" spans="1:8" x14ac:dyDescent="0.45">
      <c r="A289" t="s">
        <v>6639</v>
      </c>
      <c r="B289" t="s">
        <v>6640</v>
      </c>
      <c r="C289" t="s">
        <v>10871</v>
      </c>
      <c r="E289" t="s">
        <v>10872</v>
      </c>
      <c r="F289" t="s">
        <v>10882</v>
      </c>
      <c r="G289" t="s">
        <v>10883</v>
      </c>
      <c r="H289" t="s">
        <v>10884</v>
      </c>
    </row>
    <row r="290" spans="1:8" x14ac:dyDescent="0.45">
      <c r="A290" t="s">
        <v>6954</v>
      </c>
      <c r="B290" t="s">
        <v>6955</v>
      </c>
      <c r="C290" t="s">
        <v>10885</v>
      </c>
    </row>
    <row r="291" spans="1:8" x14ac:dyDescent="0.45">
      <c r="A291" t="s">
        <v>6209</v>
      </c>
      <c r="B291" t="s">
        <v>6210</v>
      </c>
      <c r="C291" t="s">
        <v>10886</v>
      </c>
      <c r="E291" t="s">
        <v>10887</v>
      </c>
      <c r="F291" t="s">
        <v>10888</v>
      </c>
      <c r="G291" t="s">
        <v>10889</v>
      </c>
      <c r="H291" t="s">
        <v>10890</v>
      </c>
    </row>
    <row r="292" spans="1:8" x14ac:dyDescent="0.45">
      <c r="A292" t="s">
        <v>6209</v>
      </c>
      <c r="B292" t="s">
        <v>6210</v>
      </c>
      <c r="C292" t="s">
        <v>10886</v>
      </c>
      <c r="E292" t="s">
        <v>10887</v>
      </c>
      <c r="F292" t="s">
        <v>10891</v>
      </c>
      <c r="G292" t="s">
        <v>10892</v>
      </c>
      <c r="H292" t="s">
        <v>10893</v>
      </c>
    </row>
    <row r="293" spans="1:8" x14ac:dyDescent="0.45">
      <c r="A293" t="s">
        <v>2978</v>
      </c>
      <c r="B293" t="s">
        <v>2979</v>
      </c>
      <c r="C293" t="s">
        <v>10894</v>
      </c>
    </row>
    <row r="294" spans="1:8" x14ac:dyDescent="0.45">
      <c r="A294" t="s">
        <v>2248</v>
      </c>
      <c r="B294" t="s">
        <v>2249</v>
      </c>
      <c r="C294" t="s">
        <v>10895</v>
      </c>
      <c r="E294" t="s">
        <v>10896</v>
      </c>
      <c r="F294" t="s">
        <v>10897</v>
      </c>
      <c r="G294" t="s">
        <v>10898</v>
      </c>
      <c r="H294" t="s">
        <v>10899</v>
      </c>
    </row>
    <row r="295" spans="1:8" x14ac:dyDescent="0.45">
      <c r="A295" t="s">
        <v>2945</v>
      </c>
      <c r="B295" t="s">
        <v>2946</v>
      </c>
      <c r="C295" t="s">
        <v>10900</v>
      </c>
    </row>
    <row r="296" spans="1:8" x14ac:dyDescent="0.45">
      <c r="A296" t="s">
        <v>6018</v>
      </c>
      <c r="B296" t="s">
        <v>6019</v>
      </c>
      <c r="C296" t="s">
        <v>10900</v>
      </c>
    </row>
    <row r="297" spans="1:8" x14ac:dyDescent="0.45">
      <c r="A297" t="s">
        <v>7855</v>
      </c>
      <c r="B297" t="s">
        <v>7856</v>
      </c>
      <c r="C297" t="s">
        <v>10900</v>
      </c>
    </row>
    <row r="298" spans="1:8" x14ac:dyDescent="0.45">
      <c r="A298" t="s">
        <v>758</v>
      </c>
      <c r="B298" t="s">
        <v>759</v>
      </c>
      <c r="C298" t="s">
        <v>10901</v>
      </c>
    </row>
    <row r="299" spans="1:8" x14ac:dyDescent="0.45">
      <c r="A299" t="s">
        <v>1985</v>
      </c>
      <c r="B299" t="s">
        <v>1986</v>
      </c>
      <c r="C299" t="s">
        <v>10901</v>
      </c>
    </row>
    <row r="300" spans="1:8" x14ac:dyDescent="0.45">
      <c r="A300" t="s">
        <v>8903</v>
      </c>
      <c r="B300" t="s">
        <v>8904</v>
      </c>
      <c r="C300" t="s">
        <v>10901</v>
      </c>
    </row>
    <row r="301" spans="1:8" x14ac:dyDescent="0.45">
      <c r="A301" t="s">
        <v>1792</v>
      </c>
      <c r="B301" t="s">
        <v>1793</v>
      </c>
      <c r="C301" t="s">
        <v>10901</v>
      </c>
    </row>
    <row r="302" spans="1:8" x14ac:dyDescent="0.45">
      <c r="A302" t="s">
        <v>3320</v>
      </c>
      <c r="B302" t="s">
        <v>3321</v>
      </c>
      <c r="C302" t="s">
        <v>10901</v>
      </c>
    </row>
    <row r="303" spans="1:8" x14ac:dyDescent="0.45">
      <c r="A303" t="s">
        <v>5023</v>
      </c>
      <c r="B303" t="s">
        <v>5024</v>
      </c>
      <c r="C303" t="s">
        <v>10901</v>
      </c>
    </row>
    <row r="304" spans="1:8" x14ac:dyDescent="0.45">
      <c r="A304" t="s">
        <v>1296</v>
      </c>
      <c r="B304" t="s">
        <v>1297</v>
      </c>
      <c r="C304" t="s">
        <v>10902</v>
      </c>
    </row>
    <row r="305" spans="1:8" x14ac:dyDescent="0.45">
      <c r="A305" t="s">
        <v>1618</v>
      </c>
      <c r="B305" t="s">
        <v>1619</v>
      </c>
      <c r="C305" t="s">
        <v>10902</v>
      </c>
    </row>
    <row r="306" spans="1:8" x14ac:dyDescent="0.45">
      <c r="A306" t="s">
        <v>2061</v>
      </c>
      <c r="B306" t="s">
        <v>2062</v>
      </c>
      <c r="C306" t="s">
        <v>10902</v>
      </c>
    </row>
    <row r="307" spans="1:8" x14ac:dyDescent="0.45">
      <c r="A307" t="s">
        <v>5080</v>
      </c>
      <c r="B307" t="s">
        <v>5081</v>
      </c>
      <c r="C307" t="s">
        <v>10902</v>
      </c>
    </row>
    <row r="308" spans="1:8" x14ac:dyDescent="0.45">
      <c r="A308" t="s">
        <v>5478</v>
      </c>
      <c r="B308" t="s">
        <v>5479</v>
      </c>
      <c r="C308" t="s">
        <v>10902</v>
      </c>
    </row>
    <row r="309" spans="1:8" x14ac:dyDescent="0.45">
      <c r="A309" t="s">
        <v>5669</v>
      </c>
      <c r="B309" t="s">
        <v>5670</v>
      </c>
      <c r="C309" t="s">
        <v>10902</v>
      </c>
    </row>
    <row r="310" spans="1:8" x14ac:dyDescent="0.45">
      <c r="A310" t="s">
        <v>8491</v>
      </c>
      <c r="B310" t="s">
        <v>8492</v>
      </c>
      <c r="C310" t="s">
        <v>10902</v>
      </c>
    </row>
    <row r="311" spans="1:8" x14ac:dyDescent="0.45">
      <c r="A311" t="s">
        <v>8924</v>
      </c>
      <c r="B311" t="s">
        <v>8925</v>
      </c>
      <c r="C311" t="s">
        <v>10902</v>
      </c>
    </row>
    <row r="312" spans="1:8" x14ac:dyDescent="0.45">
      <c r="A312" t="s">
        <v>8969</v>
      </c>
      <c r="B312" t="s">
        <v>8970</v>
      </c>
      <c r="C312" t="s">
        <v>10902</v>
      </c>
    </row>
    <row r="313" spans="1:8" x14ac:dyDescent="0.45">
      <c r="A313" t="s">
        <v>9905</v>
      </c>
      <c r="B313" t="s">
        <v>9906</v>
      </c>
      <c r="C313" t="s">
        <v>10902</v>
      </c>
    </row>
    <row r="314" spans="1:8" x14ac:dyDescent="0.45">
      <c r="A314" t="s">
        <v>1792</v>
      </c>
      <c r="B314" t="s">
        <v>1793</v>
      </c>
      <c r="C314" t="s">
        <v>10902</v>
      </c>
    </row>
    <row r="315" spans="1:8" x14ac:dyDescent="0.45">
      <c r="A315" t="s">
        <v>3320</v>
      </c>
      <c r="B315" t="s">
        <v>3321</v>
      </c>
      <c r="C315" t="s">
        <v>10902</v>
      </c>
    </row>
    <row r="316" spans="1:8" x14ac:dyDescent="0.45">
      <c r="A316" t="s">
        <v>5023</v>
      </c>
      <c r="B316" t="s">
        <v>5024</v>
      </c>
      <c r="C316" t="s">
        <v>10902</v>
      </c>
    </row>
    <row r="317" spans="1:8" x14ac:dyDescent="0.45">
      <c r="A317" t="s">
        <v>964</v>
      </c>
      <c r="B317" t="s">
        <v>965</v>
      </c>
      <c r="C317" t="s">
        <v>10902</v>
      </c>
    </row>
    <row r="318" spans="1:8" x14ac:dyDescent="0.45">
      <c r="A318" t="s">
        <v>9380</v>
      </c>
      <c r="B318" t="s">
        <v>9381</v>
      </c>
      <c r="C318" t="s">
        <v>10903</v>
      </c>
      <c r="E318" t="s">
        <v>10904</v>
      </c>
      <c r="F318" t="s">
        <v>10905</v>
      </c>
      <c r="G318" t="s">
        <v>10906</v>
      </c>
      <c r="H318" t="s">
        <v>10907</v>
      </c>
    </row>
    <row r="319" spans="1:8" x14ac:dyDescent="0.45">
      <c r="A319" t="s">
        <v>9380</v>
      </c>
      <c r="B319" t="s">
        <v>9381</v>
      </c>
      <c r="C319" t="s">
        <v>10903</v>
      </c>
      <c r="E319" t="s">
        <v>10904</v>
      </c>
      <c r="F319" t="s">
        <v>10908</v>
      </c>
      <c r="G319" t="s">
        <v>10906</v>
      </c>
      <c r="H319" t="s">
        <v>10909</v>
      </c>
    </row>
    <row r="320" spans="1:8" x14ac:dyDescent="0.45">
      <c r="A320" t="s">
        <v>9380</v>
      </c>
      <c r="B320" t="s">
        <v>9381</v>
      </c>
      <c r="C320" t="s">
        <v>10903</v>
      </c>
      <c r="E320" t="s">
        <v>10904</v>
      </c>
      <c r="F320" t="s">
        <v>10910</v>
      </c>
      <c r="G320" t="s">
        <v>10911</v>
      </c>
      <c r="H320" t="s">
        <v>10907</v>
      </c>
    </row>
    <row r="321" spans="1:8" x14ac:dyDescent="0.45">
      <c r="A321" t="s">
        <v>9380</v>
      </c>
      <c r="B321" t="s">
        <v>9381</v>
      </c>
      <c r="C321" t="s">
        <v>10903</v>
      </c>
      <c r="E321" t="s">
        <v>10904</v>
      </c>
      <c r="F321" t="s">
        <v>10912</v>
      </c>
      <c r="G321" t="s">
        <v>10913</v>
      </c>
      <c r="H321" t="s">
        <v>10914</v>
      </c>
    </row>
    <row r="322" spans="1:8" x14ac:dyDescent="0.45">
      <c r="A322" t="s">
        <v>9395</v>
      </c>
      <c r="B322" t="s">
        <v>9396</v>
      </c>
      <c r="C322" t="s">
        <v>10915</v>
      </c>
      <c r="E322" t="s">
        <v>10916</v>
      </c>
      <c r="F322" t="s">
        <v>10917</v>
      </c>
      <c r="G322" t="s">
        <v>10918</v>
      </c>
      <c r="H322" t="s">
        <v>10919</v>
      </c>
    </row>
    <row r="323" spans="1:8" x14ac:dyDescent="0.45">
      <c r="A323" t="s">
        <v>9395</v>
      </c>
      <c r="B323" t="s">
        <v>9396</v>
      </c>
      <c r="C323" t="s">
        <v>10915</v>
      </c>
      <c r="E323" t="s">
        <v>10916</v>
      </c>
      <c r="F323" t="s">
        <v>10920</v>
      </c>
      <c r="G323" t="s">
        <v>10921</v>
      </c>
      <c r="H323" t="s">
        <v>10922</v>
      </c>
    </row>
    <row r="324" spans="1:8" x14ac:dyDescent="0.45">
      <c r="A324" t="s">
        <v>9387</v>
      </c>
      <c r="B324" t="s">
        <v>9388</v>
      </c>
      <c r="C324" t="s">
        <v>10923</v>
      </c>
      <c r="E324" t="s">
        <v>10924</v>
      </c>
      <c r="F324" t="s">
        <v>10925</v>
      </c>
      <c r="G324" t="s">
        <v>10926</v>
      </c>
      <c r="H324" t="s">
        <v>10927</v>
      </c>
    </row>
    <row r="325" spans="1:8" x14ac:dyDescent="0.45">
      <c r="A325" t="s">
        <v>10226</v>
      </c>
      <c r="B325" t="s">
        <v>10227</v>
      </c>
      <c r="C325" t="s">
        <v>10928</v>
      </c>
      <c r="E325" t="s">
        <v>10929</v>
      </c>
    </row>
    <row r="326" spans="1:8" x14ac:dyDescent="0.45">
      <c r="A326" t="s">
        <v>7211</v>
      </c>
      <c r="B326" t="s">
        <v>7212</v>
      </c>
      <c r="C326" t="s">
        <v>10930</v>
      </c>
      <c r="E326" t="s">
        <v>10931</v>
      </c>
      <c r="F326" t="s">
        <v>10932</v>
      </c>
      <c r="G326" t="s">
        <v>10933</v>
      </c>
      <c r="H326" t="s">
        <v>10934</v>
      </c>
    </row>
    <row r="327" spans="1:8" x14ac:dyDescent="0.45">
      <c r="A327" t="s">
        <v>7277</v>
      </c>
      <c r="B327" t="s">
        <v>7278</v>
      </c>
      <c r="C327" t="s">
        <v>10935</v>
      </c>
      <c r="E327" t="s">
        <v>10936</v>
      </c>
    </row>
    <row r="328" spans="1:8" x14ac:dyDescent="0.45">
      <c r="A328" t="s">
        <v>10146</v>
      </c>
      <c r="B328" t="s">
        <v>10147</v>
      </c>
      <c r="C328" t="s">
        <v>10937</v>
      </c>
      <c r="E328" t="s">
        <v>10938</v>
      </c>
    </row>
    <row r="329" spans="1:8" x14ac:dyDescent="0.45">
      <c r="A329" t="s">
        <v>9732</v>
      </c>
      <c r="B329" t="s">
        <v>9733</v>
      </c>
      <c r="C329" t="s">
        <v>10939</v>
      </c>
      <c r="E329" t="s">
        <v>10940</v>
      </c>
      <c r="F329" t="s">
        <v>10941</v>
      </c>
      <c r="G329" t="s">
        <v>10942</v>
      </c>
      <c r="H329" t="s">
        <v>10943</v>
      </c>
    </row>
    <row r="330" spans="1:8" x14ac:dyDescent="0.45">
      <c r="A330" t="s">
        <v>1377</v>
      </c>
      <c r="B330" t="s">
        <v>1378</v>
      </c>
      <c r="C330" t="s">
        <v>10944</v>
      </c>
      <c r="E330" t="s">
        <v>10945</v>
      </c>
    </row>
    <row r="331" spans="1:8" x14ac:dyDescent="0.45">
      <c r="A331" t="s">
        <v>9295</v>
      </c>
      <c r="B331" t="s">
        <v>9296</v>
      </c>
      <c r="C331" t="s">
        <v>10944</v>
      </c>
      <c r="E331" t="s">
        <v>10945</v>
      </c>
    </row>
    <row r="332" spans="1:8" x14ac:dyDescent="0.45">
      <c r="A332" t="s">
        <v>5359</v>
      </c>
      <c r="B332" t="s">
        <v>5360</v>
      </c>
      <c r="C332" t="s">
        <v>10946</v>
      </c>
      <c r="E332" t="s">
        <v>10947</v>
      </c>
    </row>
    <row r="333" spans="1:8" x14ac:dyDescent="0.45">
      <c r="A333" t="s">
        <v>7273</v>
      </c>
      <c r="B333" t="s">
        <v>7274</v>
      </c>
      <c r="C333" t="s">
        <v>10946</v>
      </c>
      <c r="E333" t="s">
        <v>10947</v>
      </c>
    </row>
    <row r="334" spans="1:8" x14ac:dyDescent="0.45">
      <c r="A334" t="s">
        <v>6921</v>
      </c>
      <c r="B334" t="s">
        <v>6922</v>
      </c>
      <c r="C334" t="s">
        <v>10948</v>
      </c>
      <c r="E334" t="s">
        <v>10949</v>
      </c>
    </row>
    <row r="335" spans="1:8" x14ac:dyDescent="0.45">
      <c r="A335" t="s">
        <v>9412</v>
      </c>
      <c r="B335" t="s">
        <v>9413</v>
      </c>
      <c r="C335" t="s">
        <v>10950</v>
      </c>
      <c r="E335" t="s">
        <v>10951</v>
      </c>
      <c r="F335" t="s">
        <v>10952</v>
      </c>
      <c r="G335" t="s">
        <v>10953</v>
      </c>
      <c r="H335" t="s">
        <v>10954</v>
      </c>
    </row>
    <row r="336" spans="1:8" x14ac:dyDescent="0.45">
      <c r="A336" t="s">
        <v>9796</v>
      </c>
      <c r="B336" t="s">
        <v>9797</v>
      </c>
      <c r="C336" t="s">
        <v>10955</v>
      </c>
      <c r="E336" t="s">
        <v>10956</v>
      </c>
    </row>
    <row r="337" spans="1:8" x14ac:dyDescent="0.45">
      <c r="A337" t="s">
        <v>7515</v>
      </c>
      <c r="B337" t="s">
        <v>7516</v>
      </c>
      <c r="C337" t="s">
        <v>10957</v>
      </c>
      <c r="E337" t="s">
        <v>10958</v>
      </c>
    </row>
    <row r="338" spans="1:8" x14ac:dyDescent="0.45">
      <c r="A338" t="s">
        <v>1692</v>
      </c>
      <c r="B338" t="s">
        <v>1693</v>
      </c>
      <c r="C338" t="s">
        <v>10959</v>
      </c>
      <c r="E338" t="s">
        <v>10960</v>
      </c>
    </row>
    <row r="339" spans="1:8" x14ac:dyDescent="0.45">
      <c r="A339" t="s">
        <v>4014</v>
      </c>
      <c r="B339" t="s">
        <v>4015</v>
      </c>
      <c r="C339" t="s">
        <v>10961</v>
      </c>
      <c r="E339" t="s">
        <v>10962</v>
      </c>
    </row>
    <row r="340" spans="1:8" x14ac:dyDescent="0.45">
      <c r="A340" t="s">
        <v>9799</v>
      </c>
      <c r="B340" t="s">
        <v>9800</v>
      </c>
      <c r="C340" t="s">
        <v>10963</v>
      </c>
      <c r="E340" t="s">
        <v>10964</v>
      </c>
    </row>
    <row r="341" spans="1:8" x14ac:dyDescent="0.45">
      <c r="A341" t="s">
        <v>3416</v>
      </c>
      <c r="B341" t="s">
        <v>3417</v>
      </c>
      <c r="C341" t="s">
        <v>10965</v>
      </c>
      <c r="E341" t="s">
        <v>10966</v>
      </c>
      <c r="F341" t="s">
        <v>10967</v>
      </c>
      <c r="G341" t="s">
        <v>10968</v>
      </c>
      <c r="H341" t="s">
        <v>10969</v>
      </c>
    </row>
    <row r="342" spans="1:8" x14ac:dyDescent="0.45">
      <c r="A342" t="s">
        <v>9402</v>
      </c>
      <c r="B342" t="s">
        <v>9403</v>
      </c>
      <c r="C342" t="s">
        <v>10970</v>
      </c>
      <c r="E342" t="s">
        <v>10971</v>
      </c>
      <c r="F342" t="s">
        <v>10972</v>
      </c>
      <c r="G342" t="s">
        <v>10973</v>
      </c>
      <c r="H342" t="s">
        <v>10974</v>
      </c>
    </row>
    <row r="343" spans="1:8" x14ac:dyDescent="0.45">
      <c r="A343" t="s">
        <v>9408</v>
      </c>
      <c r="B343" t="s">
        <v>9409</v>
      </c>
      <c r="C343" t="s">
        <v>10975</v>
      </c>
      <c r="E343" t="s">
        <v>10976</v>
      </c>
      <c r="F343" t="s">
        <v>10977</v>
      </c>
      <c r="G343" t="s">
        <v>10978</v>
      </c>
      <c r="H343" t="s">
        <v>10979</v>
      </c>
    </row>
    <row r="344" spans="1:8" x14ac:dyDescent="0.45">
      <c r="A344" t="s">
        <v>9615</v>
      </c>
      <c r="B344" t="s">
        <v>9616</v>
      </c>
      <c r="C344" t="s">
        <v>10980</v>
      </c>
      <c r="E344" t="s">
        <v>10981</v>
      </c>
      <c r="F344" t="s">
        <v>10982</v>
      </c>
      <c r="G344" t="s">
        <v>10983</v>
      </c>
      <c r="H344" t="s">
        <v>10984</v>
      </c>
    </row>
    <row r="345" spans="1:8" x14ac:dyDescent="0.45">
      <c r="A345" t="s">
        <v>5626</v>
      </c>
      <c r="B345" t="s">
        <v>5627</v>
      </c>
      <c r="C345" t="s">
        <v>10985</v>
      </c>
      <c r="E345" t="s">
        <v>10986</v>
      </c>
      <c r="F345" t="s">
        <v>10987</v>
      </c>
      <c r="G345" t="s">
        <v>10968</v>
      </c>
      <c r="H345" t="s">
        <v>10988</v>
      </c>
    </row>
    <row r="346" spans="1:8" x14ac:dyDescent="0.45">
      <c r="A346" t="s">
        <v>276</v>
      </c>
      <c r="B346" t="s">
        <v>277</v>
      </c>
      <c r="C346" t="s">
        <v>10989</v>
      </c>
      <c r="E346" t="s">
        <v>10990</v>
      </c>
      <c r="F346" t="s">
        <v>10991</v>
      </c>
      <c r="G346" t="s">
        <v>10992</v>
      </c>
      <c r="H346" t="s">
        <v>10993</v>
      </c>
    </row>
    <row r="347" spans="1:8" x14ac:dyDescent="0.45">
      <c r="A347" t="s">
        <v>5882</v>
      </c>
      <c r="B347" t="s">
        <v>5883</v>
      </c>
      <c r="C347" t="s">
        <v>10994</v>
      </c>
      <c r="E347" t="s">
        <v>10995</v>
      </c>
      <c r="F347" t="s">
        <v>10996</v>
      </c>
      <c r="G347" t="s">
        <v>10997</v>
      </c>
      <c r="H347" t="s">
        <v>10998</v>
      </c>
    </row>
    <row r="348" spans="1:8" x14ac:dyDescent="0.45">
      <c r="A348" t="s">
        <v>1790</v>
      </c>
      <c r="B348" t="s">
        <v>1791</v>
      </c>
      <c r="C348" t="s">
        <v>10999</v>
      </c>
      <c r="E348" t="s">
        <v>11000</v>
      </c>
      <c r="F348" t="s">
        <v>11001</v>
      </c>
      <c r="G348" t="s">
        <v>11002</v>
      </c>
      <c r="H348" t="s">
        <v>11003</v>
      </c>
    </row>
    <row r="349" spans="1:8" x14ac:dyDescent="0.45">
      <c r="A349" t="s">
        <v>5053</v>
      </c>
      <c r="B349" t="s">
        <v>5054</v>
      </c>
      <c r="C349" t="s">
        <v>10999</v>
      </c>
      <c r="E349" t="s">
        <v>11000</v>
      </c>
      <c r="F349" t="s">
        <v>11001</v>
      </c>
      <c r="G349" t="s">
        <v>11002</v>
      </c>
      <c r="H349" t="s">
        <v>11003</v>
      </c>
    </row>
    <row r="350" spans="1:8" x14ac:dyDescent="0.45">
      <c r="A350" t="s">
        <v>7705</v>
      </c>
      <c r="B350" t="s">
        <v>7706</v>
      </c>
      <c r="C350" t="s">
        <v>11004</v>
      </c>
      <c r="E350" t="s">
        <v>11005</v>
      </c>
      <c r="F350" t="s">
        <v>11006</v>
      </c>
      <c r="G350" t="s">
        <v>11007</v>
      </c>
      <c r="H350" t="s">
        <v>11008</v>
      </c>
    </row>
    <row r="351" spans="1:8" x14ac:dyDescent="0.45">
      <c r="A351" t="s">
        <v>7705</v>
      </c>
      <c r="B351" t="s">
        <v>7706</v>
      </c>
      <c r="C351" t="s">
        <v>11004</v>
      </c>
      <c r="E351" t="s">
        <v>11005</v>
      </c>
      <c r="F351" t="s">
        <v>11009</v>
      </c>
      <c r="G351" t="s">
        <v>11010</v>
      </c>
      <c r="H351" t="s">
        <v>11011</v>
      </c>
    </row>
    <row r="352" spans="1:8" x14ac:dyDescent="0.45">
      <c r="A352" t="s">
        <v>8014</v>
      </c>
      <c r="B352" t="s">
        <v>8015</v>
      </c>
      <c r="C352" t="s">
        <v>11004</v>
      </c>
      <c r="E352" t="s">
        <v>11005</v>
      </c>
      <c r="F352" t="s">
        <v>11006</v>
      </c>
      <c r="G352" t="s">
        <v>11007</v>
      </c>
      <c r="H352" t="s">
        <v>11008</v>
      </c>
    </row>
    <row r="353" spans="1:8" x14ac:dyDescent="0.45">
      <c r="A353" t="s">
        <v>8014</v>
      </c>
      <c r="B353" t="s">
        <v>8015</v>
      </c>
      <c r="C353" t="s">
        <v>11004</v>
      </c>
      <c r="E353" t="s">
        <v>11005</v>
      </c>
      <c r="F353" t="s">
        <v>11009</v>
      </c>
      <c r="G353" t="s">
        <v>11010</v>
      </c>
      <c r="H353" t="s">
        <v>11011</v>
      </c>
    </row>
    <row r="354" spans="1:8" x14ac:dyDescent="0.45">
      <c r="A354" t="s">
        <v>4169</v>
      </c>
      <c r="B354" t="s">
        <v>4170</v>
      </c>
      <c r="C354" t="s">
        <v>11012</v>
      </c>
      <c r="E354" t="s">
        <v>11013</v>
      </c>
      <c r="F354" t="s">
        <v>11014</v>
      </c>
      <c r="G354" t="s">
        <v>11015</v>
      </c>
      <c r="H354" t="s">
        <v>11016</v>
      </c>
    </row>
    <row r="355" spans="1:8" x14ac:dyDescent="0.45">
      <c r="A355" t="s">
        <v>4169</v>
      </c>
      <c r="B355" t="s">
        <v>4170</v>
      </c>
      <c r="C355" t="s">
        <v>11012</v>
      </c>
      <c r="E355" t="s">
        <v>11013</v>
      </c>
      <c r="F355" t="s">
        <v>11017</v>
      </c>
      <c r="G355" t="s">
        <v>11018</v>
      </c>
      <c r="H355" t="s">
        <v>11019</v>
      </c>
    </row>
    <row r="356" spans="1:8" x14ac:dyDescent="0.45">
      <c r="A356" t="s">
        <v>883</v>
      </c>
      <c r="B356" t="s">
        <v>884</v>
      </c>
      <c r="C356" t="s">
        <v>11020</v>
      </c>
      <c r="E356" t="s">
        <v>11021</v>
      </c>
      <c r="F356" t="s">
        <v>11022</v>
      </c>
      <c r="G356" t="s">
        <v>11023</v>
      </c>
      <c r="H356" t="s">
        <v>11024</v>
      </c>
    </row>
    <row r="357" spans="1:8" x14ac:dyDescent="0.45">
      <c r="A357" t="s">
        <v>883</v>
      </c>
      <c r="B357" t="s">
        <v>884</v>
      </c>
      <c r="C357" t="s">
        <v>11020</v>
      </c>
      <c r="E357" t="s">
        <v>11021</v>
      </c>
      <c r="F357" t="s">
        <v>11025</v>
      </c>
      <c r="G357" t="s">
        <v>11026</v>
      </c>
      <c r="H357" t="s">
        <v>11027</v>
      </c>
    </row>
    <row r="358" spans="1:8" x14ac:dyDescent="0.45">
      <c r="A358" t="s">
        <v>2475</v>
      </c>
      <c r="B358" t="s">
        <v>2476</v>
      </c>
      <c r="C358" t="s">
        <v>11028</v>
      </c>
      <c r="E358" t="s">
        <v>11029</v>
      </c>
      <c r="F358" t="s">
        <v>11030</v>
      </c>
      <c r="G358" t="s">
        <v>11031</v>
      </c>
      <c r="H358" t="s">
        <v>11032</v>
      </c>
    </row>
    <row r="359" spans="1:8" x14ac:dyDescent="0.45">
      <c r="A359" t="s">
        <v>887</v>
      </c>
      <c r="B359" t="s">
        <v>888</v>
      </c>
      <c r="C359" t="s">
        <v>11028</v>
      </c>
      <c r="E359" t="s">
        <v>11029</v>
      </c>
      <c r="F359" t="s">
        <v>11030</v>
      </c>
      <c r="G359" t="s">
        <v>11031</v>
      </c>
      <c r="H359" t="s">
        <v>11032</v>
      </c>
    </row>
    <row r="360" spans="1:8" x14ac:dyDescent="0.45">
      <c r="A360" t="s">
        <v>7287</v>
      </c>
      <c r="B360" t="s">
        <v>7288</v>
      </c>
      <c r="C360" t="s">
        <v>11033</v>
      </c>
      <c r="E360" t="s">
        <v>11034</v>
      </c>
      <c r="F360" t="s">
        <v>11035</v>
      </c>
      <c r="G360" t="s">
        <v>11036</v>
      </c>
      <c r="H360" t="s">
        <v>11037</v>
      </c>
    </row>
    <row r="361" spans="1:8" x14ac:dyDescent="0.45">
      <c r="A361" t="s">
        <v>777</v>
      </c>
      <c r="B361" t="s">
        <v>778</v>
      </c>
      <c r="C361" t="s">
        <v>11038</v>
      </c>
      <c r="E361" t="s">
        <v>11039</v>
      </c>
      <c r="F361" t="s">
        <v>11040</v>
      </c>
      <c r="G361" t="s">
        <v>11041</v>
      </c>
      <c r="H361" t="s">
        <v>11042</v>
      </c>
    </row>
    <row r="362" spans="1:8" x14ac:dyDescent="0.45">
      <c r="A362" t="s">
        <v>5842</v>
      </c>
      <c r="B362" t="s">
        <v>5843</v>
      </c>
      <c r="C362" t="s">
        <v>11043</v>
      </c>
      <c r="E362" t="s">
        <v>11044</v>
      </c>
      <c r="F362" t="s">
        <v>11045</v>
      </c>
      <c r="G362" t="s">
        <v>11046</v>
      </c>
      <c r="H362" t="s">
        <v>11047</v>
      </c>
    </row>
    <row r="363" spans="1:8" x14ac:dyDescent="0.45">
      <c r="A363" t="s">
        <v>6550</v>
      </c>
      <c r="B363" t="s">
        <v>6551</v>
      </c>
      <c r="C363" t="s">
        <v>11048</v>
      </c>
    </row>
    <row r="364" spans="1:8" x14ac:dyDescent="0.45">
      <c r="A364" t="s">
        <v>9528</v>
      </c>
      <c r="B364" t="s">
        <v>9529</v>
      </c>
      <c r="C364" t="s">
        <v>11048</v>
      </c>
    </row>
    <row r="365" spans="1:8" x14ac:dyDescent="0.45">
      <c r="A365" t="s">
        <v>6553</v>
      </c>
      <c r="B365" t="s">
        <v>6554</v>
      </c>
      <c r="C365" t="s">
        <v>11049</v>
      </c>
      <c r="E365" t="s">
        <v>11050</v>
      </c>
      <c r="F365" t="s">
        <v>11051</v>
      </c>
      <c r="G365" t="s">
        <v>11052</v>
      </c>
      <c r="H365" t="s">
        <v>11053</v>
      </c>
    </row>
    <row r="366" spans="1:8" x14ac:dyDescent="0.45">
      <c r="A366" t="s">
        <v>6553</v>
      </c>
      <c r="B366" t="s">
        <v>6554</v>
      </c>
      <c r="C366" t="s">
        <v>11049</v>
      </c>
      <c r="E366" t="s">
        <v>11050</v>
      </c>
      <c r="F366" t="s">
        <v>11054</v>
      </c>
      <c r="G366" t="s">
        <v>11055</v>
      </c>
      <c r="H366" t="s">
        <v>11056</v>
      </c>
    </row>
    <row r="367" spans="1:8" x14ac:dyDescent="0.45">
      <c r="A367" t="s">
        <v>6553</v>
      </c>
      <c r="B367" t="s">
        <v>6554</v>
      </c>
      <c r="C367" t="s">
        <v>11049</v>
      </c>
      <c r="E367" t="s">
        <v>11050</v>
      </c>
      <c r="F367" t="s">
        <v>11057</v>
      </c>
      <c r="G367" t="s">
        <v>11058</v>
      </c>
      <c r="H367" t="s">
        <v>11056</v>
      </c>
    </row>
    <row r="368" spans="1:8" x14ac:dyDescent="0.45">
      <c r="A368" t="s">
        <v>6553</v>
      </c>
      <c r="B368" t="s">
        <v>6554</v>
      </c>
      <c r="C368" t="s">
        <v>11049</v>
      </c>
      <c r="E368" t="s">
        <v>11050</v>
      </c>
      <c r="F368" t="s">
        <v>11059</v>
      </c>
      <c r="G368" t="s">
        <v>11060</v>
      </c>
      <c r="H368" t="s">
        <v>11061</v>
      </c>
    </row>
    <row r="369" spans="1:8" x14ac:dyDescent="0.45">
      <c r="A369" t="s">
        <v>6553</v>
      </c>
      <c r="B369" t="s">
        <v>6554</v>
      </c>
      <c r="C369" t="s">
        <v>11049</v>
      </c>
      <c r="E369" t="s">
        <v>11050</v>
      </c>
      <c r="F369" t="s">
        <v>11062</v>
      </c>
      <c r="G369" t="s">
        <v>11063</v>
      </c>
      <c r="H369" t="s">
        <v>11064</v>
      </c>
    </row>
    <row r="370" spans="1:8" x14ac:dyDescent="0.45">
      <c r="A370" t="s">
        <v>6553</v>
      </c>
      <c r="B370" t="s">
        <v>6554</v>
      </c>
      <c r="C370" t="s">
        <v>11049</v>
      </c>
      <c r="E370" t="s">
        <v>11050</v>
      </c>
      <c r="F370" t="s">
        <v>11065</v>
      </c>
      <c r="G370" t="s">
        <v>11066</v>
      </c>
      <c r="H370" t="s">
        <v>11067</v>
      </c>
    </row>
    <row r="371" spans="1:8" x14ac:dyDescent="0.45">
      <c r="A371" t="s">
        <v>9530</v>
      </c>
      <c r="B371" t="s">
        <v>9531</v>
      </c>
      <c r="C371" t="s">
        <v>11049</v>
      </c>
      <c r="E371" t="s">
        <v>11050</v>
      </c>
      <c r="F371" t="s">
        <v>11051</v>
      </c>
      <c r="G371" t="s">
        <v>11052</v>
      </c>
      <c r="H371" t="s">
        <v>11053</v>
      </c>
    </row>
    <row r="372" spans="1:8" x14ac:dyDescent="0.45">
      <c r="A372" t="s">
        <v>9530</v>
      </c>
      <c r="B372" t="s">
        <v>9531</v>
      </c>
      <c r="C372" t="s">
        <v>11049</v>
      </c>
      <c r="E372" t="s">
        <v>11050</v>
      </c>
      <c r="F372" t="s">
        <v>11054</v>
      </c>
      <c r="G372" t="s">
        <v>11055</v>
      </c>
      <c r="H372" t="s">
        <v>11056</v>
      </c>
    </row>
    <row r="373" spans="1:8" x14ac:dyDescent="0.45">
      <c r="A373" t="s">
        <v>9530</v>
      </c>
      <c r="B373" t="s">
        <v>9531</v>
      </c>
      <c r="C373" t="s">
        <v>11049</v>
      </c>
      <c r="E373" t="s">
        <v>11050</v>
      </c>
      <c r="F373" t="s">
        <v>11057</v>
      </c>
      <c r="G373" t="s">
        <v>11058</v>
      </c>
      <c r="H373" t="s">
        <v>11056</v>
      </c>
    </row>
    <row r="374" spans="1:8" x14ac:dyDescent="0.45">
      <c r="A374" t="s">
        <v>9530</v>
      </c>
      <c r="B374" t="s">
        <v>9531</v>
      </c>
      <c r="C374" t="s">
        <v>11049</v>
      </c>
      <c r="E374" t="s">
        <v>11050</v>
      </c>
      <c r="F374" t="s">
        <v>11059</v>
      </c>
      <c r="G374" t="s">
        <v>11060</v>
      </c>
      <c r="H374" t="s">
        <v>11061</v>
      </c>
    </row>
    <row r="375" spans="1:8" x14ac:dyDescent="0.45">
      <c r="A375" t="s">
        <v>9530</v>
      </c>
      <c r="B375" t="s">
        <v>9531</v>
      </c>
      <c r="C375" t="s">
        <v>11049</v>
      </c>
      <c r="E375" t="s">
        <v>11050</v>
      </c>
      <c r="F375" t="s">
        <v>11062</v>
      </c>
      <c r="G375" t="s">
        <v>11063</v>
      </c>
      <c r="H375" t="s">
        <v>11064</v>
      </c>
    </row>
    <row r="376" spans="1:8" x14ac:dyDescent="0.45">
      <c r="A376" t="s">
        <v>9530</v>
      </c>
      <c r="B376" t="s">
        <v>9531</v>
      </c>
      <c r="C376" t="s">
        <v>11049</v>
      </c>
      <c r="E376" t="s">
        <v>11050</v>
      </c>
      <c r="F376" t="s">
        <v>11065</v>
      </c>
      <c r="G376" t="s">
        <v>11066</v>
      </c>
      <c r="H376" t="s">
        <v>11067</v>
      </c>
    </row>
    <row r="377" spans="1:8" x14ac:dyDescent="0.45">
      <c r="A377" t="s">
        <v>8563</v>
      </c>
      <c r="B377" t="s">
        <v>8564</v>
      </c>
      <c r="C377" t="s">
        <v>11068</v>
      </c>
      <c r="E377" t="s">
        <v>11069</v>
      </c>
      <c r="F377" t="s">
        <v>11070</v>
      </c>
      <c r="G377" t="s">
        <v>11052</v>
      </c>
      <c r="H377" t="s">
        <v>11071</v>
      </c>
    </row>
    <row r="378" spans="1:8" x14ac:dyDescent="0.45">
      <c r="A378" t="s">
        <v>8563</v>
      </c>
      <c r="B378" t="s">
        <v>8564</v>
      </c>
      <c r="C378" t="s">
        <v>11068</v>
      </c>
      <c r="E378" t="s">
        <v>11069</v>
      </c>
      <c r="F378" t="s">
        <v>11072</v>
      </c>
      <c r="G378" t="s">
        <v>11052</v>
      </c>
      <c r="H378" t="s">
        <v>11073</v>
      </c>
    </row>
    <row r="379" spans="1:8" x14ac:dyDescent="0.45">
      <c r="A379" t="s">
        <v>4318</v>
      </c>
      <c r="B379" t="s">
        <v>4319</v>
      </c>
      <c r="C379" t="s">
        <v>11074</v>
      </c>
      <c r="E379" t="s">
        <v>11075</v>
      </c>
      <c r="F379" t="s">
        <v>11076</v>
      </c>
      <c r="G379" t="s">
        <v>11077</v>
      </c>
      <c r="H379" t="s">
        <v>11078</v>
      </c>
    </row>
    <row r="380" spans="1:8" x14ac:dyDescent="0.45">
      <c r="A380" t="s">
        <v>4318</v>
      </c>
      <c r="B380" t="s">
        <v>4319</v>
      </c>
      <c r="C380" t="s">
        <v>11074</v>
      </c>
      <c r="E380" t="s">
        <v>11075</v>
      </c>
      <c r="F380" t="s">
        <v>11079</v>
      </c>
      <c r="G380" t="s">
        <v>11080</v>
      </c>
      <c r="H380" t="s">
        <v>11078</v>
      </c>
    </row>
    <row r="381" spans="1:8" x14ac:dyDescent="0.45">
      <c r="A381" t="s">
        <v>4318</v>
      </c>
      <c r="B381" t="s">
        <v>4319</v>
      </c>
      <c r="C381" t="s">
        <v>11074</v>
      </c>
      <c r="E381" t="s">
        <v>11075</v>
      </c>
      <c r="F381" t="s">
        <v>11081</v>
      </c>
      <c r="G381" t="s">
        <v>11082</v>
      </c>
      <c r="H381" t="s">
        <v>11083</v>
      </c>
    </row>
    <row r="382" spans="1:8" x14ac:dyDescent="0.45">
      <c r="A382" t="s">
        <v>4318</v>
      </c>
      <c r="B382" t="s">
        <v>4319</v>
      </c>
      <c r="C382" t="s">
        <v>11074</v>
      </c>
      <c r="E382" t="s">
        <v>11075</v>
      </c>
      <c r="F382" t="s">
        <v>11084</v>
      </c>
      <c r="G382" t="s">
        <v>11085</v>
      </c>
      <c r="H382" t="s">
        <v>11086</v>
      </c>
    </row>
    <row r="383" spans="1:8" x14ac:dyDescent="0.45">
      <c r="A383" t="s">
        <v>4318</v>
      </c>
      <c r="B383" t="s">
        <v>4319</v>
      </c>
      <c r="C383" t="s">
        <v>11074</v>
      </c>
      <c r="E383" t="s">
        <v>11075</v>
      </c>
      <c r="F383" t="s">
        <v>11087</v>
      </c>
      <c r="G383" t="s">
        <v>11088</v>
      </c>
      <c r="H383" t="s">
        <v>11086</v>
      </c>
    </row>
    <row r="384" spans="1:8" x14ac:dyDescent="0.45">
      <c r="A384" t="s">
        <v>4318</v>
      </c>
      <c r="B384" t="s">
        <v>4319</v>
      </c>
      <c r="C384" t="s">
        <v>11074</v>
      </c>
      <c r="E384" t="s">
        <v>11075</v>
      </c>
      <c r="F384" t="s">
        <v>11089</v>
      </c>
      <c r="G384" t="s">
        <v>11090</v>
      </c>
      <c r="H384" t="s">
        <v>11091</v>
      </c>
    </row>
    <row r="385" spans="1:8" x14ac:dyDescent="0.45">
      <c r="A385" t="s">
        <v>4318</v>
      </c>
      <c r="B385" t="s">
        <v>4319</v>
      </c>
      <c r="C385" t="s">
        <v>11074</v>
      </c>
      <c r="E385" t="s">
        <v>11075</v>
      </c>
      <c r="F385" t="s">
        <v>11092</v>
      </c>
      <c r="G385" t="s">
        <v>11093</v>
      </c>
      <c r="H385" t="s">
        <v>11094</v>
      </c>
    </row>
    <row r="386" spans="1:8" x14ac:dyDescent="0.45">
      <c r="A386" t="s">
        <v>3262</v>
      </c>
      <c r="B386" t="s">
        <v>3263</v>
      </c>
      <c r="C386" t="s">
        <v>11095</v>
      </c>
      <c r="E386" t="s">
        <v>11096</v>
      </c>
      <c r="F386" t="s">
        <v>11097</v>
      </c>
      <c r="G386" t="s">
        <v>11098</v>
      </c>
      <c r="H386" t="s">
        <v>11099</v>
      </c>
    </row>
    <row r="387" spans="1:8" x14ac:dyDescent="0.45">
      <c r="A387" t="s">
        <v>2463</v>
      </c>
      <c r="B387" t="s">
        <v>2464</v>
      </c>
      <c r="C387" t="s">
        <v>11100</v>
      </c>
    </row>
    <row r="388" spans="1:8" x14ac:dyDescent="0.45">
      <c r="A388" t="s">
        <v>3203</v>
      </c>
      <c r="B388" t="s">
        <v>3204</v>
      </c>
      <c r="C388" t="s">
        <v>11100</v>
      </c>
    </row>
    <row r="389" spans="1:8" x14ac:dyDescent="0.45">
      <c r="A389" t="s">
        <v>3273</v>
      </c>
      <c r="B389" t="s">
        <v>3274</v>
      </c>
      <c r="C389" t="s">
        <v>11100</v>
      </c>
    </row>
    <row r="390" spans="1:8" x14ac:dyDescent="0.45">
      <c r="A390" t="s">
        <v>3275</v>
      </c>
      <c r="B390" t="s">
        <v>3276</v>
      </c>
      <c r="C390" t="s">
        <v>11100</v>
      </c>
    </row>
    <row r="391" spans="1:8" x14ac:dyDescent="0.45">
      <c r="A391" t="s">
        <v>4186</v>
      </c>
      <c r="B391" t="s">
        <v>4187</v>
      </c>
      <c r="C391" t="s">
        <v>11100</v>
      </c>
    </row>
    <row r="392" spans="1:8" x14ac:dyDescent="0.45">
      <c r="A392" t="s">
        <v>5644</v>
      </c>
      <c r="B392" t="s">
        <v>5645</v>
      </c>
      <c r="C392" t="s">
        <v>11100</v>
      </c>
    </row>
    <row r="393" spans="1:8" x14ac:dyDescent="0.45">
      <c r="A393" t="s">
        <v>5829</v>
      </c>
      <c r="B393" t="s">
        <v>5830</v>
      </c>
      <c r="C393" t="s">
        <v>11100</v>
      </c>
    </row>
    <row r="394" spans="1:8" x14ac:dyDescent="0.45">
      <c r="A394" t="s">
        <v>6084</v>
      </c>
      <c r="B394" t="s">
        <v>6085</v>
      </c>
      <c r="C394" t="s">
        <v>11100</v>
      </c>
    </row>
    <row r="395" spans="1:8" x14ac:dyDescent="0.45">
      <c r="A395" t="s">
        <v>6195</v>
      </c>
      <c r="B395" t="s">
        <v>6196</v>
      </c>
      <c r="C395" t="s">
        <v>11100</v>
      </c>
    </row>
    <row r="396" spans="1:8" x14ac:dyDescent="0.45">
      <c r="A396" t="s">
        <v>7860</v>
      </c>
      <c r="B396" t="s">
        <v>7861</v>
      </c>
      <c r="C396" t="s">
        <v>11100</v>
      </c>
    </row>
    <row r="397" spans="1:8" x14ac:dyDescent="0.45">
      <c r="A397" t="s">
        <v>8754</v>
      </c>
      <c r="B397" t="s">
        <v>8755</v>
      </c>
      <c r="C397" t="s">
        <v>11100</v>
      </c>
    </row>
    <row r="398" spans="1:8" x14ac:dyDescent="0.45">
      <c r="A398" t="s">
        <v>8784</v>
      </c>
      <c r="B398" t="s">
        <v>8785</v>
      </c>
      <c r="C398" t="s">
        <v>11100</v>
      </c>
    </row>
    <row r="399" spans="1:8" x14ac:dyDescent="0.45">
      <c r="A399" t="s">
        <v>2171</v>
      </c>
      <c r="B399" t="s">
        <v>2172</v>
      </c>
      <c r="C399" t="s">
        <v>11101</v>
      </c>
    </row>
    <row r="400" spans="1:8" x14ac:dyDescent="0.45">
      <c r="A400" t="s">
        <v>1184</v>
      </c>
      <c r="B400" t="s">
        <v>1185</v>
      </c>
      <c r="C400" t="s">
        <v>11101</v>
      </c>
    </row>
    <row r="401" spans="1:3" x14ac:dyDescent="0.45">
      <c r="A401" t="s">
        <v>1882</v>
      </c>
      <c r="B401" t="s">
        <v>1883</v>
      </c>
      <c r="C401" t="s">
        <v>11101</v>
      </c>
    </row>
    <row r="402" spans="1:3" x14ac:dyDescent="0.45">
      <c r="A402" t="s">
        <v>1987</v>
      </c>
      <c r="B402" t="s">
        <v>1988</v>
      </c>
      <c r="C402" t="s">
        <v>11101</v>
      </c>
    </row>
    <row r="403" spans="1:3" x14ac:dyDescent="0.45">
      <c r="A403" t="s">
        <v>2555</v>
      </c>
      <c r="B403" t="s">
        <v>2556</v>
      </c>
      <c r="C403" t="s">
        <v>11101</v>
      </c>
    </row>
    <row r="404" spans="1:3" x14ac:dyDescent="0.45">
      <c r="A404" t="s">
        <v>3005</v>
      </c>
      <c r="B404" t="s">
        <v>3006</v>
      </c>
      <c r="C404" t="s">
        <v>11101</v>
      </c>
    </row>
    <row r="405" spans="1:3" x14ac:dyDescent="0.45">
      <c r="A405" t="s">
        <v>3477</v>
      </c>
      <c r="B405" t="s">
        <v>3478</v>
      </c>
      <c r="C405" t="s">
        <v>11101</v>
      </c>
    </row>
    <row r="406" spans="1:3" x14ac:dyDescent="0.45">
      <c r="A406" t="s">
        <v>3925</v>
      </c>
      <c r="B406" t="s">
        <v>3926</v>
      </c>
      <c r="C406" t="s">
        <v>11101</v>
      </c>
    </row>
    <row r="407" spans="1:3" x14ac:dyDescent="0.45">
      <c r="A407" t="s">
        <v>4504</v>
      </c>
      <c r="B407" t="s">
        <v>4505</v>
      </c>
      <c r="C407" t="s">
        <v>11101</v>
      </c>
    </row>
    <row r="408" spans="1:3" x14ac:dyDescent="0.45">
      <c r="A408" t="s">
        <v>4769</v>
      </c>
      <c r="B408" t="s">
        <v>4770</v>
      </c>
      <c r="C408" t="s">
        <v>11101</v>
      </c>
    </row>
    <row r="409" spans="1:3" x14ac:dyDescent="0.45">
      <c r="A409" t="s">
        <v>4927</v>
      </c>
      <c r="B409" t="s">
        <v>4928</v>
      </c>
      <c r="C409" t="s">
        <v>11101</v>
      </c>
    </row>
    <row r="410" spans="1:3" x14ac:dyDescent="0.45">
      <c r="A410" t="s">
        <v>4952</v>
      </c>
      <c r="B410" t="s">
        <v>4953</v>
      </c>
      <c r="C410" t="s">
        <v>11101</v>
      </c>
    </row>
    <row r="411" spans="1:3" x14ac:dyDescent="0.45">
      <c r="A411" t="s">
        <v>5174</v>
      </c>
      <c r="B411" t="s">
        <v>5175</v>
      </c>
      <c r="C411" t="s">
        <v>11101</v>
      </c>
    </row>
    <row r="412" spans="1:3" x14ac:dyDescent="0.45">
      <c r="A412" t="s">
        <v>5862</v>
      </c>
      <c r="B412" t="s">
        <v>5863</v>
      </c>
      <c r="C412" t="s">
        <v>11101</v>
      </c>
    </row>
    <row r="413" spans="1:3" x14ac:dyDescent="0.45">
      <c r="A413" t="s">
        <v>6332</v>
      </c>
      <c r="B413" t="s">
        <v>6333</v>
      </c>
      <c r="C413" t="s">
        <v>11101</v>
      </c>
    </row>
    <row r="414" spans="1:3" x14ac:dyDescent="0.45">
      <c r="A414" t="s">
        <v>7004</v>
      </c>
      <c r="B414" t="s">
        <v>7005</v>
      </c>
      <c r="C414" t="s">
        <v>11101</v>
      </c>
    </row>
    <row r="415" spans="1:3" x14ac:dyDescent="0.45">
      <c r="A415" t="s">
        <v>7174</v>
      </c>
      <c r="B415" t="s">
        <v>7175</v>
      </c>
      <c r="C415" t="s">
        <v>11101</v>
      </c>
    </row>
    <row r="416" spans="1:3" x14ac:dyDescent="0.45">
      <c r="A416" t="s">
        <v>8215</v>
      </c>
      <c r="B416" t="s">
        <v>8216</v>
      </c>
      <c r="C416" t="s">
        <v>11101</v>
      </c>
    </row>
    <row r="417" spans="1:8" x14ac:dyDescent="0.45">
      <c r="A417" t="s">
        <v>8222</v>
      </c>
      <c r="B417" t="s">
        <v>8223</v>
      </c>
      <c r="C417" t="s">
        <v>11101</v>
      </c>
    </row>
    <row r="418" spans="1:8" x14ac:dyDescent="0.45">
      <c r="A418" t="s">
        <v>10079</v>
      </c>
      <c r="B418" t="s">
        <v>10080</v>
      </c>
      <c r="C418" t="s">
        <v>11101</v>
      </c>
    </row>
    <row r="419" spans="1:8" x14ac:dyDescent="0.45">
      <c r="A419" t="s">
        <v>242</v>
      </c>
      <c r="B419" t="s">
        <v>243</v>
      </c>
      <c r="C419" t="s">
        <v>11101</v>
      </c>
    </row>
    <row r="420" spans="1:8" x14ac:dyDescent="0.45">
      <c r="A420" t="s">
        <v>5853</v>
      </c>
      <c r="B420" t="s">
        <v>5854</v>
      </c>
      <c r="C420" t="s">
        <v>11102</v>
      </c>
      <c r="E420" t="s">
        <v>11103</v>
      </c>
      <c r="F420" t="s">
        <v>11104</v>
      </c>
      <c r="G420" t="s">
        <v>11105</v>
      </c>
      <c r="H420" t="s">
        <v>11106</v>
      </c>
    </row>
    <row r="421" spans="1:8" x14ac:dyDescent="0.45">
      <c r="A421" t="s">
        <v>7429</v>
      </c>
      <c r="B421" t="s">
        <v>7430</v>
      </c>
      <c r="C421" t="s">
        <v>11107</v>
      </c>
      <c r="E421" t="s">
        <v>11108</v>
      </c>
      <c r="F421" t="s">
        <v>11109</v>
      </c>
      <c r="G421" t="s">
        <v>11110</v>
      </c>
      <c r="H421" t="s">
        <v>11111</v>
      </c>
    </row>
    <row r="422" spans="1:8" x14ac:dyDescent="0.45">
      <c r="A422" t="s">
        <v>7429</v>
      </c>
      <c r="B422" t="s">
        <v>7430</v>
      </c>
      <c r="C422" t="s">
        <v>11107</v>
      </c>
      <c r="E422" t="s">
        <v>11108</v>
      </c>
      <c r="F422" t="s">
        <v>11112</v>
      </c>
      <c r="G422" t="s">
        <v>11113</v>
      </c>
      <c r="H422" t="s">
        <v>11114</v>
      </c>
    </row>
    <row r="423" spans="1:8" x14ac:dyDescent="0.45">
      <c r="A423" t="s">
        <v>7429</v>
      </c>
      <c r="B423" t="s">
        <v>7430</v>
      </c>
      <c r="C423" t="s">
        <v>11107</v>
      </c>
      <c r="E423" t="s">
        <v>11108</v>
      </c>
      <c r="F423" t="s">
        <v>11115</v>
      </c>
      <c r="G423" t="s">
        <v>11116</v>
      </c>
      <c r="H423" t="s">
        <v>11117</v>
      </c>
    </row>
    <row r="424" spans="1:8" x14ac:dyDescent="0.45">
      <c r="A424" t="s">
        <v>9708</v>
      </c>
      <c r="B424" t="s">
        <v>9709</v>
      </c>
      <c r="C424" t="s">
        <v>11118</v>
      </c>
      <c r="E424" t="s">
        <v>11119</v>
      </c>
      <c r="F424" t="s">
        <v>11120</v>
      </c>
      <c r="G424" t="s">
        <v>11121</v>
      </c>
      <c r="H424" t="s">
        <v>11122</v>
      </c>
    </row>
    <row r="425" spans="1:8" x14ac:dyDescent="0.45">
      <c r="A425" t="s">
        <v>2156</v>
      </c>
      <c r="B425" t="s">
        <v>2157</v>
      </c>
      <c r="C425" t="s">
        <v>11123</v>
      </c>
      <c r="E425" t="s">
        <v>11124</v>
      </c>
      <c r="F425" t="s">
        <v>11125</v>
      </c>
      <c r="G425" t="s">
        <v>11126</v>
      </c>
      <c r="H425" t="s">
        <v>11127</v>
      </c>
    </row>
    <row r="426" spans="1:8" x14ac:dyDescent="0.45">
      <c r="A426" t="s">
        <v>2156</v>
      </c>
      <c r="B426" t="s">
        <v>2157</v>
      </c>
      <c r="C426" t="s">
        <v>11123</v>
      </c>
      <c r="E426" t="s">
        <v>11124</v>
      </c>
      <c r="F426" t="s">
        <v>10708</v>
      </c>
      <c r="G426" t="s">
        <v>10709</v>
      </c>
      <c r="H426" t="s">
        <v>10710</v>
      </c>
    </row>
    <row r="427" spans="1:8" x14ac:dyDescent="0.45">
      <c r="A427" t="s">
        <v>2156</v>
      </c>
      <c r="B427" t="s">
        <v>2157</v>
      </c>
      <c r="C427" t="s">
        <v>11123</v>
      </c>
      <c r="E427" t="s">
        <v>11124</v>
      </c>
      <c r="F427" t="s">
        <v>11128</v>
      </c>
      <c r="G427" t="s">
        <v>11129</v>
      </c>
      <c r="H427" t="s">
        <v>11130</v>
      </c>
    </row>
    <row r="428" spans="1:8" x14ac:dyDescent="0.45">
      <c r="A428" t="s">
        <v>3189</v>
      </c>
      <c r="B428" t="s">
        <v>3190</v>
      </c>
      <c r="C428" t="s">
        <v>11131</v>
      </c>
      <c r="E428" t="s">
        <v>11132</v>
      </c>
      <c r="F428" t="s">
        <v>11133</v>
      </c>
      <c r="G428" t="s">
        <v>11134</v>
      </c>
      <c r="H428" t="s">
        <v>11135</v>
      </c>
    </row>
    <row r="429" spans="1:8" x14ac:dyDescent="0.45">
      <c r="A429" t="s">
        <v>3189</v>
      </c>
      <c r="B429" t="s">
        <v>3190</v>
      </c>
      <c r="C429" t="s">
        <v>11131</v>
      </c>
      <c r="E429" t="s">
        <v>11132</v>
      </c>
      <c r="F429" t="s">
        <v>11136</v>
      </c>
      <c r="G429" t="s">
        <v>11137</v>
      </c>
      <c r="H429" t="s">
        <v>11138</v>
      </c>
    </row>
    <row r="430" spans="1:8" x14ac:dyDescent="0.45">
      <c r="A430" t="s">
        <v>3189</v>
      </c>
      <c r="B430" t="s">
        <v>3190</v>
      </c>
      <c r="C430" t="s">
        <v>11131</v>
      </c>
      <c r="E430" t="s">
        <v>11132</v>
      </c>
      <c r="F430" t="s">
        <v>11139</v>
      </c>
      <c r="G430" t="s">
        <v>11140</v>
      </c>
      <c r="H430" t="s">
        <v>11141</v>
      </c>
    </row>
    <row r="431" spans="1:8" x14ac:dyDescent="0.45">
      <c r="A431" t="s">
        <v>3189</v>
      </c>
      <c r="B431" t="s">
        <v>3190</v>
      </c>
      <c r="C431" t="s">
        <v>11131</v>
      </c>
      <c r="E431" t="s">
        <v>11132</v>
      </c>
      <c r="F431" t="s">
        <v>11142</v>
      </c>
      <c r="G431" t="s">
        <v>11143</v>
      </c>
      <c r="H431" t="s">
        <v>11144</v>
      </c>
    </row>
    <row r="432" spans="1:8" x14ac:dyDescent="0.45">
      <c r="A432" t="s">
        <v>3189</v>
      </c>
      <c r="B432" t="s">
        <v>3190</v>
      </c>
      <c r="C432" t="s">
        <v>11131</v>
      </c>
      <c r="E432" t="s">
        <v>11132</v>
      </c>
      <c r="F432" t="s">
        <v>11145</v>
      </c>
      <c r="G432" t="s">
        <v>11146</v>
      </c>
      <c r="H432" t="s">
        <v>11147</v>
      </c>
    </row>
    <row r="433" spans="1:8" x14ac:dyDescent="0.45">
      <c r="A433" t="s">
        <v>3189</v>
      </c>
      <c r="B433" t="s">
        <v>3190</v>
      </c>
      <c r="C433" t="s">
        <v>11131</v>
      </c>
      <c r="E433" t="s">
        <v>11132</v>
      </c>
      <c r="F433" t="s">
        <v>11148</v>
      </c>
      <c r="G433" t="s">
        <v>11149</v>
      </c>
      <c r="H433" t="s">
        <v>11150</v>
      </c>
    </row>
    <row r="434" spans="1:8" x14ac:dyDescent="0.45">
      <c r="A434" t="s">
        <v>3189</v>
      </c>
      <c r="B434" t="s">
        <v>3190</v>
      </c>
      <c r="C434" t="s">
        <v>11131</v>
      </c>
      <c r="E434" t="s">
        <v>11132</v>
      </c>
      <c r="F434" t="s">
        <v>11151</v>
      </c>
      <c r="G434" t="s">
        <v>11152</v>
      </c>
      <c r="H434" t="s">
        <v>11153</v>
      </c>
    </row>
    <row r="435" spans="1:8" x14ac:dyDescent="0.45">
      <c r="A435" t="s">
        <v>3189</v>
      </c>
      <c r="B435" t="s">
        <v>3190</v>
      </c>
      <c r="C435" t="s">
        <v>11131</v>
      </c>
      <c r="E435" t="s">
        <v>11132</v>
      </c>
      <c r="F435" t="s">
        <v>11154</v>
      </c>
      <c r="G435" t="s">
        <v>11155</v>
      </c>
      <c r="H435" t="s">
        <v>11156</v>
      </c>
    </row>
    <row r="436" spans="1:8" x14ac:dyDescent="0.45">
      <c r="A436" t="s">
        <v>3189</v>
      </c>
      <c r="B436" t="s">
        <v>3190</v>
      </c>
      <c r="C436" t="s">
        <v>11131</v>
      </c>
      <c r="E436" t="s">
        <v>11132</v>
      </c>
      <c r="F436" t="s">
        <v>11157</v>
      </c>
      <c r="G436" t="s">
        <v>11158</v>
      </c>
      <c r="H436" t="s">
        <v>11159</v>
      </c>
    </row>
    <row r="437" spans="1:8" x14ac:dyDescent="0.45">
      <c r="A437" t="s">
        <v>3189</v>
      </c>
      <c r="B437" t="s">
        <v>3190</v>
      </c>
      <c r="C437" t="s">
        <v>11131</v>
      </c>
      <c r="E437" t="s">
        <v>11132</v>
      </c>
      <c r="F437" t="s">
        <v>11160</v>
      </c>
      <c r="G437" t="s">
        <v>11161</v>
      </c>
      <c r="H437" t="s">
        <v>11162</v>
      </c>
    </row>
    <row r="438" spans="1:8" x14ac:dyDescent="0.45">
      <c r="A438" t="s">
        <v>3189</v>
      </c>
      <c r="B438" t="s">
        <v>3190</v>
      </c>
      <c r="C438" t="s">
        <v>11131</v>
      </c>
      <c r="E438" t="s">
        <v>11132</v>
      </c>
      <c r="F438" t="s">
        <v>11163</v>
      </c>
      <c r="G438" t="s">
        <v>11164</v>
      </c>
      <c r="H438" t="s">
        <v>11165</v>
      </c>
    </row>
    <row r="439" spans="1:8" x14ac:dyDescent="0.45">
      <c r="A439" t="s">
        <v>3171</v>
      </c>
      <c r="B439" t="s">
        <v>3172</v>
      </c>
      <c r="C439" t="s">
        <v>11166</v>
      </c>
      <c r="E439" t="s">
        <v>11167</v>
      </c>
      <c r="F439" t="s">
        <v>11168</v>
      </c>
      <c r="G439" t="s">
        <v>11169</v>
      </c>
      <c r="H439" t="s">
        <v>11170</v>
      </c>
    </row>
    <row r="440" spans="1:8" x14ac:dyDescent="0.45">
      <c r="A440" t="s">
        <v>540</v>
      </c>
      <c r="B440" t="s">
        <v>541</v>
      </c>
      <c r="C440" t="s">
        <v>11171</v>
      </c>
      <c r="E440" t="s">
        <v>11172</v>
      </c>
      <c r="F440" t="s">
        <v>11173</v>
      </c>
      <c r="G440" t="s">
        <v>11174</v>
      </c>
      <c r="H440" t="s">
        <v>11175</v>
      </c>
    </row>
    <row r="441" spans="1:8" x14ac:dyDescent="0.45">
      <c r="A441" t="s">
        <v>7583</v>
      </c>
      <c r="B441" t="s">
        <v>7584</v>
      </c>
      <c r="C441" t="s">
        <v>11176</v>
      </c>
      <c r="E441" t="s">
        <v>11177</v>
      </c>
      <c r="F441" t="s">
        <v>11178</v>
      </c>
      <c r="G441" t="s">
        <v>11179</v>
      </c>
      <c r="H441" t="s">
        <v>11180</v>
      </c>
    </row>
    <row r="442" spans="1:8" x14ac:dyDescent="0.45">
      <c r="A442" t="s">
        <v>667</v>
      </c>
      <c r="B442" t="s">
        <v>668</v>
      </c>
      <c r="C442" t="s">
        <v>11181</v>
      </c>
      <c r="E442" t="s">
        <v>11182</v>
      </c>
      <c r="F442" t="s">
        <v>11183</v>
      </c>
      <c r="G442" t="s">
        <v>11184</v>
      </c>
      <c r="H442" t="s">
        <v>11185</v>
      </c>
    </row>
    <row r="443" spans="1:8" x14ac:dyDescent="0.45">
      <c r="A443" t="s">
        <v>675</v>
      </c>
      <c r="B443" t="s">
        <v>676</v>
      </c>
      <c r="C443" t="s">
        <v>11181</v>
      </c>
      <c r="E443" t="s">
        <v>11182</v>
      </c>
      <c r="F443" t="s">
        <v>11183</v>
      </c>
      <c r="G443" t="s">
        <v>11184</v>
      </c>
      <c r="H443" t="s">
        <v>11185</v>
      </c>
    </row>
    <row r="444" spans="1:8" x14ac:dyDescent="0.45">
      <c r="A444" t="s">
        <v>1403</v>
      </c>
      <c r="B444" t="s">
        <v>1404</v>
      </c>
      <c r="C444" t="s">
        <v>11186</v>
      </c>
      <c r="E444" t="s">
        <v>11187</v>
      </c>
      <c r="F444" t="s">
        <v>11188</v>
      </c>
      <c r="G444" t="s">
        <v>11189</v>
      </c>
      <c r="H444" t="s">
        <v>11190</v>
      </c>
    </row>
    <row r="445" spans="1:8" x14ac:dyDescent="0.45">
      <c r="A445" t="s">
        <v>1407</v>
      </c>
      <c r="B445" t="s">
        <v>1408</v>
      </c>
      <c r="C445" t="s">
        <v>11186</v>
      </c>
      <c r="E445" t="s">
        <v>11187</v>
      </c>
      <c r="F445" t="s">
        <v>11188</v>
      </c>
      <c r="G445" t="s">
        <v>11189</v>
      </c>
      <c r="H445" t="s">
        <v>11190</v>
      </c>
    </row>
    <row r="446" spans="1:8" x14ac:dyDescent="0.45">
      <c r="A446" t="s">
        <v>671</v>
      </c>
      <c r="B446" t="s">
        <v>672</v>
      </c>
      <c r="C446" t="s">
        <v>11191</v>
      </c>
      <c r="E446" t="s">
        <v>11192</v>
      </c>
      <c r="F446" t="s">
        <v>11193</v>
      </c>
      <c r="G446" t="s">
        <v>11194</v>
      </c>
      <c r="H446" t="s">
        <v>11195</v>
      </c>
    </row>
    <row r="447" spans="1:8" x14ac:dyDescent="0.45">
      <c r="A447" t="s">
        <v>3168</v>
      </c>
      <c r="B447" t="s">
        <v>3169</v>
      </c>
      <c r="C447" t="s">
        <v>11196</v>
      </c>
      <c r="E447" t="s">
        <v>11197</v>
      </c>
      <c r="F447" t="s">
        <v>11198</v>
      </c>
      <c r="G447" t="s">
        <v>11199</v>
      </c>
      <c r="H447" t="s">
        <v>11200</v>
      </c>
    </row>
    <row r="448" spans="1:8" x14ac:dyDescent="0.45">
      <c r="A448" t="s">
        <v>3558</v>
      </c>
      <c r="B448" t="s">
        <v>3559</v>
      </c>
      <c r="C448" t="s">
        <v>11201</v>
      </c>
      <c r="E448" t="s">
        <v>11202</v>
      </c>
      <c r="F448" t="s">
        <v>11203</v>
      </c>
      <c r="G448" t="s">
        <v>11204</v>
      </c>
      <c r="H448" t="s">
        <v>11205</v>
      </c>
    </row>
    <row r="449" spans="1:8" x14ac:dyDescent="0.45">
      <c r="A449" t="s">
        <v>3558</v>
      </c>
      <c r="B449" t="s">
        <v>3559</v>
      </c>
      <c r="C449" t="s">
        <v>11201</v>
      </c>
      <c r="E449" t="s">
        <v>11202</v>
      </c>
      <c r="F449" t="s">
        <v>11206</v>
      </c>
      <c r="G449" t="s">
        <v>11207</v>
      </c>
      <c r="H449" t="s">
        <v>11208</v>
      </c>
    </row>
    <row r="450" spans="1:8" x14ac:dyDescent="0.45">
      <c r="A450" t="s">
        <v>5200</v>
      </c>
      <c r="B450" t="s">
        <v>5201</v>
      </c>
      <c r="C450" t="s">
        <v>11209</v>
      </c>
      <c r="E450" t="s">
        <v>11210</v>
      </c>
      <c r="F450" t="s">
        <v>11211</v>
      </c>
      <c r="G450" t="s">
        <v>11212</v>
      </c>
      <c r="H450" t="s">
        <v>11213</v>
      </c>
    </row>
    <row r="451" spans="1:8" x14ac:dyDescent="0.45">
      <c r="A451" t="s">
        <v>3385</v>
      </c>
      <c r="B451" t="s">
        <v>3386</v>
      </c>
      <c r="C451" t="s">
        <v>11214</v>
      </c>
      <c r="E451" t="s">
        <v>11215</v>
      </c>
    </row>
    <row r="452" spans="1:8" x14ac:dyDescent="0.45">
      <c r="A452" t="s">
        <v>5853</v>
      </c>
      <c r="B452" t="s">
        <v>5854</v>
      </c>
      <c r="C452" t="s">
        <v>11216</v>
      </c>
      <c r="E452" t="s">
        <v>11217</v>
      </c>
      <c r="F452" t="s">
        <v>11218</v>
      </c>
      <c r="G452" t="s">
        <v>11219</v>
      </c>
      <c r="H452" t="s">
        <v>11220</v>
      </c>
    </row>
    <row r="453" spans="1:8" x14ac:dyDescent="0.45">
      <c r="A453" t="s">
        <v>3179</v>
      </c>
      <c r="B453" t="s">
        <v>3180</v>
      </c>
      <c r="C453" t="s">
        <v>11221</v>
      </c>
      <c r="E453" t="s">
        <v>11222</v>
      </c>
      <c r="F453" t="s">
        <v>11223</v>
      </c>
      <c r="G453" t="s">
        <v>11224</v>
      </c>
      <c r="H453" t="s">
        <v>11225</v>
      </c>
    </row>
    <row r="454" spans="1:8" x14ac:dyDescent="0.45">
      <c r="A454" t="s">
        <v>2252</v>
      </c>
      <c r="B454" t="s">
        <v>2253</v>
      </c>
      <c r="C454" t="s">
        <v>11226</v>
      </c>
      <c r="E454" t="s">
        <v>11227</v>
      </c>
      <c r="F454" t="s">
        <v>11228</v>
      </c>
      <c r="G454" t="s">
        <v>11229</v>
      </c>
      <c r="H454" t="s">
        <v>11230</v>
      </c>
    </row>
    <row r="455" spans="1:8" x14ac:dyDescent="0.45">
      <c r="A455" t="s">
        <v>2252</v>
      </c>
      <c r="B455" t="s">
        <v>2253</v>
      </c>
      <c r="C455" t="s">
        <v>11226</v>
      </c>
      <c r="E455" t="s">
        <v>11227</v>
      </c>
      <c r="F455" t="s">
        <v>11231</v>
      </c>
      <c r="G455" t="s">
        <v>11232</v>
      </c>
      <c r="H455" t="s">
        <v>11233</v>
      </c>
    </row>
    <row r="456" spans="1:8" x14ac:dyDescent="0.45">
      <c r="A456" t="s">
        <v>5554</v>
      </c>
      <c r="B456" t="s">
        <v>5555</v>
      </c>
      <c r="C456" t="s">
        <v>11234</v>
      </c>
      <c r="E456" t="s">
        <v>11235</v>
      </c>
      <c r="F456" t="s">
        <v>11236</v>
      </c>
      <c r="G456" t="s">
        <v>11237</v>
      </c>
      <c r="H456" t="s">
        <v>11238</v>
      </c>
    </row>
    <row r="457" spans="1:8" x14ac:dyDescent="0.45">
      <c r="A457" t="s">
        <v>5554</v>
      </c>
      <c r="B457" t="s">
        <v>5555</v>
      </c>
      <c r="C457" t="s">
        <v>11234</v>
      </c>
      <c r="E457" t="s">
        <v>11235</v>
      </c>
      <c r="F457" t="s">
        <v>11178</v>
      </c>
      <c r="G457" t="s">
        <v>11179</v>
      </c>
      <c r="H457" t="s">
        <v>11180</v>
      </c>
    </row>
    <row r="458" spans="1:8" x14ac:dyDescent="0.45">
      <c r="A458" t="s">
        <v>8950</v>
      </c>
      <c r="B458" t="s">
        <v>8951</v>
      </c>
      <c r="C458" t="s">
        <v>11239</v>
      </c>
      <c r="E458" t="s">
        <v>11240</v>
      </c>
      <c r="F458" t="s">
        <v>11241</v>
      </c>
      <c r="G458" t="s">
        <v>11242</v>
      </c>
      <c r="H458" t="s">
        <v>11243</v>
      </c>
    </row>
    <row r="459" spans="1:8" x14ac:dyDescent="0.45">
      <c r="A459" t="s">
        <v>2875</v>
      </c>
      <c r="B459" t="s">
        <v>2876</v>
      </c>
      <c r="C459" t="s">
        <v>11244</v>
      </c>
      <c r="E459" t="s">
        <v>11245</v>
      </c>
      <c r="F459" t="s">
        <v>11246</v>
      </c>
      <c r="G459" t="s">
        <v>11247</v>
      </c>
      <c r="H459" t="s">
        <v>11248</v>
      </c>
    </row>
    <row r="460" spans="1:8" x14ac:dyDescent="0.45">
      <c r="A460" t="s">
        <v>2875</v>
      </c>
      <c r="B460" t="s">
        <v>2876</v>
      </c>
      <c r="C460" t="s">
        <v>11244</v>
      </c>
      <c r="E460" t="s">
        <v>11245</v>
      </c>
      <c r="F460" t="s">
        <v>11249</v>
      </c>
      <c r="G460" t="s">
        <v>11250</v>
      </c>
      <c r="H460" t="s">
        <v>11251</v>
      </c>
    </row>
    <row r="461" spans="1:8" x14ac:dyDescent="0.45">
      <c r="A461" t="s">
        <v>2875</v>
      </c>
      <c r="B461" t="s">
        <v>2876</v>
      </c>
      <c r="C461" t="s">
        <v>11244</v>
      </c>
      <c r="E461" t="s">
        <v>11245</v>
      </c>
      <c r="F461" t="s">
        <v>11252</v>
      </c>
      <c r="G461" t="s">
        <v>11253</v>
      </c>
      <c r="H461" t="s">
        <v>11254</v>
      </c>
    </row>
    <row r="462" spans="1:8" x14ac:dyDescent="0.45">
      <c r="A462" t="s">
        <v>7562</v>
      </c>
      <c r="B462" t="s">
        <v>7563</v>
      </c>
      <c r="C462" t="s">
        <v>11244</v>
      </c>
      <c r="E462" t="s">
        <v>11245</v>
      </c>
      <c r="F462" t="s">
        <v>11246</v>
      </c>
      <c r="G462" t="s">
        <v>11247</v>
      </c>
      <c r="H462" t="s">
        <v>11248</v>
      </c>
    </row>
    <row r="463" spans="1:8" x14ac:dyDescent="0.45">
      <c r="A463" t="s">
        <v>7562</v>
      </c>
      <c r="B463" t="s">
        <v>7563</v>
      </c>
      <c r="C463" t="s">
        <v>11244</v>
      </c>
      <c r="E463" t="s">
        <v>11245</v>
      </c>
      <c r="F463" t="s">
        <v>11249</v>
      </c>
      <c r="G463" t="s">
        <v>11250</v>
      </c>
      <c r="H463" t="s">
        <v>11251</v>
      </c>
    </row>
    <row r="464" spans="1:8" x14ac:dyDescent="0.45">
      <c r="A464" t="s">
        <v>7562</v>
      </c>
      <c r="B464" t="s">
        <v>7563</v>
      </c>
      <c r="C464" t="s">
        <v>11244</v>
      </c>
      <c r="E464" t="s">
        <v>11245</v>
      </c>
      <c r="F464" t="s">
        <v>11252</v>
      </c>
      <c r="G464" t="s">
        <v>11253</v>
      </c>
      <c r="H464" t="s">
        <v>11254</v>
      </c>
    </row>
    <row r="465" spans="1:8" x14ac:dyDescent="0.45">
      <c r="A465" t="s">
        <v>8194</v>
      </c>
      <c r="B465" t="s">
        <v>8195</v>
      </c>
      <c r="C465" t="s">
        <v>11255</v>
      </c>
    </row>
    <row r="466" spans="1:8" x14ac:dyDescent="0.45">
      <c r="A466" t="s">
        <v>8310</v>
      </c>
      <c r="B466" t="s">
        <v>8311</v>
      </c>
      <c r="C466" t="s">
        <v>11255</v>
      </c>
    </row>
    <row r="467" spans="1:8" x14ac:dyDescent="0.45">
      <c r="A467" t="s">
        <v>4223</v>
      </c>
      <c r="B467" t="s">
        <v>4224</v>
      </c>
      <c r="C467" t="s">
        <v>11256</v>
      </c>
      <c r="E467" t="s">
        <v>11257</v>
      </c>
      <c r="F467" t="s">
        <v>11258</v>
      </c>
      <c r="G467" t="s">
        <v>11259</v>
      </c>
      <c r="H467" t="s">
        <v>11260</v>
      </c>
    </row>
    <row r="468" spans="1:8" x14ac:dyDescent="0.45">
      <c r="A468" t="s">
        <v>4223</v>
      </c>
      <c r="B468" t="s">
        <v>4224</v>
      </c>
      <c r="C468" t="s">
        <v>11256</v>
      </c>
      <c r="E468" t="s">
        <v>11257</v>
      </c>
      <c r="F468" t="s">
        <v>11261</v>
      </c>
      <c r="G468" t="s">
        <v>11262</v>
      </c>
      <c r="H468" t="s">
        <v>11263</v>
      </c>
    </row>
    <row r="469" spans="1:8" x14ac:dyDescent="0.45">
      <c r="A469" t="s">
        <v>4223</v>
      </c>
      <c r="B469" t="s">
        <v>4224</v>
      </c>
      <c r="C469" t="s">
        <v>11256</v>
      </c>
      <c r="E469" t="s">
        <v>11257</v>
      </c>
      <c r="F469" t="s">
        <v>11264</v>
      </c>
      <c r="G469" t="s">
        <v>11265</v>
      </c>
      <c r="H469" t="s">
        <v>11266</v>
      </c>
    </row>
    <row r="470" spans="1:8" x14ac:dyDescent="0.45">
      <c r="A470" t="s">
        <v>4223</v>
      </c>
      <c r="B470" t="s">
        <v>4224</v>
      </c>
      <c r="C470" t="s">
        <v>11256</v>
      </c>
      <c r="E470" t="s">
        <v>11257</v>
      </c>
      <c r="F470" t="s">
        <v>11267</v>
      </c>
      <c r="G470" t="s">
        <v>11268</v>
      </c>
      <c r="H470" t="s">
        <v>11269</v>
      </c>
    </row>
    <row r="471" spans="1:8" x14ac:dyDescent="0.45">
      <c r="A471" t="s">
        <v>4223</v>
      </c>
      <c r="B471" t="s">
        <v>4224</v>
      </c>
      <c r="C471" t="s">
        <v>11256</v>
      </c>
      <c r="E471" t="s">
        <v>11257</v>
      </c>
      <c r="F471" t="s">
        <v>11270</v>
      </c>
      <c r="G471" t="s">
        <v>11271</v>
      </c>
      <c r="H471" t="s">
        <v>11272</v>
      </c>
    </row>
    <row r="472" spans="1:8" x14ac:dyDescent="0.45">
      <c r="A472" t="s">
        <v>4223</v>
      </c>
      <c r="B472" t="s">
        <v>4224</v>
      </c>
      <c r="C472" t="s">
        <v>11256</v>
      </c>
      <c r="E472" t="s">
        <v>11257</v>
      </c>
      <c r="F472" t="s">
        <v>11273</v>
      </c>
      <c r="G472" t="s">
        <v>11274</v>
      </c>
      <c r="H472" t="s">
        <v>11275</v>
      </c>
    </row>
    <row r="473" spans="1:8" x14ac:dyDescent="0.45">
      <c r="A473" t="s">
        <v>4223</v>
      </c>
      <c r="B473" t="s">
        <v>4224</v>
      </c>
      <c r="C473" t="s">
        <v>11256</v>
      </c>
      <c r="E473" t="s">
        <v>11257</v>
      </c>
      <c r="F473" t="s">
        <v>11276</v>
      </c>
      <c r="G473" t="s">
        <v>11277</v>
      </c>
      <c r="H473" t="s">
        <v>11278</v>
      </c>
    </row>
    <row r="474" spans="1:8" x14ac:dyDescent="0.45">
      <c r="A474" t="s">
        <v>4223</v>
      </c>
      <c r="B474" t="s">
        <v>4224</v>
      </c>
      <c r="C474" t="s">
        <v>11256</v>
      </c>
      <c r="E474" t="s">
        <v>11257</v>
      </c>
      <c r="F474" t="s">
        <v>11279</v>
      </c>
      <c r="G474" t="s">
        <v>11280</v>
      </c>
      <c r="H474" t="s">
        <v>11281</v>
      </c>
    </row>
    <row r="475" spans="1:8" x14ac:dyDescent="0.45">
      <c r="A475" t="s">
        <v>2672</v>
      </c>
      <c r="B475" t="s">
        <v>2673</v>
      </c>
      <c r="C475" t="s">
        <v>11282</v>
      </c>
      <c r="E475" t="s">
        <v>11283</v>
      </c>
      <c r="F475" t="s">
        <v>11284</v>
      </c>
      <c r="G475" t="s">
        <v>11285</v>
      </c>
      <c r="H475" t="s">
        <v>11286</v>
      </c>
    </row>
    <row r="476" spans="1:8" x14ac:dyDescent="0.45">
      <c r="A476" t="s">
        <v>2453</v>
      </c>
      <c r="B476" t="s">
        <v>2454</v>
      </c>
      <c r="C476" t="s">
        <v>11287</v>
      </c>
      <c r="E476" t="s">
        <v>11288</v>
      </c>
      <c r="F476" t="s">
        <v>11289</v>
      </c>
      <c r="G476" t="s">
        <v>11290</v>
      </c>
      <c r="H476" t="s">
        <v>11291</v>
      </c>
    </row>
    <row r="477" spans="1:8" x14ac:dyDescent="0.45">
      <c r="A477" t="s">
        <v>961</v>
      </c>
      <c r="B477" t="s">
        <v>962</v>
      </c>
      <c r="C477" t="s">
        <v>11292</v>
      </c>
    </row>
    <row r="478" spans="1:8" x14ac:dyDescent="0.45">
      <c r="A478" t="s">
        <v>2322</v>
      </c>
      <c r="B478" t="s">
        <v>2323</v>
      </c>
      <c r="C478" t="s">
        <v>11292</v>
      </c>
    </row>
    <row r="479" spans="1:8" x14ac:dyDescent="0.45">
      <c r="A479" t="s">
        <v>2480</v>
      </c>
      <c r="B479" t="s">
        <v>2481</v>
      </c>
      <c r="C479" t="s">
        <v>11292</v>
      </c>
    </row>
    <row r="480" spans="1:8" x14ac:dyDescent="0.45">
      <c r="A480" t="s">
        <v>2788</v>
      </c>
      <c r="B480" t="s">
        <v>2789</v>
      </c>
      <c r="C480" t="s">
        <v>11292</v>
      </c>
    </row>
    <row r="481" spans="1:8" x14ac:dyDescent="0.45">
      <c r="A481" t="s">
        <v>3291</v>
      </c>
      <c r="B481" t="s">
        <v>3292</v>
      </c>
      <c r="C481" t="s">
        <v>11292</v>
      </c>
    </row>
    <row r="482" spans="1:8" x14ac:dyDescent="0.45">
      <c r="A482" t="s">
        <v>7179</v>
      </c>
      <c r="B482" t="s">
        <v>7180</v>
      </c>
      <c r="C482" t="s">
        <v>11292</v>
      </c>
    </row>
    <row r="483" spans="1:8" x14ac:dyDescent="0.45">
      <c r="A483" t="s">
        <v>7823</v>
      </c>
      <c r="B483" t="s">
        <v>7824</v>
      </c>
      <c r="C483" t="s">
        <v>11292</v>
      </c>
    </row>
    <row r="484" spans="1:8" x14ac:dyDescent="0.45">
      <c r="A484" t="s">
        <v>7828</v>
      </c>
      <c r="B484" t="s">
        <v>7829</v>
      </c>
      <c r="C484" t="s">
        <v>11292</v>
      </c>
    </row>
    <row r="485" spans="1:8" x14ac:dyDescent="0.45">
      <c r="A485" t="s">
        <v>7831</v>
      </c>
      <c r="B485" t="s">
        <v>7832</v>
      </c>
      <c r="C485" t="s">
        <v>11292</v>
      </c>
    </row>
    <row r="486" spans="1:8" x14ac:dyDescent="0.45">
      <c r="A486" t="s">
        <v>7833</v>
      </c>
      <c r="B486" t="s">
        <v>7834</v>
      </c>
      <c r="C486" t="s">
        <v>11292</v>
      </c>
    </row>
    <row r="487" spans="1:8" x14ac:dyDescent="0.45">
      <c r="A487" t="s">
        <v>7838</v>
      </c>
      <c r="B487" t="s">
        <v>7839</v>
      </c>
      <c r="C487" t="s">
        <v>11292</v>
      </c>
    </row>
    <row r="488" spans="1:8" x14ac:dyDescent="0.45">
      <c r="A488" t="s">
        <v>9246</v>
      </c>
      <c r="B488" t="s">
        <v>9247</v>
      </c>
      <c r="C488" t="s">
        <v>11292</v>
      </c>
    </row>
    <row r="489" spans="1:8" x14ac:dyDescent="0.45">
      <c r="A489" t="s">
        <v>964</v>
      </c>
      <c r="B489" t="s">
        <v>965</v>
      </c>
      <c r="C489" t="s">
        <v>11292</v>
      </c>
    </row>
    <row r="490" spans="1:8" x14ac:dyDescent="0.45">
      <c r="A490" t="s">
        <v>2594</v>
      </c>
      <c r="B490" t="s">
        <v>2595</v>
      </c>
      <c r="C490" t="s">
        <v>11293</v>
      </c>
      <c r="E490" t="s">
        <v>11294</v>
      </c>
      <c r="F490" t="s">
        <v>11295</v>
      </c>
      <c r="G490" t="s">
        <v>11296</v>
      </c>
      <c r="H490" t="s">
        <v>11297</v>
      </c>
    </row>
    <row r="491" spans="1:8" x14ac:dyDescent="0.45">
      <c r="A491" t="s">
        <v>2594</v>
      </c>
      <c r="B491" t="s">
        <v>2595</v>
      </c>
      <c r="C491" t="s">
        <v>11293</v>
      </c>
      <c r="E491" t="s">
        <v>11294</v>
      </c>
      <c r="F491" t="s">
        <v>11298</v>
      </c>
      <c r="G491" t="s">
        <v>11299</v>
      </c>
      <c r="H491" t="s">
        <v>11300</v>
      </c>
    </row>
    <row r="492" spans="1:8" x14ac:dyDescent="0.45">
      <c r="A492" t="s">
        <v>2594</v>
      </c>
      <c r="B492" t="s">
        <v>2595</v>
      </c>
      <c r="C492" t="s">
        <v>11293</v>
      </c>
      <c r="E492" t="s">
        <v>11294</v>
      </c>
      <c r="F492" t="s">
        <v>11301</v>
      </c>
      <c r="G492" t="s">
        <v>11302</v>
      </c>
      <c r="H492" t="s">
        <v>11297</v>
      </c>
    </row>
    <row r="493" spans="1:8" x14ac:dyDescent="0.45">
      <c r="A493" t="s">
        <v>2594</v>
      </c>
      <c r="B493" t="s">
        <v>2595</v>
      </c>
      <c r="C493" t="s">
        <v>11293</v>
      </c>
      <c r="E493" t="s">
        <v>11294</v>
      </c>
      <c r="F493" t="s">
        <v>11303</v>
      </c>
      <c r="G493" t="s">
        <v>11304</v>
      </c>
      <c r="H493" t="s">
        <v>11300</v>
      </c>
    </row>
    <row r="494" spans="1:8" x14ac:dyDescent="0.45">
      <c r="A494" t="s">
        <v>2591</v>
      </c>
      <c r="B494" t="s">
        <v>2592</v>
      </c>
      <c r="C494" t="s">
        <v>11305</v>
      </c>
      <c r="E494" t="s">
        <v>11306</v>
      </c>
      <c r="F494" t="s">
        <v>11307</v>
      </c>
      <c r="G494" t="s">
        <v>11308</v>
      </c>
      <c r="H494" t="s">
        <v>11309</v>
      </c>
    </row>
    <row r="495" spans="1:8" x14ac:dyDescent="0.45">
      <c r="A495" t="s">
        <v>2591</v>
      </c>
      <c r="B495" t="s">
        <v>2592</v>
      </c>
      <c r="C495" t="s">
        <v>11305</v>
      </c>
      <c r="E495" t="s">
        <v>11306</v>
      </c>
      <c r="F495" t="s">
        <v>11310</v>
      </c>
      <c r="G495" t="s">
        <v>11311</v>
      </c>
      <c r="H495" t="s">
        <v>11312</v>
      </c>
    </row>
    <row r="496" spans="1:8" x14ac:dyDescent="0.45">
      <c r="A496" t="s">
        <v>7491</v>
      </c>
      <c r="B496" t="s">
        <v>7492</v>
      </c>
      <c r="C496" t="s">
        <v>11313</v>
      </c>
      <c r="E496" t="s">
        <v>11314</v>
      </c>
      <c r="F496" t="s">
        <v>11315</v>
      </c>
      <c r="G496" t="s">
        <v>11316</v>
      </c>
      <c r="H496" t="s">
        <v>11317</v>
      </c>
    </row>
    <row r="497" spans="1:8" x14ac:dyDescent="0.45">
      <c r="A497" t="s">
        <v>7491</v>
      </c>
      <c r="B497" t="s">
        <v>7492</v>
      </c>
      <c r="C497" t="s">
        <v>11313</v>
      </c>
      <c r="E497" t="s">
        <v>11314</v>
      </c>
      <c r="F497" t="s">
        <v>11318</v>
      </c>
      <c r="G497" t="s">
        <v>11319</v>
      </c>
      <c r="H497" t="s">
        <v>11320</v>
      </c>
    </row>
    <row r="498" spans="1:8" x14ac:dyDescent="0.45">
      <c r="A498" t="s">
        <v>7491</v>
      </c>
      <c r="B498" t="s">
        <v>7492</v>
      </c>
      <c r="C498" t="s">
        <v>11313</v>
      </c>
      <c r="E498" t="s">
        <v>11314</v>
      </c>
      <c r="F498" t="s">
        <v>11321</v>
      </c>
      <c r="G498" t="s">
        <v>11322</v>
      </c>
      <c r="H498" t="s">
        <v>11323</v>
      </c>
    </row>
    <row r="499" spans="1:8" x14ac:dyDescent="0.45">
      <c r="A499" t="s">
        <v>7491</v>
      </c>
      <c r="B499" t="s">
        <v>7492</v>
      </c>
      <c r="C499" t="s">
        <v>11313</v>
      </c>
      <c r="E499" t="s">
        <v>11314</v>
      </c>
      <c r="F499" t="s">
        <v>11324</v>
      </c>
      <c r="G499" t="s">
        <v>11325</v>
      </c>
      <c r="H499" t="s">
        <v>11326</v>
      </c>
    </row>
    <row r="500" spans="1:8" x14ac:dyDescent="0.45">
      <c r="A500" t="s">
        <v>7491</v>
      </c>
      <c r="B500" t="s">
        <v>7492</v>
      </c>
      <c r="C500" t="s">
        <v>11313</v>
      </c>
      <c r="E500" t="s">
        <v>11314</v>
      </c>
      <c r="F500" t="s">
        <v>11327</v>
      </c>
      <c r="G500" t="s">
        <v>11328</v>
      </c>
      <c r="H500" t="s">
        <v>11329</v>
      </c>
    </row>
    <row r="501" spans="1:8" x14ac:dyDescent="0.45">
      <c r="A501" t="s">
        <v>4750</v>
      </c>
      <c r="B501" t="s">
        <v>4751</v>
      </c>
      <c r="C501" t="s">
        <v>11330</v>
      </c>
      <c r="E501" t="s">
        <v>11331</v>
      </c>
      <c r="F501" t="s">
        <v>11332</v>
      </c>
      <c r="G501" t="s">
        <v>11333</v>
      </c>
      <c r="H501" t="s">
        <v>11334</v>
      </c>
    </row>
    <row r="502" spans="1:8" x14ac:dyDescent="0.45">
      <c r="A502" t="s">
        <v>4750</v>
      </c>
      <c r="B502" t="s">
        <v>4751</v>
      </c>
      <c r="C502" t="s">
        <v>11330</v>
      </c>
      <c r="E502" t="s">
        <v>11331</v>
      </c>
      <c r="F502" t="s">
        <v>11335</v>
      </c>
      <c r="G502" t="s">
        <v>11336</v>
      </c>
      <c r="H502" t="s">
        <v>11337</v>
      </c>
    </row>
    <row r="503" spans="1:8" x14ac:dyDescent="0.45">
      <c r="A503" t="s">
        <v>4750</v>
      </c>
      <c r="B503" t="s">
        <v>4751</v>
      </c>
      <c r="C503" t="s">
        <v>11330</v>
      </c>
      <c r="E503" t="s">
        <v>11331</v>
      </c>
      <c r="F503" t="s">
        <v>11338</v>
      </c>
      <c r="G503" t="s">
        <v>11339</v>
      </c>
      <c r="H503" t="s">
        <v>11340</v>
      </c>
    </row>
    <row r="504" spans="1:8" x14ac:dyDescent="0.45">
      <c r="A504" t="s">
        <v>4750</v>
      </c>
      <c r="B504" t="s">
        <v>4751</v>
      </c>
      <c r="C504" t="s">
        <v>11330</v>
      </c>
      <c r="E504" t="s">
        <v>11331</v>
      </c>
      <c r="F504" t="s">
        <v>11341</v>
      </c>
      <c r="G504" t="s">
        <v>11342</v>
      </c>
      <c r="H504" t="s">
        <v>11343</v>
      </c>
    </row>
    <row r="505" spans="1:8" x14ac:dyDescent="0.45">
      <c r="A505" t="s">
        <v>4750</v>
      </c>
      <c r="B505" t="s">
        <v>4751</v>
      </c>
      <c r="C505" t="s">
        <v>11330</v>
      </c>
      <c r="E505" t="s">
        <v>11331</v>
      </c>
      <c r="F505" t="s">
        <v>11344</v>
      </c>
      <c r="G505" t="s">
        <v>11345</v>
      </c>
      <c r="H505" t="s">
        <v>11346</v>
      </c>
    </row>
    <row r="506" spans="1:8" x14ac:dyDescent="0.45">
      <c r="A506" t="s">
        <v>4750</v>
      </c>
      <c r="B506" t="s">
        <v>4751</v>
      </c>
      <c r="C506" t="s">
        <v>11330</v>
      </c>
      <c r="E506" t="s">
        <v>11331</v>
      </c>
      <c r="F506" t="s">
        <v>11347</v>
      </c>
      <c r="G506" t="s">
        <v>11348</v>
      </c>
      <c r="H506" t="s">
        <v>11349</v>
      </c>
    </row>
    <row r="507" spans="1:8" x14ac:dyDescent="0.45">
      <c r="A507" t="s">
        <v>4750</v>
      </c>
      <c r="B507" t="s">
        <v>4751</v>
      </c>
      <c r="C507" t="s">
        <v>11330</v>
      </c>
      <c r="E507" t="s">
        <v>11331</v>
      </c>
      <c r="F507" t="s">
        <v>11350</v>
      </c>
      <c r="G507" t="s">
        <v>11351</v>
      </c>
      <c r="H507" t="s">
        <v>11352</v>
      </c>
    </row>
    <row r="508" spans="1:8" x14ac:dyDescent="0.45">
      <c r="A508" t="s">
        <v>4750</v>
      </c>
      <c r="B508" t="s">
        <v>4751</v>
      </c>
      <c r="C508" t="s">
        <v>11330</v>
      </c>
      <c r="E508" t="s">
        <v>11331</v>
      </c>
      <c r="F508" t="s">
        <v>11353</v>
      </c>
      <c r="G508" t="s">
        <v>11354</v>
      </c>
      <c r="H508" t="s">
        <v>11355</v>
      </c>
    </row>
    <row r="509" spans="1:8" x14ac:dyDescent="0.45">
      <c r="A509" t="s">
        <v>4750</v>
      </c>
      <c r="B509" t="s">
        <v>4751</v>
      </c>
      <c r="C509" t="s">
        <v>11330</v>
      </c>
      <c r="E509" t="s">
        <v>11331</v>
      </c>
      <c r="F509" t="s">
        <v>11356</v>
      </c>
      <c r="G509" t="s">
        <v>11357</v>
      </c>
      <c r="H509" t="s">
        <v>11358</v>
      </c>
    </row>
    <row r="510" spans="1:8" x14ac:dyDescent="0.45">
      <c r="A510" t="s">
        <v>4750</v>
      </c>
      <c r="B510" t="s">
        <v>4751</v>
      </c>
      <c r="C510" t="s">
        <v>11330</v>
      </c>
      <c r="E510" t="s">
        <v>11331</v>
      </c>
      <c r="F510" t="s">
        <v>11359</v>
      </c>
      <c r="G510" t="s">
        <v>11360</v>
      </c>
      <c r="H510" t="s">
        <v>11361</v>
      </c>
    </row>
    <row r="511" spans="1:8" x14ac:dyDescent="0.45">
      <c r="A511" t="s">
        <v>4750</v>
      </c>
      <c r="B511" t="s">
        <v>4751</v>
      </c>
      <c r="C511" t="s">
        <v>11330</v>
      </c>
      <c r="E511" t="s">
        <v>11331</v>
      </c>
      <c r="F511" t="s">
        <v>11362</v>
      </c>
      <c r="G511" t="s">
        <v>11363</v>
      </c>
      <c r="H511" t="s">
        <v>11364</v>
      </c>
    </row>
    <row r="512" spans="1:8" x14ac:dyDescent="0.45">
      <c r="A512" t="s">
        <v>3310</v>
      </c>
      <c r="B512" t="s">
        <v>3311</v>
      </c>
      <c r="C512" t="s">
        <v>11330</v>
      </c>
      <c r="E512" t="s">
        <v>11331</v>
      </c>
      <c r="F512" t="s">
        <v>11332</v>
      </c>
      <c r="G512" t="s">
        <v>11333</v>
      </c>
      <c r="H512" t="s">
        <v>11334</v>
      </c>
    </row>
    <row r="513" spans="1:8" x14ac:dyDescent="0.45">
      <c r="A513" t="s">
        <v>3310</v>
      </c>
      <c r="B513" t="s">
        <v>3311</v>
      </c>
      <c r="C513" t="s">
        <v>11330</v>
      </c>
      <c r="E513" t="s">
        <v>11331</v>
      </c>
      <c r="F513" t="s">
        <v>11335</v>
      </c>
      <c r="G513" t="s">
        <v>11336</v>
      </c>
      <c r="H513" t="s">
        <v>11337</v>
      </c>
    </row>
    <row r="514" spans="1:8" x14ac:dyDescent="0.45">
      <c r="A514" t="s">
        <v>3310</v>
      </c>
      <c r="B514" t="s">
        <v>3311</v>
      </c>
      <c r="C514" t="s">
        <v>11330</v>
      </c>
      <c r="E514" t="s">
        <v>11331</v>
      </c>
      <c r="F514" t="s">
        <v>11338</v>
      </c>
      <c r="G514" t="s">
        <v>11339</v>
      </c>
      <c r="H514" t="s">
        <v>11340</v>
      </c>
    </row>
    <row r="515" spans="1:8" x14ac:dyDescent="0.45">
      <c r="A515" t="s">
        <v>3310</v>
      </c>
      <c r="B515" t="s">
        <v>3311</v>
      </c>
      <c r="C515" t="s">
        <v>11330</v>
      </c>
      <c r="E515" t="s">
        <v>11331</v>
      </c>
      <c r="F515" t="s">
        <v>11341</v>
      </c>
      <c r="G515" t="s">
        <v>11342</v>
      </c>
      <c r="H515" t="s">
        <v>11343</v>
      </c>
    </row>
    <row r="516" spans="1:8" x14ac:dyDescent="0.45">
      <c r="A516" t="s">
        <v>3310</v>
      </c>
      <c r="B516" t="s">
        <v>3311</v>
      </c>
      <c r="C516" t="s">
        <v>11330</v>
      </c>
      <c r="E516" t="s">
        <v>11331</v>
      </c>
      <c r="F516" t="s">
        <v>11344</v>
      </c>
      <c r="G516" t="s">
        <v>11345</v>
      </c>
      <c r="H516" t="s">
        <v>11346</v>
      </c>
    </row>
    <row r="517" spans="1:8" x14ac:dyDescent="0.45">
      <c r="A517" t="s">
        <v>3310</v>
      </c>
      <c r="B517" t="s">
        <v>3311</v>
      </c>
      <c r="C517" t="s">
        <v>11330</v>
      </c>
      <c r="E517" t="s">
        <v>11331</v>
      </c>
      <c r="F517" t="s">
        <v>11347</v>
      </c>
      <c r="G517" t="s">
        <v>11348</v>
      </c>
      <c r="H517" t="s">
        <v>11349</v>
      </c>
    </row>
    <row r="518" spans="1:8" x14ac:dyDescent="0.45">
      <c r="A518" t="s">
        <v>3310</v>
      </c>
      <c r="B518" t="s">
        <v>3311</v>
      </c>
      <c r="C518" t="s">
        <v>11330</v>
      </c>
      <c r="E518" t="s">
        <v>11331</v>
      </c>
      <c r="F518" t="s">
        <v>11350</v>
      </c>
      <c r="G518" t="s">
        <v>11351</v>
      </c>
      <c r="H518" t="s">
        <v>11352</v>
      </c>
    </row>
    <row r="519" spans="1:8" x14ac:dyDescent="0.45">
      <c r="A519" t="s">
        <v>3310</v>
      </c>
      <c r="B519" t="s">
        <v>3311</v>
      </c>
      <c r="C519" t="s">
        <v>11330</v>
      </c>
      <c r="E519" t="s">
        <v>11331</v>
      </c>
      <c r="F519" t="s">
        <v>11353</v>
      </c>
      <c r="G519" t="s">
        <v>11354</v>
      </c>
      <c r="H519" t="s">
        <v>11355</v>
      </c>
    </row>
    <row r="520" spans="1:8" x14ac:dyDescent="0.45">
      <c r="A520" t="s">
        <v>3310</v>
      </c>
      <c r="B520" t="s">
        <v>3311</v>
      </c>
      <c r="C520" t="s">
        <v>11330</v>
      </c>
      <c r="E520" t="s">
        <v>11331</v>
      </c>
      <c r="F520" t="s">
        <v>11356</v>
      </c>
      <c r="G520" t="s">
        <v>11357</v>
      </c>
      <c r="H520" t="s">
        <v>11358</v>
      </c>
    </row>
    <row r="521" spans="1:8" x14ac:dyDescent="0.45">
      <c r="A521" t="s">
        <v>3310</v>
      </c>
      <c r="B521" t="s">
        <v>3311</v>
      </c>
      <c r="C521" t="s">
        <v>11330</v>
      </c>
      <c r="E521" t="s">
        <v>11331</v>
      </c>
      <c r="F521" t="s">
        <v>11359</v>
      </c>
      <c r="G521" t="s">
        <v>11360</v>
      </c>
      <c r="H521" t="s">
        <v>11361</v>
      </c>
    </row>
    <row r="522" spans="1:8" x14ac:dyDescent="0.45">
      <c r="A522" t="s">
        <v>3310</v>
      </c>
      <c r="B522" t="s">
        <v>3311</v>
      </c>
      <c r="C522" t="s">
        <v>11330</v>
      </c>
      <c r="E522" t="s">
        <v>11331</v>
      </c>
      <c r="F522" t="s">
        <v>11362</v>
      </c>
      <c r="G522" t="s">
        <v>11363</v>
      </c>
      <c r="H522" t="s">
        <v>11364</v>
      </c>
    </row>
    <row r="523" spans="1:8" x14ac:dyDescent="0.45">
      <c r="A523" t="s">
        <v>787</v>
      </c>
      <c r="B523" t="s">
        <v>788</v>
      </c>
      <c r="C523" t="s">
        <v>11365</v>
      </c>
      <c r="E523" t="s">
        <v>11366</v>
      </c>
      <c r="F523" t="s">
        <v>11367</v>
      </c>
      <c r="G523" t="s">
        <v>11368</v>
      </c>
      <c r="H523" t="s">
        <v>11369</v>
      </c>
    </row>
    <row r="524" spans="1:8" x14ac:dyDescent="0.45">
      <c r="A524" t="s">
        <v>787</v>
      </c>
      <c r="B524" t="s">
        <v>788</v>
      </c>
      <c r="C524" t="s">
        <v>11365</v>
      </c>
      <c r="E524" t="s">
        <v>11366</v>
      </c>
      <c r="F524" t="s">
        <v>11370</v>
      </c>
      <c r="G524" t="s">
        <v>11371</v>
      </c>
      <c r="H524" t="s">
        <v>11372</v>
      </c>
    </row>
    <row r="525" spans="1:8" x14ac:dyDescent="0.45">
      <c r="A525" t="s">
        <v>875</v>
      </c>
      <c r="B525" t="s">
        <v>876</v>
      </c>
      <c r="C525" t="s">
        <v>11373</v>
      </c>
      <c r="E525" t="s">
        <v>11374</v>
      </c>
      <c r="F525" t="s">
        <v>11375</v>
      </c>
      <c r="G525" t="s">
        <v>11376</v>
      </c>
      <c r="H525" t="s">
        <v>11377</v>
      </c>
    </row>
    <row r="526" spans="1:8" x14ac:dyDescent="0.45">
      <c r="A526" t="s">
        <v>4264</v>
      </c>
      <c r="B526" t="s">
        <v>4265</v>
      </c>
      <c r="C526" t="s">
        <v>11378</v>
      </c>
      <c r="E526" t="s">
        <v>11379</v>
      </c>
      <c r="F526" t="s">
        <v>11380</v>
      </c>
      <c r="G526" t="s">
        <v>11381</v>
      </c>
      <c r="H526" t="s">
        <v>11382</v>
      </c>
    </row>
    <row r="527" spans="1:8" x14ac:dyDescent="0.45">
      <c r="A527" t="s">
        <v>6689</v>
      </c>
      <c r="B527" t="s">
        <v>6690</v>
      </c>
      <c r="C527" t="s">
        <v>11383</v>
      </c>
      <c r="E527" t="s">
        <v>11384</v>
      </c>
      <c r="F527" t="s">
        <v>11385</v>
      </c>
      <c r="G527" t="s">
        <v>11386</v>
      </c>
      <c r="H527" t="s">
        <v>11387</v>
      </c>
    </row>
    <row r="528" spans="1:8" x14ac:dyDescent="0.45">
      <c r="A528" t="s">
        <v>4750</v>
      </c>
      <c r="B528" t="s">
        <v>4751</v>
      </c>
      <c r="C528" t="s">
        <v>11388</v>
      </c>
      <c r="E528" t="s">
        <v>11389</v>
      </c>
      <c r="F528" t="s">
        <v>11390</v>
      </c>
      <c r="G528" t="s">
        <v>11391</v>
      </c>
      <c r="H528" t="s">
        <v>11392</v>
      </c>
    </row>
    <row r="529" spans="1:8" x14ac:dyDescent="0.45">
      <c r="A529" t="s">
        <v>4750</v>
      </c>
      <c r="B529" t="s">
        <v>4751</v>
      </c>
      <c r="C529" t="s">
        <v>11388</v>
      </c>
      <c r="E529" t="s">
        <v>11389</v>
      </c>
      <c r="F529" t="s">
        <v>11393</v>
      </c>
      <c r="G529" t="s">
        <v>11394</v>
      </c>
      <c r="H529" t="s">
        <v>11395</v>
      </c>
    </row>
    <row r="530" spans="1:8" x14ac:dyDescent="0.45">
      <c r="A530" t="s">
        <v>4750</v>
      </c>
      <c r="B530" t="s">
        <v>4751</v>
      </c>
      <c r="C530" t="s">
        <v>11388</v>
      </c>
      <c r="E530" t="s">
        <v>11389</v>
      </c>
      <c r="F530" t="s">
        <v>11396</v>
      </c>
      <c r="G530" t="s">
        <v>11397</v>
      </c>
      <c r="H530" t="s">
        <v>11398</v>
      </c>
    </row>
    <row r="531" spans="1:8" x14ac:dyDescent="0.45">
      <c r="A531" t="s">
        <v>4750</v>
      </c>
      <c r="B531" t="s">
        <v>4751</v>
      </c>
      <c r="C531" t="s">
        <v>11388</v>
      </c>
      <c r="E531" t="s">
        <v>11389</v>
      </c>
      <c r="F531" t="s">
        <v>11399</v>
      </c>
      <c r="G531" t="s">
        <v>11400</v>
      </c>
      <c r="H531" t="s">
        <v>11401</v>
      </c>
    </row>
    <row r="532" spans="1:8" x14ac:dyDescent="0.45">
      <c r="A532" t="s">
        <v>4750</v>
      </c>
      <c r="B532" t="s">
        <v>4751</v>
      </c>
      <c r="C532" t="s">
        <v>11388</v>
      </c>
      <c r="E532" t="s">
        <v>11389</v>
      </c>
      <c r="F532" t="s">
        <v>11402</v>
      </c>
      <c r="G532" t="s">
        <v>11403</v>
      </c>
      <c r="H532" t="s">
        <v>11404</v>
      </c>
    </row>
    <row r="533" spans="1:8" x14ac:dyDescent="0.45">
      <c r="A533" t="s">
        <v>3313</v>
      </c>
      <c r="B533" t="s">
        <v>3314</v>
      </c>
      <c r="C533" t="s">
        <v>11388</v>
      </c>
      <c r="E533" t="s">
        <v>11389</v>
      </c>
      <c r="F533" t="s">
        <v>11390</v>
      </c>
      <c r="G533" t="s">
        <v>11391</v>
      </c>
      <c r="H533" t="s">
        <v>11392</v>
      </c>
    </row>
    <row r="534" spans="1:8" x14ac:dyDescent="0.45">
      <c r="A534" t="s">
        <v>3313</v>
      </c>
      <c r="B534" t="s">
        <v>3314</v>
      </c>
      <c r="C534" t="s">
        <v>11388</v>
      </c>
      <c r="E534" t="s">
        <v>11389</v>
      </c>
      <c r="F534" t="s">
        <v>11393</v>
      </c>
      <c r="G534" t="s">
        <v>11394</v>
      </c>
      <c r="H534" t="s">
        <v>11395</v>
      </c>
    </row>
    <row r="535" spans="1:8" x14ac:dyDescent="0.45">
      <c r="A535" t="s">
        <v>3313</v>
      </c>
      <c r="B535" t="s">
        <v>3314</v>
      </c>
      <c r="C535" t="s">
        <v>11388</v>
      </c>
      <c r="E535" t="s">
        <v>11389</v>
      </c>
      <c r="F535" t="s">
        <v>11396</v>
      </c>
      <c r="G535" t="s">
        <v>11397</v>
      </c>
      <c r="H535" t="s">
        <v>11398</v>
      </c>
    </row>
    <row r="536" spans="1:8" x14ac:dyDescent="0.45">
      <c r="A536" t="s">
        <v>3313</v>
      </c>
      <c r="B536" t="s">
        <v>3314</v>
      </c>
      <c r="C536" t="s">
        <v>11388</v>
      </c>
      <c r="E536" t="s">
        <v>11389</v>
      </c>
      <c r="F536" t="s">
        <v>11399</v>
      </c>
      <c r="G536" t="s">
        <v>11400</v>
      </c>
      <c r="H536" t="s">
        <v>11401</v>
      </c>
    </row>
    <row r="537" spans="1:8" x14ac:dyDescent="0.45">
      <c r="A537" t="s">
        <v>3313</v>
      </c>
      <c r="B537" t="s">
        <v>3314</v>
      </c>
      <c r="C537" t="s">
        <v>11388</v>
      </c>
      <c r="E537" t="s">
        <v>11389</v>
      </c>
      <c r="F537" t="s">
        <v>11402</v>
      </c>
      <c r="G537" t="s">
        <v>11403</v>
      </c>
      <c r="H537" t="s">
        <v>11404</v>
      </c>
    </row>
    <row r="538" spans="1:8" x14ac:dyDescent="0.45">
      <c r="A538" t="s">
        <v>9444</v>
      </c>
      <c r="B538" t="s">
        <v>9445</v>
      </c>
      <c r="C538" t="s">
        <v>11405</v>
      </c>
      <c r="E538" t="s">
        <v>11406</v>
      </c>
      <c r="F538" t="s">
        <v>11407</v>
      </c>
      <c r="G538" t="s">
        <v>11408</v>
      </c>
      <c r="H538" t="s">
        <v>11409</v>
      </c>
    </row>
    <row r="539" spans="1:8" x14ac:dyDescent="0.45">
      <c r="A539" t="s">
        <v>6571</v>
      </c>
      <c r="B539" t="s">
        <v>6572</v>
      </c>
      <c r="C539" t="s">
        <v>11410</v>
      </c>
      <c r="E539" t="s">
        <v>11411</v>
      </c>
      <c r="F539" t="s">
        <v>11412</v>
      </c>
      <c r="G539" t="s">
        <v>11413</v>
      </c>
      <c r="H539" t="s">
        <v>11414</v>
      </c>
    </row>
    <row r="540" spans="1:8" x14ac:dyDescent="0.45">
      <c r="A540" t="s">
        <v>6571</v>
      </c>
      <c r="B540" t="s">
        <v>6572</v>
      </c>
      <c r="C540" t="s">
        <v>11410</v>
      </c>
      <c r="E540" t="s">
        <v>11411</v>
      </c>
      <c r="F540" t="s">
        <v>11415</v>
      </c>
      <c r="G540" t="s">
        <v>11416</v>
      </c>
      <c r="H540" t="s">
        <v>11417</v>
      </c>
    </row>
    <row r="541" spans="1:8" x14ac:dyDescent="0.45">
      <c r="A541" t="s">
        <v>7915</v>
      </c>
      <c r="B541" t="s">
        <v>7916</v>
      </c>
      <c r="C541" t="s">
        <v>11418</v>
      </c>
      <c r="E541" t="s">
        <v>11419</v>
      </c>
      <c r="F541" t="s">
        <v>11420</v>
      </c>
      <c r="G541" t="s">
        <v>11421</v>
      </c>
      <c r="H541" t="s">
        <v>11422</v>
      </c>
    </row>
    <row r="542" spans="1:8" x14ac:dyDescent="0.45">
      <c r="A542" t="s">
        <v>2653</v>
      </c>
      <c r="B542" t="s">
        <v>2654</v>
      </c>
      <c r="C542" t="s">
        <v>11423</v>
      </c>
      <c r="E542" t="s">
        <v>11424</v>
      </c>
      <c r="F542" t="s">
        <v>11425</v>
      </c>
      <c r="G542" t="s">
        <v>11426</v>
      </c>
      <c r="H542" t="s">
        <v>11427</v>
      </c>
    </row>
    <row r="543" spans="1:8" x14ac:dyDescent="0.45">
      <c r="A543" t="s">
        <v>7757</v>
      </c>
      <c r="B543" t="s">
        <v>7758</v>
      </c>
      <c r="C543" t="s">
        <v>11428</v>
      </c>
      <c r="E543" t="s">
        <v>11429</v>
      </c>
      <c r="F543" t="s">
        <v>11430</v>
      </c>
      <c r="G543" t="s">
        <v>11431</v>
      </c>
      <c r="H543" t="s">
        <v>11432</v>
      </c>
    </row>
    <row r="544" spans="1:8" x14ac:dyDescent="0.45">
      <c r="A544" t="s">
        <v>7757</v>
      </c>
      <c r="B544" t="s">
        <v>7758</v>
      </c>
      <c r="C544" t="s">
        <v>11428</v>
      </c>
      <c r="E544" t="s">
        <v>11429</v>
      </c>
      <c r="F544" t="s">
        <v>11433</v>
      </c>
      <c r="G544" t="s">
        <v>11434</v>
      </c>
      <c r="H544" t="s">
        <v>11435</v>
      </c>
    </row>
    <row r="545" spans="1:8" x14ac:dyDescent="0.45">
      <c r="A545" t="s">
        <v>7606</v>
      </c>
      <c r="B545" t="s">
        <v>7607</v>
      </c>
      <c r="C545" t="s">
        <v>11436</v>
      </c>
      <c r="E545" t="s">
        <v>11437</v>
      </c>
      <c r="F545" t="s">
        <v>11438</v>
      </c>
      <c r="G545" t="s">
        <v>11439</v>
      </c>
      <c r="H545" t="s">
        <v>11440</v>
      </c>
    </row>
    <row r="546" spans="1:8" x14ac:dyDescent="0.45">
      <c r="A546" t="s">
        <v>7606</v>
      </c>
      <c r="B546" t="s">
        <v>7607</v>
      </c>
      <c r="C546" t="s">
        <v>11436</v>
      </c>
      <c r="E546" t="s">
        <v>11437</v>
      </c>
      <c r="F546" t="s">
        <v>11415</v>
      </c>
      <c r="G546" t="s">
        <v>11416</v>
      </c>
      <c r="H546" t="s">
        <v>11417</v>
      </c>
    </row>
    <row r="547" spans="1:8" x14ac:dyDescent="0.45">
      <c r="A547" t="s">
        <v>7606</v>
      </c>
      <c r="B547" t="s">
        <v>7607</v>
      </c>
      <c r="C547" t="s">
        <v>11436</v>
      </c>
      <c r="E547" t="s">
        <v>11437</v>
      </c>
      <c r="F547" t="s">
        <v>11412</v>
      </c>
      <c r="G547" t="s">
        <v>11413</v>
      </c>
      <c r="H547" t="s">
        <v>11414</v>
      </c>
    </row>
    <row r="548" spans="1:8" x14ac:dyDescent="0.45">
      <c r="A548" t="s">
        <v>7606</v>
      </c>
      <c r="B548" t="s">
        <v>7607</v>
      </c>
      <c r="C548" t="s">
        <v>11436</v>
      </c>
      <c r="E548" t="s">
        <v>11437</v>
      </c>
      <c r="F548" t="s">
        <v>11441</v>
      </c>
      <c r="G548" t="s">
        <v>11442</v>
      </c>
      <c r="H548" t="s">
        <v>11443</v>
      </c>
    </row>
    <row r="549" spans="1:8" x14ac:dyDescent="0.45">
      <c r="A549" t="s">
        <v>7606</v>
      </c>
      <c r="B549" t="s">
        <v>7607</v>
      </c>
      <c r="C549" t="s">
        <v>11436</v>
      </c>
      <c r="E549" t="s">
        <v>11437</v>
      </c>
      <c r="F549" t="s">
        <v>11444</v>
      </c>
      <c r="G549" t="s">
        <v>11445</v>
      </c>
      <c r="H549" t="s">
        <v>11446</v>
      </c>
    </row>
    <row r="550" spans="1:8" x14ac:dyDescent="0.45">
      <c r="A550" t="s">
        <v>7606</v>
      </c>
      <c r="B550" t="s">
        <v>7607</v>
      </c>
      <c r="C550" t="s">
        <v>11436</v>
      </c>
      <c r="E550" t="s">
        <v>11437</v>
      </c>
      <c r="F550" t="s">
        <v>11447</v>
      </c>
      <c r="G550" t="s">
        <v>11448</v>
      </c>
      <c r="H550" t="s">
        <v>11449</v>
      </c>
    </row>
    <row r="551" spans="1:8" x14ac:dyDescent="0.45">
      <c r="A551" t="s">
        <v>8960</v>
      </c>
      <c r="B551" t="s">
        <v>8961</v>
      </c>
      <c r="C551" t="s">
        <v>11436</v>
      </c>
      <c r="E551" t="s">
        <v>11437</v>
      </c>
      <c r="F551" t="s">
        <v>11438</v>
      </c>
      <c r="G551" t="s">
        <v>11439</v>
      </c>
      <c r="H551" t="s">
        <v>11440</v>
      </c>
    </row>
    <row r="552" spans="1:8" x14ac:dyDescent="0.45">
      <c r="A552" t="s">
        <v>8960</v>
      </c>
      <c r="B552" t="s">
        <v>8961</v>
      </c>
      <c r="C552" t="s">
        <v>11436</v>
      </c>
      <c r="E552" t="s">
        <v>11437</v>
      </c>
      <c r="F552" t="s">
        <v>11415</v>
      </c>
      <c r="G552" t="s">
        <v>11416</v>
      </c>
      <c r="H552" t="s">
        <v>11417</v>
      </c>
    </row>
    <row r="553" spans="1:8" x14ac:dyDescent="0.45">
      <c r="A553" t="s">
        <v>8960</v>
      </c>
      <c r="B553" t="s">
        <v>8961</v>
      </c>
      <c r="C553" t="s">
        <v>11436</v>
      </c>
      <c r="E553" t="s">
        <v>11437</v>
      </c>
      <c r="F553" t="s">
        <v>11412</v>
      </c>
      <c r="G553" t="s">
        <v>11413</v>
      </c>
      <c r="H553" t="s">
        <v>11414</v>
      </c>
    </row>
    <row r="554" spans="1:8" x14ac:dyDescent="0.45">
      <c r="A554" t="s">
        <v>8960</v>
      </c>
      <c r="B554" t="s">
        <v>8961</v>
      </c>
      <c r="C554" t="s">
        <v>11436</v>
      </c>
      <c r="E554" t="s">
        <v>11437</v>
      </c>
      <c r="F554" t="s">
        <v>11441</v>
      </c>
      <c r="G554" t="s">
        <v>11442</v>
      </c>
      <c r="H554" t="s">
        <v>11443</v>
      </c>
    </row>
    <row r="555" spans="1:8" x14ac:dyDescent="0.45">
      <c r="A555" t="s">
        <v>8960</v>
      </c>
      <c r="B555" t="s">
        <v>8961</v>
      </c>
      <c r="C555" t="s">
        <v>11436</v>
      </c>
      <c r="E555" t="s">
        <v>11437</v>
      </c>
      <c r="F555" t="s">
        <v>11444</v>
      </c>
      <c r="G555" t="s">
        <v>11445</v>
      </c>
      <c r="H555" t="s">
        <v>11446</v>
      </c>
    </row>
    <row r="556" spans="1:8" x14ac:dyDescent="0.45">
      <c r="A556" t="s">
        <v>8960</v>
      </c>
      <c r="B556" t="s">
        <v>8961</v>
      </c>
      <c r="C556" t="s">
        <v>11436</v>
      </c>
      <c r="E556" t="s">
        <v>11437</v>
      </c>
      <c r="F556" t="s">
        <v>11447</v>
      </c>
      <c r="G556" t="s">
        <v>11448</v>
      </c>
      <c r="H556" t="s">
        <v>11449</v>
      </c>
    </row>
    <row r="557" spans="1:8" x14ac:dyDescent="0.45">
      <c r="A557" t="s">
        <v>7329</v>
      </c>
      <c r="B557" t="s">
        <v>7330</v>
      </c>
      <c r="C557" t="s">
        <v>11450</v>
      </c>
      <c r="E557" t="s">
        <v>11451</v>
      </c>
      <c r="F557" t="s">
        <v>11452</v>
      </c>
      <c r="G557" t="s">
        <v>11453</v>
      </c>
      <c r="H557" t="s">
        <v>11454</v>
      </c>
    </row>
    <row r="558" spans="1:8" x14ac:dyDescent="0.45">
      <c r="A558" t="s">
        <v>9596</v>
      </c>
      <c r="B558" t="s">
        <v>9597</v>
      </c>
      <c r="C558" t="s">
        <v>11450</v>
      </c>
      <c r="E558" t="s">
        <v>11451</v>
      </c>
      <c r="F558" t="s">
        <v>11452</v>
      </c>
      <c r="G558" t="s">
        <v>11453</v>
      </c>
      <c r="H558" t="s">
        <v>11454</v>
      </c>
    </row>
    <row r="559" spans="1:8" x14ac:dyDescent="0.45">
      <c r="A559" t="s">
        <v>7922</v>
      </c>
      <c r="B559" t="s">
        <v>7923</v>
      </c>
      <c r="C559" t="s">
        <v>11455</v>
      </c>
      <c r="E559" t="s">
        <v>11456</v>
      </c>
      <c r="F559" t="s">
        <v>11457</v>
      </c>
      <c r="G559" t="s">
        <v>11458</v>
      </c>
      <c r="H559" t="s">
        <v>11459</v>
      </c>
    </row>
    <row r="560" spans="1:8" x14ac:dyDescent="0.45">
      <c r="A560" t="s">
        <v>3255</v>
      </c>
      <c r="B560" t="s">
        <v>3256</v>
      </c>
      <c r="C560" t="s">
        <v>11460</v>
      </c>
    </row>
    <row r="561" spans="1:8" x14ac:dyDescent="0.45">
      <c r="A561" t="s">
        <v>3631</v>
      </c>
      <c r="B561" t="s">
        <v>3632</v>
      </c>
      <c r="C561" t="s">
        <v>11460</v>
      </c>
    </row>
    <row r="562" spans="1:8" x14ac:dyDescent="0.45">
      <c r="A562" t="s">
        <v>7804</v>
      </c>
      <c r="B562" t="s">
        <v>7805</v>
      </c>
      <c r="C562" t="s">
        <v>11460</v>
      </c>
    </row>
    <row r="563" spans="1:8" x14ac:dyDescent="0.45">
      <c r="A563" t="s">
        <v>7519</v>
      </c>
      <c r="B563" t="s">
        <v>7520</v>
      </c>
      <c r="C563" t="s">
        <v>11461</v>
      </c>
      <c r="E563" t="s">
        <v>11462</v>
      </c>
    </row>
    <row r="564" spans="1:8" x14ac:dyDescent="0.45">
      <c r="A564" t="s">
        <v>3991</v>
      </c>
      <c r="B564" t="s">
        <v>3992</v>
      </c>
      <c r="C564" t="s">
        <v>11463</v>
      </c>
      <c r="E564" t="s">
        <v>11464</v>
      </c>
      <c r="F564" t="s">
        <v>11465</v>
      </c>
      <c r="G564" t="s">
        <v>11466</v>
      </c>
      <c r="H564" t="s">
        <v>11467</v>
      </c>
    </row>
    <row r="565" spans="1:8" x14ac:dyDescent="0.45">
      <c r="A565" t="s">
        <v>3991</v>
      </c>
      <c r="B565" t="s">
        <v>3992</v>
      </c>
      <c r="C565" t="s">
        <v>11463</v>
      </c>
      <c r="E565" t="s">
        <v>11464</v>
      </c>
      <c r="F565" t="s">
        <v>11468</v>
      </c>
      <c r="G565" t="s">
        <v>11469</v>
      </c>
      <c r="H565" t="s">
        <v>11470</v>
      </c>
    </row>
    <row r="566" spans="1:8" x14ac:dyDescent="0.45">
      <c r="A566" t="s">
        <v>2610</v>
      </c>
      <c r="B566" t="s">
        <v>2611</v>
      </c>
      <c r="C566" t="s">
        <v>11471</v>
      </c>
      <c r="E566" t="s">
        <v>11472</v>
      </c>
      <c r="F566" t="s">
        <v>11473</v>
      </c>
      <c r="G566" t="s">
        <v>11474</v>
      </c>
      <c r="H566" t="s">
        <v>11475</v>
      </c>
    </row>
    <row r="567" spans="1:8" x14ac:dyDescent="0.45">
      <c r="A567" t="s">
        <v>2610</v>
      </c>
      <c r="B567" t="s">
        <v>2611</v>
      </c>
      <c r="C567" t="s">
        <v>11471</v>
      </c>
      <c r="E567" t="s">
        <v>11472</v>
      </c>
      <c r="F567" t="s">
        <v>11476</v>
      </c>
      <c r="G567" t="s">
        <v>11477</v>
      </c>
      <c r="H567" t="s">
        <v>11478</v>
      </c>
    </row>
    <row r="568" spans="1:8" x14ac:dyDescent="0.45">
      <c r="A568" t="s">
        <v>5225</v>
      </c>
      <c r="B568" t="s">
        <v>5226</v>
      </c>
      <c r="C568" t="s">
        <v>11479</v>
      </c>
      <c r="E568" t="s">
        <v>11480</v>
      </c>
      <c r="F568" t="s">
        <v>11481</v>
      </c>
      <c r="G568" t="s">
        <v>11482</v>
      </c>
      <c r="H568" t="s">
        <v>11483</v>
      </c>
    </row>
    <row r="569" spans="1:8" x14ac:dyDescent="0.45">
      <c r="A569" t="s">
        <v>4597</v>
      </c>
      <c r="B569" t="s">
        <v>4598</v>
      </c>
      <c r="C569" t="s">
        <v>11484</v>
      </c>
      <c r="E569" t="s">
        <v>11485</v>
      </c>
      <c r="F569" t="s">
        <v>11486</v>
      </c>
      <c r="G569" t="s">
        <v>11487</v>
      </c>
      <c r="H569" t="s">
        <v>11488</v>
      </c>
    </row>
    <row r="570" spans="1:8" x14ac:dyDescent="0.45">
      <c r="A570" t="s">
        <v>4597</v>
      </c>
      <c r="B570" t="s">
        <v>4598</v>
      </c>
      <c r="C570" t="s">
        <v>11484</v>
      </c>
      <c r="E570" t="s">
        <v>11485</v>
      </c>
      <c r="F570" t="s">
        <v>11489</v>
      </c>
      <c r="G570" t="s">
        <v>11490</v>
      </c>
      <c r="H570" t="s">
        <v>11491</v>
      </c>
    </row>
    <row r="571" spans="1:8" x14ac:dyDescent="0.45">
      <c r="A571" t="s">
        <v>4597</v>
      </c>
      <c r="B571" t="s">
        <v>4598</v>
      </c>
      <c r="C571" t="s">
        <v>11484</v>
      </c>
      <c r="E571" t="s">
        <v>11485</v>
      </c>
      <c r="F571" t="s">
        <v>11492</v>
      </c>
      <c r="G571" t="s">
        <v>11493</v>
      </c>
      <c r="H571" t="s">
        <v>11494</v>
      </c>
    </row>
    <row r="572" spans="1:8" x14ac:dyDescent="0.45">
      <c r="A572" t="s">
        <v>4882</v>
      </c>
      <c r="B572" t="s">
        <v>4883</v>
      </c>
      <c r="C572" t="s">
        <v>11484</v>
      </c>
      <c r="E572" t="s">
        <v>11485</v>
      </c>
      <c r="F572" t="s">
        <v>11486</v>
      </c>
      <c r="G572" t="s">
        <v>11487</v>
      </c>
      <c r="H572" t="s">
        <v>11488</v>
      </c>
    </row>
    <row r="573" spans="1:8" x14ac:dyDescent="0.45">
      <c r="A573" t="s">
        <v>4882</v>
      </c>
      <c r="B573" t="s">
        <v>4883</v>
      </c>
      <c r="C573" t="s">
        <v>11484</v>
      </c>
      <c r="E573" t="s">
        <v>11485</v>
      </c>
      <c r="F573" t="s">
        <v>11489</v>
      </c>
      <c r="G573" t="s">
        <v>11490</v>
      </c>
      <c r="H573" t="s">
        <v>11491</v>
      </c>
    </row>
    <row r="574" spans="1:8" x14ac:dyDescent="0.45">
      <c r="A574" t="s">
        <v>4882</v>
      </c>
      <c r="B574" t="s">
        <v>4883</v>
      </c>
      <c r="C574" t="s">
        <v>11484</v>
      </c>
      <c r="E574" t="s">
        <v>11485</v>
      </c>
      <c r="F574" t="s">
        <v>11492</v>
      </c>
      <c r="G574" t="s">
        <v>11493</v>
      </c>
      <c r="H574" t="s">
        <v>11494</v>
      </c>
    </row>
    <row r="575" spans="1:8" x14ac:dyDescent="0.45">
      <c r="A575" t="s">
        <v>4570</v>
      </c>
      <c r="B575" t="s">
        <v>4571</v>
      </c>
      <c r="C575" t="s">
        <v>11495</v>
      </c>
      <c r="E575" t="s">
        <v>11496</v>
      </c>
      <c r="F575" t="s">
        <v>11497</v>
      </c>
      <c r="G575" t="s">
        <v>11498</v>
      </c>
      <c r="H575" t="s">
        <v>11499</v>
      </c>
    </row>
    <row r="576" spans="1:8" x14ac:dyDescent="0.45">
      <c r="A576" t="s">
        <v>4570</v>
      </c>
      <c r="B576" t="s">
        <v>4571</v>
      </c>
      <c r="C576" t="s">
        <v>11495</v>
      </c>
      <c r="E576" t="s">
        <v>11496</v>
      </c>
      <c r="F576" t="s">
        <v>11500</v>
      </c>
      <c r="G576" t="s">
        <v>11501</v>
      </c>
      <c r="H576" t="s">
        <v>11502</v>
      </c>
    </row>
    <row r="577" spans="1:8" x14ac:dyDescent="0.45">
      <c r="A577" t="s">
        <v>4570</v>
      </c>
      <c r="B577" t="s">
        <v>4571</v>
      </c>
      <c r="C577" t="s">
        <v>11495</v>
      </c>
      <c r="E577" t="s">
        <v>11496</v>
      </c>
      <c r="F577" t="s">
        <v>11503</v>
      </c>
      <c r="G577" t="s">
        <v>11504</v>
      </c>
      <c r="H577" t="s">
        <v>11505</v>
      </c>
    </row>
    <row r="578" spans="1:8" x14ac:dyDescent="0.45">
      <c r="A578" t="s">
        <v>4570</v>
      </c>
      <c r="B578" t="s">
        <v>4571</v>
      </c>
      <c r="C578" t="s">
        <v>11495</v>
      </c>
      <c r="E578" t="s">
        <v>11496</v>
      </c>
      <c r="F578" t="s">
        <v>11506</v>
      </c>
      <c r="G578" t="s">
        <v>11507</v>
      </c>
      <c r="H578" t="s">
        <v>11508</v>
      </c>
    </row>
    <row r="579" spans="1:8" x14ac:dyDescent="0.45">
      <c r="A579" t="s">
        <v>4003</v>
      </c>
      <c r="B579" t="s">
        <v>4004</v>
      </c>
      <c r="C579" t="s">
        <v>11509</v>
      </c>
      <c r="E579" t="s">
        <v>11510</v>
      </c>
      <c r="F579" t="s">
        <v>11511</v>
      </c>
      <c r="G579" t="s">
        <v>11512</v>
      </c>
      <c r="H579" t="s">
        <v>11513</v>
      </c>
    </row>
    <row r="580" spans="1:8" x14ac:dyDescent="0.45">
      <c r="A580" t="s">
        <v>5217</v>
      </c>
      <c r="B580" t="s">
        <v>5218</v>
      </c>
      <c r="C580" t="s">
        <v>11509</v>
      </c>
      <c r="E580" t="s">
        <v>11510</v>
      </c>
      <c r="F580" t="s">
        <v>11511</v>
      </c>
      <c r="G580" t="s">
        <v>11512</v>
      </c>
      <c r="H580" t="s">
        <v>11513</v>
      </c>
    </row>
    <row r="581" spans="1:8" x14ac:dyDescent="0.45">
      <c r="A581" t="s">
        <v>602</v>
      </c>
      <c r="B581" t="s">
        <v>603</v>
      </c>
      <c r="C581" t="s">
        <v>11514</v>
      </c>
      <c r="E581" t="s">
        <v>11515</v>
      </c>
      <c r="F581" t="s">
        <v>11516</v>
      </c>
      <c r="G581" t="s">
        <v>11517</v>
      </c>
      <c r="H581" t="s">
        <v>11518</v>
      </c>
    </row>
    <row r="582" spans="1:8" x14ac:dyDescent="0.45">
      <c r="A582" t="s">
        <v>602</v>
      </c>
      <c r="B582" t="s">
        <v>603</v>
      </c>
      <c r="C582" t="s">
        <v>11514</v>
      </c>
      <c r="E582" t="s">
        <v>11515</v>
      </c>
      <c r="F582" t="s">
        <v>11519</v>
      </c>
      <c r="G582" t="s">
        <v>11520</v>
      </c>
      <c r="H582" t="s">
        <v>11521</v>
      </c>
    </row>
    <row r="583" spans="1:8" x14ac:dyDescent="0.45">
      <c r="A583" t="s">
        <v>9384</v>
      </c>
      <c r="B583" t="s">
        <v>9385</v>
      </c>
      <c r="C583" t="s">
        <v>11522</v>
      </c>
      <c r="E583" t="s">
        <v>11523</v>
      </c>
      <c r="F583" t="s">
        <v>11524</v>
      </c>
      <c r="G583" t="s">
        <v>11525</v>
      </c>
      <c r="H583" t="s">
        <v>11526</v>
      </c>
    </row>
    <row r="584" spans="1:8" x14ac:dyDescent="0.45">
      <c r="A584" t="s">
        <v>576</v>
      </c>
      <c r="B584" t="s">
        <v>577</v>
      </c>
      <c r="C584" t="s">
        <v>11527</v>
      </c>
      <c r="E584" t="s">
        <v>11528</v>
      </c>
      <c r="F584" t="s">
        <v>11529</v>
      </c>
      <c r="G584" t="s">
        <v>11530</v>
      </c>
      <c r="H584" t="s">
        <v>11531</v>
      </c>
    </row>
    <row r="585" spans="1:8" x14ac:dyDescent="0.45">
      <c r="A585" t="s">
        <v>6696</v>
      </c>
      <c r="B585" t="s">
        <v>6697</v>
      </c>
      <c r="C585" t="s">
        <v>11532</v>
      </c>
      <c r="E585" t="s">
        <v>11533</v>
      </c>
      <c r="F585" t="s">
        <v>11534</v>
      </c>
      <c r="G585" t="s">
        <v>11535</v>
      </c>
      <c r="H585" t="s">
        <v>11536</v>
      </c>
    </row>
    <row r="586" spans="1:8" x14ac:dyDescent="0.45">
      <c r="A586" t="s">
        <v>5703</v>
      </c>
      <c r="B586" t="s">
        <v>5704</v>
      </c>
      <c r="C586" t="s">
        <v>11537</v>
      </c>
      <c r="E586" t="s">
        <v>11538</v>
      </c>
      <c r="F586" t="s">
        <v>11539</v>
      </c>
      <c r="G586" t="s">
        <v>11540</v>
      </c>
      <c r="H586" t="s">
        <v>11541</v>
      </c>
    </row>
    <row r="587" spans="1:8" x14ac:dyDescent="0.45">
      <c r="A587" t="s">
        <v>4848</v>
      </c>
      <c r="B587" t="s">
        <v>4849</v>
      </c>
      <c r="C587" t="s">
        <v>11542</v>
      </c>
      <c r="E587" t="s">
        <v>11543</v>
      </c>
      <c r="F587" t="s">
        <v>11544</v>
      </c>
      <c r="G587" t="s">
        <v>11545</v>
      </c>
      <c r="H587" t="s">
        <v>11546</v>
      </c>
    </row>
    <row r="588" spans="1:8" x14ac:dyDescent="0.45">
      <c r="A588" t="s">
        <v>4854</v>
      </c>
      <c r="B588" t="s">
        <v>4855</v>
      </c>
      <c r="C588" t="s">
        <v>11547</v>
      </c>
      <c r="E588" t="s">
        <v>11548</v>
      </c>
      <c r="F588" t="s">
        <v>11549</v>
      </c>
      <c r="G588" t="s">
        <v>11550</v>
      </c>
      <c r="H588" t="s">
        <v>11551</v>
      </c>
    </row>
    <row r="589" spans="1:8" x14ac:dyDescent="0.45">
      <c r="A589" t="s">
        <v>510</v>
      </c>
      <c r="B589" t="s">
        <v>511</v>
      </c>
      <c r="C589" t="s">
        <v>11552</v>
      </c>
    </row>
    <row r="590" spans="1:8" x14ac:dyDescent="0.45">
      <c r="A590" t="s">
        <v>981</v>
      </c>
      <c r="B590" t="s">
        <v>982</v>
      </c>
      <c r="C590" t="s">
        <v>11552</v>
      </c>
    </row>
    <row r="591" spans="1:8" x14ac:dyDescent="0.45">
      <c r="A591" t="s">
        <v>2191</v>
      </c>
      <c r="B591" t="s">
        <v>2192</v>
      </c>
      <c r="C591" t="s">
        <v>11552</v>
      </c>
    </row>
    <row r="592" spans="1:8" x14ac:dyDescent="0.45">
      <c r="A592" t="s">
        <v>2689</v>
      </c>
      <c r="B592" t="s">
        <v>2690</v>
      </c>
      <c r="C592" t="s">
        <v>11552</v>
      </c>
    </row>
    <row r="593" spans="1:8" x14ac:dyDescent="0.45">
      <c r="A593" t="s">
        <v>6721</v>
      </c>
      <c r="B593" t="s">
        <v>6722</v>
      </c>
      <c r="C593" t="s">
        <v>11552</v>
      </c>
    </row>
    <row r="594" spans="1:8" x14ac:dyDescent="0.45">
      <c r="A594" t="s">
        <v>7077</v>
      </c>
      <c r="B594" t="s">
        <v>7078</v>
      </c>
      <c r="C594" t="s">
        <v>11552</v>
      </c>
    </row>
    <row r="595" spans="1:8" x14ac:dyDescent="0.45">
      <c r="A595" t="s">
        <v>7146</v>
      </c>
      <c r="B595" t="s">
        <v>7147</v>
      </c>
      <c r="C595" t="s">
        <v>11552</v>
      </c>
    </row>
    <row r="596" spans="1:8" x14ac:dyDescent="0.45">
      <c r="A596" t="s">
        <v>7608</v>
      </c>
      <c r="B596" t="s">
        <v>7609</v>
      </c>
      <c r="C596" t="s">
        <v>11552</v>
      </c>
    </row>
    <row r="597" spans="1:8" x14ac:dyDescent="0.45">
      <c r="A597" t="s">
        <v>7997</v>
      </c>
      <c r="B597" t="s">
        <v>7998</v>
      </c>
      <c r="C597" t="s">
        <v>11552</v>
      </c>
    </row>
    <row r="598" spans="1:8" x14ac:dyDescent="0.45">
      <c r="A598" t="s">
        <v>8371</v>
      </c>
      <c r="B598" t="s">
        <v>8372</v>
      </c>
      <c r="C598" t="s">
        <v>11552</v>
      </c>
    </row>
    <row r="599" spans="1:8" x14ac:dyDescent="0.45">
      <c r="A599" t="s">
        <v>9420</v>
      </c>
      <c r="B599" t="s">
        <v>9421</v>
      </c>
      <c r="C599" t="s">
        <v>11552</v>
      </c>
    </row>
    <row r="600" spans="1:8" x14ac:dyDescent="0.45">
      <c r="A600" t="s">
        <v>566</v>
      </c>
      <c r="B600" t="s">
        <v>567</v>
      </c>
      <c r="C600" t="s">
        <v>11553</v>
      </c>
      <c r="E600" t="s">
        <v>11554</v>
      </c>
      <c r="F600" t="s">
        <v>11555</v>
      </c>
      <c r="G600" t="s">
        <v>11556</v>
      </c>
      <c r="H600" t="s">
        <v>11557</v>
      </c>
    </row>
    <row r="601" spans="1:8" x14ac:dyDescent="0.45">
      <c r="A601" t="s">
        <v>8050</v>
      </c>
      <c r="B601" t="s">
        <v>8051</v>
      </c>
      <c r="C601" t="s">
        <v>11558</v>
      </c>
      <c r="E601" t="s">
        <v>11559</v>
      </c>
      <c r="F601" t="s">
        <v>11560</v>
      </c>
      <c r="G601" t="s">
        <v>11561</v>
      </c>
      <c r="H601" t="s">
        <v>11562</v>
      </c>
    </row>
    <row r="602" spans="1:8" x14ac:dyDescent="0.45">
      <c r="A602" t="s">
        <v>3978</v>
      </c>
      <c r="B602" t="s">
        <v>3979</v>
      </c>
      <c r="C602" t="s">
        <v>11563</v>
      </c>
      <c r="E602" t="s">
        <v>11564</v>
      </c>
      <c r="F602" t="s">
        <v>11565</v>
      </c>
      <c r="G602" t="s">
        <v>11566</v>
      </c>
      <c r="H602" t="s">
        <v>11567</v>
      </c>
    </row>
    <row r="603" spans="1:8" x14ac:dyDescent="0.45">
      <c r="A603" t="s">
        <v>3978</v>
      </c>
      <c r="B603" t="s">
        <v>3979</v>
      </c>
      <c r="C603" t="s">
        <v>11563</v>
      </c>
      <c r="E603" t="s">
        <v>11564</v>
      </c>
      <c r="F603" t="s">
        <v>10767</v>
      </c>
      <c r="G603" t="s">
        <v>10768</v>
      </c>
      <c r="H603" t="s">
        <v>10769</v>
      </c>
    </row>
    <row r="604" spans="1:8" x14ac:dyDescent="0.45">
      <c r="A604" t="s">
        <v>3978</v>
      </c>
      <c r="B604" t="s">
        <v>3979</v>
      </c>
      <c r="C604" t="s">
        <v>11563</v>
      </c>
      <c r="E604" t="s">
        <v>11564</v>
      </c>
      <c r="F604" t="s">
        <v>11568</v>
      </c>
      <c r="G604" t="s">
        <v>11569</v>
      </c>
      <c r="H604" t="s">
        <v>11570</v>
      </c>
    </row>
    <row r="605" spans="1:8" x14ac:dyDescent="0.45">
      <c r="A605" t="s">
        <v>4268</v>
      </c>
      <c r="B605" t="s">
        <v>4269</v>
      </c>
      <c r="C605" t="s">
        <v>11571</v>
      </c>
      <c r="E605" t="s">
        <v>11572</v>
      </c>
      <c r="F605" t="s">
        <v>11573</v>
      </c>
      <c r="G605" t="s">
        <v>11574</v>
      </c>
      <c r="H605" t="s">
        <v>11575</v>
      </c>
    </row>
    <row r="606" spans="1:8" x14ac:dyDescent="0.45">
      <c r="A606" t="s">
        <v>4268</v>
      </c>
      <c r="B606" t="s">
        <v>4269</v>
      </c>
      <c r="C606" t="s">
        <v>11571</v>
      </c>
      <c r="E606" t="s">
        <v>11572</v>
      </c>
      <c r="F606" t="s">
        <v>11576</v>
      </c>
      <c r="G606" t="s">
        <v>11577</v>
      </c>
      <c r="H606" t="s">
        <v>11578</v>
      </c>
    </row>
    <row r="607" spans="1:8" x14ac:dyDescent="0.45">
      <c r="A607" t="s">
        <v>4268</v>
      </c>
      <c r="B607" t="s">
        <v>4269</v>
      </c>
      <c r="C607" t="s">
        <v>11571</v>
      </c>
      <c r="E607" t="s">
        <v>11572</v>
      </c>
      <c r="F607" t="s">
        <v>11579</v>
      </c>
      <c r="G607" t="s">
        <v>11580</v>
      </c>
      <c r="H607" t="s">
        <v>11581</v>
      </c>
    </row>
    <row r="608" spans="1:8" x14ac:dyDescent="0.45">
      <c r="A608" t="s">
        <v>6290</v>
      </c>
      <c r="B608" t="s">
        <v>6291</v>
      </c>
      <c r="C608" t="s">
        <v>11571</v>
      </c>
      <c r="E608" t="s">
        <v>11572</v>
      </c>
      <c r="F608" t="s">
        <v>11573</v>
      </c>
      <c r="G608" t="s">
        <v>11574</v>
      </c>
      <c r="H608" t="s">
        <v>11575</v>
      </c>
    </row>
    <row r="609" spans="1:8" x14ac:dyDescent="0.45">
      <c r="A609" t="s">
        <v>6290</v>
      </c>
      <c r="B609" t="s">
        <v>6291</v>
      </c>
      <c r="C609" t="s">
        <v>11571</v>
      </c>
      <c r="E609" t="s">
        <v>11572</v>
      </c>
      <c r="F609" t="s">
        <v>11576</v>
      </c>
      <c r="G609" t="s">
        <v>11577</v>
      </c>
      <c r="H609" t="s">
        <v>11578</v>
      </c>
    </row>
    <row r="610" spans="1:8" x14ac:dyDescent="0.45">
      <c r="A610" t="s">
        <v>6290</v>
      </c>
      <c r="B610" t="s">
        <v>6291</v>
      </c>
      <c r="C610" t="s">
        <v>11571</v>
      </c>
      <c r="E610" t="s">
        <v>11572</v>
      </c>
      <c r="F610" t="s">
        <v>11579</v>
      </c>
      <c r="G610" t="s">
        <v>11580</v>
      </c>
      <c r="H610" t="s">
        <v>11581</v>
      </c>
    </row>
    <row r="611" spans="1:8" x14ac:dyDescent="0.45">
      <c r="A611" t="s">
        <v>7764</v>
      </c>
      <c r="B611" t="s">
        <v>7765</v>
      </c>
      <c r="C611" t="s">
        <v>11582</v>
      </c>
    </row>
    <row r="612" spans="1:8" x14ac:dyDescent="0.45">
      <c r="A612" t="s">
        <v>231</v>
      </c>
      <c r="B612" t="s">
        <v>232</v>
      </c>
      <c r="C612" t="s">
        <v>11583</v>
      </c>
    </row>
    <row r="613" spans="1:8" x14ac:dyDescent="0.45">
      <c r="A613" t="s">
        <v>619</v>
      </c>
      <c r="B613" t="s">
        <v>620</v>
      </c>
      <c r="C613" t="s">
        <v>11583</v>
      </c>
    </row>
    <row r="614" spans="1:8" x14ac:dyDescent="0.45">
      <c r="A614" t="s">
        <v>1112</v>
      </c>
      <c r="B614" t="s">
        <v>1113</v>
      </c>
      <c r="C614" t="s">
        <v>11583</v>
      </c>
    </row>
    <row r="615" spans="1:8" x14ac:dyDescent="0.45">
      <c r="A615" t="s">
        <v>1312</v>
      </c>
      <c r="B615" t="s">
        <v>1313</v>
      </c>
      <c r="C615" t="s">
        <v>11583</v>
      </c>
    </row>
    <row r="616" spans="1:8" x14ac:dyDescent="0.45">
      <c r="A616" t="s">
        <v>2416</v>
      </c>
      <c r="B616" t="s">
        <v>2417</v>
      </c>
      <c r="C616" t="s">
        <v>11583</v>
      </c>
    </row>
    <row r="617" spans="1:8" x14ac:dyDescent="0.45">
      <c r="A617" t="s">
        <v>2523</v>
      </c>
      <c r="B617" t="s">
        <v>2524</v>
      </c>
      <c r="C617" t="s">
        <v>11583</v>
      </c>
    </row>
    <row r="618" spans="1:8" x14ac:dyDescent="0.45">
      <c r="A618" t="s">
        <v>2851</v>
      </c>
      <c r="B618" t="s">
        <v>2852</v>
      </c>
      <c r="C618" t="s">
        <v>11583</v>
      </c>
    </row>
    <row r="619" spans="1:8" x14ac:dyDescent="0.45">
      <c r="A619" t="s">
        <v>2933</v>
      </c>
      <c r="B619" t="s">
        <v>2934</v>
      </c>
      <c r="C619" t="s">
        <v>11583</v>
      </c>
    </row>
    <row r="620" spans="1:8" x14ac:dyDescent="0.45">
      <c r="A620" t="s">
        <v>2951</v>
      </c>
      <c r="B620" t="s">
        <v>2952</v>
      </c>
      <c r="C620" t="s">
        <v>11583</v>
      </c>
    </row>
    <row r="621" spans="1:8" x14ac:dyDescent="0.45">
      <c r="A621" t="s">
        <v>4540</v>
      </c>
      <c r="B621" t="s">
        <v>4541</v>
      </c>
      <c r="C621" t="s">
        <v>11583</v>
      </c>
    </row>
    <row r="622" spans="1:8" x14ac:dyDescent="0.45">
      <c r="A622" t="s">
        <v>4599</v>
      </c>
      <c r="B622" t="s">
        <v>4600</v>
      </c>
      <c r="C622" t="s">
        <v>11583</v>
      </c>
    </row>
    <row r="623" spans="1:8" x14ac:dyDescent="0.45">
      <c r="A623" t="s">
        <v>5145</v>
      </c>
      <c r="B623" t="s">
        <v>5146</v>
      </c>
      <c r="C623" t="s">
        <v>11583</v>
      </c>
    </row>
    <row r="624" spans="1:8" x14ac:dyDescent="0.45">
      <c r="A624" t="s">
        <v>6476</v>
      </c>
      <c r="B624" t="s">
        <v>6477</v>
      </c>
      <c r="C624" t="s">
        <v>11583</v>
      </c>
    </row>
    <row r="625" spans="1:3" x14ac:dyDescent="0.45">
      <c r="A625" t="s">
        <v>6562</v>
      </c>
      <c r="B625" t="s">
        <v>6563</v>
      </c>
      <c r="C625" t="s">
        <v>11583</v>
      </c>
    </row>
    <row r="626" spans="1:3" x14ac:dyDescent="0.45">
      <c r="A626" t="s">
        <v>7199</v>
      </c>
      <c r="B626" t="s">
        <v>7200</v>
      </c>
      <c r="C626" t="s">
        <v>11583</v>
      </c>
    </row>
    <row r="627" spans="1:3" x14ac:dyDescent="0.45">
      <c r="A627" t="s">
        <v>8148</v>
      </c>
      <c r="B627" t="s">
        <v>8149</v>
      </c>
      <c r="C627" t="s">
        <v>11583</v>
      </c>
    </row>
    <row r="628" spans="1:3" x14ac:dyDescent="0.45">
      <c r="A628" t="s">
        <v>8403</v>
      </c>
      <c r="B628" t="s">
        <v>8404</v>
      </c>
      <c r="C628" t="s">
        <v>11583</v>
      </c>
    </row>
    <row r="629" spans="1:3" x14ac:dyDescent="0.45">
      <c r="A629" t="s">
        <v>8414</v>
      </c>
      <c r="B629" t="s">
        <v>8415</v>
      </c>
      <c r="C629" t="s">
        <v>11583</v>
      </c>
    </row>
    <row r="630" spans="1:3" x14ac:dyDescent="0.45">
      <c r="A630" t="s">
        <v>8440</v>
      </c>
      <c r="B630" t="s">
        <v>8441</v>
      </c>
      <c r="C630" t="s">
        <v>11583</v>
      </c>
    </row>
    <row r="631" spans="1:3" x14ac:dyDescent="0.45">
      <c r="A631" t="s">
        <v>8459</v>
      </c>
      <c r="B631" t="s">
        <v>8460</v>
      </c>
      <c r="C631" t="s">
        <v>11583</v>
      </c>
    </row>
    <row r="632" spans="1:3" x14ac:dyDescent="0.45">
      <c r="A632" t="s">
        <v>8499</v>
      </c>
      <c r="B632" t="s">
        <v>8500</v>
      </c>
      <c r="C632" t="s">
        <v>11583</v>
      </c>
    </row>
    <row r="633" spans="1:3" x14ac:dyDescent="0.45">
      <c r="A633" t="s">
        <v>8511</v>
      </c>
      <c r="B633" t="s">
        <v>8512</v>
      </c>
      <c r="C633" t="s">
        <v>11583</v>
      </c>
    </row>
    <row r="634" spans="1:3" x14ac:dyDescent="0.45">
      <c r="A634" t="s">
        <v>8516</v>
      </c>
      <c r="B634" t="s">
        <v>8517</v>
      </c>
      <c r="C634" t="s">
        <v>11583</v>
      </c>
    </row>
    <row r="635" spans="1:3" x14ac:dyDescent="0.45">
      <c r="A635" t="s">
        <v>8544</v>
      </c>
      <c r="B635" t="s">
        <v>8545</v>
      </c>
      <c r="C635" t="s">
        <v>11583</v>
      </c>
    </row>
    <row r="636" spans="1:3" x14ac:dyDescent="0.45">
      <c r="A636" t="s">
        <v>8589</v>
      </c>
      <c r="B636" t="s">
        <v>8590</v>
      </c>
      <c r="C636" t="s">
        <v>11583</v>
      </c>
    </row>
    <row r="637" spans="1:3" x14ac:dyDescent="0.45">
      <c r="A637" t="s">
        <v>8629</v>
      </c>
      <c r="B637" t="s">
        <v>8630</v>
      </c>
      <c r="C637" t="s">
        <v>11583</v>
      </c>
    </row>
    <row r="638" spans="1:3" x14ac:dyDescent="0.45">
      <c r="A638" t="s">
        <v>9096</v>
      </c>
      <c r="B638" t="s">
        <v>9097</v>
      </c>
      <c r="C638" t="s">
        <v>11583</v>
      </c>
    </row>
    <row r="639" spans="1:3" x14ac:dyDescent="0.45">
      <c r="A639" t="s">
        <v>9457</v>
      </c>
      <c r="B639" t="s">
        <v>9458</v>
      </c>
      <c r="C639" t="s">
        <v>11583</v>
      </c>
    </row>
    <row r="640" spans="1:3" x14ac:dyDescent="0.45">
      <c r="A640" t="s">
        <v>10103</v>
      </c>
      <c r="B640" t="s">
        <v>10104</v>
      </c>
      <c r="C640" t="s">
        <v>11583</v>
      </c>
    </row>
    <row r="641" spans="1:8" x14ac:dyDescent="0.45">
      <c r="A641" t="s">
        <v>10122</v>
      </c>
      <c r="B641" t="s">
        <v>10123</v>
      </c>
      <c r="C641" t="s">
        <v>11583</v>
      </c>
    </row>
    <row r="642" spans="1:8" x14ac:dyDescent="0.45">
      <c r="A642" t="s">
        <v>10142</v>
      </c>
      <c r="B642" t="s">
        <v>10143</v>
      </c>
      <c r="C642" t="s">
        <v>11583</v>
      </c>
    </row>
    <row r="643" spans="1:8" x14ac:dyDescent="0.45">
      <c r="A643" t="s">
        <v>6885</v>
      </c>
      <c r="B643" t="s">
        <v>6886</v>
      </c>
      <c r="C643" t="s">
        <v>11584</v>
      </c>
      <c r="E643" t="s">
        <v>11585</v>
      </c>
      <c r="F643" t="s">
        <v>11586</v>
      </c>
      <c r="G643" t="s">
        <v>11587</v>
      </c>
      <c r="H643" t="s">
        <v>11588</v>
      </c>
    </row>
    <row r="644" spans="1:8" x14ac:dyDescent="0.45">
      <c r="A644" t="s">
        <v>9302</v>
      </c>
      <c r="B644" t="s">
        <v>9303</v>
      </c>
      <c r="C644" t="s">
        <v>11589</v>
      </c>
      <c r="E644" t="s">
        <v>11590</v>
      </c>
      <c r="F644" t="s">
        <v>11591</v>
      </c>
      <c r="G644" t="s">
        <v>11592</v>
      </c>
      <c r="H644" t="s">
        <v>11593</v>
      </c>
    </row>
    <row r="645" spans="1:8" x14ac:dyDescent="0.45">
      <c r="A645" t="s">
        <v>9302</v>
      </c>
      <c r="B645" t="s">
        <v>9303</v>
      </c>
      <c r="C645" t="s">
        <v>11589</v>
      </c>
      <c r="E645" t="s">
        <v>11590</v>
      </c>
      <c r="F645" t="s">
        <v>11594</v>
      </c>
      <c r="G645" t="s">
        <v>11595</v>
      </c>
      <c r="H645" t="s">
        <v>11596</v>
      </c>
    </row>
    <row r="646" spans="1:8" x14ac:dyDescent="0.45">
      <c r="A646" t="s">
        <v>9302</v>
      </c>
      <c r="B646" t="s">
        <v>9303</v>
      </c>
      <c r="C646" t="s">
        <v>11589</v>
      </c>
      <c r="E646" t="s">
        <v>11590</v>
      </c>
      <c r="F646" t="s">
        <v>11597</v>
      </c>
      <c r="G646" t="s">
        <v>11598</v>
      </c>
      <c r="H646" t="s">
        <v>11599</v>
      </c>
    </row>
    <row r="647" spans="1:8" x14ac:dyDescent="0.45">
      <c r="A647" t="s">
        <v>9302</v>
      </c>
      <c r="B647" t="s">
        <v>9303</v>
      </c>
      <c r="C647" t="s">
        <v>11589</v>
      </c>
      <c r="E647" t="s">
        <v>11590</v>
      </c>
      <c r="F647" t="s">
        <v>11600</v>
      </c>
      <c r="G647" t="s">
        <v>11601</v>
      </c>
      <c r="H647" t="s">
        <v>11602</v>
      </c>
    </row>
    <row r="648" spans="1:8" x14ac:dyDescent="0.45">
      <c r="A648" t="s">
        <v>9302</v>
      </c>
      <c r="B648" t="s">
        <v>9303</v>
      </c>
      <c r="C648" t="s">
        <v>11589</v>
      </c>
      <c r="E648" t="s">
        <v>11590</v>
      </c>
      <c r="F648" t="s">
        <v>11603</v>
      </c>
      <c r="G648" t="s">
        <v>11604</v>
      </c>
      <c r="H648" t="s">
        <v>11605</v>
      </c>
    </row>
    <row r="649" spans="1:8" x14ac:dyDescent="0.45">
      <c r="A649" t="s">
        <v>9302</v>
      </c>
      <c r="B649" t="s">
        <v>9303</v>
      </c>
      <c r="C649" t="s">
        <v>11589</v>
      </c>
      <c r="E649" t="s">
        <v>11590</v>
      </c>
      <c r="F649" t="s">
        <v>11606</v>
      </c>
      <c r="G649" t="s">
        <v>11607</v>
      </c>
      <c r="H649" t="s">
        <v>11608</v>
      </c>
    </row>
    <row r="650" spans="1:8" x14ac:dyDescent="0.45">
      <c r="A650" t="s">
        <v>9302</v>
      </c>
      <c r="B650" t="s">
        <v>9303</v>
      </c>
      <c r="C650" t="s">
        <v>11589</v>
      </c>
      <c r="E650" t="s">
        <v>11590</v>
      </c>
      <c r="F650" t="s">
        <v>11609</v>
      </c>
      <c r="G650" t="s">
        <v>11610</v>
      </c>
      <c r="H650" t="s">
        <v>11611</v>
      </c>
    </row>
    <row r="651" spans="1:8" x14ac:dyDescent="0.45">
      <c r="A651" t="s">
        <v>9302</v>
      </c>
      <c r="B651" t="s">
        <v>9303</v>
      </c>
      <c r="C651" t="s">
        <v>11589</v>
      </c>
      <c r="E651" t="s">
        <v>11590</v>
      </c>
      <c r="F651" t="s">
        <v>11612</v>
      </c>
      <c r="G651" t="s">
        <v>11613</v>
      </c>
      <c r="H651" t="s">
        <v>11614</v>
      </c>
    </row>
    <row r="652" spans="1:8" x14ac:dyDescent="0.45">
      <c r="A652" t="s">
        <v>9302</v>
      </c>
      <c r="B652" t="s">
        <v>9303</v>
      </c>
      <c r="C652" t="s">
        <v>11589</v>
      </c>
      <c r="E652" t="s">
        <v>11590</v>
      </c>
      <c r="F652" t="s">
        <v>11615</v>
      </c>
      <c r="G652" t="s">
        <v>11616</v>
      </c>
      <c r="H652" t="s">
        <v>11617</v>
      </c>
    </row>
    <row r="653" spans="1:8" x14ac:dyDescent="0.45">
      <c r="A653" t="s">
        <v>9302</v>
      </c>
      <c r="B653" t="s">
        <v>9303</v>
      </c>
      <c r="C653" t="s">
        <v>11589</v>
      </c>
      <c r="E653" t="s">
        <v>11590</v>
      </c>
      <c r="F653" t="s">
        <v>11618</v>
      </c>
      <c r="G653" t="s">
        <v>11619</v>
      </c>
      <c r="H653" t="s">
        <v>11620</v>
      </c>
    </row>
    <row r="654" spans="1:8" x14ac:dyDescent="0.45">
      <c r="A654" t="s">
        <v>9866</v>
      </c>
      <c r="B654" t="s">
        <v>9867</v>
      </c>
      <c r="C654" t="s">
        <v>11621</v>
      </c>
      <c r="E654" t="s">
        <v>11622</v>
      </c>
      <c r="F654" t="s">
        <v>11623</v>
      </c>
      <c r="G654" t="s">
        <v>11624</v>
      </c>
      <c r="H654" t="s">
        <v>11625</v>
      </c>
    </row>
    <row r="655" spans="1:8" x14ac:dyDescent="0.45">
      <c r="A655" t="s">
        <v>1159</v>
      </c>
      <c r="B655" t="s">
        <v>1160</v>
      </c>
      <c r="C655" t="s">
        <v>11626</v>
      </c>
      <c r="E655" t="s">
        <v>11627</v>
      </c>
      <c r="F655" t="s">
        <v>11628</v>
      </c>
      <c r="G655" t="s">
        <v>11629</v>
      </c>
      <c r="H655" t="s">
        <v>11630</v>
      </c>
    </row>
    <row r="656" spans="1:8" x14ac:dyDescent="0.45">
      <c r="A656" t="s">
        <v>1159</v>
      </c>
      <c r="B656" t="s">
        <v>1160</v>
      </c>
      <c r="C656" t="s">
        <v>11626</v>
      </c>
      <c r="E656" t="s">
        <v>11627</v>
      </c>
      <c r="F656" t="s">
        <v>11631</v>
      </c>
      <c r="G656" t="s">
        <v>11632</v>
      </c>
      <c r="H656" t="s">
        <v>11633</v>
      </c>
    </row>
    <row r="657" spans="1:8" x14ac:dyDescent="0.45">
      <c r="A657" t="s">
        <v>9440</v>
      </c>
      <c r="B657" t="s">
        <v>9441</v>
      </c>
      <c r="C657" t="s">
        <v>11634</v>
      </c>
      <c r="E657" t="s">
        <v>11635</v>
      </c>
      <c r="F657" t="s">
        <v>11636</v>
      </c>
      <c r="G657" t="s">
        <v>11637</v>
      </c>
      <c r="H657" t="s">
        <v>11638</v>
      </c>
    </row>
    <row r="658" spans="1:8" x14ac:dyDescent="0.45">
      <c r="A658" t="s">
        <v>9440</v>
      </c>
      <c r="B658" t="s">
        <v>9441</v>
      </c>
      <c r="C658" t="s">
        <v>11634</v>
      </c>
      <c r="E658" t="s">
        <v>11635</v>
      </c>
      <c r="F658" t="s">
        <v>11639</v>
      </c>
      <c r="G658" t="s">
        <v>11640</v>
      </c>
      <c r="H658" t="s">
        <v>11641</v>
      </c>
    </row>
    <row r="659" spans="1:8" x14ac:dyDescent="0.45">
      <c r="A659" t="s">
        <v>8453</v>
      </c>
      <c r="B659" t="s">
        <v>8454</v>
      </c>
      <c r="C659" t="s">
        <v>11642</v>
      </c>
      <c r="E659" t="s">
        <v>11643</v>
      </c>
      <c r="F659" t="s">
        <v>11644</v>
      </c>
      <c r="G659" t="s">
        <v>11645</v>
      </c>
      <c r="H659" t="s">
        <v>11646</v>
      </c>
    </row>
    <row r="660" spans="1:8" x14ac:dyDescent="0.45">
      <c r="A660" t="s">
        <v>8420</v>
      </c>
      <c r="B660" t="s">
        <v>8421</v>
      </c>
      <c r="C660" t="s">
        <v>11647</v>
      </c>
      <c r="E660" t="s">
        <v>11648</v>
      </c>
      <c r="F660" t="s">
        <v>11649</v>
      </c>
      <c r="G660" t="s">
        <v>11650</v>
      </c>
      <c r="H660" t="s">
        <v>11651</v>
      </c>
    </row>
    <row r="661" spans="1:8" x14ac:dyDescent="0.45">
      <c r="A661" t="s">
        <v>8420</v>
      </c>
      <c r="B661" t="s">
        <v>8421</v>
      </c>
      <c r="C661" t="s">
        <v>11647</v>
      </c>
      <c r="E661" t="s">
        <v>11648</v>
      </c>
      <c r="F661" t="s">
        <v>11652</v>
      </c>
      <c r="G661" t="s">
        <v>11650</v>
      </c>
      <c r="H661" t="s">
        <v>11653</v>
      </c>
    </row>
    <row r="662" spans="1:8" x14ac:dyDescent="0.45">
      <c r="A662" t="s">
        <v>7026</v>
      </c>
      <c r="B662" t="s">
        <v>7027</v>
      </c>
      <c r="C662" t="s">
        <v>11654</v>
      </c>
      <c r="E662" t="s">
        <v>11655</v>
      </c>
      <c r="F662" t="s">
        <v>11656</v>
      </c>
      <c r="G662" t="s">
        <v>11657</v>
      </c>
      <c r="H662" t="s">
        <v>11658</v>
      </c>
    </row>
    <row r="663" spans="1:8" x14ac:dyDescent="0.45">
      <c r="A663" t="s">
        <v>8522</v>
      </c>
      <c r="B663" t="s">
        <v>8523</v>
      </c>
      <c r="C663" t="s">
        <v>11659</v>
      </c>
      <c r="E663" t="s">
        <v>11660</v>
      </c>
      <c r="F663" t="s">
        <v>11661</v>
      </c>
      <c r="G663" t="s">
        <v>11662</v>
      </c>
      <c r="H663" t="s">
        <v>11663</v>
      </c>
    </row>
    <row r="664" spans="1:8" x14ac:dyDescent="0.45">
      <c r="A664" t="s">
        <v>7542</v>
      </c>
      <c r="B664" t="s">
        <v>7543</v>
      </c>
      <c r="C664" t="s">
        <v>11664</v>
      </c>
      <c r="E664" t="s">
        <v>11665</v>
      </c>
      <c r="F664" t="s">
        <v>11666</v>
      </c>
      <c r="G664" t="s">
        <v>11667</v>
      </c>
      <c r="H664" t="s">
        <v>11668</v>
      </c>
    </row>
    <row r="665" spans="1:8" x14ac:dyDescent="0.45">
      <c r="A665" t="s">
        <v>849</v>
      </c>
      <c r="B665" t="s">
        <v>850</v>
      </c>
      <c r="C665" t="s">
        <v>11669</v>
      </c>
      <c r="E665" t="s">
        <v>11670</v>
      </c>
      <c r="F665" t="s">
        <v>11671</v>
      </c>
      <c r="G665" t="s">
        <v>11672</v>
      </c>
      <c r="H665" t="s">
        <v>11673</v>
      </c>
    </row>
    <row r="666" spans="1:8" x14ac:dyDescent="0.45">
      <c r="A666" t="s">
        <v>6444</v>
      </c>
      <c r="B666" t="s">
        <v>6445</v>
      </c>
      <c r="C666" t="s">
        <v>11669</v>
      </c>
      <c r="E666" t="s">
        <v>11670</v>
      </c>
      <c r="F666" t="s">
        <v>11671</v>
      </c>
      <c r="G666" t="s">
        <v>11672</v>
      </c>
      <c r="H666" t="s">
        <v>11673</v>
      </c>
    </row>
    <row r="667" spans="1:8" x14ac:dyDescent="0.45">
      <c r="A667" t="s">
        <v>7036</v>
      </c>
      <c r="B667" t="s">
        <v>7037</v>
      </c>
      <c r="C667" t="s">
        <v>11669</v>
      </c>
      <c r="E667" t="s">
        <v>11670</v>
      </c>
      <c r="F667" t="s">
        <v>11671</v>
      </c>
      <c r="G667" t="s">
        <v>11672</v>
      </c>
      <c r="H667" t="s">
        <v>11673</v>
      </c>
    </row>
    <row r="668" spans="1:8" x14ac:dyDescent="0.45">
      <c r="A668" t="s">
        <v>7236</v>
      </c>
      <c r="B668" t="s">
        <v>7237</v>
      </c>
      <c r="C668" t="s">
        <v>11669</v>
      </c>
      <c r="E668" t="s">
        <v>11670</v>
      </c>
      <c r="F668" t="s">
        <v>11671</v>
      </c>
      <c r="G668" t="s">
        <v>11672</v>
      </c>
      <c r="H668" t="s">
        <v>11673</v>
      </c>
    </row>
    <row r="669" spans="1:8" x14ac:dyDescent="0.45">
      <c r="A669" t="s">
        <v>8329</v>
      </c>
      <c r="B669" t="s">
        <v>8330</v>
      </c>
      <c r="C669" t="s">
        <v>11669</v>
      </c>
      <c r="E669" t="s">
        <v>11670</v>
      </c>
      <c r="F669" t="s">
        <v>11671</v>
      </c>
      <c r="G669" t="s">
        <v>11672</v>
      </c>
      <c r="H669" t="s">
        <v>11673</v>
      </c>
    </row>
    <row r="670" spans="1:8" x14ac:dyDescent="0.45">
      <c r="A670" t="s">
        <v>8648</v>
      </c>
      <c r="B670" t="s">
        <v>8649</v>
      </c>
      <c r="C670" t="s">
        <v>11669</v>
      </c>
      <c r="E670" t="s">
        <v>11670</v>
      </c>
      <c r="F670" t="s">
        <v>11671</v>
      </c>
      <c r="G670" t="s">
        <v>11672</v>
      </c>
      <c r="H670" t="s">
        <v>11673</v>
      </c>
    </row>
    <row r="671" spans="1:8" x14ac:dyDescent="0.45">
      <c r="A671" t="s">
        <v>623</v>
      </c>
      <c r="B671" t="s">
        <v>624</v>
      </c>
      <c r="C671" t="s">
        <v>11674</v>
      </c>
      <c r="E671" t="s">
        <v>11675</v>
      </c>
      <c r="F671" t="s">
        <v>11676</v>
      </c>
      <c r="G671" t="s">
        <v>11677</v>
      </c>
      <c r="H671" t="s">
        <v>11678</v>
      </c>
    </row>
    <row r="672" spans="1:8" x14ac:dyDescent="0.45">
      <c r="A672" t="s">
        <v>3014</v>
      </c>
      <c r="B672" t="s">
        <v>3015</v>
      </c>
      <c r="C672" t="s">
        <v>11679</v>
      </c>
      <c r="E672" t="s">
        <v>11680</v>
      </c>
      <c r="F672" t="s">
        <v>11681</v>
      </c>
      <c r="G672" t="s">
        <v>11682</v>
      </c>
      <c r="H672" t="s">
        <v>11683</v>
      </c>
    </row>
    <row r="673" spans="1:8" x14ac:dyDescent="0.45">
      <c r="A673" t="s">
        <v>3598</v>
      </c>
      <c r="B673" t="s">
        <v>3599</v>
      </c>
      <c r="C673" t="s">
        <v>11684</v>
      </c>
      <c r="E673" t="s">
        <v>11685</v>
      </c>
      <c r="F673" t="s">
        <v>11686</v>
      </c>
      <c r="G673" t="s">
        <v>11687</v>
      </c>
      <c r="H673" t="s">
        <v>11688</v>
      </c>
    </row>
    <row r="674" spans="1:8" x14ac:dyDescent="0.45">
      <c r="A674" t="s">
        <v>2195</v>
      </c>
      <c r="B674" t="s">
        <v>2196</v>
      </c>
      <c r="C674" t="s">
        <v>11689</v>
      </c>
      <c r="E674" t="s">
        <v>11690</v>
      </c>
      <c r="F674" t="s">
        <v>11691</v>
      </c>
      <c r="G674" t="s">
        <v>11692</v>
      </c>
      <c r="H674" t="s">
        <v>11693</v>
      </c>
    </row>
    <row r="675" spans="1:8" x14ac:dyDescent="0.45">
      <c r="A675" t="s">
        <v>3790</v>
      </c>
      <c r="B675" t="s">
        <v>3791</v>
      </c>
      <c r="C675" t="s">
        <v>11689</v>
      </c>
      <c r="E675" t="s">
        <v>11690</v>
      </c>
      <c r="F675" t="s">
        <v>11691</v>
      </c>
      <c r="G675" t="s">
        <v>11692</v>
      </c>
      <c r="H675" t="s">
        <v>11693</v>
      </c>
    </row>
    <row r="676" spans="1:8" x14ac:dyDescent="0.45">
      <c r="A676" t="s">
        <v>9832</v>
      </c>
      <c r="B676" t="s">
        <v>9833</v>
      </c>
      <c r="C676" t="s">
        <v>11694</v>
      </c>
      <c r="E676" t="s">
        <v>11695</v>
      </c>
      <c r="F676" t="s">
        <v>11696</v>
      </c>
      <c r="G676" t="s">
        <v>11697</v>
      </c>
      <c r="H676" t="s">
        <v>11698</v>
      </c>
    </row>
    <row r="677" spans="1:8" x14ac:dyDescent="0.45">
      <c r="A677" t="s">
        <v>9832</v>
      </c>
      <c r="B677" t="s">
        <v>9833</v>
      </c>
      <c r="C677" t="s">
        <v>11694</v>
      </c>
      <c r="E677" t="s">
        <v>11695</v>
      </c>
      <c r="F677" t="s">
        <v>11699</v>
      </c>
      <c r="G677" t="s">
        <v>11700</v>
      </c>
      <c r="H677" t="s">
        <v>11701</v>
      </c>
    </row>
    <row r="678" spans="1:8" x14ac:dyDescent="0.45">
      <c r="A678" t="s">
        <v>9832</v>
      </c>
      <c r="B678" t="s">
        <v>9833</v>
      </c>
      <c r="C678" t="s">
        <v>11694</v>
      </c>
      <c r="E678" t="s">
        <v>11695</v>
      </c>
      <c r="F678" t="s">
        <v>11702</v>
      </c>
      <c r="G678" t="s">
        <v>11703</v>
      </c>
      <c r="H678" t="s">
        <v>11704</v>
      </c>
    </row>
    <row r="679" spans="1:8" x14ac:dyDescent="0.45">
      <c r="A679" t="s">
        <v>3708</v>
      </c>
      <c r="B679" t="s">
        <v>3709</v>
      </c>
      <c r="C679" t="s">
        <v>11705</v>
      </c>
      <c r="E679" t="s">
        <v>11706</v>
      </c>
      <c r="F679" t="s">
        <v>11707</v>
      </c>
      <c r="G679" t="s">
        <v>11708</v>
      </c>
      <c r="H679" t="s">
        <v>11709</v>
      </c>
    </row>
    <row r="680" spans="1:8" x14ac:dyDescent="0.45">
      <c r="A680" t="s">
        <v>3708</v>
      </c>
      <c r="B680" t="s">
        <v>3709</v>
      </c>
      <c r="C680" t="s">
        <v>11705</v>
      </c>
      <c r="E680" t="s">
        <v>11706</v>
      </c>
      <c r="F680" t="s">
        <v>11710</v>
      </c>
      <c r="G680" t="s">
        <v>11711</v>
      </c>
      <c r="H680" t="s">
        <v>11712</v>
      </c>
    </row>
    <row r="681" spans="1:8" x14ac:dyDescent="0.45">
      <c r="A681" t="s">
        <v>3708</v>
      </c>
      <c r="B681" t="s">
        <v>3709</v>
      </c>
      <c r="C681" t="s">
        <v>11705</v>
      </c>
      <c r="E681" t="s">
        <v>11706</v>
      </c>
      <c r="F681" t="s">
        <v>11713</v>
      </c>
      <c r="G681" t="s">
        <v>11714</v>
      </c>
      <c r="H681" t="s">
        <v>11715</v>
      </c>
    </row>
    <row r="682" spans="1:8" x14ac:dyDescent="0.45">
      <c r="A682" t="s">
        <v>6066</v>
      </c>
      <c r="B682" t="s">
        <v>6067</v>
      </c>
      <c r="C682" t="s">
        <v>11716</v>
      </c>
      <c r="E682" t="s">
        <v>11717</v>
      </c>
      <c r="F682" t="s">
        <v>11718</v>
      </c>
      <c r="G682" t="s">
        <v>11719</v>
      </c>
      <c r="H682" t="s">
        <v>11720</v>
      </c>
    </row>
    <row r="683" spans="1:8" x14ac:dyDescent="0.45">
      <c r="A683" t="s">
        <v>9299</v>
      </c>
      <c r="B683" t="s">
        <v>9300</v>
      </c>
      <c r="C683" t="s">
        <v>11721</v>
      </c>
      <c r="E683" t="s">
        <v>11722</v>
      </c>
      <c r="F683" t="s">
        <v>11723</v>
      </c>
      <c r="G683" t="s">
        <v>11724</v>
      </c>
      <c r="H683" t="s">
        <v>11725</v>
      </c>
    </row>
    <row r="684" spans="1:8" x14ac:dyDescent="0.45">
      <c r="A684" t="s">
        <v>9299</v>
      </c>
      <c r="B684" t="s">
        <v>9300</v>
      </c>
      <c r="C684" t="s">
        <v>11721</v>
      </c>
      <c r="E684" t="s">
        <v>11722</v>
      </c>
      <c r="F684" t="s">
        <v>11726</v>
      </c>
      <c r="G684" t="s">
        <v>11727</v>
      </c>
      <c r="H684" t="s">
        <v>11728</v>
      </c>
    </row>
    <row r="685" spans="1:8" x14ac:dyDescent="0.45">
      <c r="A685" t="s">
        <v>9299</v>
      </c>
      <c r="B685" t="s">
        <v>9300</v>
      </c>
      <c r="C685" t="s">
        <v>11721</v>
      </c>
      <c r="E685" t="s">
        <v>11722</v>
      </c>
      <c r="F685" t="s">
        <v>11729</v>
      </c>
      <c r="G685" t="s">
        <v>11730</v>
      </c>
      <c r="H685" t="s">
        <v>11731</v>
      </c>
    </row>
    <row r="686" spans="1:8" x14ac:dyDescent="0.45">
      <c r="A686" t="s">
        <v>9299</v>
      </c>
      <c r="B686" t="s">
        <v>9300</v>
      </c>
      <c r="C686" t="s">
        <v>11721</v>
      </c>
      <c r="E686" t="s">
        <v>11722</v>
      </c>
      <c r="F686" t="s">
        <v>11732</v>
      </c>
      <c r="G686" t="s">
        <v>11733</v>
      </c>
      <c r="H686" t="s">
        <v>11734</v>
      </c>
    </row>
    <row r="687" spans="1:8" x14ac:dyDescent="0.45">
      <c r="A687" t="s">
        <v>9299</v>
      </c>
      <c r="B687" t="s">
        <v>9300</v>
      </c>
      <c r="C687" t="s">
        <v>11721</v>
      </c>
      <c r="E687" t="s">
        <v>11722</v>
      </c>
      <c r="F687" t="s">
        <v>11735</v>
      </c>
      <c r="G687" t="s">
        <v>11736</v>
      </c>
      <c r="H687" t="s">
        <v>11737</v>
      </c>
    </row>
    <row r="688" spans="1:8" x14ac:dyDescent="0.45">
      <c r="A688" t="s">
        <v>9299</v>
      </c>
      <c r="B688" t="s">
        <v>9300</v>
      </c>
      <c r="C688" t="s">
        <v>11721</v>
      </c>
      <c r="E688" t="s">
        <v>11722</v>
      </c>
      <c r="F688" t="s">
        <v>11738</v>
      </c>
      <c r="G688" t="s">
        <v>11739</v>
      </c>
      <c r="H688" t="s">
        <v>11740</v>
      </c>
    </row>
    <row r="689" spans="1:8" x14ac:dyDescent="0.45">
      <c r="A689" t="s">
        <v>9299</v>
      </c>
      <c r="B689" t="s">
        <v>9300</v>
      </c>
      <c r="C689" t="s">
        <v>11721</v>
      </c>
      <c r="E689" t="s">
        <v>11722</v>
      </c>
      <c r="F689" t="s">
        <v>11741</v>
      </c>
      <c r="G689" t="s">
        <v>11742</v>
      </c>
      <c r="H689" t="s">
        <v>11743</v>
      </c>
    </row>
    <row r="690" spans="1:8" x14ac:dyDescent="0.45">
      <c r="A690" t="s">
        <v>9299</v>
      </c>
      <c r="B690" t="s">
        <v>9300</v>
      </c>
      <c r="C690" t="s">
        <v>11721</v>
      </c>
      <c r="E690" t="s">
        <v>11722</v>
      </c>
      <c r="F690" t="s">
        <v>11744</v>
      </c>
      <c r="G690" t="s">
        <v>11745</v>
      </c>
      <c r="H690" t="s">
        <v>11746</v>
      </c>
    </row>
    <row r="691" spans="1:8" x14ac:dyDescent="0.45">
      <c r="A691" t="s">
        <v>4589</v>
      </c>
      <c r="B691" t="s">
        <v>4590</v>
      </c>
      <c r="C691" t="s">
        <v>11747</v>
      </c>
      <c r="E691" t="s">
        <v>11748</v>
      </c>
      <c r="F691" t="s">
        <v>11749</v>
      </c>
      <c r="G691" t="s">
        <v>11750</v>
      </c>
      <c r="H691" t="s">
        <v>11751</v>
      </c>
    </row>
    <row r="692" spans="1:8" x14ac:dyDescent="0.45">
      <c r="A692" t="s">
        <v>4593</v>
      </c>
      <c r="B692" t="s">
        <v>4594</v>
      </c>
      <c r="C692" t="s">
        <v>11752</v>
      </c>
      <c r="E692" t="s">
        <v>11753</v>
      </c>
      <c r="F692" t="s">
        <v>11754</v>
      </c>
      <c r="G692" t="s">
        <v>11755</v>
      </c>
      <c r="H692" t="s">
        <v>11756</v>
      </c>
    </row>
    <row r="693" spans="1:8" x14ac:dyDescent="0.45">
      <c r="A693" t="s">
        <v>6448</v>
      </c>
      <c r="B693" t="s">
        <v>6449</v>
      </c>
      <c r="C693" t="s">
        <v>11757</v>
      </c>
      <c r="E693" t="s">
        <v>11758</v>
      </c>
      <c r="F693" t="s">
        <v>11759</v>
      </c>
      <c r="G693" t="s">
        <v>11760</v>
      </c>
      <c r="H693" t="s">
        <v>11596</v>
      </c>
    </row>
    <row r="694" spans="1:8" x14ac:dyDescent="0.45">
      <c r="A694" t="s">
        <v>6448</v>
      </c>
      <c r="B694" t="s">
        <v>6449</v>
      </c>
      <c r="C694" t="s">
        <v>11757</v>
      </c>
      <c r="E694" t="s">
        <v>11758</v>
      </c>
      <c r="F694" t="s">
        <v>11761</v>
      </c>
      <c r="G694" t="s">
        <v>11760</v>
      </c>
      <c r="H694" t="s">
        <v>11593</v>
      </c>
    </row>
    <row r="695" spans="1:8" x14ac:dyDescent="0.45">
      <c r="A695" t="s">
        <v>6448</v>
      </c>
      <c r="B695" t="s">
        <v>6449</v>
      </c>
      <c r="C695" t="s">
        <v>11757</v>
      </c>
      <c r="E695" t="s">
        <v>11758</v>
      </c>
      <c r="F695" t="s">
        <v>11609</v>
      </c>
      <c r="G695" t="s">
        <v>11610</v>
      </c>
      <c r="H695" t="s">
        <v>11611</v>
      </c>
    </row>
    <row r="696" spans="1:8" x14ac:dyDescent="0.45">
      <c r="A696" t="s">
        <v>9473</v>
      </c>
      <c r="B696" t="s">
        <v>9474</v>
      </c>
      <c r="C696" t="s">
        <v>11757</v>
      </c>
      <c r="E696" t="s">
        <v>11758</v>
      </c>
      <c r="F696" t="s">
        <v>11759</v>
      </c>
      <c r="G696" t="s">
        <v>11760</v>
      </c>
      <c r="H696" t="s">
        <v>11596</v>
      </c>
    </row>
    <row r="697" spans="1:8" x14ac:dyDescent="0.45">
      <c r="A697" t="s">
        <v>9473</v>
      </c>
      <c r="B697" t="s">
        <v>9474</v>
      </c>
      <c r="C697" t="s">
        <v>11757</v>
      </c>
      <c r="E697" t="s">
        <v>11758</v>
      </c>
      <c r="F697" t="s">
        <v>11761</v>
      </c>
      <c r="G697" t="s">
        <v>11760</v>
      </c>
      <c r="H697" t="s">
        <v>11593</v>
      </c>
    </row>
    <row r="698" spans="1:8" x14ac:dyDescent="0.45">
      <c r="A698" t="s">
        <v>9473</v>
      </c>
      <c r="B698" t="s">
        <v>9474</v>
      </c>
      <c r="C698" t="s">
        <v>11757</v>
      </c>
      <c r="E698" t="s">
        <v>11758</v>
      </c>
      <c r="F698" t="s">
        <v>11609</v>
      </c>
      <c r="G698" t="s">
        <v>11610</v>
      </c>
      <c r="H698" t="s">
        <v>11611</v>
      </c>
    </row>
    <row r="699" spans="1:8" x14ac:dyDescent="0.45">
      <c r="A699" t="s">
        <v>5240</v>
      </c>
      <c r="B699" t="s">
        <v>5241</v>
      </c>
      <c r="C699" t="s">
        <v>11762</v>
      </c>
      <c r="E699" t="s">
        <v>11763</v>
      </c>
      <c r="F699" t="s">
        <v>11764</v>
      </c>
      <c r="G699" t="s">
        <v>11765</v>
      </c>
      <c r="H699" t="s">
        <v>11766</v>
      </c>
    </row>
    <row r="700" spans="1:8" x14ac:dyDescent="0.45">
      <c r="A700" t="s">
        <v>2289</v>
      </c>
      <c r="B700" t="s">
        <v>2290</v>
      </c>
      <c r="C700" t="s">
        <v>11767</v>
      </c>
      <c r="E700" t="s">
        <v>11768</v>
      </c>
      <c r="F700" t="s">
        <v>11769</v>
      </c>
      <c r="G700" t="s">
        <v>11770</v>
      </c>
      <c r="H700" t="s">
        <v>11771</v>
      </c>
    </row>
    <row r="701" spans="1:8" x14ac:dyDescent="0.45">
      <c r="A701" t="s">
        <v>2289</v>
      </c>
      <c r="B701" t="s">
        <v>2290</v>
      </c>
      <c r="C701" t="s">
        <v>11767</v>
      </c>
      <c r="E701" t="s">
        <v>11768</v>
      </c>
      <c r="F701" t="s">
        <v>11772</v>
      </c>
      <c r="G701" t="s">
        <v>11773</v>
      </c>
      <c r="H701" t="s">
        <v>11774</v>
      </c>
    </row>
    <row r="702" spans="1:8" x14ac:dyDescent="0.45">
      <c r="A702" t="s">
        <v>6807</v>
      </c>
      <c r="B702" t="s">
        <v>6808</v>
      </c>
      <c r="C702" t="s">
        <v>11775</v>
      </c>
      <c r="E702" t="s">
        <v>11776</v>
      </c>
    </row>
    <row r="703" spans="1:8" x14ac:dyDescent="0.45">
      <c r="A703" t="s">
        <v>1220</v>
      </c>
      <c r="B703" t="s">
        <v>1221</v>
      </c>
      <c r="C703" t="s">
        <v>11777</v>
      </c>
      <c r="E703" t="s">
        <v>11778</v>
      </c>
    </row>
    <row r="704" spans="1:8" x14ac:dyDescent="0.45">
      <c r="A704" t="s">
        <v>1271</v>
      </c>
      <c r="B704" t="s">
        <v>1272</v>
      </c>
      <c r="C704" t="s">
        <v>11777</v>
      </c>
      <c r="E704" t="s">
        <v>11778</v>
      </c>
    </row>
    <row r="705" spans="1:5" x14ac:dyDescent="0.45">
      <c r="A705" t="s">
        <v>1450</v>
      </c>
      <c r="B705" t="s">
        <v>1451</v>
      </c>
      <c r="C705" t="s">
        <v>11777</v>
      </c>
      <c r="E705" t="s">
        <v>11778</v>
      </c>
    </row>
    <row r="706" spans="1:5" x14ac:dyDescent="0.45">
      <c r="A706" t="s">
        <v>1510</v>
      </c>
      <c r="B706" t="s">
        <v>1511</v>
      </c>
      <c r="C706" t="s">
        <v>11777</v>
      </c>
      <c r="E706" t="s">
        <v>11778</v>
      </c>
    </row>
    <row r="707" spans="1:5" x14ac:dyDescent="0.45">
      <c r="A707" t="s">
        <v>1519</v>
      </c>
      <c r="B707" t="s">
        <v>1520</v>
      </c>
      <c r="C707" t="s">
        <v>11777</v>
      </c>
      <c r="E707" t="s">
        <v>11778</v>
      </c>
    </row>
    <row r="708" spans="1:5" x14ac:dyDescent="0.45">
      <c r="A708" t="s">
        <v>1545</v>
      </c>
      <c r="B708" t="s">
        <v>1546</v>
      </c>
      <c r="C708" t="s">
        <v>11777</v>
      </c>
      <c r="E708" t="s">
        <v>11778</v>
      </c>
    </row>
    <row r="709" spans="1:5" x14ac:dyDescent="0.45">
      <c r="A709" t="s">
        <v>1613</v>
      </c>
      <c r="B709" t="s">
        <v>1614</v>
      </c>
      <c r="C709" t="s">
        <v>11777</v>
      </c>
      <c r="E709" t="s">
        <v>11778</v>
      </c>
    </row>
    <row r="710" spans="1:5" x14ac:dyDescent="0.45">
      <c r="A710" t="s">
        <v>1731</v>
      </c>
      <c r="B710" t="s">
        <v>1732</v>
      </c>
      <c r="C710" t="s">
        <v>11777</v>
      </c>
      <c r="E710" t="s">
        <v>11778</v>
      </c>
    </row>
    <row r="711" spans="1:5" x14ac:dyDescent="0.45">
      <c r="A711" t="s">
        <v>1814</v>
      </c>
      <c r="B711" t="s">
        <v>1815</v>
      </c>
      <c r="C711" t="s">
        <v>11777</v>
      </c>
      <c r="E711" t="s">
        <v>11778</v>
      </c>
    </row>
    <row r="712" spans="1:5" x14ac:dyDescent="0.45">
      <c r="A712" t="s">
        <v>1900</v>
      </c>
      <c r="B712" t="s">
        <v>1901</v>
      </c>
      <c r="C712" t="s">
        <v>11777</v>
      </c>
      <c r="E712" t="s">
        <v>11778</v>
      </c>
    </row>
    <row r="713" spans="1:5" x14ac:dyDescent="0.45">
      <c r="A713" t="s">
        <v>1976</v>
      </c>
      <c r="B713" t="s">
        <v>1977</v>
      </c>
      <c r="C713" t="s">
        <v>11777</v>
      </c>
      <c r="E713" t="s">
        <v>11778</v>
      </c>
    </row>
    <row r="714" spans="1:5" x14ac:dyDescent="0.45">
      <c r="A714" t="s">
        <v>2424</v>
      </c>
      <c r="B714" t="s">
        <v>2425</v>
      </c>
      <c r="C714" t="s">
        <v>11777</v>
      </c>
      <c r="E714" t="s">
        <v>11778</v>
      </c>
    </row>
    <row r="715" spans="1:5" x14ac:dyDescent="0.45">
      <c r="A715" t="s">
        <v>2725</v>
      </c>
      <c r="B715" t="s">
        <v>2726</v>
      </c>
      <c r="C715" t="s">
        <v>11777</v>
      </c>
      <c r="E715" t="s">
        <v>11778</v>
      </c>
    </row>
    <row r="716" spans="1:5" x14ac:dyDescent="0.45">
      <c r="A716" t="s">
        <v>2748</v>
      </c>
      <c r="B716" t="s">
        <v>2749</v>
      </c>
      <c r="C716" t="s">
        <v>11777</v>
      </c>
      <c r="E716" t="s">
        <v>11778</v>
      </c>
    </row>
    <row r="717" spans="1:5" x14ac:dyDescent="0.45">
      <c r="A717" t="s">
        <v>2970</v>
      </c>
      <c r="B717" t="s">
        <v>2971</v>
      </c>
      <c r="C717" t="s">
        <v>11777</v>
      </c>
      <c r="E717" t="s">
        <v>11778</v>
      </c>
    </row>
    <row r="718" spans="1:5" x14ac:dyDescent="0.45">
      <c r="A718" t="s">
        <v>3454</v>
      </c>
      <c r="B718" t="s">
        <v>3455</v>
      </c>
      <c r="C718" t="s">
        <v>11777</v>
      </c>
      <c r="E718" t="s">
        <v>11778</v>
      </c>
    </row>
    <row r="719" spans="1:5" x14ac:dyDescent="0.45">
      <c r="A719" t="s">
        <v>4034</v>
      </c>
      <c r="B719" t="s">
        <v>4035</v>
      </c>
      <c r="C719" t="s">
        <v>11777</v>
      </c>
      <c r="E719" t="s">
        <v>11778</v>
      </c>
    </row>
    <row r="720" spans="1:5" x14ac:dyDescent="0.45">
      <c r="A720" t="s">
        <v>4108</v>
      </c>
      <c r="B720" t="s">
        <v>4109</v>
      </c>
      <c r="C720" t="s">
        <v>11777</v>
      </c>
      <c r="E720" t="s">
        <v>11778</v>
      </c>
    </row>
    <row r="721" spans="1:5" x14ac:dyDescent="0.45">
      <c r="A721" t="s">
        <v>4519</v>
      </c>
      <c r="B721" t="s">
        <v>4520</v>
      </c>
      <c r="C721" t="s">
        <v>11777</v>
      </c>
      <c r="E721" t="s">
        <v>11778</v>
      </c>
    </row>
    <row r="722" spans="1:5" x14ac:dyDescent="0.45">
      <c r="A722" t="s">
        <v>4782</v>
      </c>
      <c r="B722" t="s">
        <v>4783</v>
      </c>
      <c r="C722" t="s">
        <v>11777</v>
      </c>
      <c r="E722" t="s">
        <v>11778</v>
      </c>
    </row>
    <row r="723" spans="1:5" x14ac:dyDescent="0.45">
      <c r="A723" t="s">
        <v>4825</v>
      </c>
      <c r="B723" t="s">
        <v>4826</v>
      </c>
      <c r="C723" t="s">
        <v>11777</v>
      </c>
      <c r="E723" t="s">
        <v>11778</v>
      </c>
    </row>
    <row r="724" spans="1:5" x14ac:dyDescent="0.45">
      <c r="A724" t="s">
        <v>5208</v>
      </c>
      <c r="B724" t="s">
        <v>5209</v>
      </c>
      <c r="C724" t="s">
        <v>11777</v>
      </c>
      <c r="E724" t="s">
        <v>11778</v>
      </c>
    </row>
    <row r="725" spans="1:5" x14ac:dyDescent="0.45">
      <c r="A725" t="s">
        <v>5280</v>
      </c>
      <c r="B725" t="s">
        <v>5281</v>
      </c>
      <c r="C725" t="s">
        <v>11777</v>
      </c>
      <c r="E725" t="s">
        <v>11778</v>
      </c>
    </row>
    <row r="726" spans="1:5" x14ac:dyDescent="0.45">
      <c r="A726" t="s">
        <v>5466</v>
      </c>
      <c r="B726" t="s">
        <v>5467</v>
      </c>
      <c r="C726" t="s">
        <v>11777</v>
      </c>
      <c r="E726" t="s">
        <v>11778</v>
      </c>
    </row>
    <row r="727" spans="1:5" x14ac:dyDescent="0.45">
      <c r="A727" t="s">
        <v>5640</v>
      </c>
      <c r="B727" t="s">
        <v>5641</v>
      </c>
      <c r="C727" t="s">
        <v>11777</v>
      </c>
      <c r="E727" t="s">
        <v>11778</v>
      </c>
    </row>
    <row r="728" spans="1:5" x14ac:dyDescent="0.45">
      <c r="A728" t="s">
        <v>5655</v>
      </c>
      <c r="B728" t="s">
        <v>5656</v>
      </c>
      <c r="C728" t="s">
        <v>11777</v>
      </c>
      <c r="E728" t="s">
        <v>11778</v>
      </c>
    </row>
    <row r="729" spans="1:5" x14ac:dyDescent="0.45">
      <c r="A729" t="s">
        <v>5663</v>
      </c>
      <c r="B729" t="s">
        <v>5664</v>
      </c>
      <c r="C729" t="s">
        <v>11777</v>
      </c>
      <c r="E729" t="s">
        <v>11778</v>
      </c>
    </row>
    <row r="730" spans="1:5" x14ac:dyDescent="0.45">
      <c r="A730" t="s">
        <v>6042</v>
      </c>
      <c r="B730" t="s">
        <v>6043</v>
      </c>
      <c r="C730" t="s">
        <v>11777</v>
      </c>
      <c r="E730" t="s">
        <v>11778</v>
      </c>
    </row>
    <row r="731" spans="1:5" x14ac:dyDescent="0.45">
      <c r="A731" t="s">
        <v>6497</v>
      </c>
      <c r="B731" t="s">
        <v>6498</v>
      </c>
      <c r="C731" t="s">
        <v>11777</v>
      </c>
      <c r="E731" t="s">
        <v>11778</v>
      </c>
    </row>
    <row r="732" spans="1:5" x14ac:dyDescent="0.45">
      <c r="A732" t="s">
        <v>6537</v>
      </c>
      <c r="B732" t="s">
        <v>6538</v>
      </c>
      <c r="C732" t="s">
        <v>11777</v>
      </c>
      <c r="E732" t="s">
        <v>11778</v>
      </c>
    </row>
    <row r="733" spans="1:5" x14ac:dyDescent="0.45">
      <c r="A733" t="s">
        <v>7152</v>
      </c>
      <c r="B733" t="s">
        <v>7153</v>
      </c>
      <c r="C733" t="s">
        <v>11777</v>
      </c>
      <c r="E733" t="s">
        <v>11778</v>
      </c>
    </row>
    <row r="734" spans="1:5" x14ac:dyDescent="0.45">
      <c r="A734" t="s">
        <v>7244</v>
      </c>
      <c r="B734" t="s">
        <v>7245</v>
      </c>
      <c r="C734" t="s">
        <v>11777</v>
      </c>
      <c r="E734" t="s">
        <v>11778</v>
      </c>
    </row>
    <row r="735" spans="1:5" x14ac:dyDescent="0.45">
      <c r="A735" t="s">
        <v>7346</v>
      </c>
      <c r="B735" t="s">
        <v>7347</v>
      </c>
      <c r="C735" t="s">
        <v>11777</v>
      </c>
      <c r="E735" t="s">
        <v>11778</v>
      </c>
    </row>
    <row r="736" spans="1:5" x14ac:dyDescent="0.45">
      <c r="A736" t="s">
        <v>7446</v>
      </c>
      <c r="B736" t="s">
        <v>7447</v>
      </c>
      <c r="C736" t="s">
        <v>11777</v>
      </c>
      <c r="E736" t="s">
        <v>11778</v>
      </c>
    </row>
    <row r="737" spans="1:8" x14ac:dyDescent="0.45">
      <c r="A737" t="s">
        <v>8099</v>
      </c>
      <c r="B737" t="s">
        <v>8100</v>
      </c>
      <c r="C737" t="s">
        <v>11777</v>
      </c>
      <c r="E737" t="s">
        <v>11778</v>
      </c>
    </row>
    <row r="738" spans="1:8" x14ac:dyDescent="0.45">
      <c r="A738" t="s">
        <v>8855</v>
      </c>
      <c r="B738" t="s">
        <v>8856</v>
      </c>
      <c r="C738" t="s">
        <v>11777</v>
      </c>
      <c r="E738" t="s">
        <v>11778</v>
      </c>
    </row>
    <row r="739" spans="1:8" x14ac:dyDescent="0.45">
      <c r="A739" t="s">
        <v>8882</v>
      </c>
      <c r="B739" t="s">
        <v>8883</v>
      </c>
      <c r="C739" t="s">
        <v>11777</v>
      </c>
      <c r="E739" t="s">
        <v>11778</v>
      </c>
    </row>
    <row r="740" spans="1:8" x14ac:dyDescent="0.45">
      <c r="A740" t="s">
        <v>9059</v>
      </c>
      <c r="B740" t="s">
        <v>9060</v>
      </c>
      <c r="C740" t="s">
        <v>11777</v>
      </c>
      <c r="E740" t="s">
        <v>11778</v>
      </c>
    </row>
    <row r="741" spans="1:8" x14ac:dyDescent="0.45">
      <c r="A741" t="s">
        <v>9065</v>
      </c>
      <c r="B741" t="s">
        <v>9066</v>
      </c>
      <c r="C741" t="s">
        <v>11777</v>
      </c>
      <c r="E741" t="s">
        <v>11778</v>
      </c>
    </row>
    <row r="742" spans="1:8" x14ac:dyDescent="0.45">
      <c r="A742" t="s">
        <v>9230</v>
      </c>
      <c r="B742" t="s">
        <v>9231</v>
      </c>
      <c r="C742" t="s">
        <v>11777</v>
      </c>
      <c r="E742" t="s">
        <v>11778</v>
      </c>
    </row>
    <row r="743" spans="1:8" x14ac:dyDescent="0.45">
      <c r="A743" t="s">
        <v>9915</v>
      </c>
      <c r="B743" t="s">
        <v>9916</v>
      </c>
      <c r="C743" t="s">
        <v>11777</v>
      </c>
      <c r="E743" t="s">
        <v>11778</v>
      </c>
    </row>
    <row r="744" spans="1:8" x14ac:dyDescent="0.45">
      <c r="A744" t="s">
        <v>9953</v>
      </c>
      <c r="B744" t="s">
        <v>9954</v>
      </c>
      <c r="C744" t="s">
        <v>11777</v>
      </c>
      <c r="E744" t="s">
        <v>11778</v>
      </c>
    </row>
    <row r="745" spans="1:8" x14ac:dyDescent="0.45">
      <c r="A745" t="s">
        <v>178</v>
      </c>
      <c r="B745" t="s">
        <v>179</v>
      </c>
      <c r="C745" t="s">
        <v>11779</v>
      </c>
      <c r="E745" t="s">
        <v>11780</v>
      </c>
      <c r="F745" t="s">
        <v>11781</v>
      </c>
      <c r="G745" t="s">
        <v>11782</v>
      </c>
      <c r="H745" t="s">
        <v>11783</v>
      </c>
    </row>
    <row r="746" spans="1:8" x14ac:dyDescent="0.45">
      <c r="A746" t="s">
        <v>3153</v>
      </c>
      <c r="B746" t="s">
        <v>3154</v>
      </c>
      <c r="C746" t="s">
        <v>11784</v>
      </c>
    </row>
    <row r="747" spans="1:8" x14ac:dyDescent="0.45">
      <c r="A747" t="s">
        <v>8801</v>
      </c>
      <c r="B747" t="s">
        <v>8802</v>
      </c>
      <c r="C747" t="s">
        <v>11785</v>
      </c>
      <c r="E747" t="s">
        <v>11786</v>
      </c>
      <c r="F747" t="s">
        <v>11787</v>
      </c>
      <c r="G747" t="s">
        <v>11788</v>
      </c>
      <c r="H747" t="s">
        <v>11789</v>
      </c>
    </row>
    <row r="748" spans="1:8" x14ac:dyDescent="0.45">
      <c r="A748" t="s">
        <v>3621</v>
      </c>
      <c r="B748" t="s">
        <v>3622</v>
      </c>
      <c r="C748" t="s">
        <v>11790</v>
      </c>
      <c r="E748" t="s">
        <v>11791</v>
      </c>
      <c r="F748" t="s">
        <v>11792</v>
      </c>
      <c r="G748" t="s">
        <v>11793</v>
      </c>
      <c r="H748" t="s">
        <v>11794</v>
      </c>
    </row>
    <row r="749" spans="1:8" x14ac:dyDescent="0.45">
      <c r="A749" t="s">
        <v>5895</v>
      </c>
      <c r="B749" t="s">
        <v>5896</v>
      </c>
      <c r="C749" t="s">
        <v>11790</v>
      </c>
      <c r="E749" t="s">
        <v>11791</v>
      </c>
      <c r="F749" t="s">
        <v>11792</v>
      </c>
      <c r="G749" t="s">
        <v>11793</v>
      </c>
      <c r="H749" t="s">
        <v>11794</v>
      </c>
    </row>
    <row r="750" spans="1:8" x14ac:dyDescent="0.45">
      <c r="A750" t="s">
        <v>544</v>
      </c>
      <c r="B750" t="s">
        <v>545</v>
      </c>
      <c r="C750" t="s">
        <v>11795</v>
      </c>
      <c r="E750" t="s">
        <v>11796</v>
      </c>
      <c r="F750" t="s">
        <v>11797</v>
      </c>
      <c r="G750" t="s">
        <v>11798</v>
      </c>
      <c r="H750" t="s">
        <v>11799</v>
      </c>
    </row>
    <row r="751" spans="1:8" x14ac:dyDescent="0.45">
      <c r="A751" t="s">
        <v>6712</v>
      </c>
      <c r="B751" t="s">
        <v>6713</v>
      </c>
      <c r="C751" t="s">
        <v>11795</v>
      </c>
      <c r="E751" t="s">
        <v>11796</v>
      </c>
      <c r="F751" t="s">
        <v>11797</v>
      </c>
      <c r="G751" t="s">
        <v>11798</v>
      </c>
      <c r="H751" t="s">
        <v>11799</v>
      </c>
    </row>
    <row r="752" spans="1:8" x14ac:dyDescent="0.45">
      <c r="A752" t="s">
        <v>6840</v>
      </c>
      <c r="B752" t="s">
        <v>6841</v>
      </c>
      <c r="C752" t="s">
        <v>11795</v>
      </c>
      <c r="E752" t="s">
        <v>11796</v>
      </c>
      <c r="F752" t="s">
        <v>11797</v>
      </c>
      <c r="G752" t="s">
        <v>11798</v>
      </c>
      <c r="H752" t="s">
        <v>11799</v>
      </c>
    </row>
    <row r="753" spans="1:8" x14ac:dyDescent="0.45">
      <c r="A753" t="s">
        <v>5849</v>
      </c>
      <c r="B753" t="s">
        <v>5850</v>
      </c>
      <c r="C753" t="s">
        <v>11800</v>
      </c>
      <c r="E753" t="s">
        <v>11801</v>
      </c>
      <c r="F753" t="s">
        <v>11802</v>
      </c>
      <c r="G753" t="s">
        <v>11803</v>
      </c>
      <c r="H753" t="s">
        <v>11804</v>
      </c>
    </row>
    <row r="754" spans="1:8" x14ac:dyDescent="0.45">
      <c r="A754" t="s">
        <v>7785</v>
      </c>
      <c r="B754" t="s">
        <v>7786</v>
      </c>
      <c r="C754" t="s">
        <v>11805</v>
      </c>
      <c r="E754" t="s">
        <v>11806</v>
      </c>
      <c r="F754" t="s">
        <v>11807</v>
      </c>
      <c r="G754" t="s">
        <v>11808</v>
      </c>
      <c r="H754" t="s">
        <v>11809</v>
      </c>
    </row>
    <row r="755" spans="1:8" x14ac:dyDescent="0.45">
      <c r="A755" t="s">
        <v>6128</v>
      </c>
      <c r="B755" t="s">
        <v>6129</v>
      </c>
      <c r="C755" t="s">
        <v>11810</v>
      </c>
      <c r="E755" t="s">
        <v>11811</v>
      </c>
      <c r="F755" t="s">
        <v>11812</v>
      </c>
      <c r="G755" t="s">
        <v>11813</v>
      </c>
      <c r="H755" t="s">
        <v>11814</v>
      </c>
    </row>
    <row r="756" spans="1:8" x14ac:dyDescent="0.45">
      <c r="A756" t="s">
        <v>5172</v>
      </c>
      <c r="B756" t="s">
        <v>5173</v>
      </c>
      <c r="C756" t="s">
        <v>11815</v>
      </c>
      <c r="E756" t="s">
        <v>11816</v>
      </c>
      <c r="F756" t="s">
        <v>11817</v>
      </c>
      <c r="G756" t="s">
        <v>11818</v>
      </c>
      <c r="H756" t="s">
        <v>11819</v>
      </c>
    </row>
    <row r="757" spans="1:8" x14ac:dyDescent="0.45">
      <c r="A757" t="s">
        <v>5172</v>
      </c>
      <c r="B757" t="s">
        <v>5173</v>
      </c>
      <c r="C757" t="s">
        <v>11815</v>
      </c>
      <c r="E757" t="s">
        <v>11816</v>
      </c>
      <c r="F757" t="s">
        <v>11820</v>
      </c>
      <c r="G757" t="s">
        <v>11821</v>
      </c>
      <c r="H757" t="s">
        <v>11822</v>
      </c>
    </row>
    <row r="758" spans="1:8" x14ac:dyDescent="0.45">
      <c r="A758" t="s">
        <v>6807</v>
      </c>
      <c r="B758" t="s">
        <v>6808</v>
      </c>
      <c r="C758" t="s">
        <v>11823</v>
      </c>
      <c r="E758" t="s">
        <v>11824</v>
      </c>
    </row>
    <row r="759" spans="1:8" x14ac:dyDescent="0.45">
      <c r="A759" t="s">
        <v>441</v>
      </c>
      <c r="B759" t="s">
        <v>442</v>
      </c>
      <c r="C759" t="s">
        <v>11825</v>
      </c>
      <c r="E759" t="s">
        <v>11826</v>
      </c>
      <c r="F759" t="s">
        <v>11827</v>
      </c>
      <c r="G759" t="s">
        <v>11828</v>
      </c>
      <c r="H759" t="s">
        <v>11829</v>
      </c>
    </row>
    <row r="760" spans="1:8" x14ac:dyDescent="0.45">
      <c r="A760" t="s">
        <v>441</v>
      </c>
      <c r="B760" t="s">
        <v>442</v>
      </c>
      <c r="C760" t="s">
        <v>11825</v>
      </c>
      <c r="E760" t="s">
        <v>11826</v>
      </c>
      <c r="F760" t="s">
        <v>11830</v>
      </c>
      <c r="G760" t="s">
        <v>11831</v>
      </c>
      <c r="H760" t="s">
        <v>11832</v>
      </c>
    </row>
    <row r="761" spans="1:8" x14ac:dyDescent="0.45">
      <c r="A761" t="s">
        <v>441</v>
      </c>
      <c r="B761" t="s">
        <v>442</v>
      </c>
      <c r="C761" t="s">
        <v>11825</v>
      </c>
      <c r="E761" t="s">
        <v>11826</v>
      </c>
      <c r="F761" t="s">
        <v>11833</v>
      </c>
      <c r="G761" t="s">
        <v>11834</v>
      </c>
      <c r="H761" t="s">
        <v>11835</v>
      </c>
    </row>
    <row r="762" spans="1:8" x14ac:dyDescent="0.45">
      <c r="A762" t="s">
        <v>4589</v>
      </c>
      <c r="B762" t="s">
        <v>4590</v>
      </c>
      <c r="C762" t="s">
        <v>11836</v>
      </c>
      <c r="E762" t="s">
        <v>11837</v>
      </c>
      <c r="F762" t="s">
        <v>11838</v>
      </c>
      <c r="G762" t="s">
        <v>11839</v>
      </c>
      <c r="H762" t="s">
        <v>11840</v>
      </c>
    </row>
    <row r="763" spans="1:8" x14ac:dyDescent="0.45">
      <c r="A763" t="s">
        <v>7305</v>
      </c>
      <c r="B763" t="s">
        <v>7306</v>
      </c>
      <c r="C763" t="s">
        <v>11841</v>
      </c>
      <c r="E763" t="s">
        <v>11842</v>
      </c>
      <c r="F763" t="s">
        <v>11843</v>
      </c>
      <c r="G763" t="s">
        <v>11844</v>
      </c>
      <c r="H763" t="s">
        <v>11845</v>
      </c>
    </row>
    <row r="764" spans="1:8" x14ac:dyDescent="0.45">
      <c r="A764" t="s">
        <v>7305</v>
      </c>
      <c r="B764" t="s">
        <v>7306</v>
      </c>
      <c r="C764" t="s">
        <v>11841</v>
      </c>
      <c r="E764" t="s">
        <v>11842</v>
      </c>
      <c r="F764" t="s">
        <v>11846</v>
      </c>
      <c r="G764" t="s">
        <v>11847</v>
      </c>
      <c r="H764" t="s">
        <v>11848</v>
      </c>
    </row>
    <row r="765" spans="1:8" x14ac:dyDescent="0.45">
      <c r="A765" t="s">
        <v>7305</v>
      </c>
      <c r="B765" t="s">
        <v>7306</v>
      </c>
      <c r="C765" t="s">
        <v>11841</v>
      </c>
      <c r="E765" t="s">
        <v>11842</v>
      </c>
      <c r="F765" t="s">
        <v>11849</v>
      </c>
      <c r="G765" t="s">
        <v>11850</v>
      </c>
      <c r="H765" t="s">
        <v>11851</v>
      </c>
    </row>
    <row r="766" spans="1:8" x14ac:dyDescent="0.45">
      <c r="A766" t="s">
        <v>9807</v>
      </c>
      <c r="B766" t="s">
        <v>9808</v>
      </c>
      <c r="C766" t="s">
        <v>11852</v>
      </c>
      <c r="E766" t="s">
        <v>11853</v>
      </c>
      <c r="F766" t="s">
        <v>11854</v>
      </c>
      <c r="G766" t="s">
        <v>11855</v>
      </c>
      <c r="H766" t="s">
        <v>11856</v>
      </c>
    </row>
    <row r="767" spans="1:8" x14ac:dyDescent="0.45">
      <c r="A767" t="s">
        <v>9807</v>
      </c>
      <c r="B767" t="s">
        <v>9808</v>
      </c>
      <c r="C767" t="s">
        <v>11852</v>
      </c>
      <c r="E767" t="s">
        <v>11853</v>
      </c>
      <c r="F767" t="s">
        <v>11857</v>
      </c>
      <c r="G767" t="s">
        <v>11858</v>
      </c>
      <c r="H767" t="s">
        <v>11859</v>
      </c>
    </row>
    <row r="768" spans="1:8" x14ac:dyDescent="0.45">
      <c r="A768" t="s">
        <v>9704</v>
      </c>
      <c r="B768" t="s">
        <v>9705</v>
      </c>
      <c r="C768" t="s">
        <v>11860</v>
      </c>
      <c r="E768" t="s">
        <v>11861</v>
      </c>
      <c r="F768" t="s">
        <v>11862</v>
      </c>
      <c r="G768" t="s">
        <v>11863</v>
      </c>
      <c r="H768" t="s">
        <v>11864</v>
      </c>
    </row>
    <row r="769" spans="1:8" x14ac:dyDescent="0.45">
      <c r="A769" t="s">
        <v>7253</v>
      </c>
      <c r="B769" t="s">
        <v>7254</v>
      </c>
      <c r="C769" t="s">
        <v>11865</v>
      </c>
      <c r="E769" t="s">
        <v>11866</v>
      </c>
      <c r="F769" t="s">
        <v>11867</v>
      </c>
      <c r="G769" t="s">
        <v>11868</v>
      </c>
      <c r="H769" t="s">
        <v>11869</v>
      </c>
    </row>
    <row r="770" spans="1:8" x14ac:dyDescent="0.45">
      <c r="A770" t="s">
        <v>3999</v>
      </c>
      <c r="B770" t="s">
        <v>4000</v>
      </c>
      <c r="C770" t="s">
        <v>11870</v>
      </c>
      <c r="E770" t="s">
        <v>11871</v>
      </c>
      <c r="F770" t="s">
        <v>11872</v>
      </c>
      <c r="G770" t="s">
        <v>11873</v>
      </c>
      <c r="H770" t="s">
        <v>11874</v>
      </c>
    </row>
    <row r="771" spans="1:8" x14ac:dyDescent="0.45">
      <c r="A771" t="s">
        <v>1289</v>
      </c>
      <c r="B771" t="s">
        <v>1290</v>
      </c>
      <c r="C771" t="s">
        <v>11875</v>
      </c>
      <c r="E771" t="s">
        <v>11876</v>
      </c>
      <c r="F771" t="s">
        <v>11877</v>
      </c>
      <c r="G771" t="s">
        <v>11878</v>
      </c>
      <c r="H771" t="s">
        <v>11879</v>
      </c>
    </row>
    <row r="772" spans="1:8" x14ac:dyDescent="0.45">
      <c r="A772" t="s">
        <v>4887</v>
      </c>
      <c r="B772" t="s">
        <v>4888</v>
      </c>
      <c r="C772" t="s">
        <v>11875</v>
      </c>
      <c r="E772" t="s">
        <v>11876</v>
      </c>
      <c r="F772" t="s">
        <v>11877</v>
      </c>
      <c r="G772" t="s">
        <v>11878</v>
      </c>
      <c r="H772" t="s">
        <v>11879</v>
      </c>
    </row>
    <row r="773" spans="1:8" x14ac:dyDescent="0.45">
      <c r="A773" t="s">
        <v>7754</v>
      </c>
      <c r="B773" t="s">
        <v>7755</v>
      </c>
      <c r="C773" t="s">
        <v>11875</v>
      </c>
      <c r="E773" t="s">
        <v>11876</v>
      </c>
      <c r="F773" t="s">
        <v>11877</v>
      </c>
      <c r="G773" t="s">
        <v>11878</v>
      </c>
      <c r="H773" t="s">
        <v>11879</v>
      </c>
    </row>
    <row r="774" spans="1:8" x14ac:dyDescent="0.45">
      <c r="A774" t="s">
        <v>7845</v>
      </c>
      <c r="B774" t="s">
        <v>7846</v>
      </c>
      <c r="C774" t="s">
        <v>11880</v>
      </c>
    </row>
    <row r="775" spans="1:8" x14ac:dyDescent="0.45">
      <c r="A775" t="s">
        <v>8483</v>
      </c>
      <c r="B775" t="s">
        <v>8484</v>
      </c>
      <c r="C775" t="s">
        <v>11880</v>
      </c>
    </row>
    <row r="776" spans="1:8" x14ac:dyDescent="0.45">
      <c r="A776" t="s">
        <v>3676</v>
      </c>
      <c r="B776" t="s">
        <v>3677</v>
      </c>
      <c r="C776" t="s">
        <v>11881</v>
      </c>
      <c r="E776" t="s">
        <v>11882</v>
      </c>
      <c r="F776" t="s">
        <v>11883</v>
      </c>
      <c r="G776" t="s">
        <v>11884</v>
      </c>
      <c r="H776" t="s">
        <v>11885</v>
      </c>
    </row>
    <row r="777" spans="1:8" x14ac:dyDescent="0.45">
      <c r="A777" t="s">
        <v>7130</v>
      </c>
      <c r="B777" t="s">
        <v>7131</v>
      </c>
      <c r="C777" t="s">
        <v>11886</v>
      </c>
      <c r="E777" t="s">
        <v>11887</v>
      </c>
      <c r="F777" t="s">
        <v>11888</v>
      </c>
      <c r="G777" t="s">
        <v>11889</v>
      </c>
      <c r="H777" t="s">
        <v>11890</v>
      </c>
    </row>
    <row r="778" spans="1:8" x14ac:dyDescent="0.45">
      <c r="A778" t="s">
        <v>7130</v>
      </c>
      <c r="B778" t="s">
        <v>7131</v>
      </c>
      <c r="C778" t="s">
        <v>11886</v>
      </c>
      <c r="E778" t="s">
        <v>11887</v>
      </c>
      <c r="F778" t="s">
        <v>11891</v>
      </c>
      <c r="G778" t="s">
        <v>11892</v>
      </c>
      <c r="H778" t="s">
        <v>11893</v>
      </c>
    </row>
    <row r="779" spans="1:8" x14ac:dyDescent="0.45">
      <c r="A779" t="s">
        <v>3598</v>
      </c>
      <c r="B779" t="s">
        <v>3599</v>
      </c>
      <c r="C779" t="s">
        <v>11894</v>
      </c>
      <c r="E779" t="s">
        <v>11895</v>
      </c>
      <c r="F779" t="s">
        <v>11896</v>
      </c>
      <c r="G779" t="s">
        <v>11897</v>
      </c>
      <c r="H779" t="s">
        <v>11898</v>
      </c>
    </row>
    <row r="780" spans="1:8" x14ac:dyDescent="0.45">
      <c r="A780" t="s">
        <v>9708</v>
      </c>
      <c r="B780" t="s">
        <v>9709</v>
      </c>
      <c r="C780" t="s">
        <v>11899</v>
      </c>
      <c r="E780" t="s">
        <v>11900</v>
      </c>
      <c r="F780" t="s">
        <v>11901</v>
      </c>
      <c r="G780" t="s">
        <v>11902</v>
      </c>
      <c r="H780" t="s">
        <v>11903</v>
      </c>
    </row>
    <row r="781" spans="1:8" x14ac:dyDescent="0.45">
      <c r="A781" t="s">
        <v>902</v>
      </c>
      <c r="B781" t="s">
        <v>903</v>
      </c>
      <c r="C781" t="s">
        <v>11904</v>
      </c>
      <c r="E781" t="s">
        <v>11905</v>
      </c>
      <c r="F781" t="s">
        <v>11906</v>
      </c>
      <c r="G781" t="s">
        <v>11907</v>
      </c>
      <c r="H781" t="s">
        <v>11908</v>
      </c>
    </row>
    <row r="782" spans="1:8" x14ac:dyDescent="0.45">
      <c r="A782" t="s">
        <v>2583</v>
      </c>
      <c r="B782" t="s">
        <v>2584</v>
      </c>
      <c r="C782" t="s">
        <v>11909</v>
      </c>
      <c r="E782" t="s">
        <v>11910</v>
      </c>
      <c r="F782" t="s">
        <v>11911</v>
      </c>
      <c r="G782" t="s">
        <v>11912</v>
      </c>
      <c r="H782" t="s">
        <v>11913</v>
      </c>
    </row>
    <row r="783" spans="1:8" x14ac:dyDescent="0.45">
      <c r="A783" t="s">
        <v>2587</v>
      </c>
      <c r="B783" t="s">
        <v>2588</v>
      </c>
      <c r="C783" t="s">
        <v>11909</v>
      </c>
      <c r="E783" t="s">
        <v>11910</v>
      </c>
      <c r="F783" t="s">
        <v>11911</v>
      </c>
      <c r="G783" t="s">
        <v>11912</v>
      </c>
      <c r="H783" t="s">
        <v>11913</v>
      </c>
    </row>
    <row r="784" spans="1:8" x14ac:dyDescent="0.45">
      <c r="A784" t="s">
        <v>7207</v>
      </c>
      <c r="B784" t="s">
        <v>7208</v>
      </c>
      <c r="C784" t="s">
        <v>11914</v>
      </c>
      <c r="E784" t="s">
        <v>11915</v>
      </c>
      <c r="F784" t="s">
        <v>11916</v>
      </c>
      <c r="G784" t="s">
        <v>11917</v>
      </c>
      <c r="H784" t="s">
        <v>11918</v>
      </c>
    </row>
    <row r="785" spans="1:8" x14ac:dyDescent="0.45">
      <c r="A785" t="s">
        <v>6115</v>
      </c>
      <c r="B785" t="s">
        <v>6116</v>
      </c>
      <c r="C785" t="s">
        <v>11919</v>
      </c>
      <c r="E785" t="s">
        <v>11920</v>
      </c>
      <c r="F785" t="s">
        <v>11921</v>
      </c>
      <c r="G785" t="s">
        <v>11922</v>
      </c>
      <c r="H785" t="s">
        <v>11923</v>
      </c>
    </row>
    <row r="786" spans="1:8" x14ac:dyDescent="0.45">
      <c r="A786" t="s">
        <v>9177</v>
      </c>
      <c r="B786" t="s">
        <v>9178</v>
      </c>
      <c r="C786" t="s">
        <v>11924</v>
      </c>
      <c r="E786" t="s">
        <v>11925</v>
      </c>
      <c r="F786" t="s">
        <v>11926</v>
      </c>
      <c r="G786" t="s">
        <v>11927</v>
      </c>
      <c r="H786" t="s">
        <v>11928</v>
      </c>
    </row>
    <row r="787" spans="1:8" x14ac:dyDescent="0.45">
      <c r="A787" t="s">
        <v>335</v>
      </c>
      <c r="B787" t="s">
        <v>336</v>
      </c>
      <c r="C787" t="s">
        <v>11929</v>
      </c>
      <c r="E787" t="s">
        <v>11930</v>
      </c>
      <c r="F787" t="s">
        <v>11931</v>
      </c>
      <c r="G787" t="s">
        <v>11932</v>
      </c>
      <c r="H787" t="s">
        <v>11933</v>
      </c>
    </row>
    <row r="788" spans="1:8" x14ac:dyDescent="0.45">
      <c r="A788" t="s">
        <v>335</v>
      </c>
      <c r="B788" t="s">
        <v>336</v>
      </c>
      <c r="C788" t="s">
        <v>11929</v>
      </c>
      <c r="E788" t="s">
        <v>11930</v>
      </c>
      <c r="F788" t="s">
        <v>11934</v>
      </c>
      <c r="G788" t="s">
        <v>11935</v>
      </c>
      <c r="H788" t="s">
        <v>11933</v>
      </c>
    </row>
    <row r="789" spans="1:8" x14ac:dyDescent="0.45">
      <c r="A789" t="s">
        <v>335</v>
      </c>
      <c r="B789" t="s">
        <v>336</v>
      </c>
      <c r="C789" t="s">
        <v>11929</v>
      </c>
      <c r="E789" t="s">
        <v>11930</v>
      </c>
      <c r="F789" t="s">
        <v>11936</v>
      </c>
      <c r="G789" t="s">
        <v>11937</v>
      </c>
      <c r="H789" t="s">
        <v>11933</v>
      </c>
    </row>
    <row r="790" spans="1:8" x14ac:dyDescent="0.45">
      <c r="A790" t="s">
        <v>335</v>
      </c>
      <c r="B790" t="s">
        <v>336</v>
      </c>
      <c r="C790" t="s">
        <v>11929</v>
      </c>
      <c r="E790" t="s">
        <v>11930</v>
      </c>
      <c r="F790" t="s">
        <v>11938</v>
      </c>
      <c r="G790" t="s">
        <v>11939</v>
      </c>
      <c r="H790" t="s">
        <v>11933</v>
      </c>
    </row>
    <row r="791" spans="1:8" x14ac:dyDescent="0.45">
      <c r="A791" t="s">
        <v>335</v>
      </c>
      <c r="B791" t="s">
        <v>336</v>
      </c>
      <c r="C791" t="s">
        <v>11929</v>
      </c>
      <c r="E791" t="s">
        <v>11930</v>
      </c>
      <c r="F791" t="s">
        <v>11940</v>
      </c>
      <c r="G791" t="s">
        <v>11941</v>
      </c>
      <c r="H791" t="s">
        <v>11933</v>
      </c>
    </row>
    <row r="792" spans="1:8" x14ac:dyDescent="0.45">
      <c r="A792" t="s">
        <v>335</v>
      </c>
      <c r="B792" t="s">
        <v>336</v>
      </c>
      <c r="C792" t="s">
        <v>11929</v>
      </c>
      <c r="E792" t="s">
        <v>11930</v>
      </c>
      <c r="F792" t="s">
        <v>11942</v>
      </c>
      <c r="G792" t="s">
        <v>11943</v>
      </c>
      <c r="H792" t="s">
        <v>11944</v>
      </c>
    </row>
    <row r="793" spans="1:8" x14ac:dyDescent="0.45">
      <c r="A793" t="s">
        <v>339</v>
      </c>
      <c r="B793" t="s">
        <v>340</v>
      </c>
      <c r="C793" t="s">
        <v>11929</v>
      </c>
      <c r="E793" t="s">
        <v>11930</v>
      </c>
      <c r="F793" t="s">
        <v>11931</v>
      </c>
      <c r="G793" t="s">
        <v>11932</v>
      </c>
      <c r="H793" t="s">
        <v>11933</v>
      </c>
    </row>
    <row r="794" spans="1:8" x14ac:dyDescent="0.45">
      <c r="A794" t="s">
        <v>339</v>
      </c>
      <c r="B794" t="s">
        <v>340</v>
      </c>
      <c r="C794" t="s">
        <v>11929</v>
      </c>
      <c r="E794" t="s">
        <v>11930</v>
      </c>
      <c r="F794" t="s">
        <v>11934</v>
      </c>
      <c r="G794" t="s">
        <v>11935</v>
      </c>
      <c r="H794" t="s">
        <v>11933</v>
      </c>
    </row>
    <row r="795" spans="1:8" x14ac:dyDescent="0.45">
      <c r="A795" t="s">
        <v>339</v>
      </c>
      <c r="B795" t="s">
        <v>340</v>
      </c>
      <c r="C795" t="s">
        <v>11929</v>
      </c>
      <c r="E795" t="s">
        <v>11930</v>
      </c>
      <c r="F795" t="s">
        <v>11936</v>
      </c>
      <c r="G795" t="s">
        <v>11937</v>
      </c>
      <c r="H795" t="s">
        <v>11933</v>
      </c>
    </row>
    <row r="796" spans="1:8" x14ac:dyDescent="0.45">
      <c r="A796" t="s">
        <v>339</v>
      </c>
      <c r="B796" t="s">
        <v>340</v>
      </c>
      <c r="C796" t="s">
        <v>11929</v>
      </c>
      <c r="E796" t="s">
        <v>11930</v>
      </c>
      <c r="F796" t="s">
        <v>11938</v>
      </c>
      <c r="G796" t="s">
        <v>11939</v>
      </c>
      <c r="H796" t="s">
        <v>11933</v>
      </c>
    </row>
    <row r="797" spans="1:8" x14ac:dyDescent="0.45">
      <c r="A797" t="s">
        <v>339</v>
      </c>
      <c r="B797" t="s">
        <v>340</v>
      </c>
      <c r="C797" t="s">
        <v>11929</v>
      </c>
      <c r="E797" t="s">
        <v>11930</v>
      </c>
      <c r="F797" t="s">
        <v>11940</v>
      </c>
      <c r="G797" t="s">
        <v>11941</v>
      </c>
      <c r="H797" t="s">
        <v>11933</v>
      </c>
    </row>
    <row r="798" spans="1:8" x14ac:dyDescent="0.45">
      <c r="A798" t="s">
        <v>339</v>
      </c>
      <c r="B798" t="s">
        <v>340</v>
      </c>
      <c r="C798" t="s">
        <v>11929</v>
      </c>
      <c r="E798" t="s">
        <v>11930</v>
      </c>
      <c r="F798" t="s">
        <v>11942</v>
      </c>
      <c r="G798" t="s">
        <v>11943</v>
      </c>
      <c r="H798" t="s">
        <v>11944</v>
      </c>
    </row>
    <row r="799" spans="1:8" x14ac:dyDescent="0.45">
      <c r="A799" t="s">
        <v>471</v>
      </c>
      <c r="B799" t="s">
        <v>472</v>
      </c>
      <c r="C799" t="s">
        <v>11929</v>
      </c>
      <c r="E799" t="s">
        <v>11930</v>
      </c>
      <c r="F799" t="s">
        <v>11931</v>
      </c>
      <c r="G799" t="s">
        <v>11932</v>
      </c>
      <c r="H799" t="s">
        <v>11933</v>
      </c>
    </row>
    <row r="800" spans="1:8" x14ac:dyDescent="0.45">
      <c r="A800" t="s">
        <v>471</v>
      </c>
      <c r="B800" t="s">
        <v>472</v>
      </c>
      <c r="C800" t="s">
        <v>11929</v>
      </c>
      <c r="E800" t="s">
        <v>11930</v>
      </c>
      <c r="F800" t="s">
        <v>11934</v>
      </c>
      <c r="G800" t="s">
        <v>11935</v>
      </c>
      <c r="H800" t="s">
        <v>11933</v>
      </c>
    </row>
    <row r="801" spans="1:8" x14ac:dyDescent="0.45">
      <c r="A801" t="s">
        <v>471</v>
      </c>
      <c r="B801" t="s">
        <v>472</v>
      </c>
      <c r="C801" t="s">
        <v>11929</v>
      </c>
      <c r="E801" t="s">
        <v>11930</v>
      </c>
      <c r="F801" t="s">
        <v>11936</v>
      </c>
      <c r="G801" t="s">
        <v>11937</v>
      </c>
      <c r="H801" t="s">
        <v>11933</v>
      </c>
    </row>
    <row r="802" spans="1:8" x14ac:dyDescent="0.45">
      <c r="A802" t="s">
        <v>471</v>
      </c>
      <c r="B802" t="s">
        <v>472</v>
      </c>
      <c r="C802" t="s">
        <v>11929</v>
      </c>
      <c r="E802" t="s">
        <v>11930</v>
      </c>
      <c r="F802" t="s">
        <v>11938</v>
      </c>
      <c r="G802" t="s">
        <v>11939</v>
      </c>
      <c r="H802" t="s">
        <v>11933</v>
      </c>
    </row>
    <row r="803" spans="1:8" x14ac:dyDescent="0.45">
      <c r="A803" t="s">
        <v>471</v>
      </c>
      <c r="B803" t="s">
        <v>472</v>
      </c>
      <c r="C803" t="s">
        <v>11929</v>
      </c>
      <c r="E803" t="s">
        <v>11930</v>
      </c>
      <c r="F803" t="s">
        <v>11940</v>
      </c>
      <c r="G803" t="s">
        <v>11941</v>
      </c>
      <c r="H803" t="s">
        <v>11933</v>
      </c>
    </row>
    <row r="804" spans="1:8" x14ac:dyDescent="0.45">
      <c r="A804" t="s">
        <v>471</v>
      </c>
      <c r="B804" t="s">
        <v>472</v>
      </c>
      <c r="C804" t="s">
        <v>11929</v>
      </c>
      <c r="E804" t="s">
        <v>11930</v>
      </c>
      <c r="F804" t="s">
        <v>11942</v>
      </c>
      <c r="G804" t="s">
        <v>11943</v>
      </c>
      <c r="H804" t="s">
        <v>11944</v>
      </c>
    </row>
    <row r="805" spans="1:8" x14ac:dyDescent="0.45">
      <c r="A805" t="s">
        <v>7301</v>
      </c>
      <c r="B805" t="s">
        <v>7302</v>
      </c>
      <c r="C805" t="s">
        <v>11929</v>
      </c>
      <c r="E805" t="s">
        <v>11930</v>
      </c>
      <c r="F805" t="s">
        <v>11931</v>
      </c>
      <c r="G805" t="s">
        <v>11932</v>
      </c>
      <c r="H805" t="s">
        <v>11933</v>
      </c>
    </row>
    <row r="806" spans="1:8" x14ac:dyDescent="0.45">
      <c r="A806" t="s">
        <v>7301</v>
      </c>
      <c r="B806" t="s">
        <v>7302</v>
      </c>
      <c r="C806" t="s">
        <v>11929</v>
      </c>
      <c r="E806" t="s">
        <v>11930</v>
      </c>
      <c r="F806" t="s">
        <v>11934</v>
      </c>
      <c r="G806" t="s">
        <v>11935</v>
      </c>
      <c r="H806" t="s">
        <v>11933</v>
      </c>
    </row>
    <row r="807" spans="1:8" x14ac:dyDescent="0.45">
      <c r="A807" t="s">
        <v>7301</v>
      </c>
      <c r="B807" t="s">
        <v>7302</v>
      </c>
      <c r="C807" t="s">
        <v>11929</v>
      </c>
      <c r="E807" t="s">
        <v>11930</v>
      </c>
      <c r="F807" t="s">
        <v>11936</v>
      </c>
      <c r="G807" t="s">
        <v>11937</v>
      </c>
      <c r="H807" t="s">
        <v>11933</v>
      </c>
    </row>
    <row r="808" spans="1:8" x14ac:dyDescent="0.45">
      <c r="A808" t="s">
        <v>7301</v>
      </c>
      <c r="B808" t="s">
        <v>7302</v>
      </c>
      <c r="C808" t="s">
        <v>11929</v>
      </c>
      <c r="E808" t="s">
        <v>11930</v>
      </c>
      <c r="F808" t="s">
        <v>11938</v>
      </c>
      <c r="G808" t="s">
        <v>11939</v>
      </c>
      <c r="H808" t="s">
        <v>11933</v>
      </c>
    </row>
    <row r="809" spans="1:8" x14ac:dyDescent="0.45">
      <c r="A809" t="s">
        <v>7301</v>
      </c>
      <c r="B809" t="s">
        <v>7302</v>
      </c>
      <c r="C809" t="s">
        <v>11929</v>
      </c>
      <c r="E809" t="s">
        <v>11930</v>
      </c>
      <c r="F809" t="s">
        <v>11940</v>
      </c>
      <c r="G809" t="s">
        <v>11941</v>
      </c>
      <c r="H809" t="s">
        <v>11933</v>
      </c>
    </row>
    <row r="810" spans="1:8" x14ac:dyDescent="0.45">
      <c r="A810" t="s">
        <v>7301</v>
      </c>
      <c r="B810" t="s">
        <v>7302</v>
      </c>
      <c r="C810" t="s">
        <v>11929</v>
      </c>
      <c r="E810" t="s">
        <v>11930</v>
      </c>
      <c r="F810" t="s">
        <v>11942</v>
      </c>
      <c r="G810" t="s">
        <v>11943</v>
      </c>
      <c r="H810" t="s">
        <v>11944</v>
      </c>
    </row>
    <row r="811" spans="1:8" x14ac:dyDescent="0.45">
      <c r="A811" t="s">
        <v>246</v>
      </c>
      <c r="B811" t="s">
        <v>247</v>
      </c>
      <c r="C811" t="s">
        <v>11945</v>
      </c>
      <c r="E811" t="s">
        <v>11946</v>
      </c>
      <c r="F811" t="s">
        <v>11947</v>
      </c>
      <c r="G811" t="s">
        <v>11948</v>
      </c>
      <c r="H811" t="s">
        <v>11949</v>
      </c>
    </row>
    <row r="812" spans="1:8" x14ac:dyDescent="0.45">
      <c r="A812" t="s">
        <v>9440</v>
      </c>
      <c r="B812" t="s">
        <v>9441</v>
      </c>
      <c r="C812" t="s">
        <v>11950</v>
      </c>
      <c r="E812" t="s">
        <v>11951</v>
      </c>
      <c r="F812" t="s">
        <v>11952</v>
      </c>
      <c r="G812" t="s">
        <v>11953</v>
      </c>
      <c r="H812" t="s">
        <v>11954</v>
      </c>
    </row>
    <row r="813" spans="1:8" x14ac:dyDescent="0.45">
      <c r="A813" t="s">
        <v>1607</v>
      </c>
      <c r="B813" t="s">
        <v>1608</v>
      </c>
      <c r="C813" t="s">
        <v>11955</v>
      </c>
      <c r="E813" t="s">
        <v>11956</v>
      </c>
      <c r="F813" t="s">
        <v>11957</v>
      </c>
      <c r="G813" t="s">
        <v>11958</v>
      </c>
      <c r="H813" t="s">
        <v>11959</v>
      </c>
    </row>
    <row r="814" spans="1:8" x14ac:dyDescent="0.45">
      <c r="A814" t="s">
        <v>2090</v>
      </c>
      <c r="B814" t="s">
        <v>2091</v>
      </c>
      <c r="C814" t="s">
        <v>11955</v>
      </c>
      <c r="E814" t="s">
        <v>11956</v>
      </c>
      <c r="F814" t="s">
        <v>11957</v>
      </c>
      <c r="G814" t="s">
        <v>11958</v>
      </c>
      <c r="H814" t="s">
        <v>11959</v>
      </c>
    </row>
    <row r="815" spans="1:8" x14ac:dyDescent="0.45">
      <c r="A815" t="s">
        <v>2696</v>
      </c>
      <c r="B815" t="s">
        <v>2697</v>
      </c>
      <c r="C815" t="s">
        <v>11955</v>
      </c>
      <c r="E815" t="s">
        <v>11956</v>
      </c>
      <c r="F815" t="s">
        <v>11957</v>
      </c>
      <c r="G815" t="s">
        <v>11958</v>
      </c>
      <c r="H815" t="s">
        <v>11959</v>
      </c>
    </row>
    <row r="816" spans="1:8" x14ac:dyDescent="0.45">
      <c r="A816" t="s">
        <v>2751</v>
      </c>
      <c r="B816" t="s">
        <v>2752</v>
      </c>
      <c r="C816" t="s">
        <v>11955</v>
      </c>
      <c r="E816" t="s">
        <v>11956</v>
      </c>
      <c r="F816" t="s">
        <v>11957</v>
      </c>
      <c r="G816" t="s">
        <v>11958</v>
      </c>
      <c r="H816" t="s">
        <v>11959</v>
      </c>
    </row>
    <row r="817" spans="1:8" x14ac:dyDescent="0.45">
      <c r="A817" t="s">
        <v>2783</v>
      </c>
      <c r="B817" t="s">
        <v>2784</v>
      </c>
      <c r="C817" t="s">
        <v>11955</v>
      </c>
      <c r="E817" t="s">
        <v>11956</v>
      </c>
      <c r="F817" t="s">
        <v>11957</v>
      </c>
      <c r="G817" t="s">
        <v>11958</v>
      </c>
      <c r="H817" t="s">
        <v>11959</v>
      </c>
    </row>
    <row r="818" spans="1:8" x14ac:dyDescent="0.45">
      <c r="A818" t="s">
        <v>3191</v>
      </c>
      <c r="B818" t="s">
        <v>3192</v>
      </c>
      <c r="C818" t="s">
        <v>11955</v>
      </c>
      <c r="E818" t="s">
        <v>11956</v>
      </c>
      <c r="F818" t="s">
        <v>11957</v>
      </c>
      <c r="G818" t="s">
        <v>11958</v>
      </c>
      <c r="H818" t="s">
        <v>11959</v>
      </c>
    </row>
    <row r="819" spans="1:8" x14ac:dyDescent="0.45">
      <c r="A819" t="s">
        <v>3901</v>
      </c>
      <c r="B819" t="s">
        <v>3902</v>
      </c>
      <c r="C819" t="s">
        <v>11955</v>
      </c>
      <c r="E819" t="s">
        <v>11956</v>
      </c>
      <c r="F819" t="s">
        <v>11957</v>
      </c>
      <c r="G819" t="s">
        <v>11958</v>
      </c>
      <c r="H819" t="s">
        <v>11959</v>
      </c>
    </row>
    <row r="820" spans="1:8" x14ac:dyDescent="0.45">
      <c r="A820" t="s">
        <v>4631</v>
      </c>
      <c r="B820" t="s">
        <v>4632</v>
      </c>
      <c r="C820" t="s">
        <v>11955</v>
      </c>
      <c r="E820" t="s">
        <v>11956</v>
      </c>
      <c r="F820" t="s">
        <v>11957</v>
      </c>
      <c r="G820" t="s">
        <v>11958</v>
      </c>
      <c r="H820" t="s">
        <v>11959</v>
      </c>
    </row>
    <row r="821" spans="1:8" x14ac:dyDescent="0.45">
      <c r="A821" t="s">
        <v>4725</v>
      </c>
      <c r="B821" t="s">
        <v>4726</v>
      </c>
      <c r="C821" t="s">
        <v>11955</v>
      </c>
      <c r="E821" t="s">
        <v>11956</v>
      </c>
      <c r="F821" t="s">
        <v>11957</v>
      </c>
      <c r="G821" t="s">
        <v>11958</v>
      </c>
      <c r="H821" t="s">
        <v>11959</v>
      </c>
    </row>
    <row r="822" spans="1:8" x14ac:dyDescent="0.45">
      <c r="A822" t="s">
        <v>5245</v>
      </c>
      <c r="B822" t="s">
        <v>5246</v>
      </c>
      <c r="C822" t="s">
        <v>11955</v>
      </c>
      <c r="E822" t="s">
        <v>11956</v>
      </c>
      <c r="F822" t="s">
        <v>11957</v>
      </c>
      <c r="G822" t="s">
        <v>11958</v>
      </c>
      <c r="H822" t="s">
        <v>11959</v>
      </c>
    </row>
    <row r="823" spans="1:8" x14ac:dyDescent="0.45">
      <c r="A823" t="s">
        <v>5247</v>
      </c>
      <c r="B823" t="s">
        <v>5248</v>
      </c>
      <c r="C823" t="s">
        <v>11955</v>
      </c>
      <c r="E823" t="s">
        <v>11956</v>
      </c>
      <c r="F823" t="s">
        <v>11957</v>
      </c>
      <c r="G823" t="s">
        <v>11958</v>
      </c>
      <c r="H823" t="s">
        <v>11959</v>
      </c>
    </row>
    <row r="824" spans="1:8" x14ac:dyDescent="0.45">
      <c r="A824" t="s">
        <v>6381</v>
      </c>
      <c r="B824" t="s">
        <v>6382</v>
      </c>
      <c r="C824" t="s">
        <v>11955</v>
      </c>
      <c r="E824" t="s">
        <v>11956</v>
      </c>
      <c r="F824" t="s">
        <v>11957</v>
      </c>
      <c r="G824" t="s">
        <v>11958</v>
      </c>
      <c r="H824" t="s">
        <v>11959</v>
      </c>
    </row>
    <row r="825" spans="1:8" x14ac:dyDescent="0.45">
      <c r="A825" t="s">
        <v>6725</v>
      </c>
      <c r="B825" t="s">
        <v>6726</v>
      </c>
      <c r="C825" t="s">
        <v>11955</v>
      </c>
      <c r="E825" t="s">
        <v>11956</v>
      </c>
      <c r="F825" t="s">
        <v>11957</v>
      </c>
      <c r="G825" t="s">
        <v>11958</v>
      </c>
      <c r="H825" t="s">
        <v>11959</v>
      </c>
    </row>
    <row r="826" spans="1:8" x14ac:dyDescent="0.45">
      <c r="A826" t="s">
        <v>7797</v>
      </c>
      <c r="B826" t="s">
        <v>7798</v>
      </c>
      <c r="C826" t="s">
        <v>11955</v>
      </c>
      <c r="E826" t="s">
        <v>11956</v>
      </c>
      <c r="F826" t="s">
        <v>11957</v>
      </c>
      <c r="G826" t="s">
        <v>11958</v>
      </c>
      <c r="H826" t="s">
        <v>11959</v>
      </c>
    </row>
    <row r="827" spans="1:8" x14ac:dyDescent="0.45">
      <c r="A827" t="s">
        <v>9280</v>
      </c>
      <c r="B827" t="s">
        <v>9281</v>
      </c>
      <c r="C827" t="s">
        <v>11955</v>
      </c>
      <c r="E827" t="s">
        <v>11956</v>
      </c>
      <c r="F827" t="s">
        <v>11957</v>
      </c>
      <c r="G827" t="s">
        <v>11958</v>
      </c>
      <c r="H827" t="s">
        <v>11959</v>
      </c>
    </row>
    <row r="828" spans="1:8" x14ac:dyDescent="0.45">
      <c r="A828" t="s">
        <v>7533</v>
      </c>
      <c r="B828" t="s">
        <v>7534</v>
      </c>
      <c r="C828" t="s">
        <v>11955</v>
      </c>
      <c r="E828" t="s">
        <v>11956</v>
      </c>
      <c r="F828" t="s">
        <v>11957</v>
      </c>
      <c r="G828" t="s">
        <v>11958</v>
      </c>
      <c r="H828" t="s">
        <v>11959</v>
      </c>
    </row>
    <row r="829" spans="1:8" x14ac:dyDescent="0.45">
      <c r="A829" t="s">
        <v>8198</v>
      </c>
      <c r="B829" t="s">
        <v>8199</v>
      </c>
      <c r="C829" t="s">
        <v>11955</v>
      </c>
      <c r="E829" t="s">
        <v>11956</v>
      </c>
      <c r="F829" t="s">
        <v>11957</v>
      </c>
      <c r="G829" t="s">
        <v>11958</v>
      </c>
      <c r="H829" t="s">
        <v>11959</v>
      </c>
    </row>
    <row r="830" spans="1:8" x14ac:dyDescent="0.45">
      <c r="A830" t="s">
        <v>1571</v>
      </c>
      <c r="B830" t="s">
        <v>1572</v>
      </c>
      <c r="C830" t="s">
        <v>11955</v>
      </c>
      <c r="E830" t="s">
        <v>11956</v>
      </c>
      <c r="F830" t="s">
        <v>11957</v>
      </c>
      <c r="G830" t="s">
        <v>11958</v>
      </c>
      <c r="H830" t="s">
        <v>11959</v>
      </c>
    </row>
    <row r="831" spans="1:8" x14ac:dyDescent="0.45">
      <c r="A831" t="s">
        <v>4235</v>
      </c>
      <c r="B831" t="s">
        <v>4236</v>
      </c>
      <c r="C831" t="s">
        <v>11955</v>
      </c>
      <c r="E831" t="s">
        <v>11956</v>
      </c>
      <c r="F831" t="s">
        <v>11957</v>
      </c>
      <c r="G831" t="s">
        <v>11958</v>
      </c>
      <c r="H831" t="s">
        <v>11959</v>
      </c>
    </row>
    <row r="832" spans="1:8" x14ac:dyDescent="0.45">
      <c r="A832" t="s">
        <v>6112</v>
      </c>
      <c r="B832" t="s">
        <v>6113</v>
      </c>
      <c r="C832" t="s">
        <v>11955</v>
      </c>
      <c r="E832" t="s">
        <v>11956</v>
      </c>
      <c r="F832" t="s">
        <v>11957</v>
      </c>
      <c r="G832" t="s">
        <v>11958</v>
      </c>
      <c r="H832" t="s">
        <v>11959</v>
      </c>
    </row>
    <row r="833" spans="1:8" x14ac:dyDescent="0.45">
      <c r="A833" t="s">
        <v>22</v>
      </c>
      <c r="B833" t="s">
        <v>23</v>
      </c>
      <c r="C833" t="s">
        <v>11960</v>
      </c>
      <c r="E833" t="s">
        <v>11961</v>
      </c>
      <c r="F833" t="s">
        <v>11962</v>
      </c>
      <c r="G833" t="s">
        <v>11963</v>
      </c>
      <c r="H833" t="s">
        <v>11964</v>
      </c>
    </row>
    <row r="834" spans="1:8" x14ac:dyDescent="0.45">
      <c r="A834" t="s">
        <v>22</v>
      </c>
      <c r="B834" t="s">
        <v>23</v>
      </c>
      <c r="C834" t="s">
        <v>11960</v>
      </c>
      <c r="E834" t="s">
        <v>11961</v>
      </c>
      <c r="F834" t="s">
        <v>11965</v>
      </c>
      <c r="G834" t="s">
        <v>11966</v>
      </c>
      <c r="H834" t="s">
        <v>11964</v>
      </c>
    </row>
    <row r="835" spans="1:8" x14ac:dyDescent="0.45">
      <c r="A835" t="s">
        <v>22</v>
      </c>
      <c r="B835" t="s">
        <v>23</v>
      </c>
      <c r="C835" t="s">
        <v>11960</v>
      </c>
      <c r="E835" t="s">
        <v>11961</v>
      </c>
      <c r="F835" t="s">
        <v>11967</v>
      </c>
      <c r="G835" t="s">
        <v>11968</v>
      </c>
      <c r="H835" t="s">
        <v>11964</v>
      </c>
    </row>
    <row r="836" spans="1:8" x14ac:dyDescent="0.45">
      <c r="A836" t="s">
        <v>22</v>
      </c>
      <c r="B836" t="s">
        <v>23</v>
      </c>
      <c r="C836" t="s">
        <v>11960</v>
      </c>
      <c r="E836" t="s">
        <v>11961</v>
      </c>
      <c r="F836" t="s">
        <v>11969</v>
      </c>
      <c r="G836" t="s">
        <v>11970</v>
      </c>
      <c r="H836" t="s">
        <v>11964</v>
      </c>
    </row>
    <row r="837" spans="1:8" x14ac:dyDescent="0.45">
      <c r="A837" t="s">
        <v>22</v>
      </c>
      <c r="B837" t="s">
        <v>23</v>
      </c>
      <c r="C837" t="s">
        <v>11960</v>
      </c>
      <c r="E837" t="s">
        <v>11961</v>
      </c>
      <c r="F837" t="s">
        <v>11971</v>
      </c>
      <c r="G837" t="s">
        <v>11972</v>
      </c>
      <c r="H837" t="s">
        <v>11964</v>
      </c>
    </row>
    <row r="838" spans="1:8" x14ac:dyDescent="0.45">
      <c r="A838" t="s">
        <v>22</v>
      </c>
      <c r="B838" t="s">
        <v>23</v>
      </c>
      <c r="C838" t="s">
        <v>11960</v>
      </c>
      <c r="E838" t="s">
        <v>11961</v>
      </c>
      <c r="F838" t="s">
        <v>11973</v>
      </c>
      <c r="G838" t="s">
        <v>11974</v>
      </c>
      <c r="H838" t="s">
        <v>11975</v>
      </c>
    </row>
    <row r="839" spans="1:8" x14ac:dyDescent="0.45">
      <c r="A839" t="s">
        <v>85</v>
      </c>
      <c r="B839" t="s">
        <v>86</v>
      </c>
      <c r="C839" t="s">
        <v>11960</v>
      </c>
      <c r="E839" t="s">
        <v>11961</v>
      </c>
      <c r="F839" t="s">
        <v>11962</v>
      </c>
      <c r="G839" t="s">
        <v>11963</v>
      </c>
      <c r="H839" t="s">
        <v>11964</v>
      </c>
    </row>
    <row r="840" spans="1:8" x14ac:dyDescent="0.45">
      <c r="A840" t="s">
        <v>85</v>
      </c>
      <c r="B840" t="s">
        <v>86</v>
      </c>
      <c r="C840" t="s">
        <v>11960</v>
      </c>
      <c r="E840" t="s">
        <v>11961</v>
      </c>
      <c r="F840" t="s">
        <v>11965</v>
      </c>
      <c r="G840" t="s">
        <v>11966</v>
      </c>
      <c r="H840" t="s">
        <v>11964</v>
      </c>
    </row>
    <row r="841" spans="1:8" x14ac:dyDescent="0.45">
      <c r="A841" t="s">
        <v>85</v>
      </c>
      <c r="B841" t="s">
        <v>86</v>
      </c>
      <c r="C841" t="s">
        <v>11960</v>
      </c>
      <c r="E841" t="s">
        <v>11961</v>
      </c>
      <c r="F841" t="s">
        <v>11967</v>
      </c>
      <c r="G841" t="s">
        <v>11968</v>
      </c>
      <c r="H841" t="s">
        <v>11964</v>
      </c>
    </row>
    <row r="842" spans="1:8" x14ac:dyDescent="0.45">
      <c r="A842" t="s">
        <v>85</v>
      </c>
      <c r="B842" t="s">
        <v>86</v>
      </c>
      <c r="C842" t="s">
        <v>11960</v>
      </c>
      <c r="E842" t="s">
        <v>11961</v>
      </c>
      <c r="F842" t="s">
        <v>11969</v>
      </c>
      <c r="G842" t="s">
        <v>11970</v>
      </c>
      <c r="H842" t="s">
        <v>11964</v>
      </c>
    </row>
    <row r="843" spans="1:8" x14ac:dyDescent="0.45">
      <c r="A843" t="s">
        <v>85</v>
      </c>
      <c r="B843" t="s">
        <v>86</v>
      </c>
      <c r="C843" t="s">
        <v>11960</v>
      </c>
      <c r="E843" t="s">
        <v>11961</v>
      </c>
      <c r="F843" t="s">
        <v>11971</v>
      </c>
      <c r="G843" t="s">
        <v>11972</v>
      </c>
      <c r="H843" t="s">
        <v>11964</v>
      </c>
    </row>
    <row r="844" spans="1:8" x14ac:dyDescent="0.45">
      <c r="A844" t="s">
        <v>85</v>
      </c>
      <c r="B844" t="s">
        <v>86</v>
      </c>
      <c r="C844" t="s">
        <v>11960</v>
      </c>
      <c r="E844" t="s">
        <v>11961</v>
      </c>
      <c r="F844" t="s">
        <v>11973</v>
      </c>
      <c r="G844" t="s">
        <v>11974</v>
      </c>
      <c r="H844" t="s">
        <v>11975</v>
      </c>
    </row>
    <row r="845" spans="1:8" x14ac:dyDescent="0.45">
      <c r="A845" t="s">
        <v>2637</v>
      </c>
      <c r="B845" t="s">
        <v>2638</v>
      </c>
      <c r="C845" t="s">
        <v>11960</v>
      </c>
      <c r="E845" t="s">
        <v>11961</v>
      </c>
      <c r="F845" t="s">
        <v>11962</v>
      </c>
      <c r="G845" t="s">
        <v>11963</v>
      </c>
      <c r="H845" t="s">
        <v>11964</v>
      </c>
    </row>
    <row r="846" spans="1:8" x14ac:dyDescent="0.45">
      <c r="A846" t="s">
        <v>2637</v>
      </c>
      <c r="B846" t="s">
        <v>2638</v>
      </c>
      <c r="C846" t="s">
        <v>11960</v>
      </c>
      <c r="E846" t="s">
        <v>11961</v>
      </c>
      <c r="F846" t="s">
        <v>11965</v>
      </c>
      <c r="G846" t="s">
        <v>11966</v>
      </c>
      <c r="H846" t="s">
        <v>11964</v>
      </c>
    </row>
    <row r="847" spans="1:8" x14ac:dyDescent="0.45">
      <c r="A847" t="s">
        <v>2637</v>
      </c>
      <c r="B847" t="s">
        <v>2638</v>
      </c>
      <c r="C847" t="s">
        <v>11960</v>
      </c>
      <c r="E847" t="s">
        <v>11961</v>
      </c>
      <c r="F847" t="s">
        <v>11967</v>
      </c>
      <c r="G847" t="s">
        <v>11968</v>
      </c>
      <c r="H847" t="s">
        <v>11964</v>
      </c>
    </row>
    <row r="848" spans="1:8" x14ac:dyDescent="0.45">
      <c r="A848" t="s">
        <v>2637</v>
      </c>
      <c r="B848" t="s">
        <v>2638</v>
      </c>
      <c r="C848" t="s">
        <v>11960</v>
      </c>
      <c r="E848" t="s">
        <v>11961</v>
      </c>
      <c r="F848" t="s">
        <v>11969</v>
      </c>
      <c r="G848" t="s">
        <v>11970</v>
      </c>
      <c r="H848" t="s">
        <v>11964</v>
      </c>
    </row>
    <row r="849" spans="1:8" x14ac:dyDescent="0.45">
      <c r="A849" t="s">
        <v>2637</v>
      </c>
      <c r="B849" t="s">
        <v>2638</v>
      </c>
      <c r="C849" t="s">
        <v>11960</v>
      </c>
      <c r="E849" t="s">
        <v>11961</v>
      </c>
      <c r="F849" t="s">
        <v>11971</v>
      </c>
      <c r="G849" t="s">
        <v>11972</v>
      </c>
      <c r="H849" t="s">
        <v>11964</v>
      </c>
    </row>
    <row r="850" spans="1:8" x14ac:dyDescent="0.45">
      <c r="A850" t="s">
        <v>2637</v>
      </c>
      <c r="B850" t="s">
        <v>2638</v>
      </c>
      <c r="C850" t="s">
        <v>11960</v>
      </c>
      <c r="E850" t="s">
        <v>11961</v>
      </c>
      <c r="F850" t="s">
        <v>11973</v>
      </c>
      <c r="G850" t="s">
        <v>11974</v>
      </c>
      <c r="H850" t="s">
        <v>11975</v>
      </c>
    </row>
    <row r="851" spans="1:8" x14ac:dyDescent="0.45">
      <c r="A851" t="s">
        <v>3010</v>
      </c>
      <c r="B851" t="s">
        <v>3011</v>
      </c>
      <c r="C851" t="s">
        <v>11960</v>
      </c>
      <c r="E851" t="s">
        <v>11961</v>
      </c>
      <c r="F851" t="s">
        <v>11962</v>
      </c>
      <c r="G851" t="s">
        <v>11963</v>
      </c>
      <c r="H851" t="s">
        <v>11964</v>
      </c>
    </row>
    <row r="852" spans="1:8" x14ac:dyDescent="0.45">
      <c r="A852" t="s">
        <v>3010</v>
      </c>
      <c r="B852" t="s">
        <v>3011</v>
      </c>
      <c r="C852" t="s">
        <v>11960</v>
      </c>
      <c r="E852" t="s">
        <v>11961</v>
      </c>
      <c r="F852" t="s">
        <v>11965</v>
      </c>
      <c r="G852" t="s">
        <v>11966</v>
      </c>
      <c r="H852" t="s">
        <v>11964</v>
      </c>
    </row>
    <row r="853" spans="1:8" x14ac:dyDescent="0.45">
      <c r="A853" t="s">
        <v>3010</v>
      </c>
      <c r="B853" t="s">
        <v>3011</v>
      </c>
      <c r="C853" t="s">
        <v>11960</v>
      </c>
      <c r="E853" t="s">
        <v>11961</v>
      </c>
      <c r="F853" t="s">
        <v>11967</v>
      </c>
      <c r="G853" t="s">
        <v>11968</v>
      </c>
      <c r="H853" t="s">
        <v>11964</v>
      </c>
    </row>
    <row r="854" spans="1:8" x14ac:dyDescent="0.45">
      <c r="A854" t="s">
        <v>3010</v>
      </c>
      <c r="B854" t="s">
        <v>3011</v>
      </c>
      <c r="C854" t="s">
        <v>11960</v>
      </c>
      <c r="E854" t="s">
        <v>11961</v>
      </c>
      <c r="F854" t="s">
        <v>11969</v>
      </c>
      <c r="G854" t="s">
        <v>11970</v>
      </c>
      <c r="H854" t="s">
        <v>11964</v>
      </c>
    </row>
    <row r="855" spans="1:8" x14ac:dyDescent="0.45">
      <c r="A855" t="s">
        <v>3010</v>
      </c>
      <c r="B855" t="s">
        <v>3011</v>
      </c>
      <c r="C855" t="s">
        <v>11960</v>
      </c>
      <c r="E855" t="s">
        <v>11961</v>
      </c>
      <c r="F855" t="s">
        <v>11971</v>
      </c>
      <c r="G855" t="s">
        <v>11972</v>
      </c>
      <c r="H855" t="s">
        <v>11964</v>
      </c>
    </row>
    <row r="856" spans="1:8" x14ac:dyDescent="0.45">
      <c r="A856" t="s">
        <v>3010</v>
      </c>
      <c r="B856" t="s">
        <v>3011</v>
      </c>
      <c r="C856" t="s">
        <v>11960</v>
      </c>
      <c r="E856" t="s">
        <v>11961</v>
      </c>
      <c r="F856" t="s">
        <v>11973</v>
      </c>
      <c r="G856" t="s">
        <v>11974</v>
      </c>
      <c r="H856" t="s">
        <v>11975</v>
      </c>
    </row>
    <row r="857" spans="1:8" x14ac:dyDescent="0.45">
      <c r="A857" t="s">
        <v>3565</v>
      </c>
      <c r="B857" t="s">
        <v>3566</v>
      </c>
      <c r="C857" t="s">
        <v>11960</v>
      </c>
      <c r="E857" t="s">
        <v>11961</v>
      </c>
      <c r="F857" t="s">
        <v>11962</v>
      </c>
      <c r="G857" t="s">
        <v>11963</v>
      </c>
      <c r="H857" t="s">
        <v>11964</v>
      </c>
    </row>
    <row r="858" spans="1:8" x14ac:dyDescent="0.45">
      <c r="A858" t="s">
        <v>3565</v>
      </c>
      <c r="B858" t="s">
        <v>3566</v>
      </c>
      <c r="C858" t="s">
        <v>11960</v>
      </c>
      <c r="E858" t="s">
        <v>11961</v>
      </c>
      <c r="F858" t="s">
        <v>11965</v>
      </c>
      <c r="G858" t="s">
        <v>11966</v>
      </c>
      <c r="H858" t="s">
        <v>11964</v>
      </c>
    </row>
    <row r="859" spans="1:8" x14ac:dyDescent="0.45">
      <c r="A859" t="s">
        <v>3565</v>
      </c>
      <c r="B859" t="s">
        <v>3566</v>
      </c>
      <c r="C859" t="s">
        <v>11960</v>
      </c>
      <c r="E859" t="s">
        <v>11961</v>
      </c>
      <c r="F859" t="s">
        <v>11967</v>
      </c>
      <c r="G859" t="s">
        <v>11968</v>
      </c>
      <c r="H859" t="s">
        <v>11964</v>
      </c>
    </row>
    <row r="860" spans="1:8" x14ac:dyDescent="0.45">
      <c r="A860" t="s">
        <v>3565</v>
      </c>
      <c r="B860" t="s">
        <v>3566</v>
      </c>
      <c r="C860" t="s">
        <v>11960</v>
      </c>
      <c r="E860" t="s">
        <v>11961</v>
      </c>
      <c r="F860" t="s">
        <v>11969</v>
      </c>
      <c r="G860" t="s">
        <v>11970</v>
      </c>
      <c r="H860" t="s">
        <v>11964</v>
      </c>
    </row>
    <row r="861" spans="1:8" x14ac:dyDescent="0.45">
      <c r="A861" t="s">
        <v>3565</v>
      </c>
      <c r="B861" t="s">
        <v>3566</v>
      </c>
      <c r="C861" t="s">
        <v>11960</v>
      </c>
      <c r="E861" t="s">
        <v>11961</v>
      </c>
      <c r="F861" t="s">
        <v>11971</v>
      </c>
      <c r="G861" t="s">
        <v>11972</v>
      </c>
      <c r="H861" t="s">
        <v>11964</v>
      </c>
    </row>
    <row r="862" spans="1:8" x14ac:dyDescent="0.45">
      <c r="A862" t="s">
        <v>3565</v>
      </c>
      <c r="B862" t="s">
        <v>3566</v>
      </c>
      <c r="C862" t="s">
        <v>11960</v>
      </c>
      <c r="E862" t="s">
        <v>11961</v>
      </c>
      <c r="F862" t="s">
        <v>11973</v>
      </c>
      <c r="G862" t="s">
        <v>11974</v>
      </c>
      <c r="H862" t="s">
        <v>11975</v>
      </c>
    </row>
    <row r="863" spans="1:8" x14ac:dyDescent="0.45">
      <c r="A863" t="s">
        <v>7001</v>
      </c>
      <c r="B863" t="s">
        <v>7002</v>
      </c>
      <c r="C863" t="s">
        <v>11960</v>
      </c>
      <c r="E863" t="s">
        <v>11961</v>
      </c>
      <c r="F863" t="s">
        <v>11962</v>
      </c>
      <c r="G863" t="s">
        <v>11963</v>
      </c>
      <c r="H863" t="s">
        <v>11964</v>
      </c>
    </row>
    <row r="864" spans="1:8" x14ac:dyDescent="0.45">
      <c r="A864" t="s">
        <v>7001</v>
      </c>
      <c r="B864" t="s">
        <v>7002</v>
      </c>
      <c r="C864" t="s">
        <v>11960</v>
      </c>
      <c r="E864" t="s">
        <v>11961</v>
      </c>
      <c r="F864" t="s">
        <v>11965</v>
      </c>
      <c r="G864" t="s">
        <v>11966</v>
      </c>
      <c r="H864" t="s">
        <v>11964</v>
      </c>
    </row>
    <row r="865" spans="1:8" x14ac:dyDescent="0.45">
      <c r="A865" t="s">
        <v>7001</v>
      </c>
      <c r="B865" t="s">
        <v>7002</v>
      </c>
      <c r="C865" t="s">
        <v>11960</v>
      </c>
      <c r="E865" t="s">
        <v>11961</v>
      </c>
      <c r="F865" t="s">
        <v>11967</v>
      </c>
      <c r="G865" t="s">
        <v>11968</v>
      </c>
      <c r="H865" t="s">
        <v>11964</v>
      </c>
    </row>
    <row r="866" spans="1:8" x14ac:dyDescent="0.45">
      <c r="A866" t="s">
        <v>7001</v>
      </c>
      <c r="B866" t="s">
        <v>7002</v>
      </c>
      <c r="C866" t="s">
        <v>11960</v>
      </c>
      <c r="E866" t="s">
        <v>11961</v>
      </c>
      <c r="F866" t="s">
        <v>11969</v>
      </c>
      <c r="G866" t="s">
        <v>11970</v>
      </c>
      <c r="H866" t="s">
        <v>11964</v>
      </c>
    </row>
    <row r="867" spans="1:8" x14ac:dyDescent="0.45">
      <c r="A867" t="s">
        <v>7001</v>
      </c>
      <c r="B867" t="s">
        <v>7002</v>
      </c>
      <c r="C867" t="s">
        <v>11960</v>
      </c>
      <c r="E867" t="s">
        <v>11961</v>
      </c>
      <c r="F867" t="s">
        <v>11971</v>
      </c>
      <c r="G867" t="s">
        <v>11972</v>
      </c>
      <c r="H867" t="s">
        <v>11964</v>
      </c>
    </row>
    <row r="868" spans="1:8" x14ac:dyDescent="0.45">
      <c r="A868" t="s">
        <v>7001</v>
      </c>
      <c r="B868" t="s">
        <v>7002</v>
      </c>
      <c r="C868" t="s">
        <v>11960</v>
      </c>
      <c r="E868" t="s">
        <v>11961</v>
      </c>
      <c r="F868" t="s">
        <v>11973</v>
      </c>
      <c r="G868" t="s">
        <v>11974</v>
      </c>
      <c r="H868" t="s">
        <v>11975</v>
      </c>
    </row>
    <row r="869" spans="1:8" x14ac:dyDescent="0.45">
      <c r="A869" t="s">
        <v>9305</v>
      </c>
      <c r="B869" t="s">
        <v>9306</v>
      </c>
      <c r="C869" t="s">
        <v>11960</v>
      </c>
      <c r="E869" t="s">
        <v>11961</v>
      </c>
      <c r="F869" t="s">
        <v>11962</v>
      </c>
      <c r="G869" t="s">
        <v>11963</v>
      </c>
      <c r="H869" t="s">
        <v>11964</v>
      </c>
    </row>
    <row r="870" spans="1:8" x14ac:dyDescent="0.45">
      <c r="A870" t="s">
        <v>9305</v>
      </c>
      <c r="B870" t="s">
        <v>9306</v>
      </c>
      <c r="C870" t="s">
        <v>11960</v>
      </c>
      <c r="E870" t="s">
        <v>11961</v>
      </c>
      <c r="F870" t="s">
        <v>11965</v>
      </c>
      <c r="G870" t="s">
        <v>11966</v>
      </c>
      <c r="H870" t="s">
        <v>11964</v>
      </c>
    </row>
    <row r="871" spans="1:8" x14ac:dyDescent="0.45">
      <c r="A871" t="s">
        <v>9305</v>
      </c>
      <c r="B871" t="s">
        <v>9306</v>
      </c>
      <c r="C871" t="s">
        <v>11960</v>
      </c>
      <c r="E871" t="s">
        <v>11961</v>
      </c>
      <c r="F871" t="s">
        <v>11967</v>
      </c>
      <c r="G871" t="s">
        <v>11968</v>
      </c>
      <c r="H871" t="s">
        <v>11964</v>
      </c>
    </row>
    <row r="872" spans="1:8" x14ac:dyDescent="0.45">
      <c r="A872" t="s">
        <v>9305</v>
      </c>
      <c r="B872" t="s">
        <v>9306</v>
      </c>
      <c r="C872" t="s">
        <v>11960</v>
      </c>
      <c r="E872" t="s">
        <v>11961</v>
      </c>
      <c r="F872" t="s">
        <v>11969</v>
      </c>
      <c r="G872" t="s">
        <v>11970</v>
      </c>
      <c r="H872" t="s">
        <v>11964</v>
      </c>
    </row>
    <row r="873" spans="1:8" x14ac:dyDescent="0.45">
      <c r="A873" t="s">
        <v>9305</v>
      </c>
      <c r="B873" t="s">
        <v>9306</v>
      </c>
      <c r="C873" t="s">
        <v>11960</v>
      </c>
      <c r="E873" t="s">
        <v>11961</v>
      </c>
      <c r="F873" t="s">
        <v>11971</v>
      </c>
      <c r="G873" t="s">
        <v>11972</v>
      </c>
      <c r="H873" t="s">
        <v>11964</v>
      </c>
    </row>
    <row r="874" spans="1:8" x14ac:dyDescent="0.45">
      <c r="A874" t="s">
        <v>9305</v>
      </c>
      <c r="B874" t="s">
        <v>9306</v>
      </c>
      <c r="C874" t="s">
        <v>11960</v>
      </c>
      <c r="E874" t="s">
        <v>11961</v>
      </c>
      <c r="F874" t="s">
        <v>11973</v>
      </c>
      <c r="G874" t="s">
        <v>11974</v>
      </c>
      <c r="H874" t="s">
        <v>11975</v>
      </c>
    </row>
    <row r="875" spans="1:8" x14ac:dyDescent="0.45">
      <c r="A875" t="s">
        <v>9804</v>
      </c>
      <c r="B875" t="s">
        <v>9805</v>
      </c>
      <c r="C875" t="s">
        <v>11960</v>
      </c>
      <c r="E875" t="s">
        <v>11961</v>
      </c>
      <c r="F875" t="s">
        <v>11962</v>
      </c>
      <c r="G875" t="s">
        <v>11963</v>
      </c>
      <c r="H875" t="s">
        <v>11964</v>
      </c>
    </row>
    <row r="876" spans="1:8" x14ac:dyDescent="0.45">
      <c r="A876" t="s">
        <v>9804</v>
      </c>
      <c r="B876" t="s">
        <v>9805</v>
      </c>
      <c r="C876" t="s">
        <v>11960</v>
      </c>
      <c r="E876" t="s">
        <v>11961</v>
      </c>
      <c r="F876" t="s">
        <v>11965</v>
      </c>
      <c r="G876" t="s">
        <v>11966</v>
      </c>
      <c r="H876" t="s">
        <v>11964</v>
      </c>
    </row>
    <row r="877" spans="1:8" x14ac:dyDescent="0.45">
      <c r="A877" t="s">
        <v>9804</v>
      </c>
      <c r="B877" t="s">
        <v>9805</v>
      </c>
      <c r="C877" t="s">
        <v>11960</v>
      </c>
      <c r="E877" t="s">
        <v>11961</v>
      </c>
      <c r="F877" t="s">
        <v>11967</v>
      </c>
      <c r="G877" t="s">
        <v>11968</v>
      </c>
      <c r="H877" t="s">
        <v>11964</v>
      </c>
    </row>
    <row r="878" spans="1:8" x14ac:dyDescent="0.45">
      <c r="A878" t="s">
        <v>9804</v>
      </c>
      <c r="B878" t="s">
        <v>9805</v>
      </c>
      <c r="C878" t="s">
        <v>11960</v>
      </c>
      <c r="E878" t="s">
        <v>11961</v>
      </c>
      <c r="F878" t="s">
        <v>11969</v>
      </c>
      <c r="G878" t="s">
        <v>11970</v>
      </c>
      <c r="H878" t="s">
        <v>11964</v>
      </c>
    </row>
    <row r="879" spans="1:8" x14ac:dyDescent="0.45">
      <c r="A879" t="s">
        <v>9804</v>
      </c>
      <c r="B879" t="s">
        <v>9805</v>
      </c>
      <c r="C879" t="s">
        <v>11960</v>
      </c>
      <c r="E879" t="s">
        <v>11961</v>
      </c>
      <c r="F879" t="s">
        <v>11971</v>
      </c>
      <c r="G879" t="s">
        <v>11972</v>
      </c>
      <c r="H879" t="s">
        <v>11964</v>
      </c>
    </row>
    <row r="880" spans="1:8" x14ac:dyDescent="0.45">
      <c r="A880" t="s">
        <v>9804</v>
      </c>
      <c r="B880" t="s">
        <v>9805</v>
      </c>
      <c r="C880" t="s">
        <v>11960</v>
      </c>
      <c r="E880" t="s">
        <v>11961</v>
      </c>
      <c r="F880" t="s">
        <v>11973</v>
      </c>
      <c r="G880" t="s">
        <v>11974</v>
      </c>
      <c r="H880" t="s">
        <v>11975</v>
      </c>
    </row>
    <row r="881" spans="1:8" x14ac:dyDescent="0.45">
      <c r="A881" t="s">
        <v>6975</v>
      </c>
      <c r="B881" t="s">
        <v>6976</v>
      </c>
      <c r="C881" t="s">
        <v>11976</v>
      </c>
      <c r="E881" t="s">
        <v>11977</v>
      </c>
      <c r="F881" t="s">
        <v>11978</v>
      </c>
      <c r="G881" t="s">
        <v>11979</v>
      </c>
      <c r="H881" t="s">
        <v>11980</v>
      </c>
    </row>
    <row r="882" spans="1:8" x14ac:dyDescent="0.45">
      <c r="A882" t="s">
        <v>6975</v>
      </c>
      <c r="B882" t="s">
        <v>6976</v>
      </c>
      <c r="C882" t="s">
        <v>11976</v>
      </c>
      <c r="E882" t="s">
        <v>11977</v>
      </c>
      <c r="F882" t="s">
        <v>11981</v>
      </c>
      <c r="G882" t="s">
        <v>11982</v>
      </c>
      <c r="H882" t="s">
        <v>11983</v>
      </c>
    </row>
    <row r="883" spans="1:8" x14ac:dyDescent="0.45">
      <c r="A883" t="s">
        <v>6975</v>
      </c>
      <c r="B883" t="s">
        <v>6976</v>
      </c>
      <c r="C883" t="s">
        <v>11976</v>
      </c>
      <c r="E883" t="s">
        <v>11977</v>
      </c>
      <c r="F883" t="s">
        <v>11984</v>
      </c>
      <c r="G883" t="s">
        <v>11985</v>
      </c>
      <c r="H883" t="s">
        <v>11986</v>
      </c>
    </row>
    <row r="884" spans="1:8" x14ac:dyDescent="0.45">
      <c r="A884" t="s">
        <v>6975</v>
      </c>
      <c r="B884" t="s">
        <v>6976</v>
      </c>
      <c r="C884" t="s">
        <v>11976</v>
      </c>
      <c r="E884" t="s">
        <v>11977</v>
      </c>
      <c r="F884" t="s">
        <v>11987</v>
      </c>
      <c r="G884" t="s">
        <v>11988</v>
      </c>
      <c r="H884" t="s">
        <v>11980</v>
      </c>
    </row>
    <row r="885" spans="1:8" x14ac:dyDescent="0.45">
      <c r="A885" t="s">
        <v>5933</v>
      </c>
      <c r="B885" t="s">
        <v>5934</v>
      </c>
      <c r="C885" t="s">
        <v>11989</v>
      </c>
      <c r="E885" t="s">
        <v>11990</v>
      </c>
      <c r="F885" t="s">
        <v>11991</v>
      </c>
      <c r="G885" t="s">
        <v>11992</v>
      </c>
      <c r="H885" t="s">
        <v>11993</v>
      </c>
    </row>
    <row r="886" spans="1:8" x14ac:dyDescent="0.45">
      <c r="A886" t="s">
        <v>4890</v>
      </c>
      <c r="B886" t="s">
        <v>4891</v>
      </c>
      <c r="C886" t="s">
        <v>11994</v>
      </c>
      <c r="E886" t="s">
        <v>11995</v>
      </c>
      <c r="F886" t="s">
        <v>11996</v>
      </c>
      <c r="G886" t="s">
        <v>11997</v>
      </c>
      <c r="H886" t="s">
        <v>11998</v>
      </c>
    </row>
    <row r="887" spans="1:8" x14ac:dyDescent="0.45">
      <c r="A887" t="s">
        <v>3608</v>
      </c>
      <c r="B887" t="s">
        <v>3609</v>
      </c>
      <c r="C887" t="s">
        <v>11999</v>
      </c>
      <c r="E887" t="s">
        <v>12000</v>
      </c>
      <c r="F887" t="s">
        <v>12001</v>
      </c>
      <c r="G887" t="s">
        <v>12002</v>
      </c>
      <c r="H887" t="s">
        <v>12003</v>
      </c>
    </row>
    <row r="888" spans="1:8" x14ac:dyDescent="0.45">
      <c r="A888" t="s">
        <v>3608</v>
      </c>
      <c r="B888" t="s">
        <v>3609</v>
      </c>
      <c r="C888" t="s">
        <v>11999</v>
      </c>
      <c r="E888" t="s">
        <v>12000</v>
      </c>
      <c r="F888" t="s">
        <v>12004</v>
      </c>
      <c r="G888" t="s">
        <v>12002</v>
      </c>
      <c r="H888" t="s">
        <v>12005</v>
      </c>
    </row>
    <row r="889" spans="1:8" x14ac:dyDescent="0.45">
      <c r="A889" t="s">
        <v>3608</v>
      </c>
      <c r="B889" t="s">
        <v>3609</v>
      </c>
      <c r="C889" t="s">
        <v>11999</v>
      </c>
      <c r="E889" t="s">
        <v>12000</v>
      </c>
      <c r="F889" t="s">
        <v>12006</v>
      </c>
      <c r="G889" t="s">
        <v>12002</v>
      </c>
      <c r="H889" t="s">
        <v>12007</v>
      </c>
    </row>
    <row r="890" spans="1:8" x14ac:dyDescent="0.45">
      <c r="A890" t="s">
        <v>3608</v>
      </c>
      <c r="B890" t="s">
        <v>3609</v>
      </c>
      <c r="C890" t="s">
        <v>11999</v>
      </c>
      <c r="E890" t="s">
        <v>12000</v>
      </c>
      <c r="F890" t="s">
        <v>12008</v>
      </c>
      <c r="G890" t="s">
        <v>12002</v>
      </c>
      <c r="H890" t="s">
        <v>12009</v>
      </c>
    </row>
    <row r="891" spans="1:8" x14ac:dyDescent="0.45">
      <c r="A891" t="s">
        <v>3608</v>
      </c>
      <c r="B891" t="s">
        <v>3609</v>
      </c>
      <c r="C891" t="s">
        <v>11999</v>
      </c>
      <c r="E891" t="s">
        <v>12000</v>
      </c>
      <c r="F891" t="s">
        <v>12010</v>
      </c>
      <c r="G891" t="s">
        <v>12002</v>
      </c>
      <c r="H891" t="s">
        <v>12011</v>
      </c>
    </row>
    <row r="892" spans="1:8" x14ac:dyDescent="0.45">
      <c r="A892" t="s">
        <v>189</v>
      </c>
      <c r="B892" t="s">
        <v>190</v>
      </c>
      <c r="C892" t="s">
        <v>12012</v>
      </c>
      <c r="E892" t="s">
        <v>12013</v>
      </c>
      <c r="F892" t="s">
        <v>12014</v>
      </c>
      <c r="G892" t="s">
        <v>12015</v>
      </c>
      <c r="H892" t="s">
        <v>12016</v>
      </c>
    </row>
    <row r="893" spans="1:8" x14ac:dyDescent="0.45">
      <c r="A893" t="s">
        <v>533</v>
      </c>
      <c r="B893" t="s">
        <v>534</v>
      </c>
      <c r="C893" t="s">
        <v>12012</v>
      </c>
      <c r="E893" t="s">
        <v>12013</v>
      </c>
      <c r="F893" t="s">
        <v>12014</v>
      </c>
      <c r="G893" t="s">
        <v>12015</v>
      </c>
      <c r="H893" t="s">
        <v>12016</v>
      </c>
    </row>
    <row r="894" spans="1:8" x14ac:dyDescent="0.45">
      <c r="A894" t="s">
        <v>9604</v>
      </c>
      <c r="B894" t="s">
        <v>9605</v>
      </c>
      <c r="C894" t="s">
        <v>12017</v>
      </c>
      <c r="E894" t="s">
        <v>12018</v>
      </c>
      <c r="F894" t="s">
        <v>12019</v>
      </c>
      <c r="G894" t="s">
        <v>12020</v>
      </c>
      <c r="H894" t="s">
        <v>12021</v>
      </c>
    </row>
    <row r="895" spans="1:8" x14ac:dyDescent="0.45">
      <c r="A895" t="s">
        <v>7669</v>
      </c>
      <c r="B895" t="s">
        <v>7670</v>
      </c>
      <c r="C895" t="s">
        <v>12022</v>
      </c>
      <c r="E895" t="s">
        <v>12023</v>
      </c>
      <c r="F895" t="s">
        <v>12024</v>
      </c>
      <c r="G895" t="s">
        <v>12025</v>
      </c>
      <c r="H895" t="s">
        <v>12026</v>
      </c>
    </row>
    <row r="896" spans="1:8" x14ac:dyDescent="0.45">
      <c r="A896" t="s">
        <v>9628</v>
      </c>
      <c r="B896" t="s">
        <v>9629</v>
      </c>
      <c r="C896" t="s">
        <v>12022</v>
      </c>
      <c r="E896" t="s">
        <v>12023</v>
      </c>
      <c r="F896" t="s">
        <v>12024</v>
      </c>
      <c r="G896" t="s">
        <v>12025</v>
      </c>
      <c r="H896" t="s">
        <v>12026</v>
      </c>
    </row>
    <row r="897" spans="1:8" x14ac:dyDescent="0.45">
      <c r="A897" t="s">
        <v>1517</v>
      </c>
      <c r="B897" t="s">
        <v>1518</v>
      </c>
      <c r="C897" t="s">
        <v>12027</v>
      </c>
    </row>
    <row r="898" spans="1:8" x14ac:dyDescent="0.45">
      <c r="A898" t="s">
        <v>7836</v>
      </c>
      <c r="B898" t="s">
        <v>7837</v>
      </c>
      <c r="C898" t="s">
        <v>12027</v>
      </c>
    </row>
    <row r="899" spans="1:8" x14ac:dyDescent="0.45">
      <c r="A899" t="s">
        <v>7503</v>
      </c>
      <c r="B899" t="s">
        <v>7504</v>
      </c>
      <c r="C899" t="s">
        <v>12028</v>
      </c>
      <c r="E899" t="s">
        <v>12029</v>
      </c>
      <c r="F899" t="s">
        <v>12030</v>
      </c>
      <c r="G899" t="s">
        <v>12031</v>
      </c>
      <c r="H899" t="s">
        <v>12032</v>
      </c>
    </row>
    <row r="900" spans="1:8" x14ac:dyDescent="0.45">
      <c r="A900" t="s">
        <v>7503</v>
      </c>
      <c r="B900" t="s">
        <v>7504</v>
      </c>
      <c r="C900" t="s">
        <v>12028</v>
      </c>
      <c r="E900" t="s">
        <v>12029</v>
      </c>
      <c r="F900" t="s">
        <v>12033</v>
      </c>
      <c r="G900" t="s">
        <v>12034</v>
      </c>
      <c r="H900" t="s">
        <v>12035</v>
      </c>
    </row>
    <row r="901" spans="1:8" x14ac:dyDescent="0.45">
      <c r="A901" t="s">
        <v>9436</v>
      </c>
      <c r="B901" t="s">
        <v>9437</v>
      </c>
      <c r="C901" t="s">
        <v>12036</v>
      </c>
      <c r="E901" t="s">
        <v>12037</v>
      </c>
      <c r="F901" t="s">
        <v>12038</v>
      </c>
      <c r="G901" t="s">
        <v>12039</v>
      </c>
      <c r="H901" t="s">
        <v>12040</v>
      </c>
    </row>
    <row r="902" spans="1:8" x14ac:dyDescent="0.45">
      <c r="A902" t="s">
        <v>9436</v>
      </c>
      <c r="B902" t="s">
        <v>9437</v>
      </c>
      <c r="C902" t="s">
        <v>12036</v>
      </c>
      <c r="E902" t="s">
        <v>12037</v>
      </c>
      <c r="F902" t="s">
        <v>12041</v>
      </c>
      <c r="G902" t="s">
        <v>12042</v>
      </c>
      <c r="H902" t="s">
        <v>12043</v>
      </c>
    </row>
    <row r="903" spans="1:8" x14ac:dyDescent="0.45">
      <c r="A903" t="s">
        <v>9754</v>
      </c>
      <c r="B903" t="s">
        <v>9755</v>
      </c>
      <c r="C903" t="s">
        <v>12044</v>
      </c>
      <c r="E903" t="s">
        <v>12045</v>
      </c>
      <c r="F903" t="s">
        <v>12046</v>
      </c>
      <c r="G903" t="s">
        <v>12047</v>
      </c>
      <c r="H903" t="s">
        <v>12048</v>
      </c>
    </row>
    <row r="904" spans="1:8" x14ac:dyDescent="0.45">
      <c r="A904" t="s">
        <v>3639</v>
      </c>
      <c r="B904" t="s">
        <v>3640</v>
      </c>
      <c r="C904" t="s">
        <v>12049</v>
      </c>
      <c r="E904" t="s">
        <v>12050</v>
      </c>
      <c r="F904" t="s">
        <v>12051</v>
      </c>
      <c r="G904" t="s">
        <v>12052</v>
      </c>
      <c r="H904" t="s">
        <v>12053</v>
      </c>
    </row>
    <row r="905" spans="1:8" x14ac:dyDescent="0.45">
      <c r="A905" t="s">
        <v>9549</v>
      </c>
      <c r="B905" t="s">
        <v>9550</v>
      </c>
      <c r="C905" t="s">
        <v>12054</v>
      </c>
      <c r="E905" t="s">
        <v>12055</v>
      </c>
      <c r="F905" t="s">
        <v>12056</v>
      </c>
      <c r="G905" t="s">
        <v>12057</v>
      </c>
      <c r="H905" t="s">
        <v>12058</v>
      </c>
    </row>
    <row r="906" spans="1:8" x14ac:dyDescent="0.45">
      <c r="A906" t="s">
        <v>6804</v>
      </c>
      <c r="B906" t="s">
        <v>6805</v>
      </c>
      <c r="C906" t="s">
        <v>12059</v>
      </c>
      <c r="E906" t="s">
        <v>12060</v>
      </c>
      <c r="F906" t="s">
        <v>12061</v>
      </c>
      <c r="G906" t="s">
        <v>12062</v>
      </c>
      <c r="H906" t="s">
        <v>12063</v>
      </c>
    </row>
    <row r="907" spans="1:8" x14ac:dyDescent="0.45">
      <c r="A907" t="s">
        <v>7061</v>
      </c>
      <c r="B907" t="s">
        <v>7062</v>
      </c>
      <c r="C907" t="s">
        <v>12064</v>
      </c>
      <c r="E907" t="s">
        <v>12065</v>
      </c>
      <c r="F907" t="s">
        <v>12066</v>
      </c>
      <c r="G907" t="s">
        <v>12067</v>
      </c>
      <c r="H907" t="s">
        <v>12068</v>
      </c>
    </row>
    <row r="908" spans="1:8" x14ac:dyDescent="0.45">
      <c r="A908" t="s">
        <v>4226</v>
      </c>
      <c r="B908" t="s">
        <v>4227</v>
      </c>
      <c r="C908" t="s">
        <v>12069</v>
      </c>
    </row>
    <row r="909" spans="1:8" x14ac:dyDescent="0.45">
      <c r="A909" t="s">
        <v>4876</v>
      </c>
      <c r="B909" t="s">
        <v>4877</v>
      </c>
      <c r="C909" t="s">
        <v>12070</v>
      </c>
      <c r="E909" t="s">
        <v>12071</v>
      </c>
      <c r="F909" t="s">
        <v>12072</v>
      </c>
      <c r="G909" t="s">
        <v>12073</v>
      </c>
      <c r="H909" t="s">
        <v>12074</v>
      </c>
    </row>
    <row r="910" spans="1:8" x14ac:dyDescent="0.45">
      <c r="A910" t="s">
        <v>3492</v>
      </c>
      <c r="B910" t="s">
        <v>3493</v>
      </c>
      <c r="C910" t="s">
        <v>12075</v>
      </c>
      <c r="E910" t="s">
        <v>12076</v>
      </c>
      <c r="F910" t="s">
        <v>12077</v>
      </c>
      <c r="G910" t="s">
        <v>12078</v>
      </c>
      <c r="H910" t="s">
        <v>12079</v>
      </c>
    </row>
    <row r="911" spans="1:8" x14ac:dyDescent="0.45">
      <c r="A911" t="s">
        <v>2234</v>
      </c>
      <c r="B911" t="s">
        <v>2235</v>
      </c>
      <c r="C911" t="s">
        <v>12080</v>
      </c>
      <c r="E911" t="s">
        <v>12081</v>
      </c>
      <c r="F911" t="s">
        <v>12082</v>
      </c>
      <c r="G911" t="s">
        <v>12083</v>
      </c>
      <c r="H911" t="s">
        <v>12084</v>
      </c>
    </row>
    <row r="912" spans="1:8" x14ac:dyDescent="0.45">
      <c r="A912" t="s">
        <v>2234</v>
      </c>
      <c r="B912" t="s">
        <v>2235</v>
      </c>
      <c r="C912" t="s">
        <v>12080</v>
      </c>
      <c r="E912" t="s">
        <v>12081</v>
      </c>
      <c r="F912" t="s">
        <v>12085</v>
      </c>
      <c r="G912" t="s">
        <v>12086</v>
      </c>
      <c r="H912" t="s">
        <v>12087</v>
      </c>
    </row>
    <row r="913" spans="1:8" x14ac:dyDescent="0.45">
      <c r="A913" t="s">
        <v>1152</v>
      </c>
      <c r="B913" t="s">
        <v>1153</v>
      </c>
      <c r="C913" t="s">
        <v>12088</v>
      </c>
      <c r="E913" t="s">
        <v>12089</v>
      </c>
      <c r="F913" t="s">
        <v>12090</v>
      </c>
      <c r="G913" t="s">
        <v>12091</v>
      </c>
      <c r="H913" t="s">
        <v>12092</v>
      </c>
    </row>
    <row r="914" spans="1:8" x14ac:dyDescent="0.45">
      <c r="A914" t="s">
        <v>3484</v>
      </c>
      <c r="B914" t="s">
        <v>3485</v>
      </c>
      <c r="C914" t="s">
        <v>12093</v>
      </c>
      <c r="E914" t="s">
        <v>12094</v>
      </c>
      <c r="F914" t="s">
        <v>12095</v>
      </c>
      <c r="G914" t="s">
        <v>12096</v>
      </c>
      <c r="H914" t="s">
        <v>12097</v>
      </c>
    </row>
    <row r="915" spans="1:8" x14ac:dyDescent="0.45">
      <c r="A915" t="s">
        <v>3484</v>
      </c>
      <c r="B915" t="s">
        <v>3485</v>
      </c>
      <c r="C915" t="s">
        <v>12093</v>
      </c>
      <c r="E915" t="s">
        <v>12094</v>
      </c>
      <c r="F915" t="s">
        <v>12098</v>
      </c>
      <c r="G915" t="s">
        <v>12099</v>
      </c>
      <c r="H915" t="s">
        <v>12100</v>
      </c>
    </row>
    <row r="916" spans="1:8" x14ac:dyDescent="0.45">
      <c r="A916" t="s">
        <v>3484</v>
      </c>
      <c r="B916" t="s">
        <v>3485</v>
      </c>
      <c r="C916" t="s">
        <v>12093</v>
      </c>
      <c r="E916" t="s">
        <v>12094</v>
      </c>
      <c r="F916" t="s">
        <v>12101</v>
      </c>
      <c r="G916" t="s">
        <v>12102</v>
      </c>
      <c r="H916" t="s">
        <v>12103</v>
      </c>
    </row>
    <row r="917" spans="1:8" x14ac:dyDescent="0.45">
      <c r="A917" t="s">
        <v>6606</v>
      </c>
      <c r="B917" t="s">
        <v>6607</v>
      </c>
      <c r="C917" t="s">
        <v>12104</v>
      </c>
    </row>
    <row r="918" spans="1:8" x14ac:dyDescent="0.45">
      <c r="A918" t="s">
        <v>5736</v>
      </c>
      <c r="B918" t="s">
        <v>5737</v>
      </c>
      <c r="C918" t="s">
        <v>12105</v>
      </c>
      <c r="E918" t="s">
        <v>12106</v>
      </c>
      <c r="F918" t="s">
        <v>12107</v>
      </c>
      <c r="G918" t="s">
        <v>12108</v>
      </c>
      <c r="H918" t="s">
        <v>12109</v>
      </c>
    </row>
    <row r="919" spans="1:8" x14ac:dyDescent="0.45">
      <c r="A919" t="s">
        <v>5736</v>
      </c>
      <c r="B919" t="s">
        <v>5737</v>
      </c>
      <c r="C919" t="s">
        <v>12105</v>
      </c>
      <c r="E919" t="s">
        <v>12106</v>
      </c>
      <c r="F919" t="s">
        <v>12110</v>
      </c>
      <c r="G919" t="s">
        <v>12108</v>
      </c>
      <c r="H919" t="s">
        <v>12111</v>
      </c>
    </row>
    <row r="920" spans="1:8" x14ac:dyDescent="0.45">
      <c r="A920" t="s">
        <v>5736</v>
      </c>
      <c r="B920" t="s">
        <v>5737</v>
      </c>
      <c r="C920" t="s">
        <v>12105</v>
      </c>
      <c r="E920" t="s">
        <v>12106</v>
      </c>
      <c r="F920" t="s">
        <v>12112</v>
      </c>
      <c r="G920" t="s">
        <v>12113</v>
      </c>
      <c r="H920" t="s">
        <v>12114</v>
      </c>
    </row>
    <row r="921" spans="1:8" x14ac:dyDescent="0.45">
      <c r="A921" t="s">
        <v>3635</v>
      </c>
      <c r="B921" t="s">
        <v>3636</v>
      </c>
      <c r="C921" t="s">
        <v>12115</v>
      </c>
      <c r="E921" t="s">
        <v>12116</v>
      </c>
      <c r="F921" t="s">
        <v>12117</v>
      </c>
      <c r="G921" t="s">
        <v>12118</v>
      </c>
      <c r="H921" t="s">
        <v>12119</v>
      </c>
    </row>
    <row r="922" spans="1:8" x14ac:dyDescent="0.45">
      <c r="A922" t="s">
        <v>7057</v>
      </c>
      <c r="B922" t="s">
        <v>7058</v>
      </c>
      <c r="C922" t="s">
        <v>12120</v>
      </c>
      <c r="E922" t="s">
        <v>12121</v>
      </c>
      <c r="F922" t="s">
        <v>12122</v>
      </c>
      <c r="G922" t="s">
        <v>12123</v>
      </c>
      <c r="H922" t="s">
        <v>12124</v>
      </c>
    </row>
    <row r="923" spans="1:8" x14ac:dyDescent="0.45">
      <c r="A923" t="s">
        <v>721</v>
      </c>
      <c r="B923" t="s">
        <v>722</v>
      </c>
      <c r="C923" t="s">
        <v>12125</v>
      </c>
    </row>
    <row r="924" spans="1:8" x14ac:dyDescent="0.45">
      <c r="A924" t="s">
        <v>855</v>
      </c>
      <c r="B924" t="s">
        <v>856</v>
      </c>
      <c r="C924" t="s">
        <v>12125</v>
      </c>
    </row>
    <row r="925" spans="1:8" x14ac:dyDescent="0.45">
      <c r="A925" t="s">
        <v>1169</v>
      </c>
      <c r="B925" t="s">
        <v>1170</v>
      </c>
      <c r="C925" t="s">
        <v>12125</v>
      </c>
    </row>
    <row r="926" spans="1:8" x14ac:dyDescent="0.45">
      <c r="A926" t="s">
        <v>1195</v>
      </c>
      <c r="B926" t="s">
        <v>1196</v>
      </c>
      <c r="C926" t="s">
        <v>12125</v>
      </c>
    </row>
    <row r="927" spans="1:8" x14ac:dyDescent="0.45">
      <c r="A927" t="s">
        <v>1286</v>
      </c>
      <c r="B927" t="s">
        <v>1287</v>
      </c>
      <c r="C927" t="s">
        <v>12125</v>
      </c>
    </row>
    <row r="928" spans="1:8" x14ac:dyDescent="0.45">
      <c r="A928" t="s">
        <v>1460</v>
      </c>
      <c r="B928" t="s">
        <v>1461</v>
      </c>
      <c r="C928" t="s">
        <v>12125</v>
      </c>
    </row>
    <row r="929" spans="1:3" x14ac:dyDescent="0.45">
      <c r="A929" t="s">
        <v>1913</v>
      </c>
      <c r="B929" t="s">
        <v>1914</v>
      </c>
      <c r="C929" t="s">
        <v>12125</v>
      </c>
    </row>
    <row r="930" spans="1:3" x14ac:dyDescent="0.45">
      <c r="A930" t="s">
        <v>1915</v>
      </c>
      <c r="B930" t="s">
        <v>1916</v>
      </c>
      <c r="C930" t="s">
        <v>12125</v>
      </c>
    </row>
    <row r="931" spans="1:3" x14ac:dyDescent="0.45">
      <c r="A931" t="s">
        <v>1928</v>
      </c>
      <c r="B931" t="s">
        <v>1929</v>
      </c>
      <c r="C931" t="s">
        <v>12125</v>
      </c>
    </row>
    <row r="932" spans="1:3" x14ac:dyDescent="0.45">
      <c r="A932" t="s">
        <v>2043</v>
      </c>
      <c r="B932" t="s">
        <v>2044</v>
      </c>
      <c r="C932" t="s">
        <v>12125</v>
      </c>
    </row>
    <row r="933" spans="1:3" x14ac:dyDescent="0.45">
      <c r="A933" t="s">
        <v>2445</v>
      </c>
      <c r="B933" t="s">
        <v>2446</v>
      </c>
      <c r="C933" t="s">
        <v>12125</v>
      </c>
    </row>
    <row r="934" spans="1:3" x14ac:dyDescent="0.45">
      <c r="A934" t="s">
        <v>2537</v>
      </c>
      <c r="B934" t="s">
        <v>2538</v>
      </c>
      <c r="C934" t="s">
        <v>12125</v>
      </c>
    </row>
    <row r="935" spans="1:3" x14ac:dyDescent="0.45">
      <c r="A935" t="s">
        <v>3199</v>
      </c>
      <c r="B935" t="s">
        <v>3200</v>
      </c>
      <c r="C935" t="s">
        <v>12125</v>
      </c>
    </row>
    <row r="936" spans="1:3" x14ac:dyDescent="0.45">
      <c r="A936" t="s">
        <v>3611</v>
      </c>
      <c r="B936" t="s">
        <v>3612</v>
      </c>
      <c r="C936" t="s">
        <v>12125</v>
      </c>
    </row>
    <row r="937" spans="1:3" x14ac:dyDescent="0.45">
      <c r="A937" t="s">
        <v>3806</v>
      </c>
      <c r="B937" t="s">
        <v>3807</v>
      </c>
      <c r="C937" t="s">
        <v>12125</v>
      </c>
    </row>
    <row r="938" spans="1:3" x14ac:dyDescent="0.45">
      <c r="A938" t="s">
        <v>3817</v>
      </c>
      <c r="B938" t="s">
        <v>3818</v>
      </c>
      <c r="C938" t="s">
        <v>12125</v>
      </c>
    </row>
    <row r="939" spans="1:3" x14ac:dyDescent="0.45">
      <c r="A939" t="s">
        <v>3836</v>
      </c>
      <c r="B939" t="s">
        <v>3837</v>
      </c>
      <c r="C939" t="s">
        <v>12125</v>
      </c>
    </row>
    <row r="940" spans="1:3" x14ac:dyDescent="0.45">
      <c r="A940" t="s">
        <v>3845</v>
      </c>
      <c r="B940" t="s">
        <v>3846</v>
      </c>
      <c r="C940" t="s">
        <v>12125</v>
      </c>
    </row>
    <row r="941" spans="1:3" x14ac:dyDescent="0.45">
      <c r="A941" t="s">
        <v>3919</v>
      </c>
      <c r="B941" t="s">
        <v>3920</v>
      </c>
      <c r="C941" t="s">
        <v>12125</v>
      </c>
    </row>
    <row r="942" spans="1:3" x14ac:dyDescent="0.45">
      <c r="A942" t="s">
        <v>3971</v>
      </c>
      <c r="B942" t="s">
        <v>3972</v>
      </c>
      <c r="C942" t="s">
        <v>12125</v>
      </c>
    </row>
    <row r="943" spans="1:3" x14ac:dyDescent="0.45">
      <c r="A943" t="s">
        <v>4063</v>
      </c>
      <c r="B943" t="s">
        <v>4064</v>
      </c>
      <c r="C943" t="s">
        <v>12125</v>
      </c>
    </row>
    <row r="944" spans="1:3" x14ac:dyDescent="0.45">
      <c r="A944" t="s">
        <v>4195</v>
      </c>
      <c r="B944" t="s">
        <v>4196</v>
      </c>
      <c r="C944" t="s">
        <v>12125</v>
      </c>
    </row>
    <row r="945" spans="1:3" x14ac:dyDescent="0.45">
      <c r="A945" t="s">
        <v>4292</v>
      </c>
      <c r="B945" t="s">
        <v>4293</v>
      </c>
      <c r="C945" t="s">
        <v>12125</v>
      </c>
    </row>
    <row r="946" spans="1:3" x14ac:dyDescent="0.45">
      <c r="A946" t="s">
        <v>4620</v>
      </c>
      <c r="B946" t="s">
        <v>4621</v>
      </c>
      <c r="C946" t="s">
        <v>12125</v>
      </c>
    </row>
    <row r="947" spans="1:3" x14ac:dyDescent="0.45">
      <c r="A947" t="s">
        <v>4705</v>
      </c>
      <c r="B947" t="s">
        <v>4706</v>
      </c>
      <c r="C947" t="s">
        <v>12125</v>
      </c>
    </row>
    <row r="948" spans="1:3" x14ac:dyDescent="0.45">
      <c r="A948" t="s">
        <v>5134</v>
      </c>
      <c r="B948" t="s">
        <v>5135</v>
      </c>
      <c r="C948" t="s">
        <v>12125</v>
      </c>
    </row>
    <row r="949" spans="1:3" x14ac:dyDescent="0.45">
      <c r="A949" t="s">
        <v>5574</v>
      </c>
      <c r="B949" t="s">
        <v>5575</v>
      </c>
      <c r="C949" t="s">
        <v>12125</v>
      </c>
    </row>
    <row r="950" spans="1:3" x14ac:dyDescent="0.45">
      <c r="A950" t="s">
        <v>5677</v>
      </c>
      <c r="B950" t="s">
        <v>5678</v>
      </c>
      <c r="C950" t="s">
        <v>12125</v>
      </c>
    </row>
    <row r="951" spans="1:3" x14ac:dyDescent="0.45">
      <c r="A951" t="s">
        <v>5866</v>
      </c>
      <c r="B951" t="s">
        <v>5867</v>
      </c>
      <c r="C951" t="s">
        <v>12125</v>
      </c>
    </row>
    <row r="952" spans="1:3" x14ac:dyDescent="0.45">
      <c r="A952" t="s">
        <v>6224</v>
      </c>
      <c r="B952" t="s">
        <v>6225</v>
      </c>
      <c r="C952" t="s">
        <v>12125</v>
      </c>
    </row>
    <row r="953" spans="1:3" x14ac:dyDescent="0.45">
      <c r="A953" t="s">
        <v>6299</v>
      </c>
      <c r="B953" t="s">
        <v>6300</v>
      </c>
      <c r="C953" t="s">
        <v>12125</v>
      </c>
    </row>
    <row r="954" spans="1:3" x14ac:dyDescent="0.45">
      <c r="A954" t="s">
        <v>6336</v>
      </c>
      <c r="B954" t="s">
        <v>6337</v>
      </c>
      <c r="C954" t="s">
        <v>12125</v>
      </c>
    </row>
    <row r="955" spans="1:3" x14ac:dyDescent="0.45">
      <c r="A955" t="s">
        <v>6991</v>
      </c>
      <c r="B955" t="s">
        <v>6992</v>
      </c>
      <c r="C955" t="s">
        <v>12125</v>
      </c>
    </row>
    <row r="956" spans="1:3" x14ac:dyDescent="0.45">
      <c r="A956" t="s">
        <v>7075</v>
      </c>
      <c r="B956" t="s">
        <v>7076</v>
      </c>
      <c r="C956" t="s">
        <v>12125</v>
      </c>
    </row>
    <row r="957" spans="1:3" x14ac:dyDescent="0.45">
      <c r="A957" t="s">
        <v>7250</v>
      </c>
      <c r="B957" t="s">
        <v>7251</v>
      </c>
      <c r="C957" t="s">
        <v>12125</v>
      </c>
    </row>
    <row r="958" spans="1:3" x14ac:dyDescent="0.45">
      <c r="A958" t="s">
        <v>7337</v>
      </c>
      <c r="B958" t="s">
        <v>7338</v>
      </c>
      <c r="C958" t="s">
        <v>12125</v>
      </c>
    </row>
    <row r="959" spans="1:3" x14ac:dyDescent="0.45">
      <c r="A959" t="s">
        <v>7809</v>
      </c>
      <c r="B959" t="s">
        <v>7810</v>
      </c>
      <c r="C959" t="s">
        <v>12125</v>
      </c>
    </row>
    <row r="960" spans="1:3" x14ac:dyDescent="0.45">
      <c r="A960" t="s">
        <v>8073</v>
      </c>
      <c r="B960" t="s">
        <v>8074</v>
      </c>
      <c r="C960" t="s">
        <v>12125</v>
      </c>
    </row>
    <row r="961" spans="1:3" x14ac:dyDescent="0.45">
      <c r="A961" t="s">
        <v>8538</v>
      </c>
      <c r="B961" t="s">
        <v>8539</v>
      </c>
      <c r="C961" t="s">
        <v>12125</v>
      </c>
    </row>
    <row r="962" spans="1:3" x14ac:dyDescent="0.45">
      <c r="A962" t="s">
        <v>8558</v>
      </c>
      <c r="B962" t="s">
        <v>8559</v>
      </c>
      <c r="C962" t="s">
        <v>12125</v>
      </c>
    </row>
    <row r="963" spans="1:3" x14ac:dyDescent="0.45">
      <c r="A963" t="s">
        <v>8866</v>
      </c>
      <c r="B963" t="s">
        <v>8867</v>
      </c>
      <c r="C963" t="s">
        <v>12125</v>
      </c>
    </row>
    <row r="964" spans="1:3" x14ac:dyDescent="0.45">
      <c r="A964" t="s">
        <v>9358</v>
      </c>
      <c r="B964" t="s">
        <v>9359</v>
      </c>
      <c r="C964" t="s">
        <v>12125</v>
      </c>
    </row>
    <row r="965" spans="1:3" x14ac:dyDescent="0.45">
      <c r="A965" t="s">
        <v>10042</v>
      </c>
      <c r="B965" t="s">
        <v>10043</v>
      </c>
      <c r="C965" t="s">
        <v>12125</v>
      </c>
    </row>
    <row r="966" spans="1:3" x14ac:dyDescent="0.45">
      <c r="A966" t="s">
        <v>10150</v>
      </c>
      <c r="B966" t="s">
        <v>10151</v>
      </c>
      <c r="C966" t="s">
        <v>12125</v>
      </c>
    </row>
    <row r="967" spans="1:3" x14ac:dyDescent="0.45">
      <c r="A967" t="s">
        <v>7157</v>
      </c>
      <c r="B967" t="s">
        <v>7158</v>
      </c>
      <c r="C967" t="s">
        <v>12126</v>
      </c>
    </row>
    <row r="968" spans="1:3" x14ac:dyDescent="0.45">
      <c r="A968" t="s">
        <v>745</v>
      </c>
      <c r="B968" t="s">
        <v>746</v>
      </c>
      <c r="C968" t="s">
        <v>12126</v>
      </c>
    </row>
    <row r="969" spans="1:3" x14ac:dyDescent="0.45">
      <c r="A969" t="s">
        <v>2982</v>
      </c>
      <c r="B969" t="s">
        <v>2983</v>
      </c>
      <c r="C969" t="s">
        <v>12126</v>
      </c>
    </row>
    <row r="970" spans="1:3" x14ac:dyDescent="0.45">
      <c r="A970" t="s">
        <v>3516</v>
      </c>
      <c r="B970" t="s">
        <v>3517</v>
      </c>
      <c r="C970" t="s">
        <v>12126</v>
      </c>
    </row>
    <row r="971" spans="1:3" x14ac:dyDescent="0.45">
      <c r="A971" t="s">
        <v>3591</v>
      </c>
      <c r="B971" t="s">
        <v>3592</v>
      </c>
      <c r="C971" t="s">
        <v>12126</v>
      </c>
    </row>
    <row r="972" spans="1:3" x14ac:dyDescent="0.45">
      <c r="A972" t="s">
        <v>3682</v>
      </c>
      <c r="B972" t="s">
        <v>3683</v>
      </c>
      <c r="C972" t="s">
        <v>12126</v>
      </c>
    </row>
    <row r="973" spans="1:3" x14ac:dyDescent="0.45">
      <c r="A973" t="s">
        <v>4370</v>
      </c>
      <c r="B973" t="s">
        <v>4371</v>
      </c>
      <c r="C973" t="s">
        <v>12126</v>
      </c>
    </row>
    <row r="974" spans="1:3" x14ac:dyDescent="0.45">
      <c r="A974" t="s">
        <v>4510</v>
      </c>
      <c r="B974" t="s">
        <v>4511</v>
      </c>
      <c r="C974" t="s">
        <v>12126</v>
      </c>
    </row>
    <row r="975" spans="1:3" x14ac:dyDescent="0.45">
      <c r="A975" t="s">
        <v>5108</v>
      </c>
      <c r="B975" t="s">
        <v>5109</v>
      </c>
      <c r="C975" t="s">
        <v>12126</v>
      </c>
    </row>
    <row r="976" spans="1:3" x14ac:dyDescent="0.45">
      <c r="A976" t="s">
        <v>5437</v>
      </c>
      <c r="B976" t="s">
        <v>5438</v>
      </c>
      <c r="C976" t="s">
        <v>12126</v>
      </c>
    </row>
    <row r="977" spans="1:8" x14ac:dyDescent="0.45">
      <c r="A977" t="s">
        <v>6766</v>
      </c>
      <c r="B977" t="s">
        <v>6767</v>
      </c>
      <c r="C977" t="s">
        <v>12126</v>
      </c>
    </row>
    <row r="978" spans="1:8" x14ac:dyDescent="0.45">
      <c r="A978" t="s">
        <v>7308</v>
      </c>
      <c r="B978" t="s">
        <v>7309</v>
      </c>
      <c r="C978" t="s">
        <v>12126</v>
      </c>
    </row>
    <row r="979" spans="1:8" x14ac:dyDescent="0.45">
      <c r="A979" t="s">
        <v>9533</v>
      </c>
      <c r="B979" t="s">
        <v>9534</v>
      </c>
      <c r="C979" t="s">
        <v>12126</v>
      </c>
    </row>
    <row r="980" spans="1:8" x14ac:dyDescent="0.45">
      <c r="A980" t="s">
        <v>9773</v>
      </c>
      <c r="B980" t="s">
        <v>9774</v>
      </c>
      <c r="C980" t="s">
        <v>12126</v>
      </c>
    </row>
    <row r="981" spans="1:8" x14ac:dyDescent="0.45">
      <c r="A981" t="s">
        <v>9962</v>
      </c>
      <c r="B981" t="s">
        <v>9963</v>
      </c>
      <c r="C981" t="s">
        <v>12126</v>
      </c>
    </row>
    <row r="982" spans="1:8" x14ac:dyDescent="0.45">
      <c r="A982" t="s">
        <v>2820</v>
      </c>
      <c r="B982" t="s">
        <v>2821</v>
      </c>
      <c r="C982" t="s">
        <v>12126</v>
      </c>
    </row>
    <row r="983" spans="1:8" x14ac:dyDescent="0.45">
      <c r="A983" t="s">
        <v>1252</v>
      </c>
      <c r="B983" t="s">
        <v>1253</v>
      </c>
      <c r="C983" t="s">
        <v>12127</v>
      </c>
    </row>
    <row r="984" spans="1:8" x14ac:dyDescent="0.45">
      <c r="A984" t="s">
        <v>9673</v>
      </c>
      <c r="B984" t="s">
        <v>9674</v>
      </c>
      <c r="C984" t="s">
        <v>12128</v>
      </c>
      <c r="E984" t="s">
        <v>12129</v>
      </c>
      <c r="F984" t="s">
        <v>12130</v>
      </c>
      <c r="G984" t="s">
        <v>12131</v>
      </c>
      <c r="H984" t="s">
        <v>12132</v>
      </c>
    </row>
    <row r="985" spans="1:8" x14ac:dyDescent="0.45">
      <c r="A985" t="s">
        <v>7751</v>
      </c>
      <c r="B985" t="s">
        <v>7752</v>
      </c>
      <c r="C985" t="s">
        <v>12133</v>
      </c>
      <c r="E985" t="s">
        <v>12134</v>
      </c>
    </row>
    <row r="986" spans="1:8" x14ac:dyDescent="0.45">
      <c r="A986" t="s">
        <v>6759</v>
      </c>
      <c r="B986" t="s">
        <v>6760</v>
      </c>
      <c r="C986" t="s">
        <v>12135</v>
      </c>
    </row>
    <row r="987" spans="1:8" x14ac:dyDescent="0.45">
      <c r="A987" t="s">
        <v>3679</v>
      </c>
      <c r="B987" t="s">
        <v>3680</v>
      </c>
      <c r="C987" t="s">
        <v>12136</v>
      </c>
      <c r="E987" t="s">
        <v>12137</v>
      </c>
    </row>
    <row r="988" spans="1:8" x14ac:dyDescent="0.45">
      <c r="A988" t="s">
        <v>3248</v>
      </c>
      <c r="B988" t="s">
        <v>3249</v>
      </c>
      <c r="C988" t="s">
        <v>12138</v>
      </c>
      <c r="E988" t="s">
        <v>12139</v>
      </c>
    </row>
    <row r="989" spans="1:8" x14ac:dyDescent="0.45">
      <c r="A989" t="s">
        <v>3252</v>
      </c>
      <c r="B989" t="s">
        <v>3253</v>
      </c>
      <c r="C989" t="s">
        <v>12138</v>
      </c>
      <c r="E989" t="s">
        <v>12139</v>
      </c>
    </row>
    <row r="990" spans="1:8" x14ac:dyDescent="0.45">
      <c r="A990" t="s">
        <v>8234</v>
      </c>
      <c r="B990" t="s">
        <v>8235</v>
      </c>
      <c r="C990" t="s">
        <v>12140</v>
      </c>
      <c r="E990" t="s">
        <v>12141</v>
      </c>
    </row>
    <row r="991" spans="1:8" x14ac:dyDescent="0.45">
      <c r="A991" t="s">
        <v>8767</v>
      </c>
      <c r="B991" t="s">
        <v>8768</v>
      </c>
      <c r="C991" t="s">
        <v>12142</v>
      </c>
      <c r="E991" t="s">
        <v>12143</v>
      </c>
    </row>
    <row r="992" spans="1:8" x14ac:dyDescent="0.45">
      <c r="A992" t="s">
        <v>2687</v>
      </c>
      <c r="B992" t="s">
        <v>2688</v>
      </c>
      <c r="C992" t="s">
        <v>12144</v>
      </c>
    </row>
    <row r="993" spans="1:5" x14ac:dyDescent="0.45">
      <c r="A993" t="s">
        <v>5940</v>
      </c>
      <c r="B993" t="s">
        <v>5941</v>
      </c>
      <c r="C993" t="s">
        <v>12145</v>
      </c>
    </row>
    <row r="994" spans="1:5" x14ac:dyDescent="0.45">
      <c r="A994" t="s">
        <v>8488</v>
      </c>
      <c r="B994" t="s">
        <v>8489</v>
      </c>
      <c r="C994" t="s">
        <v>12145</v>
      </c>
    </row>
    <row r="995" spans="1:5" x14ac:dyDescent="0.45">
      <c r="A995" t="s">
        <v>8714</v>
      </c>
      <c r="B995" t="s">
        <v>8715</v>
      </c>
      <c r="C995" t="s">
        <v>12145</v>
      </c>
    </row>
    <row r="996" spans="1:5" x14ac:dyDescent="0.45">
      <c r="A996" t="s">
        <v>1678</v>
      </c>
      <c r="B996" t="s">
        <v>1679</v>
      </c>
      <c r="C996" t="s">
        <v>12146</v>
      </c>
      <c r="E996" t="s">
        <v>12147</v>
      </c>
    </row>
    <row r="997" spans="1:5" x14ac:dyDescent="0.45">
      <c r="A997" t="s">
        <v>3505</v>
      </c>
      <c r="B997" t="s">
        <v>3506</v>
      </c>
      <c r="C997" t="s">
        <v>12146</v>
      </c>
      <c r="E997" t="s">
        <v>12147</v>
      </c>
    </row>
    <row r="998" spans="1:5" x14ac:dyDescent="0.45">
      <c r="A998" t="s">
        <v>7934</v>
      </c>
      <c r="B998" t="s">
        <v>7935</v>
      </c>
      <c r="C998" t="s">
        <v>12146</v>
      </c>
      <c r="E998" t="s">
        <v>12147</v>
      </c>
    </row>
    <row r="999" spans="1:5" x14ac:dyDescent="0.45">
      <c r="A999" t="s">
        <v>1672</v>
      </c>
      <c r="B999" t="s">
        <v>1673</v>
      </c>
      <c r="C999" t="s">
        <v>12148</v>
      </c>
      <c r="E999" t="s">
        <v>12149</v>
      </c>
    </row>
    <row r="1000" spans="1:5" x14ac:dyDescent="0.45">
      <c r="A1000" t="s">
        <v>9351</v>
      </c>
      <c r="B1000" t="s">
        <v>9352</v>
      </c>
      <c r="C1000" t="s">
        <v>12150</v>
      </c>
    </row>
    <row r="1001" spans="1:5" x14ac:dyDescent="0.45">
      <c r="A1001" t="s">
        <v>9355</v>
      </c>
      <c r="B1001" t="s">
        <v>9356</v>
      </c>
      <c r="C1001" t="s">
        <v>12150</v>
      </c>
    </row>
    <row r="1002" spans="1:5" x14ac:dyDescent="0.45">
      <c r="A1002" t="s">
        <v>269</v>
      </c>
      <c r="B1002" t="s">
        <v>270</v>
      </c>
      <c r="C1002" t="s">
        <v>12151</v>
      </c>
    </row>
    <row r="1003" spans="1:5" x14ac:dyDescent="0.45">
      <c r="A1003" t="s">
        <v>7163</v>
      </c>
      <c r="B1003" t="s">
        <v>7164</v>
      </c>
      <c r="C1003" t="s">
        <v>12152</v>
      </c>
      <c r="E1003" t="s">
        <v>12153</v>
      </c>
    </row>
    <row r="1004" spans="1:5" x14ac:dyDescent="0.45">
      <c r="A1004" t="s">
        <v>3382</v>
      </c>
      <c r="B1004" t="s">
        <v>3383</v>
      </c>
      <c r="C1004" t="s">
        <v>12154</v>
      </c>
      <c r="E1004" t="s">
        <v>12155</v>
      </c>
    </row>
    <row r="1005" spans="1:5" x14ac:dyDescent="0.45">
      <c r="A1005" t="s">
        <v>3436</v>
      </c>
      <c r="B1005" t="s">
        <v>3437</v>
      </c>
      <c r="C1005" t="s">
        <v>12156</v>
      </c>
      <c r="E1005" t="s">
        <v>12157</v>
      </c>
    </row>
    <row r="1006" spans="1:5" x14ac:dyDescent="0.45">
      <c r="A1006" t="s">
        <v>10248</v>
      </c>
      <c r="B1006" t="s">
        <v>10249</v>
      </c>
      <c r="C1006" t="s">
        <v>12158</v>
      </c>
      <c r="E1006" t="s">
        <v>12159</v>
      </c>
    </row>
    <row r="1007" spans="1:5" x14ac:dyDescent="0.45">
      <c r="A1007" t="s">
        <v>9736</v>
      </c>
      <c r="B1007" t="s">
        <v>9737</v>
      </c>
      <c r="C1007" t="s">
        <v>12160</v>
      </c>
      <c r="E1007" t="s">
        <v>12161</v>
      </c>
    </row>
    <row r="1008" spans="1:5" x14ac:dyDescent="0.45">
      <c r="A1008" t="s">
        <v>1468</v>
      </c>
      <c r="B1008" t="s">
        <v>1469</v>
      </c>
      <c r="C1008" t="s">
        <v>12162</v>
      </c>
    </row>
    <row r="1009" spans="1:8" x14ac:dyDescent="0.45">
      <c r="A1009" t="s">
        <v>2183</v>
      </c>
      <c r="B1009" t="s">
        <v>2184</v>
      </c>
      <c r="C1009" t="s">
        <v>12163</v>
      </c>
      <c r="E1009" t="s">
        <v>12164</v>
      </c>
      <c r="F1009" t="s">
        <v>12165</v>
      </c>
      <c r="G1009" t="s">
        <v>12166</v>
      </c>
      <c r="H1009" t="s">
        <v>12167</v>
      </c>
    </row>
    <row r="1010" spans="1:8" x14ac:dyDescent="0.45">
      <c r="A1010" t="s">
        <v>7588</v>
      </c>
      <c r="B1010" t="s">
        <v>7589</v>
      </c>
      <c r="C1010" t="s">
        <v>12168</v>
      </c>
      <c r="E1010" t="s">
        <v>12169</v>
      </c>
      <c r="F1010" t="s">
        <v>12170</v>
      </c>
      <c r="G1010" t="s">
        <v>12171</v>
      </c>
      <c r="H1010" t="s">
        <v>12172</v>
      </c>
    </row>
    <row r="1011" spans="1:8" x14ac:dyDescent="0.45">
      <c r="A1011" t="s">
        <v>9634</v>
      </c>
      <c r="B1011" t="s">
        <v>9635</v>
      </c>
      <c r="C1011" t="s">
        <v>12168</v>
      </c>
      <c r="E1011" t="s">
        <v>12169</v>
      </c>
      <c r="F1011" t="s">
        <v>12170</v>
      </c>
      <c r="G1011" t="s">
        <v>12171</v>
      </c>
      <c r="H1011" t="s">
        <v>12172</v>
      </c>
    </row>
    <row r="1012" spans="1:8" x14ac:dyDescent="0.45">
      <c r="A1012" t="s">
        <v>6649</v>
      </c>
      <c r="B1012" t="s">
        <v>6650</v>
      </c>
      <c r="C1012" t="s">
        <v>12173</v>
      </c>
      <c r="E1012" t="s">
        <v>12174</v>
      </c>
      <c r="F1012" t="s">
        <v>12175</v>
      </c>
      <c r="G1012" t="s">
        <v>12176</v>
      </c>
      <c r="H1012" t="s">
        <v>12177</v>
      </c>
    </row>
    <row r="1013" spans="1:8" x14ac:dyDescent="0.45">
      <c r="A1013" t="s">
        <v>6453</v>
      </c>
      <c r="B1013" t="s">
        <v>6454</v>
      </c>
      <c r="C1013" t="s">
        <v>12178</v>
      </c>
      <c r="E1013" t="s">
        <v>12179</v>
      </c>
      <c r="F1013" t="s">
        <v>12180</v>
      </c>
      <c r="G1013" t="s">
        <v>12181</v>
      </c>
      <c r="H1013" t="s">
        <v>12182</v>
      </c>
    </row>
    <row r="1014" spans="1:8" x14ac:dyDescent="0.45">
      <c r="A1014" t="s">
        <v>7157</v>
      </c>
      <c r="B1014" t="s">
        <v>7158</v>
      </c>
      <c r="C1014" t="s">
        <v>12183</v>
      </c>
      <c r="E1014" t="s">
        <v>12184</v>
      </c>
      <c r="F1014" t="s">
        <v>12185</v>
      </c>
      <c r="G1014" t="s">
        <v>12186</v>
      </c>
      <c r="H1014" t="s">
        <v>12187</v>
      </c>
    </row>
    <row r="1015" spans="1:8" x14ac:dyDescent="0.45">
      <c r="A1015" t="s">
        <v>7157</v>
      </c>
      <c r="B1015" t="s">
        <v>7158</v>
      </c>
      <c r="C1015" t="s">
        <v>12183</v>
      </c>
      <c r="E1015" t="s">
        <v>12184</v>
      </c>
      <c r="F1015" t="s">
        <v>12188</v>
      </c>
      <c r="G1015" t="s">
        <v>12189</v>
      </c>
      <c r="H1015" t="s">
        <v>11339</v>
      </c>
    </row>
    <row r="1016" spans="1:8" x14ac:dyDescent="0.45">
      <c r="A1016" t="s">
        <v>7157</v>
      </c>
      <c r="B1016" t="s">
        <v>7158</v>
      </c>
      <c r="C1016" t="s">
        <v>12183</v>
      </c>
      <c r="E1016" t="s">
        <v>12184</v>
      </c>
      <c r="F1016" t="s">
        <v>12190</v>
      </c>
      <c r="G1016" t="s">
        <v>12191</v>
      </c>
      <c r="H1016" t="s">
        <v>11394</v>
      </c>
    </row>
    <row r="1017" spans="1:8" x14ac:dyDescent="0.45">
      <c r="A1017" t="s">
        <v>7157</v>
      </c>
      <c r="B1017" t="s">
        <v>7158</v>
      </c>
      <c r="C1017" t="s">
        <v>12183</v>
      </c>
      <c r="E1017" t="s">
        <v>12184</v>
      </c>
      <c r="F1017" t="s">
        <v>12192</v>
      </c>
      <c r="G1017" t="s">
        <v>12193</v>
      </c>
      <c r="H1017" t="s">
        <v>11391</v>
      </c>
    </row>
    <row r="1018" spans="1:8" x14ac:dyDescent="0.45">
      <c r="A1018" t="s">
        <v>7157</v>
      </c>
      <c r="B1018" t="s">
        <v>7158</v>
      </c>
      <c r="C1018" t="s">
        <v>12183</v>
      </c>
      <c r="E1018" t="s">
        <v>12184</v>
      </c>
      <c r="F1018" t="s">
        <v>12194</v>
      </c>
      <c r="G1018" t="s">
        <v>12195</v>
      </c>
      <c r="H1018" t="s">
        <v>11342</v>
      </c>
    </row>
    <row r="1019" spans="1:8" x14ac:dyDescent="0.45">
      <c r="A1019" t="s">
        <v>7157</v>
      </c>
      <c r="B1019" t="s">
        <v>7158</v>
      </c>
      <c r="C1019" t="s">
        <v>12183</v>
      </c>
      <c r="E1019" t="s">
        <v>12184</v>
      </c>
      <c r="F1019" t="s">
        <v>12196</v>
      </c>
      <c r="G1019" t="s">
        <v>12197</v>
      </c>
      <c r="H1019" t="s">
        <v>11345</v>
      </c>
    </row>
    <row r="1020" spans="1:8" x14ac:dyDescent="0.45">
      <c r="A1020" t="s">
        <v>7157</v>
      </c>
      <c r="B1020" t="s">
        <v>7158</v>
      </c>
      <c r="C1020" t="s">
        <v>12183</v>
      </c>
      <c r="E1020" t="s">
        <v>12184</v>
      </c>
      <c r="F1020" t="s">
        <v>12198</v>
      </c>
      <c r="G1020" t="s">
        <v>12199</v>
      </c>
      <c r="H1020" t="s">
        <v>11360</v>
      </c>
    </row>
    <row r="1021" spans="1:8" x14ac:dyDescent="0.45">
      <c r="A1021" t="s">
        <v>7157</v>
      </c>
      <c r="B1021" t="s">
        <v>7158</v>
      </c>
      <c r="C1021" t="s">
        <v>12183</v>
      </c>
      <c r="E1021" t="s">
        <v>12184</v>
      </c>
      <c r="F1021" t="s">
        <v>12200</v>
      </c>
      <c r="G1021" t="s">
        <v>12201</v>
      </c>
      <c r="H1021" t="s">
        <v>11348</v>
      </c>
    </row>
    <row r="1022" spans="1:8" x14ac:dyDescent="0.45">
      <c r="A1022" t="s">
        <v>7157</v>
      </c>
      <c r="B1022" t="s">
        <v>7158</v>
      </c>
      <c r="C1022" t="s">
        <v>12183</v>
      </c>
      <c r="E1022" t="s">
        <v>12184</v>
      </c>
      <c r="F1022" t="s">
        <v>12202</v>
      </c>
      <c r="G1022" t="s">
        <v>12203</v>
      </c>
      <c r="H1022" t="s">
        <v>11363</v>
      </c>
    </row>
    <row r="1023" spans="1:8" x14ac:dyDescent="0.45">
      <c r="A1023" t="s">
        <v>7157</v>
      </c>
      <c r="B1023" t="s">
        <v>7158</v>
      </c>
      <c r="C1023" t="s">
        <v>12183</v>
      </c>
      <c r="E1023" t="s">
        <v>12184</v>
      </c>
      <c r="F1023" t="s">
        <v>12204</v>
      </c>
      <c r="G1023" t="s">
        <v>12205</v>
      </c>
      <c r="H1023" t="s">
        <v>11400</v>
      </c>
    </row>
    <row r="1024" spans="1:8" x14ac:dyDescent="0.45">
      <c r="A1024" t="s">
        <v>7157</v>
      </c>
      <c r="B1024" t="s">
        <v>7158</v>
      </c>
      <c r="C1024" t="s">
        <v>12183</v>
      </c>
      <c r="E1024" t="s">
        <v>12184</v>
      </c>
      <c r="F1024" t="s">
        <v>12206</v>
      </c>
      <c r="G1024" t="s">
        <v>12207</v>
      </c>
      <c r="H1024" t="s">
        <v>12208</v>
      </c>
    </row>
    <row r="1025" spans="1:8" x14ac:dyDescent="0.45">
      <c r="A1025" t="s">
        <v>7157</v>
      </c>
      <c r="B1025" t="s">
        <v>7158</v>
      </c>
      <c r="C1025" t="s">
        <v>12183</v>
      </c>
      <c r="E1025" t="s">
        <v>12184</v>
      </c>
      <c r="F1025" t="s">
        <v>12209</v>
      </c>
      <c r="G1025" t="s">
        <v>12210</v>
      </c>
      <c r="H1025" t="s">
        <v>11351</v>
      </c>
    </row>
    <row r="1026" spans="1:8" x14ac:dyDescent="0.45">
      <c r="A1026" t="s">
        <v>7157</v>
      </c>
      <c r="B1026" t="s">
        <v>7158</v>
      </c>
      <c r="C1026" t="s">
        <v>12183</v>
      </c>
      <c r="E1026" t="s">
        <v>12184</v>
      </c>
      <c r="F1026" t="s">
        <v>12211</v>
      </c>
      <c r="G1026" t="s">
        <v>12212</v>
      </c>
      <c r="H1026" t="s">
        <v>11354</v>
      </c>
    </row>
    <row r="1027" spans="1:8" x14ac:dyDescent="0.45">
      <c r="A1027" t="s">
        <v>7157</v>
      </c>
      <c r="B1027" t="s">
        <v>7158</v>
      </c>
      <c r="C1027" t="s">
        <v>12183</v>
      </c>
      <c r="E1027" t="s">
        <v>12184</v>
      </c>
      <c r="F1027" t="s">
        <v>12213</v>
      </c>
      <c r="G1027" t="s">
        <v>12214</v>
      </c>
      <c r="H1027" t="s">
        <v>11397</v>
      </c>
    </row>
    <row r="1028" spans="1:8" x14ac:dyDescent="0.45">
      <c r="A1028" t="s">
        <v>7157</v>
      </c>
      <c r="B1028" t="s">
        <v>7158</v>
      </c>
      <c r="C1028" t="s">
        <v>12183</v>
      </c>
      <c r="E1028" t="s">
        <v>12184</v>
      </c>
      <c r="F1028" t="s">
        <v>12215</v>
      </c>
      <c r="G1028" t="s">
        <v>12216</v>
      </c>
      <c r="H1028" t="s">
        <v>11357</v>
      </c>
    </row>
    <row r="1029" spans="1:8" x14ac:dyDescent="0.45">
      <c r="A1029" t="s">
        <v>4963</v>
      </c>
      <c r="B1029" t="s">
        <v>4964</v>
      </c>
      <c r="C1029" t="s">
        <v>12183</v>
      </c>
      <c r="E1029" t="s">
        <v>12184</v>
      </c>
      <c r="F1029" t="s">
        <v>12185</v>
      </c>
      <c r="G1029" t="s">
        <v>12186</v>
      </c>
      <c r="H1029" t="s">
        <v>12187</v>
      </c>
    </row>
    <row r="1030" spans="1:8" x14ac:dyDescent="0.45">
      <c r="A1030" t="s">
        <v>4963</v>
      </c>
      <c r="B1030" t="s">
        <v>4964</v>
      </c>
      <c r="C1030" t="s">
        <v>12183</v>
      </c>
      <c r="E1030" t="s">
        <v>12184</v>
      </c>
      <c r="F1030" t="s">
        <v>12188</v>
      </c>
      <c r="G1030" t="s">
        <v>12189</v>
      </c>
      <c r="H1030" t="s">
        <v>11339</v>
      </c>
    </row>
    <row r="1031" spans="1:8" x14ac:dyDescent="0.45">
      <c r="A1031" t="s">
        <v>4963</v>
      </c>
      <c r="B1031" t="s">
        <v>4964</v>
      </c>
      <c r="C1031" t="s">
        <v>12183</v>
      </c>
      <c r="E1031" t="s">
        <v>12184</v>
      </c>
      <c r="F1031" t="s">
        <v>12190</v>
      </c>
      <c r="G1031" t="s">
        <v>12191</v>
      </c>
      <c r="H1031" t="s">
        <v>11394</v>
      </c>
    </row>
    <row r="1032" spans="1:8" x14ac:dyDescent="0.45">
      <c r="A1032" t="s">
        <v>4963</v>
      </c>
      <c r="B1032" t="s">
        <v>4964</v>
      </c>
      <c r="C1032" t="s">
        <v>12183</v>
      </c>
      <c r="E1032" t="s">
        <v>12184</v>
      </c>
      <c r="F1032" t="s">
        <v>12192</v>
      </c>
      <c r="G1032" t="s">
        <v>12193</v>
      </c>
      <c r="H1032" t="s">
        <v>11391</v>
      </c>
    </row>
    <row r="1033" spans="1:8" x14ac:dyDescent="0.45">
      <c r="A1033" t="s">
        <v>4963</v>
      </c>
      <c r="B1033" t="s">
        <v>4964</v>
      </c>
      <c r="C1033" t="s">
        <v>12183</v>
      </c>
      <c r="E1033" t="s">
        <v>12184</v>
      </c>
      <c r="F1033" t="s">
        <v>12194</v>
      </c>
      <c r="G1033" t="s">
        <v>12195</v>
      </c>
      <c r="H1033" t="s">
        <v>11342</v>
      </c>
    </row>
    <row r="1034" spans="1:8" x14ac:dyDescent="0.45">
      <c r="A1034" t="s">
        <v>4963</v>
      </c>
      <c r="B1034" t="s">
        <v>4964</v>
      </c>
      <c r="C1034" t="s">
        <v>12183</v>
      </c>
      <c r="E1034" t="s">
        <v>12184</v>
      </c>
      <c r="F1034" t="s">
        <v>12196</v>
      </c>
      <c r="G1034" t="s">
        <v>12197</v>
      </c>
      <c r="H1034" t="s">
        <v>11345</v>
      </c>
    </row>
    <row r="1035" spans="1:8" x14ac:dyDescent="0.45">
      <c r="A1035" t="s">
        <v>4963</v>
      </c>
      <c r="B1035" t="s">
        <v>4964</v>
      </c>
      <c r="C1035" t="s">
        <v>12183</v>
      </c>
      <c r="E1035" t="s">
        <v>12184</v>
      </c>
      <c r="F1035" t="s">
        <v>12198</v>
      </c>
      <c r="G1035" t="s">
        <v>12199</v>
      </c>
      <c r="H1035" t="s">
        <v>11360</v>
      </c>
    </row>
    <row r="1036" spans="1:8" x14ac:dyDescent="0.45">
      <c r="A1036" t="s">
        <v>4963</v>
      </c>
      <c r="B1036" t="s">
        <v>4964</v>
      </c>
      <c r="C1036" t="s">
        <v>12183</v>
      </c>
      <c r="E1036" t="s">
        <v>12184</v>
      </c>
      <c r="F1036" t="s">
        <v>12200</v>
      </c>
      <c r="G1036" t="s">
        <v>12201</v>
      </c>
      <c r="H1036" t="s">
        <v>11348</v>
      </c>
    </row>
    <row r="1037" spans="1:8" x14ac:dyDescent="0.45">
      <c r="A1037" t="s">
        <v>4963</v>
      </c>
      <c r="B1037" t="s">
        <v>4964</v>
      </c>
      <c r="C1037" t="s">
        <v>12183</v>
      </c>
      <c r="E1037" t="s">
        <v>12184</v>
      </c>
      <c r="F1037" t="s">
        <v>12202</v>
      </c>
      <c r="G1037" t="s">
        <v>12203</v>
      </c>
      <c r="H1037" t="s">
        <v>11363</v>
      </c>
    </row>
    <row r="1038" spans="1:8" x14ac:dyDescent="0.45">
      <c r="A1038" t="s">
        <v>4963</v>
      </c>
      <c r="B1038" t="s">
        <v>4964</v>
      </c>
      <c r="C1038" t="s">
        <v>12183</v>
      </c>
      <c r="E1038" t="s">
        <v>12184</v>
      </c>
      <c r="F1038" t="s">
        <v>12204</v>
      </c>
      <c r="G1038" t="s">
        <v>12205</v>
      </c>
      <c r="H1038" t="s">
        <v>11400</v>
      </c>
    </row>
    <row r="1039" spans="1:8" x14ac:dyDescent="0.45">
      <c r="A1039" t="s">
        <v>4963</v>
      </c>
      <c r="B1039" t="s">
        <v>4964</v>
      </c>
      <c r="C1039" t="s">
        <v>12183</v>
      </c>
      <c r="E1039" t="s">
        <v>12184</v>
      </c>
      <c r="F1039" t="s">
        <v>12206</v>
      </c>
      <c r="G1039" t="s">
        <v>12207</v>
      </c>
      <c r="H1039" t="s">
        <v>12208</v>
      </c>
    </row>
    <row r="1040" spans="1:8" x14ac:dyDescent="0.45">
      <c r="A1040" t="s">
        <v>4963</v>
      </c>
      <c r="B1040" t="s">
        <v>4964</v>
      </c>
      <c r="C1040" t="s">
        <v>12183</v>
      </c>
      <c r="E1040" t="s">
        <v>12184</v>
      </c>
      <c r="F1040" t="s">
        <v>12209</v>
      </c>
      <c r="G1040" t="s">
        <v>12210</v>
      </c>
      <c r="H1040" t="s">
        <v>11351</v>
      </c>
    </row>
    <row r="1041" spans="1:8" x14ac:dyDescent="0.45">
      <c r="A1041" t="s">
        <v>4963</v>
      </c>
      <c r="B1041" t="s">
        <v>4964</v>
      </c>
      <c r="C1041" t="s">
        <v>12183</v>
      </c>
      <c r="E1041" t="s">
        <v>12184</v>
      </c>
      <c r="F1041" t="s">
        <v>12211</v>
      </c>
      <c r="G1041" t="s">
        <v>12212</v>
      </c>
      <c r="H1041" t="s">
        <v>11354</v>
      </c>
    </row>
    <row r="1042" spans="1:8" x14ac:dyDescent="0.45">
      <c r="A1042" t="s">
        <v>4963</v>
      </c>
      <c r="B1042" t="s">
        <v>4964</v>
      </c>
      <c r="C1042" t="s">
        <v>12183</v>
      </c>
      <c r="E1042" t="s">
        <v>12184</v>
      </c>
      <c r="F1042" t="s">
        <v>12213</v>
      </c>
      <c r="G1042" t="s">
        <v>12214</v>
      </c>
      <c r="H1042" t="s">
        <v>11397</v>
      </c>
    </row>
    <row r="1043" spans="1:8" x14ac:dyDescent="0.45">
      <c r="A1043" t="s">
        <v>4963</v>
      </c>
      <c r="B1043" t="s">
        <v>4964</v>
      </c>
      <c r="C1043" t="s">
        <v>12183</v>
      </c>
      <c r="E1043" t="s">
        <v>12184</v>
      </c>
      <c r="F1043" t="s">
        <v>12215</v>
      </c>
      <c r="G1043" t="s">
        <v>12216</v>
      </c>
      <c r="H1043" t="s">
        <v>11357</v>
      </c>
    </row>
    <row r="1044" spans="1:8" x14ac:dyDescent="0.45">
      <c r="A1044" t="s">
        <v>2848</v>
      </c>
      <c r="B1044" t="s">
        <v>2849</v>
      </c>
      <c r="C1044" t="s">
        <v>12217</v>
      </c>
    </row>
    <row r="1045" spans="1:8" x14ac:dyDescent="0.45">
      <c r="A1045" t="s">
        <v>7533</v>
      </c>
      <c r="B1045" t="s">
        <v>7534</v>
      </c>
      <c r="C1045" t="s">
        <v>12218</v>
      </c>
      <c r="E1045" t="s">
        <v>12219</v>
      </c>
      <c r="F1045" t="s">
        <v>12220</v>
      </c>
      <c r="G1045" t="s">
        <v>12221</v>
      </c>
      <c r="H1045" t="s">
        <v>12222</v>
      </c>
    </row>
    <row r="1046" spans="1:8" x14ac:dyDescent="0.45">
      <c r="A1046" t="s">
        <v>8198</v>
      </c>
      <c r="B1046" t="s">
        <v>8199</v>
      </c>
      <c r="C1046" t="s">
        <v>12218</v>
      </c>
      <c r="E1046" t="s">
        <v>12219</v>
      </c>
      <c r="F1046" t="s">
        <v>12220</v>
      </c>
      <c r="G1046" t="s">
        <v>12221</v>
      </c>
      <c r="H1046" t="s">
        <v>12222</v>
      </c>
    </row>
    <row r="1047" spans="1:8" x14ac:dyDescent="0.45">
      <c r="A1047" t="s">
        <v>1749</v>
      </c>
      <c r="B1047" t="s">
        <v>1750</v>
      </c>
      <c r="C1047" t="s">
        <v>12218</v>
      </c>
      <c r="E1047" t="s">
        <v>12219</v>
      </c>
      <c r="F1047" t="s">
        <v>12220</v>
      </c>
      <c r="G1047" t="s">
        <v>12221</v>
      </c>
      <c r="H1047" t="s">
        <v>12222</v>
      </c>
    </row>
    <row r="1048" spans="1:8" x14ac:dyDescent="0.45">
      <c r="A1048" t="s">
        <v>1571</v>
      </c>
      <c r="B1048" t="s">
        <v>1572</v>
      </c>
      <c r="C1048" t="s">
        <v>12218</v>
      </c>
      <c r="E1048" t="s">
        <v>12219</v>
      </c>
      <c r="F1048" t="s">
        <v>12220</v>
      </c>
      <c r="G1048" t="s">
        <v>12221</v>
      </c>
      <c r="H1048" t="s">
        <v>12222</v>
      </c>
    </row>
    <row r="1049" spans="1:8" x14ac:dyDescent="0.45">
      <c r="A1049" t="s">
        <v>4235</v>
      </c>
      <c r="B1049" t="s">
        <v>4236</v>
      </c>
      <c r="C1049" t="s">
        <v>12218</v>
      </c>
      <c r="E1049" t="s">
        <v>12219</v>
      </c>
      <c r="F1049" t="s">
        <v>12220</v>
      </c>
      <c r="G1049" t="s">
        <v>12221</v>
      </c>
      <c r="H1049" t="s">
        <v>12222</v>
      </c>
    </row>
    <row r="1050" spans="1:8" x14ac:dyDescent="0.45">
      <c r="A1050" t="s">
        <v>6112</v>
      </c>
      <c r="B1050" t="s">
        <v>6113</v>
      </c>
      <c r="C1050" t="s">
        <v>12218</v>
      </c>
      <c r="E1050" t="s">
        <v>12219</v>
      </c>
      <c r="F1050" t="s">
        <v>12220</v>
      </c>
      <c r="G1050" t="s">
        <v>12221</v>
      </c>
      <c r="H1050" t="s">
        <v>12222</v>
      </c>
    </row>
    <row r="1051" spans="1:8" x14ac:dyDescent="0.45">
      <c r="A1051" t="s">
        <v>8668</v>
      </c>
      <c r="B1051" t="s">
        <v>8669</v>
      </c>
      <c r="C1051" t="s">
        <v>12223</v>
      </c>
    </row>
    <row r="1052" spans="1:8" x14ac:dyDescent="0.45">
      <c r="A1052" t="s">
        <v>200</v>
      </c>
      <c r="B1052" t="s">
        <v>201</v>
      </c>
      <c r="C1052" t="s">
        <v>12224</v>
      </c>
    </row>
    <row r="1053" spans="1:8" x14ac:dyDescent="0.45">
      <c r="A1053" t="s">
        <v>203</v>
      </c>
      <c r="B1053" t="s">
        <v>204</v>
      </c>
      <c r="C1053" t="s">
        <v>12224</v>
      </c>
    </row>
    <row r="1054" spans="1:8" x14ac:dyDescent="0.45">
      <c r="A1054" t="s">
        <v>1315</v>
      </c>
      <c r="B1054" t="s">
        <v>1316</v>
      </c>
      <c r="C1054" t="s">
        <v>12224</v>
      </c>
    </row>
    <row r="1055" spans="1:8" x14ac:dyDescent="0.45">
      <c r="A1055" t="s">
        <v>2418</v>
      </c>
      <c r="B1055" t="s">
        <v>2419</v>
      </c>
      <c r="C1055" t="s">
        <v>12224</v>
      </c>
    </row>
    <row r="1056" spans="1:8" x14ac:dyDescent="0.45">
      <c r="A1056" t="s">
        <v>2801</v>
      </c>
      <c r="B1056" t="s">
        <v>2802</v>
      </c>
      <c r="C1056" t="s">
        <v>12224</v>
      </c>
    </row>
    <row r="1057" spans="1:8" x14ac:dyDescent="0.45">
      <c r="A1057" t="s">
        <v>6255</v>
      </c>
      <c r="B1057" t="s">
        <v>6256</v>
      </c>
      <c r="C1057" t="s">
        <v>12224</v>
      </c>
    </row>
    <row r="1058" spans="1:8" x14ac:dyDescent="0.45">
      <c r="A1058" t="s">
        <v>6264</v>
      </c>
      <c r="B1058" t="s">
        <v>6265</v>
      </c>
      <c r="C1058" t="s">
        <v>12224</v>
      </c>
    </row>
    <row r="1059" spans="1:8" x14ac:dyDescent="0.45">
      <c r="A1059" t="s">
        <v>7181</v>
      </c>
      <c r="B1059" t="s">
        <v>7182</v>
      </c>
      <c r="C1059" t="s">
        <v>12224</v>
      </c>
    </row>
    <row r="1060" spans="1:8" x14ac:dyDescent="0.45">
      <c r="A1060" t="s">
        <v>8505</v>
      </c>
      <c r="B1060" t="s">
        <v>8506</v>
      </c>
      <c r="C1060" t="s">
        <v>12224</v>
      </c>
    </row>
    <row r="1061" spans="1:8" x14ac:dyDescent="0.45">
      <c r="A1061" t="s">
        <v>8542</v>
      </c>
      <c r="B1061" t="s">
        <v>8543</v>
      </c>
      <c r="C1061" t="s">
        <v>12224</v>
      </c>
    </row>
    <row r="1062" spans="1:8" x14ac:dyDescent="0.45">
      <c r="A1062" t="s">
        <v>8587</v>
      </c>
      <c r="B1062" t="s">
        <v>8588</v>
      </c>
      <c r="C1062" t="s">
        <v>12224</v>
      </c>
    </row>
    <row r="1063" spans="1:8" x14ac:dyDescent="0.45">
      <c r="A1063" t="s">
        <v>7242</v>
      </c>
      <c r="B1063" t="s">
        <v>7243</v>
      </c>
      <c r="C1063" t="s">
        <v>12225</v>
      </c>
      <c r="E1063" t="s">
        <v>12226</v>
      </c>
      <c r="F1063" t="s">
        <v>12227</v>
      </c>
      <c r="G1063" t="s">
        <v>12228</v>
      </c>
      <c r="H1063" t="s">
        <v>12229</v>
      </c>
    </row>
    <row r="1064" spans="1:8" x14ac:dyDescent="0.45">
      <c r="A1064" t="s">
        <v>8518</v>
      </c>
      <c r="B1064" t="s">
        <v>8519</v>
      </c>
      <c r="C1064" t="s">
        <v>12225</v>
      </c>
      <c r="E1064" t="s">
        <v>12226</v>
      </c>
      <c r="F1064" t="s">
        <v>12227</v>
      </c>
      <c r="G1064" t="s">
        <v>12228</v>
      </c>
      <c r="H1064" t="s">
        <v>12229</v>
      </c>
    </row>
    <row r="1065" spans="1:8" x14ac:dyDescent="0.45">
      <c r="A1065" t="s">
        <v>1471</v>
      </c>
      <c r="B1065" t="s">
        <v>1472</v>
      </c>
      <c r="C1065" t="s">
        <v>12230</v>
      </c>
      <c r="E1065" t="s">
        <v>12231</v>
      </c>
      <c r="F1065" t="s">
        <v>12232</v>
      </c>
      <c r="G1065" t="s">
        <v>12233</v>
      </c>
      <c r="H1065" t="s">
        <v>12234</v>
      </c>
    </row>
    <row r="1066" spans="1:8" x14ac:dyDescent="0.45">
      <c r="A1066" t="s">
        <v>1471</v>
      </c>
      <c r="B1066" t="s">
        <v>1472</v>
      </c>
      <c r="C1066" t="s">
        <v>12230</v>
      </c>
      <c r="E1066" t="s">
        <v>12231</v>
      </c>
      <c r="F1066" t="s">
        <v>12235</v>
      </c>
      <c r="G1066" t="s">
        <v>12236</v>
      </c>
      <c r="H1066" t="s">
        <v>12237</v>
      </c>
    </row>
    <row r="1067" spans="1:8" x14ac:dyDescent="0.45">
      <c r="A1067" t="s">
        <v>1471</v>
      </c>
      <c r="B1067" t="s">
        <v>1472</v>
      </c>
      <c r="C1067" t="s">
        <v>12230</v>
      </c>
      <c r="E1067" t="s">
        <v>12231</v>
      </c>
      <c r="F1067" t="s">
        <v>12238</v>
      </c>
      <c r="G1067" t="s">
        <v>12236</v>
      </c>
      <c r="H1067" t="s">
        <v>12239</v>
      </c>
    </row>
    <row r="1068" spans="1:8" x14ac:dyDescent="0.45">
      <c r="A1068" t="s">
        <v>1471</v>
      </c>
      <c r="B1068" t="s">
        <v>1472</v>
      </c>
      <c r="C1068" t="s">
        <v>12230</v>
      </c>
      <c r="E1068" t="s">
        <v>12231</v>
      </c>
      <c r="F1068" t="s">
        <v>12240</v>
      </c>
      <c r="G1068" t="s">
        <v>12241</v>
      </c>
      <c r="H1068" t="s">
        <v>12242</v>
      </c>
    </row>
    <row r="1069" spans="1:8" x14ac:dyDescent="0.45">
      <c r="A1069" t="s">
        <v>1471</v>
      </c>
      <c r="B1069" t="s">
        <v>1472</v>
      </c>
      <c r="C1069" t="s">
        <v>12230</v>
      </c>
      <c r="E1069" t="s">
        <v>12231</v>
      </c>
      <c r="F1069" t="s">
        <v>12243</v>
      </c>
      <c r="G1069" t="s">
        <v>12244</v>
      </c>
      <c r="H1069" t="s">
        <v>12237</v>
      </c>
    </row>
    <row r="1070" spans="1:8" x14ac:dyDescent="0.45">
      <c r="A1070" t="s">
        <v>1471</v>
      </c>
      <c r="B1070" t="s">
        <v>1472</v>
      </c>
      <c r="C1070" t="s">
        <v>12230</v>
      </c>
      <c r="E1070" t="s">
        <v>12231</v>
      </c>
      <c r="F1070" t="s">
        <v>12245</v>
      </c>
      <c r="G1070" t="s">
        <v>12244</v>
      </c>
      <c r="H1070" t="s">
        <v>12239</v>
      </c>
    </row>
    <row r="1071" spans="1:8" x14ac:dyDescent="0.45">
      <c r="A1071" t="s">
        <v>8144</v>
      </c>
      <c r="B1071" t="s">
        <v>8145</v>
      </c>
      <c r="C1071" t="s">
        <v>12246</v>
      </c>
      <c r="E1071" t="s">
        <v>12247</v>
      </c>
      <c r="F1071" t="s">
        <v>12248</v>
      </c>
      <c r="G1071" t="s">
        <v>12249</v>
      </c>
      <c r="H1071" t="s">
        <v>12250</v>
      </c>
    </row>
    <row r="1072" spans="1:8" x14ac:dyDescent="0.45">
      <c r="A1072" t="s">
        <v>8144</v>
      </c>
      <c r="B1072" t="s">
        <v>8145</v>
      </c>
      <c r="C1072" t="s">
        <v>12246</v>
      </c>
      <c r="E1072" t="s">
        <v>12247</v>
      </c>
      <c r="F1072" t="s">
        <v>12251</v>
      </c>
      <c r="G1072" t="s">
        <v>12252</v>
      </c>
      <c r="H1072" t="s">
        <v>12250</v>
      </c>
    </row>
    <row r="1073" spans="1:8" x14ac:dyDescent="0.45">
      <c r="A1073" t="s">
        <v>8144</v>
      </c>
      <c r="B1073" t="s">
        <v>8145</v>
      </c>
      <c r="C1073" t="s">
        <v>12246</v>
      </c>
      <c r="E1073" t="s">
        <v>12247</v>
      </c>
      <c r="F1073" t="s">
        <v>12253</v>
      </c>
      <c r="G1073" t="s">
        <v>12254</v>
      </c>
      <c r="H1073" t="s">
        <v>12255</v>
      </c>
    </row>
    <row r="1074" spans="1:8" x14ac:dyDescent="0.45">
      <c r="A1074" t="s">
        <v>8144</v>
      </c>
      <c r="B1074" t="s">
        <v>8145</v>
      </c>
      <c r="C1074" t="s">
        <v>12246</v>
      </c>
      <c r="E1074" t="s">
        <v>12247</v>
      </c>
      <c r="F1074" t="s">
        <v>12256</v>
      </c>
      <c r="G1074" t="s">
        <v>12257</v>
      </c>
      <c r="H1074" t="s">
        <v>12258</v>
      </c>
    </row>
    <row r="1075" spans="1:8" x14ac:dyDescent="0.45">
      <c r="A1075" t="s">
        <v>8534</v>
      </c>
      <c r="B1075" t="s">
        <v>8535</v>
      </c>
      <c r="C1075" t="s">
        <v>12259</v>
      </c>
      <c r="E1075" t="s">
        <v>12260</v>
      </c>
      <c r="F1075" t="s">
        <v>12261</v>
      </c>
      <c r="G1075" t="s">
        <v>12262</v>
      </c>
      <c r="H1075" t="s">
        <v>12250</v>
      </c>
    </row>
    <row r="1076" spans="1:8" x14ac:dyDescent="0.45">
      <c r="A1076" t="s">
        <v>8534</v>
      </c>
      <c r="B1076" t="s">
        <v>8535</v>
      </c>
      <c r="C1076" t="s">
        <v>12259</v>
      </c>
      <c r="E1076" t="s">
        <v>12260</v>
      </c>
      <c r="F1076" t="s">
        <v>12263</v>
      </c>
      <c r="G1076" t="s">
        <v>12264</v>
      </c>
      <c r="H1076" t="s">
        <v>12250</v>
      </c>
    </row>
    <row r="1077" spans="1:8" x14ac:dyDescent="0.45">
      <c r="A1077" t="s">
        <v>4111</v>
      </c>
      <c r="B1077" t="s">
        <v>4112</v>
      </c>
      <c r="C1077" t="s">
        <v>12265</v>
      </c>
    </row>
    <row r="1078" spans="1:8" x14ac:dyDescent="0.45">
      <c r="A1078" t="s">
        <v>799</v>
      </c>
      <c r="B1078" t="s">
        <v>800</v>
      </c>
      <c r="C1078" t="s">
        <v>12265</v>
      </c>
    </row>
    <row r="1079" spans="1:8" x14ac:dyDescent="0.45">
      <c r="A1079" t="s">
        <v>7020</v>
      </c>
      <c r="B1079" t="s">
        <v>7021</v>
      </c>
      <c r="C1079" t="s">
        <v>12266</v>
      </c>
      <c r="E1079" t="s">
        <v>12267</v>
      </c>
    </row>
    <row r="1080" spans="1:8" x14ac:dyDescent="0.45">
      <c r="A1080" t="s">
        <v>7365</v>
      </c>
      <c r="B1080" t="s">
        <v>7366</v>
      </c>
      <c r="C1080" t="s">
        <v>12268</v>
      </c>
      <c r="E1080" t="s">
        <v>12269</v>
      </c>
      <c r="F1080" t="s">
        <v>12270</v>
      </c>
      <c r="G1080" t="s">
        <v>12271</v>
      </c>
      <c r="H1080" t="s">
        <v>12272</v>
      </c>
    </row>
    <row r="1081" spans="1:8" x14ac:dyDescent="0.45">
      <c r="A1081" t="s">
        <v>7365</v>
      </c>
      <c r="B1081" t="s">
        <v>7366</v>
      </c>
      <c r="C1081" t="s">
        <v>12268</v>
      </c>
      <c r="E1081" t="s">
        <v>12269</v>
      </c>
      <c r="F1081" t="s">
        <v>12273</v>
      </c>
      <c r="G1081" t="s">
        <v>12274</v>
      </c>
      <c r="H1081" t="s">
        <v>12275</v>
      </c>
    </row>
    <row r="1082" spans="1:8" x14ac:dyDescent="0.45">
      <c r="A1082" t="s">
        <v>7365</v>
      </c>
      <c r="B1082" t="s">
        <v>7366</v>
      </c>
      <c r="C1082" t="s">
        <v>12268</v>
      </c>
      <c r="E1082" t="s">
        <v>12269</v>
      </c>
      <c r="F1082" t="s">
        <v>12276</v>
      </c>
      <c r="G1082" t="s">
        <v>12277</v>
      </c>
      <c r="H1082" t="s">
        <v>12278</v>
      </c>
    </row>
    <row r="1083" spans="1:8" x14ac:dyDescent="0.45">
      <c r="A1083" t="s">
        <v>7081</v>
      </c>
      <c r="B1083" t="s">
        <v>7082</v>
      </c>
      <c r="C1083" t="s">
        <v>12279</v>
      </c>
    </row>
    <row r="1084" spans="1:8" x14ac:dyDescent="0.45">
      <c r="A1084" t="s">
        <v>583</v>
      </c>
      <c r="B1084" t="s">
        <v>584</v>
      </c>
      <c r="C1084" t="s">
        <v>12279</v>
      </c>
    </row>
    <row r="1085" spans="1:8" x14ac:dyDescent="0.45">
      <c r="A1085" t="s">
        <v>690</v>
      </c>
      <c r="B1085" t="s">
        <v>691</v>
      </c>
      <c r="C1085" t="s">
        <v>12279</v>
      </c>
    </row>
    <row r="1086" spans="1:8" x14ac:dyDescent="0.45">
      <c r="A1086" t="s">
        <v>692</v>
      </c>
      <c r="B1086" t="s">
        <v>693</v>
      </c>
      <c r="C1086" t="s">
        <v>12279</v>
      </c>
    </row>
    <row r="1087" spans="1:8" x14ac:dyDescent="0.45">
      <c r="A1087" t="s">
        <v>770</v>
      </c>
      <c r="B1087" t="s">
        <v>771</v>
      </c>
      <c r="C1087" t="s">
        <v>12279</v>
      </c>
    </row>
    <row r="1088" spans="1:8" x14ac:dyDescent="0.45">
      <c r="A1088" t="s">
        <v>773</v>
      </c>
      <c r="B1088" t="s">
        <v>774</v>
      </c>
      <c r="C1088" t="s">
        <v>12279</v>
      </c>
    </row>
    <row r="1089" spans="1:3" x14ac:dyDescent="0.45">
      <c r="A1089" t="s">
        <v>1551</v>
      </c>
      <c r="B1089" t="s">
        <v>1552</v>
      </c>
      <c r="C1089" t="s">
        <v>12279</v>
      </c>
    </row>
    <row r="1090" spans="1:3" x14ac:dyDescent="0.45">
      <c r="A1090" t="s">
        <v>1637</v>
      </c>
      <c r="B1090" t="s">
        <v>1638</v>
      </c>
      <c r="C1090" t="s">
        <v>12279</v>
      </c>
    </row>
    <row r="1091" spans="1:3" x14ac:dyDescent="0.45">
      <c r="A1091" t="s">
        <v>1648</v>
      </c>
      <c r="B1091" t="s">
        <v>1649</v>
      </c>
      <c r="C1091" t="s">
        <v>12279</v>
      </c>
    </row>
    <row r="1092" spans="1:3" x14ac:dyDescent="0.45">
      <c r="A1092" t="s">
        <v>1810</v>
      </c>
      <c r="B1092" t="s">
        <v>1811</v>
      </c>
      <c r="C1092" t="s">
        <v>12279</v>
      </c>
    </row>
    <row r="1093" spans="1:3" x14ac:dyDescent="0.45">
      <c r="A1093" t="s">
        <v>2469</v>
      </c>
      <c r="B1093" t="s">
        <v>2470</v>
      </c>
      <c r="C1093" t="s">
        <v>12279</v>
      </c>
    </row>
    <row r="1094" spans="1:3" x14ac:dyDescent="0.45">
      <c r="A1094" t="s">
        <v>3027</v>
      </c>
      <c r="B1094" t="s">
        <v>3028</v>
      </c>
      <c r="C1094" t="s">
        <v>12279</v>
      </c>
    </row>
    <row r="1095" spans="1:3" x14ac:dyDescent="0.45">
      <c r="A1095" t="s">
        <v>3521</v>
      </c>
      <c r="B1095" t="s">
        <v>3522</v>
      </c>
      <c r="C1095" t="s">
        <v>12279</v>
      </c>
    </row>
    <row r="1096" spans="1:3" x14ac:dyDescent="0.45">
      <c r="A1096" t="s">
        <v>3624</v>
      </c>
      <c r="B1096" t="s">
        <v>3625</v>
      </c>
      <c r="C1096" t="s">
        <v>12279</v>
      </c>
    </row>
    <row r="1097" spans="1:3" x14ac:dyDescent="0.45">
      <c r="A1097" t="s">
        <v>3839</v>
      </c>
      <c r="B1097" t="s">
        <v>3840</v>
      </c>
      <c r="C1097" t="s">
        <v>12279</v>
      </c>
    </row>
    <row r="1098" spans="1:3" x14ac:dyDescent="0.45">
      <c r="A1098" t="s">
        <v>3862</v>
      </c>
      <c r="B1098" t="s">
        <v>3863</v>
      </c>
      <c r="C1098" t="s">
        <v>12279</v>
      </c>
    </row>
    <row r="1099" spans="1:3" x14ac:dyDescent="0.45">
      <c r="A1099" t="s">
        <v>4060</v>
      </c>
      <c r="B1099" t="s">
        <v>4061</v>
      </c>
      <c r="C1099" t="s">
        <v>12279</v>
      </c>
    </row>
    <row r="1100" spans="1:3" x14ac:dyDescent="0.45">
      <c r="A1100" t="s">
        <v>4307</v>
      </c>
      <c r="B1100" t="s">
        <v>4308</v>
      </c>
      <c r="C1100" t="s">
        <v>12279</v>
      </c>
    </row>
    <row r="1101" spans="1:3" x14ac:dyDescent="0.45">
      <c r="A1101" t="s">
        <v>5793</v>
      </c>
      <c r="B1101" t="s">
        <v>5794</v>
      </c>
      <c r="C1101" t="s">
        <v>12279</v>
      </c>
    </row>
    <row r="1102" spans="1:3" x14ac:dyDescent="0.45">
      <c r="A1102" t="s">
        <v>6138</v>
      </c>
      <c r="B1102" t="s">
        <v>6139</v>
      </c>
      <c r="C1102" t="s">
        <v>12279</v>
      </c>
    </row>
    <row r="1103" spans="1:3" x14ac:dyDescent="0.45">
      <c r="A1103" t="s">
        <v>6441</v>
      </c>
      <c r="B1103" t="s">
        <v>6442</v>
      </c>
      <c r="C1103" t="s">
        <v>12279</v>
      </c>
    </row>
    <row r="1104" spans="1:3" x14ac:dyDescent="0.45">
      <c r="A1104" t="s">
        <v>6487</v>
      </c>
      <c r="B1104" t="s">
        <v>6488</v>
      </c>
      <c r="C1104" t="s">
        <v>12279</v>
      </c>
    </row>
    <row r="1105" spans="1:3" x14ac:dyDescent="0.45">
      <c r="A1105" t="s">
        <v>6615</v>
      </c>
      <c r="B1105" t="s">
        <v>6616</v>
      </c>
      <c r="C1105" t="s">
        <v>12279</v>
      </c>
    </row>
    <row r="1106" spans="1:3" x14ac:dyDescent="0.45">
      <c r="A1106" t="s">
        <v>6645</v>
      </c>
      <c r="B1106" t="s">
        <v>6646</v>
      </c>
      <c r="C1106" t="s">
        <v>12279</v>
      </c>
    </row>
    <row r="1107" spans="1:3" x14ac:dyDescent="0.45">
      <c r="A1107" t="s">
        <v>6741</v>
      </c>
      <c r="B1107" t="s">
        <v>6742</v>
      </c>
      <c r="C1107" t="s">
        <v>12279</v>
      </c>
    </row>
    <row r="1108" spans="1:3" x14ac:dyDescent="0.45">
      <c r="A1108" t="s">
        <v>6748</v>
      </c>
      <c r="B1108" t="s">
        <v>6749</v>
      </c>
      <c r="C1108" t="s">
        <v>12279</v>
      </c>
    </row>
    <row r="1109" spans="1:3" x14ac:dyDescent="0.45">
      <c r="A1109" t="s">
        <v>6777</v>
      </c>
      <c r="B1109" t="s">
        <v>6778</v>
      </c>
      <c r="C1109" t="s">
        <v>12279</v>
      </c>
    </row>
    <row r="1110" spans="1:3" x14ac:dyDescent="0.45">
      <c r="A1110" t="s">
        <v>7066</v>
      </c>
      <c r="B1110" t="s">
        <v>7067</v>
      </c>
      <c r="C1110" t="s">
        <v>12279</v>
      </c>
    </row>
    <row r="1111" spans="1:3" x14ac:dyDescent="0.45">
      <c r="A1111" t="s">
        <v>7369</v>
      </c>
      <c r="B1111" t="s">
        <v>7370</v>
      </c>
      <c r="C1111" t="s">
        <v>12279</v>
      </c>
    </row>
    <row r="1112" spans="1:3" x14ac:dyDescent="0.45">
      <c r="A1112" t="s">
        <v>7420</v>
      </c>
      <c r="B1112" t="s">
        <v>7421</v>
      </c>
      <c r="C1112" t="s">
        <v>12279</v>
      </c>
    </row>
    <row r="1113" spans="1:3" x14ac:dyDescent="0.45">
      <c r="A1113" t="s">
        <v>7819</v>
      </c>
      <c r="B1113" t="s">
        <v>7820</v>
      </c>
      <c r="C1113" t="s">
        <v>12279</v>
      </c>
    </row>
    <row r="1114" spans="1:3" x14ac:dyDescent="0.45">
      <c r="A1114" t="s">
        <v>8104</v>
      </c>
      <c r="B1114" t="s">
        <v>8105</v>
      </c>
      <c r="C1114" t="s">
        <v>12279</v>
      </c>
    </row>
    <row r="1115" spans="1:3" x14ac:dyDescent="0.45">
      <c r="A1115" t="s">
        <v>8106</v>
      </c>
      <c r="B1115" t="s">
        <v>8107</v>
      </c>
      <c r="C1115" t="s">
        <v>12279</v>
      </c>
    </row>
    <row r="1116" spans="1:3" x14ac:dyDescent="0.45">
      <c r="A1116" t="s">
        <v>9023</v>
      </c>
      <c r="B1116" t="s">
        <v>9024</v>
      </c>
      <c r="C1116" t="s">
        <v>12279</v>
      </c>
    </row>
    <row r="1117" spans="1:3" x14ac:dyDescent="0.45">
      <c r="A1117" t="s">
        <v>9876</v>
      </c>
      <c r="B1117" t="s">
        <v>9877</v>
      </c>
      <c r="C1117" t="s">
        <v>12279</v>
      </c>
    </row>
    <row r="1118" spans="1:3" x14ac:dyDescent="0.45">
      <c r="A1118" t="s">
        <v>10038</v>
      </c>
      <c r="B1118" t="s">
        <v>10039</v>
      </c>
      <c r="C1118" t="s">
        <v>12279</v>
      </c>
    </row>
    <row r="1119" spans="1:3" x14ac:dyDescent="0.45">
      <c r="A1119" t="s">
        <v>2924</v>
      </c>
      <c r="B1119" t="s">
        <v>2925</v>
      </c>
      <c r="C1119" t="s">
        <v>12280</v>
      </c>
    </row>
    <row r="1120" spans="1:3" x14ac:dyDescent="0.45">
      <c r="A1120" t="s">
        <v>6429</v>
      </c>
      <c r="B1120" t="s">
        <v>6430</v>
      </c>
      <c r="C1120" t="s">
        <v>12280</v>
      </c>
    </row>
    <row r="1121" spans="1:8" x14ac:dyDescent="0.45">
      <c r="A1121" t="s">
        <v>9462</v>
      </c>
      <c r="B1121" t="s">
        <v>9463</v>
      </c>
      <c r="C1121" t="s">
        <v>12280</v>
      </c>
    </row>
    <row r="1122" spans="1:8" x14ac:dyDescent="0.45">
      <c r="A1122" t="s">
        <v>10153</v>
      </c>
      <c r="B1122" t="s">
        <v>10154</v>
      </c>
      <c r="C1122" t="s">
        <v>12280</v>
      </c>
    </row>
    <row r="1123" spans="1:8" x14ac:dyDescent="0.45">
      <c r="A1123" t="s">
        <v>3547</v>
      </c>
      <c r="B1123" t="s">
        <v>3548</v>
      </c>
      <c r="C1123" t="s">
        <v>12281</v>
      </c>
      <c r="E1123" t="s">
        <v>12282</v>
      </c>
      <c r="F1123" t="s">
        <v>12283</v>
      </c>
      <c r="G1123" t="s">
        <v>12284</v>
      </c>
      <c r="H1123" t="s">
        <v>12285</v>
      </c>
    </row>
    <row r="1124" spans="1:8" x14ac:dyDescent="0.45">
      <c r="A1124" t="s">
        <v>3547</v>
      </c>
      <c r="B1124" t="s">
        <v>3548</v>
      </c>
      <c r="C1124" t="s">
        <v>12281</v>
      </c>
      <c r="E1124" t="s">
        <v>12282</v>
      </c>
      <c r="F1124" t="s">
        <v>12286</v>
      </c>
      <c r="G1124" t="s">
        <v>12287</v>
      </c>
      <c r="H1124" t="s">
        <v>12288</v>
      </c>
    </row>
    <row r="1125" spans="1:8" x14ac:dyDescent="0.45">
      <c r="A1125" t="s">
        <v>445</v>
      </c>
      <c r="B1125" t="s">
        <v>446</v>
      </c>
      <c r="C1125" t="s">
        <v>12289</v>
      </c>
      <c r="E1125" t="s">
        <v>12290</v>
      </c>
    </row>
    <row r="1126" spans="1:8" x14ac:dyDescent="0.45">
      <c r="A1126" t="s">
        <v>4580</v>
      </c>
      <c r="B1126" t="s">
        <v>4581</v>
      </c>
      <c r="C1126" t="s">
        <v>12289</v>
      </c>
      <c r="E1126" t="s">
        <v>12290</v>
      </c>
    </row>
    <row r="1127" spans="1:8" x14ac:dyDescent="0.45">
      <c r="A1127" t="s">
        <v>2841</v>
      </c>
      <c r="B1127" t="s">
        <v>2842</v>
      </c>
      <c r="C1127" t="s">
        <v>12291</v>
      </c>
      <c r="E1127" t="s">
        <v>12292</v>
      </c>
    </row>
    <row r="1128" spans="1:8" x14ac:dyDescent="0.45">
      <c r="A1128" t="s">
        <v>8394</v>
      </c>
      <c r="B1128" t="s">
        <v>8395</v>
      </c>
      <c r="C1128" t="s">
        <v>12293</v>
      </c>
      <c r="E1128" t="s">
        <v>12294</v>
      </c>
      <c r="F1128" t="s">
        <v>12295</v>
      </c>
      <c r="G1128" t="s">
        <v>12296</v>
      </c>
      <c r="H1128" t="s">
        <v>12297</v>
      </c>
    </row>
    <row r="1129" spans="1:8" x14ac:dyDescent="0.45">
      <c r="A1129" t="s">
        <v>7030</v>
      </c>
      <c r="B1129" t="s">
        <v>7031</v>
      </c>
      <c r="C1129" t="s">
        <v>12298</v>
      </c>
      <c r="E1129" t="s">
        <v>12299</v>
      </c>
    </row>
    <row r="1130" spans="1:8" x14ac:dyDescent="0.45">
      <c r="A1130" t="s">
        <v>9453</v>
      </c>
      <c r="B1130" t="s">
        <v>9454</v>
      </c>
      <c r="C1130" t="s">
        <v>12298</v>
      </c>
      <c r="E1130" t="s">
        <v>12299</v>
      </c>
    </row>
    <row r="1131" spans="1:8" x14ac:dyDescent="0.45">
      <c r="A1131" t="s">
        <v>632</v>
      </c>
      <c r="B1131" t="s">
        <v>633</v>
      </c>
      <c r="C1131" t="s">
        <v>12300</v>
      </c>
    </row>
    <row r="1132" spans="1:8" x14ac:dyDescent="0.45">
      <c r="A1132" t="s">
        <v>4713</v>
      </c>
      <c r="B1132" t="s">
        <v>4714</v>
      </c>
      <c r="C1132" t="s">
        <v>12300</v>
      </c>
    </row>
    <row r="1133" spans="1:8" x14ac:dyDescent="0.45">
      <c r="A1133" t="s">
        <v>5693</v>
      </c>
      <c r="B1133" t="s">
        <v>5694</v>
      </c>
      <c r="C1133" t="s">
        <v>12300</v>
      </c>
    </row>
    <row r="1134" spans="1:8" x14ac:dyDescent="0.45">
      <c r="A1134" t="s">
        <v>8084</v>
      </c>
      <c r="B1134" t="s">
        <v>8085</v>
      </c>
      <c r="C1134" t="s">
        <v>12300</v>
      </c>
    </row>
    <row r="1135" spans="1:8" x14ac:dyDescent="0.45">
      <c r="A1135" t="s">
        <v>9878</v>
      </c>
      <c r="B1135" t="s">
        <v>9879</v>
      </c>
      <c r="C1135" t="s">
        <v>12300</v>
      </c>
    </row>
    <row r="1136" spans="1:8" x14ac:dyDescent="0.45">
      <c r="A1136" t="s">
        <v>3326</v>
      </c>
      <c r="B1136" t="s">
        <v>3327</v>
      </c>
      <c r="C1136" t="s">
        <v>12301</v>
      </c>
      <c r="E1136" t="s">
        <v>12302</v>
      </c>
    </row>
    <row r="1137" spans="1:5" x14ac:dyDescent="0.45">
      <c r="A1137" t="s">
        <v>7081</v>
      </c>
      <c r="B1137" t="s">
        <v>7082</v>
      </c>
      <c r="C1137" t="s">
        <v>12303</v>
      </c>
    </row>
    <row r="1138" spans="1:5" x14ac:dyDescent="0.45">
      <c r="A1138" t="s">
        <v>9957</v>
      </c>
      <c r="B1138" t="s">
        <v>9958</v>
      </c>
      <c r="C1138" t="s">
        <v>12303</v>
      </c>
    </row>
    <row r="1139" spans="1:5" x14ac:dyDescent="0.45">
      <c r="A1139" t="s">
        <v>4793</v>
      </c>
      <c r="B1139" t="s">
        <v>4794</v>
      </c>
      <c r="C1139" t="s">
        <v>12304</v>
      </c>
      <c r="E1139" t="s">
        <v>12305</v>
      </c>
    </row>
    <row r="1140" spans="1:5" x14ac:dyDescent="0.45">
      <c r="A1140" t="s">
        <v>6396</v>
      </c>
      <c r="B1140" t="s">
        <v>6397</v>
      </c>
      <c r="C1140" t="s">
        <v>12306</v>
      </c>
    </row>
    <row r="1141" spans="1:5" x14ac:dyDescent="0.45">
      <c r="A1141" t="s">
        <v>9519</v>
      </c>
      <c r="B1141" t="s">
        <v>9520</v>
      </c>
      <c r="C1141" t="s">
        <v>12306</v>
      </c>
    </row>
    <row r="1142" spans="1:5" x14ac:dyDescent="0.45">
      <c r="A1142" t="s">
        <v>9154</v>
      </c>
      <c r="B1142" t="s">
        <v>9155</v>
      </c>
      <c r="C1142" t="s">
        <v>12307</v>
      </c>
      <c r="E1142" t="s">
        <v>12308</v>
      </c>
    </row>
    <row r="1143" spans="1:5" x14ac:dyDescent="0.45">
      <c r="A1143" t="s">
        <v>5592</v>
      </c>
      <c r="B1143" t="s">
        <v>5593</v>
      </c>
      <c r="C1143" t="s">
        <v>12309</v>
      </c>
      <c r="E1143" t="s">
        <v>12310</v>
      </c>
    </row>
    <row r="1144" spans="1:5" x14ac:dyDescent="0.45">
      <c r="A1144" t="s">
        <v>1655</v>
      </c>
      <c r="B1144" t="s">
        <v>1656</v>
      </c>
      <c r="C1144" t="s">
        <v>12311</v>
      </c>
      <c r="E1144" t="s">
        <v>12312</v>
      </c>
    </row>
    <row r="1145" spans="1:5" x14ac:dyDescent="0.45">
      <c r="A1145" t="s">
        <v>1657</v>
      </c>
      <c r="B1145" t="s">
        <v>1658</v>
      </c>
      <c r="C1145" t="s">
        <v>12311</v>
      </c>
      <c r="E1145" t="s">
        <v>12312</v>
      </c>
    </row>
    <row r="1146" spans="1:5" x14ac:dyDescent="0.45">
      <c r="A1146" t="s">
        <v>3652</v>
      </c>
      <c r="B1146" t="s">
        <v>3653</v>
      </c>
      <c r="C1146" t="s">
        <v>12311</v>
      </c>
      <c r="E1146" t="s">
        <v>12312</v>
      </c>
    </row>
    <row r="1147" spans="1:5" x14ac:dyDescent="0.45">
      <c r="A1147" t="s">
        <v>9166</v>
      </c>
      <c r="B1147" t="s">
        <v>9167</v>
      </c>
      <c r="C1147" t="s">
        <v>12313</v>
      </c>
      <c r="E1147" t="s">
        <v>12314</v>
      </c>
    </row>
    <row r="1148" spans="1:5" x14ac:dyDescent="0.45">
      <c r="A1148" t="s">
        <v>9248</v>
      </c>
      <c r="B1148" t="s">
        <v>9249</v>
      </c>
      <c r="C1148" t="s">
        <v>12313</v>
      </c>
      <c r="E1148" t="s">
        <v>12314</v>
      </c>
    </row>
    <row r="1149" spans="1:5" x14ac:dyDescent="0.45">
      <c r="A1149" t="s">
        <v>3114</v>
      </c>
      <c r="B1149" t="s">
        <v>3115</v>
      </c>
      <c r="C1149" t="s">
        <v>12315</v>
      </c>
    </row>
    <row r="1150" spans="1:5" x14ac:dyDescent="0.45">
      <c r="A1150" t="s">
        <v>4703</v>
      </c>
      <c r="B1150" t="s">
        <v>4704</v>
      </c>
      <c r="C1150" t="s">
        <v>12315</v>
      </c>
    </row>
    <row r="1151" spans="1:5" x14ac:dyDescent="0.45">
      <c r="A1151" t="s">
        <v>7335</v>
      </c>
      <c r="B1151" t="s">
        <v>7336</v>
      </c>
      <c r="C1151" t="s">
        <v>12316</v>
      </c>
      <c r="E1151" t="s">
        <v>12317</v>
      </c>
    </row>
    <row r="1152" spans="1:5" x14ac:dyDescent="0.45">
      <c r="A1152" t="s">
        <v>9676</v>
      </c>
      <c r="B1152" t="s">
        <v>9677</v>
      </c>
      <c r="C1152" t="s">
        <v>12318</v>
      </c>
      <c r="E1152" t="s">
        <v>12319</v>
      </c>
    </row>
    <row r="1153" spans="1:8" x14ac:dyDescent="0.45">
      <c r="A1153" t="s">
        <v>9678</v>
      </c>
      <c r="B1153" t="s">
        <v>9679</v>
      </c>
      <c r="C1153" t="s">
        <v>12318</v>
      </c>
      <c r="E1153" t="s">
        <v>12319</v>
      </c>
    </row>
    <row r="1154" spans="1:8" x14ac:dyDescent="0.45">
      <c r="A1154" t="s">
        <v>2019</v>
      </c>
      <c r="B1154" t="s">
        <v>2020</v>
      </c>
      <c r="C1154" t="s">
        <v>12320</v>
      </c>
    </row>
    <row r="1155" spans="1:8" x14ac:dyDescent="0.45">
      <c r="A1155" t="s">
        <v>3529</v>
      </c>
      <c r="B1155" t="s">
        <v>3530</v>
      </c>
      <c r="C1155" t="s">
        <v>12320</v>
      </c>
    </row>
    <row r="1156" spans="1:8" x14ac:dyDescent="0.45">
      <c r="A1156" t="s">
        <v>4583</v>
      </c>
      <c r="B1156" t="s">
        <v>4584</v>
      </c>
      <c r="C1156" t="s">
        <v>12320</v>
      </c>
    </row>
    <row r="1157" spans="1:8" x14ac:dyDescent="0.45">
      <c r="A1157" t="s">
        <v>6989</v>
      </c>
      <c r="B1157" t="s">
        <v>6990</v>
      </c>
      <c r="C1157" t="s">
        <v>12321</v>
      </c>
      <c r="E1157" t="s">
        <v>12322</v>
      </c>
    </row>
    <row r="1158" spans="1:8" x14ac:dyDescent="0.45">
      <c r="A1158" t="s">
        <v>1831</v>
      </c>
      <c r="B1158" t="s">
        <v>1832</v>
      </c>
      <c r="C1158" t="s">
        <v>12323</v>
      </c>
    </row>
    <row r="1159" spans="1:8" x14ac:dyDescent="0.45">
      <c r="A1159" t="s">
        <v>1524</v>
      </c>
      <c r="B1159" t="s">
        <v>1525</v>
      </c>
      <c r="C1159" t="s">
        <v>12324</v>
      </c>
    </row>
    <row r="1160" spans="1:8" x14ac:dyDescent="0.45">
      <c r="A1160" t="s">
        <v>5687</v>
      </c>
      <c r="B1160" t="s">
        <v>5688</v>
      </c>
      <c r="C1160" t="s">
        <v>12324</v>
      </c>
    </row>
    <row r="1161" spans="1:8" x14ac:dyDescent="0.45">
      <c r="A1161" t="s">
        <v>7643</v>
      </c>
      <c r="B1161" t="s">
        <v>7644</v>
      </c>
      <c r="C1161" t="s">
        <v>12324</v>
      </c>
    </row>
    <row r="1162" spans="1:8" x14ac:dyDescent="0.45">
      <c r="A1162" t="s">
        <v>8029</v>
      </c>
      <c r="B1162" t="s">
        <v>8030</v>
      </c>
      <c r="C1162" t="s">
        <v>12324</v>
      </c>
    </row>
    <row r="1163" spans="1:8" x14ac:dyDescent="0.45">
      <c r="A1163" t="s">
        <v>2000</v>
      </c>
      <c r="B1163" t="s">
        <v>2001</v>
      </c>
      <c r="C1163" t="s">
        <v>12325</v>
      </c>
    </row>
    <row r="1164" spans="1:8" x14ac:dyDescent="0.45">
      <c r="A1164" t="s">
        <v>7800</v>
      </c>
      <c r="B1164" t="s">
        <v>7801</v>
      </c>
      <c r="C1164" t="s">
        <v>12325</v>
      </c>
    </row>
    <row r="1165" spans="1:8" x14ac:dyDescent="0.45">
      <c r="A1165" t="s">
        <v>7873</v>
      </c>
      <c r="B1165" t="s">
        <v>7874</v>
      </c>
      <c r="C1165" t="s">
        <v>12325</v>
      </c>
    </row>
    <row r="1166" spans="1:8" x14ac:dyDescent="0.45">
      <c r="A1166" t="s">
        <v>8078</v>
      </c>
      <c r="B1166" t="s">
        <v>8079</v>
      </c>
      <c r="C1166" t="s">
        <v>12325</v>
      </c>
    </row>
    <row r="1167" spans="1:8" x14ac:dyDescent="0.45">
      <c r="A1167" t="s">
        <v>8826</v>
      </c>
      <c r="B1167" t="s">
        <v>8827</v>
      </c>
      <c r="C1167" t="s">
        <v>12325</v>
      </c>
    </row>
    <row r="1168" spans="1:8" x14ac:dyDescent="0.45">
      <c r="A1168" t="s">
        <v>7110</v>
      </c>
      <c r="B1168" t="s">
        <v>7111</v>
      </c>
      <c r="C1168" t="s">
        <v>12326</v>
      </c>
      <c r="E1168" t="s">
        <v>12327</v>
      </c>
      <c r="F1168" t="s">
        <v>12328</v>
      </c>
      <c r="G1168" t="s">
        <v>12329</v>
      </c>
      <c r="H1168" t="s">
        <v>12330</v>
      </c>
    </row>
    <row r="1169" spans="1:8" x14ac:dyDescent="0.45">
      <c r="A1169" t="s">
        <v>7110</v>
      </c>
      <c r="B1169" t="s">
        <v>7111</v>
      </c>
      <c r="C1169" t="s">
        <v>12326</v>
      </c>
      <c r="E1169" t="s">
        <v>12327</v>
      </c>
      <c r="F1169" t="s">
        <v>12331</v>
      </c>
      <c r="G1169" t="s">
        <v>12332</v>
      </c>
      <c r="H1169" t="s">
        <v>12333</v>
      </c>
    </row>
    <row r="1170" spans="1:8" x14ac:dyDescent="0.45">
      <c r="A1170" t="s">
        <v>8141</v>
      </c>
      <c r="B1170" t="s">
        <v>8142</v>
      </c>
      <c r="C1170" t="s">
        <v>12334</v>
      </c>
      <c r="E1170" t="s">
        <v>12335</v>
      </c>
      <c r="F1170" t="s">
        <v>12336</v>
      </c>
      <c r="G1170" t="s">
        <v>12337</v>
      </c>
      <c r="H1170" t="s">
        <v>12338</v>
      </c>
    </row>
    <row r="1171" spans="1:8" x14ac:dyDescent="0.45">
      <c r="A1171" t="s">
        <v>1667</v>
      </c>
      <c r="B1171" t="s">
        <v>1668</v>
      </c>
      <c r="C1171" t="s">
        <v>12339</v>
      </c>
      <c r="E1171" t="s">
        <v>12340</v>
      </c>
      <c r="F1171" t="s">
        <v>10767</v>
      </c>
      <c r="G1171" t="s">
        <v>10768</v>
      </c>
      <c r="H1171" t="s">
        <v>10769</v>
      </c>
    </row>
    <row r="1172" spans="1:8" x14ac:dyDescent="0.45">
      <c r="A1172" t="s">
        <v>1667</v>
      </c>
      <c r="B1172" t="s">
        <v>1668</v>
      </c>
      <c r="C1172" t="s">
        <v>12339</v>
      </c>
      <c r="E1172" t="s">
        <v>12340</v>
      </c>
      <c r="F1172" t="s">
        <v>12341</v>
      </c>
      <c r="G1172" t="s">
        <v>12342</v>
      </c>
      <c r="H1172" t="s">
        <v>12343</v>
      </c>
    </row>
    <row r="1173" spans="1:8" x14ac:dyDescent="0.45">
      <c r="A1173" t="s">
        <v>1667</v>
      </c>
      <c r="B1173" t="s">
        <v>1668</v>
      </c>
      <c r="C1173" t="s">
        <v>12339</v>
      </c>
      <c r="E1173" t="s">
        <v>12340</v>
      </c>
      <c r="F1173" t="s">
        <v>12331</v>
      </c>
      <c r="G1173" t="s">
        <v>12332</v>
      </c>
      <c r="H1173" t="s">
        <v>12333</v>
      </c>
    </row>
    <row r="1174" spans="1:8" x14ac:dyDescent="0.45">
      <c r="A1174" t="s">
        <v>2738</v>
      </c>
      <c r="B1174" t="s">
        <v>2739</v>
      </c>
      <c r="C1174" t="s">
        <v>12344</v>
      </c>
      <c r="E1174" t="s">
        <v>12345</v>
      </c>
      <c r="F1174" t="s">
        <v>12346</v>
      </c>
      <c r="G1174" t="s">
        <v>12347</v>
      </c>
      <c r="H1174" t="s">
        <v>12348</v>
      </c>
    </row>
    <row r="1175" spans="1:8" x14ac:dyDescent="0.45">
      <c r="A1175" t="s">
        <v>9477</v>
      </c>
      <c r="B1175" t="s">
        <v>9478</v>
      </c>
      <c r="C1175" t="s">
        <v>12344</v>
      </c>
      <c r="E1175" t="s">
        <v>12345</v>
      </c>
      <c r="F1175" t="s">
        <v>12346</v>
      </c>
      <c r="G1175" t="s">
        <v>12347</v>
      </c>
      <c r="H1175" t="s">
        <v>12348</v>
      </c>
    </row>
    <row r="1176" spans="1:8" x14ac:dyDescent="0.45">
      <c r="A1176" t="s">
        <v>499</v>
      </c>
      <c r="B1176" t="s">
        <v>500</v>
      </c>
      <c r="C1176" t="s">
        <v>12349</v>
      </c>
      <c r="E1176" t="s">
        <v>12350</v>
      </c>
      <c r="F1176" t="s">
        <v>12351</v>
      </c>
      <c r="G1176" t="s">
        <v>12352</v>
      </c>
      <c r="H1176" t="s">
        <v>12353</v>
      </c>
    </row>
    <row r="1177" spans="1:8" x14ac:dyDescent="0.45">
      <c r="A1177" t="s">
        <v>2332</v>
      </c>
      <c r="B1177" t="s">
        <v>2333</v>
      </c>
      <c r="C1177" t="s">
        <v>12349</v>
      </c>
      <c r="E1177" t="s">
        <v>12350</v>
      </c>
      <c r="F1177" t="s">
        <v>12351</v>
      </c>
      <c r="G1177" t="s">
        <v>12352</v>
      </c>
      <c r="H1177" t="s">
        <v>12353</v>
      </c>
    </row>
    <row r="1178" spans="1:8" x14ac:dyDescent="0.45">
      <c r="A1178" t="s">
        <v>2807</v>
      </c>
      <c r="B1178" t="s">
        <v>2808</v>
      </c>
      <c r="C1178" t="s">
        <v>12349</v>
      </c>
      <c r="E1178" t="s">
        <v>12350</v>
      </c>
      <c r="F1178" t="s">
        <v>12351</v>
      </c>
      <c r="G1178" t="s">
        <v>12352</v>
      </c>
      <c r="H1178" t="s">
        <v>12353</v>
      </c>
    </row>
    <row r="1179" spans="1:8" x14ac:dyDescent="0.45">
      <c r="A1179" t="s">
        <v>2809</v>
      </c>
      <c r="B1179" t="s">
        <v>2810</v>
      </c>
      <c r="C1179" t="s">
        <v>12349</v>
      </c>
      <c r="E1179" t="s">
        <v>12350</v>
      </c>
      <c r="F1179" t="s">
        <v>12351</v>
      </c>
      <c r="G1179" t="s">
        <v>12352</v>
      </c>
      <c r="H1179" t="s">
        <v>12353</v>
      </c>
    </row>
    <row r="1180" spans="1:8" x14ac:dyDescent="0.45">
      <c r="A1180" t="s">
        <v>4481</v>
      </c>
      <c r="B1180" t="s">
        <v>4482</v>
      </c>
      <c r="C1180" t="s">
        <v>12349</v>
      </c>
      <c r="E1180" t="s">
        <v>12350</v>
      </c>
      <c r="F1180" t="s">
        <v>12351</v>
      </c>
      <c r="G1180" t="s">
        <v>12352</v>
      </c>
      <c r="H1180" t="s">
        <v>12353</v>
      </c>
    </row>
    <row r="1181" spans="1:8" x14ac:dyDescent="0.45">
      <c r="A1181" t="s">
        <v>6245</v>
      </c>
      <c r="B1181" t="s">
        <v>6246</v>
      </c>
      <c r="C1181" t="s">
        <v>12349</v>
      </c>
      <c r="E1181" t="s">
        <v>12350</v>
      </c>
      <c r="F1181" t="s">
        <v>12351</v>
      </c>
      <c r="G1181" t="s">
        <v>12352</v>
      </c>
      <c r="H1181" t="s">
        <v>12353</v>
      </c>
    </row>
    <row r="1182" spans="1:8" x14ac:dyDescent="0.45">
      <c r="A1182" t="s">
        <v>7857</v>
      </c>
      <c r="B1182" t="s">
        <v>7858</v>
      </c>
      <c r="C1182" t="s">
        <v>12349</v>
      </c>
      <c r="E1182" t="s">
        <v>12350</v>
      </c>
      <c r="F1182" t="s">
        <v>12351</v>
      </c>
      <c r="G1182" t="s">
        <v>12352</v>
      </c>
      <c r="H1182" t="s">
        <v>12353</v>
      </c>
    </row>
    <row r="1183" spans="1:8" x14ac:dyDescent="0.45">
      <c r="A1183" t="s">
        <v>5016</v>
      </c>
      <c r="B1183" t="s">
        <v>5017</v>
      </c>
      <c r="C1183" t="s">
        <v>12354</v>
      </c>
      <c r="E1183" t="s">
        <v>12355</v>
      </c>
      <c r="F1183" t="s">
        <v>12356</v>
      </c>
      <c r="G1183" t="s">
        <v>12357</v>
      </c>
      <c r="H1183" t="s">
        <v>12358</v>
      </c>
    </row>
    <row r="1184" spans="1:8" x14ac:dyDescent="0.45">
      <c r="A1184" t="s">
        <v>5016</v>
      </c>
      <c r="B1184" t="s">
        <v>5017</v>
      </c>
      <c r="C1184" t="s">
        <v>12354</v>
      </c>
      <c r="E1184" t="s">
        <v>12355</v>
      </c>
      <c r="F1184" t="s">
        <v>12359</v>
      </c>
      <c r="G1184" t="s">
        <v>12360</v>
      </c>
      <c r="H1184" t="s">
        <v>12361</v>
      </c>
    </row>
    <row r="1185" spans="1:8" x14ac:dyDescent="0.45">
      <c r="A1185" t="s">
        <v>7289</v>
      </c>
      <c r="B1185" t="s">
        <v>7290</v>
      </c>
      <c r="C1185" t="s">
        <v>12354</v>
      </c>
      <c r="E1185" t="s">
        <v>12355</v>
      </c>
      <c r="F1185" t="s">
        <v>12356</v>
      </c>
      <c r="G1185" t="s">
        <v>12357</v>
      </c>
      <c r="H1185" t="s">
        <v>12358</v>
      </c>
    </row>
    <row r="1186" spans="1:8" x14ac:dyDescent="0.45">
      <c r="A1186" t="s">
        <v>7289</v>
      </c>
      <c r="B1186" t="s">
        <v>7290</v>
      </c>
      <c r="C1186" t="s">
        <v>12354</v>
      </c>
      <c r="E1186" t="s">
        <v>12355</v>
      </c>
      <c r="F1186" t="s">
        <v>12359</v>
      </c>
      <c r="G1186" t="s">
        <v>12360</v>
      </c>
      <c r="H1186" t="s">
        <v>12361</v>
      </c>
    </row>
    <row r="1187" spans="1:8" x14ac:dyDescent="0.45">
      <c r="A1187" t="s">
        <v>5968</v>
      </c>
      <c r="B1187" t="s">
        <v>5969</v>
      </c>
      <c r="C1187" t="s">
        <v>12362</v>
      </c>
      <c r="E1187" t="s">
        <v>12363</v>
      </c>
      <c r="F1187" t="s">
        <v>12364</v>
      </c>
      <c r="G1187" t="s">
        <v>12365</v>
      </c>
      <c r="H1187" t="s">
        <v>12366</v>
      </c>
    </row>
    <row r="1188" spans="1:8" x14ac:dyDescent="0.45">
      <c r="A1188" t="s">
        <v>5968</v>
      </c>
      <c r="B1188" t="s">
        <v>5969</v>
      </c>
      <c r="C1188" t="s">
        <v>12362</v>
      </c>
      <c r="E1188" t="s">
        <v>12363</v>
      </c>
      <c r="F1188" t="s">
        <v>12367</v>
      </c>
      <c r="G1188" t="s">
        <v>12368</v>
      </c>
      <c r="H1188" t="s">
        <v>12369</v>
      </c>
    </row>
    <row r="1189" spans="1:8" x14ac:dyDescent="0.45">
      <c r="A1189" t="s">
        <v>5968</v>
      </c>
      <c r="B1189" t="s">
        <v>5969</v>
      </c>
      <c r="C1189" t="s">
        <v>12362</v>
      </c>
      <c r="E1189" t="s">
        <v>12363</v>
      </c>
      <c r="F1189" t="s">
        <v>12370</v>
      </c>
      <c r="G1189" t="s">
        <v>12371</v>
      </c>
      <c r="H1189" t="s">
        <v>12372</v>
      </c>
    </row>
    <row r="1190" spans="1:8" x14ac:dyDescent="0.45">
      <c r="A1190" t="s">
        <v>8815</v>
      </c>
      <c r="B1190" t="s">
        <v>8816</v>
      </c>
      <c r="C1190" t="s">
        <v>12362</v>
      </c>
      <c r="E1190" t="s">
        <v>12363</v>
      </c>
      <c r="F1190" t="s">
        <v>12364</v>
      </c>
      <c r="G1190" t="s">
        <v>12365</v>
      </c>
      <c r="H1190" t="s">
        <v>12366</v>
      </c>
    </row>
    <row r="1191" spans="1:8" x14ac:dyDescent="0.45">
      <c r="A1191" t="s">
        <v>8815</v>
      </c>
      <c r="B1191" t="s">
        <v>8816</v>
      </c>
      <c r="C1191" t="s">
        <v>12362</v>
      </c>
      <c r="E1191" t="s">
        <v>12363</v>
      </c>
      <c r="F1191" t="s">
        <v>12367</v>
      </c>
      <c r="G1191" t="s">
        <v>12368</v>
      </c>
      <c r="H1191" t="s">
        <v>12369</v>
      </c>
    </row>
    <row r="1192" spans="1:8" x14ac:dyDescent="0.45">
      <c r="A1192" t="s">
        <v>8815</v>
      </c>
      <c r="B1192" t="s">
        <v>8816</v>
      </c>
      <c r="C1192" t="s">
        <v>12362</v>
      </c>
      <c r="E1192" t="s">
        <v>12363</v>
      </c>
      <c r="F1192" t="s">
        <v>12370</v>
      </c>
      <c r="G1192" t="s">
        <v>12371</v>
      </c>
      <c r="H1192" t="s">
        <v>12372</v>
      </c>
    </row>
    <row r="1193" spans="1:8" x14ac:dyDescent="0.45">
      <c r="A1193" t="s">
        <v>4204</v>
      </c>
      <c r="B1193" t="s">
        <v>4205</v>
      </c>
      <c r="C1193" t="s">
        <v>12373</v>
      </c>
      <c r="E1193" t="s">
        <v>12374</v>
      </c>
      <c r="F1193" t="s">
        <v>12375</v>
      </c>
      <c r="G1193" t="s">
        <v>12376</v>
      </c>
      <c r="H1193" t="s">
        <v>12377</v>
      </c>
    </row>
    <row r="1194" spans="1:8" x14ac:dyDescent="0.45">
      <c r="A1194" t="s">
        <v>10132</v>
      </c>
      <c r="B1194" t="s">
        <v>10133</v>
      </c>
      <c r="C1194" t="s">
        <v>12373</v>
      </c>
      <c r="E1194" t="s">
        <v>12374</v>
      </c>
      <c r="F1194" t="s">
        <v>12375</v>
      </c>
      <c r="G1194" t="s">
        <v>12376</v>
      </c>
      <c r="H1194" t="s">
        <v>12377</v>
      </c>
    </row>
    <row r="1195" spans="1:8" x14ac:dyDescent="0.45">
      <c r="A1195" t="s">
        <v>1444</v>
      </c>
      <c r="B1195" t="s">
        <v>1445</v>
      </c>
      <c r="C1195" t="s">
        <v>12378</v>
      </c>
      <c r="E1195" t="s">
        <v>12379</v>
      </c>
      <c r="F1195" t="s">
        <v>12380</v>
      </c>
      <c r="G1195" t="s">
        <v>12381</v>
      </c>
      <c r="H1195" t="s">
        <v>12382</v>
      </c>
    </row>
    <row r="1196" spans="1:8" x14ac:dyDescent="0.45">
      <c r="A1196" t="s">
        <v>1444</v>
      </c>
      <c r="B1196" t="s">
        <v>1445</v>
      </c>
      <c r="C1196" t="s">
        <v>12378</v>
      </c>
      <c r="E1196" t="s">
        <v>12379</v>
      </c>
      <c r="F1196" t="s">
        <v>12383</v>
      </c>
      <c r="G1196" t="s">
        <v>12384</v>
      </c>
      <c r="H1196" t="s">
        <v>12385</v>
      </c>
    </row>
    <row r="1197" spans="1:8" x14ac:dyDescent="0.45">
      <c r="A1197" t="s">
        <v>1444</v>
      </c>
      <c r="B1197" t="s">
        <v>1445</v>
      </c>
      <c r="C1197" t="s">
        <v>12378</v>
      </c>
      <c r="E1197" t="s">
        <v>12379</v>
      </c>
      <c r="F1197" t="s">
        <v>12386</v>
      </c>
      <c r="G1197" t="s">
        <v>12387</v>
      </c>
      <c r="H1197" t="s">
        <v>12388</v>
      </c>
    </row>
    <row r="1198" spans="1:8" x14ac:dyDescent="0.45">
      <c r="A1198" t="s">
        <v>3796</v>
      </c>
      <c r="B1198" t="s">
        <v>3797</v>
      </c>
      <c r="C1198" t="s">
        <v>12389</v>
      </c>
      <c r="E1198" t="s">
        <v>12390</v>
      </c>
      <c r="F1198" t="s">
        <v>12391</v>
      </c>
      <c r="G1198" t="s">
        <v>12392</v>
      </c>
      <c r="H1198" t="s">
        <v>12393</v>
      </c>
    </row>
    <row r="1199" spans="1:8" x14ac:dyDescent="0.45">
      <c r="A1199" t="s">
        <v>3803</v>
      </c>
      <c r="B1199" t="s">
        <v>3804</v>
      </c>
      <c r="C1199" t="s">
        <v>12389</v>
      </c>
      <c r="E1199" t="s">
        <v>12390</v>
      </c>
      <c r="F1199" t="s">
        <v>12391</v>
      </c>
      <c r="G1199" t="s">
        <v>12392</v>
      </c>
      <c r="H1199" t="s">
        <v>12393</v>
      </c>
    </row>
    <row r="1200" spans="1:8" x14ac:dyDescent="0.45">
      <c r="A1200" t="s">
        <v>2614</v>
      </c>
      <c r="B1200" t="s">
        <v>2615</v>
      </c>
      <c r="C1200" t="s">
        <v>12394</v>
      </c>
      <c r="E1200" t="s">
        <v>12395</v>
      </c>
      <c r="F1200" t="s">
        <v>12396</v>
      </c>
      <c r="G1200" t="s">
        <v>12397</v>
      </c>
      <c r="H1200" t="s">
        <v>12398</v>
      </c>
    </row>
    <row r="1201" spans="1:8" x14ac:dyDescent="0.45">
      <c r="A1201" t="s">
        <v>74</v>
      </c>
      <c r="B1201" t="s">
        <v>75</v>
      </c>
      <c r="C1201" t="s">
        <v>12399</v>
      </c>
    </row>
    <row r="1202" spans="1:8" x14ac:dyDescent="0.45">
      <c r="A1202" t="s">
        <v>887</v>
      </c>
      <c r="B1202" t="s">
        <v>888</v>
      </c>
      <c r="C1202" t="s">
        <v>12400</v>
      </c>
      <c r="E1202" t="s">
        <v>12401</v>
      </c>
      <c r="F1202" t="s">
        <v>12402</v>
      </c>
      <c r="G1202" t="s">
        <v>12195</v>
      </c>
      <c r="H1202" t="s">
        <v>12403</v>
      </c>
    </row>
    <row r="1203" spans="1:8" x14ac:dyDescent="0.45">
      <c r="A1203" t="s">
        <v>5495</v>
      </c>
      <c r="B1203" t="s">
        <v>5496</v>
      </c>
      <c r="C1203" t="s">
        <v>12404</v>
      </c>
      <c r="E1203" t="s">
        <v>12405</v>
      </c>
      <c r="F1203" t="s">
        <v>12406</v>
      </c>
      <c r="G1203" t="s">
        <v>12207</v>
      </c>
      <c r="H1203" t="s">
        <v>12407</v>
      </c>
    </row>
    <row r="1204" spans="1:8" x14ac:dyDescent="0.45">
      <c r="A1204" t="s">
        <v>9588</v>
      </c>
      <c r="B1204" t="s">
        <v>9589</v>
      </c>
      <c r="C1204" t="s">
        <v>12404</v>
      </c>
      <c r="E1204" t="s">
        <v>12405</v>
      </c>
      <c r="F1204" t="s">
        <v>12406</v>
      </c>
      <c r="G1204" t="s">
        <v>12207</v>
      </c>
      <c r="H1204" t="s">
        <v>12407</v>
      </c>
    </row>
    <row r="1205" spans="1:8" x14ac:dyDescent="0.45">
      <c r="A1205" t="s">
        <v>3987</v>
      </c>
      <c r="B1205" t="s">
        <v>3988</v>
      </c>
      <c r="C1205" t="s">
        <v>12408</v>
      </c>
      <c r="E1205" t="s">
        <v>12409</v>
      </c>
      <c r="F1205" t="s">
        <v>12410</v>
      </c>
      <c r="G1205" t="s">
        <v>12411</v>
      </c>
      <c r="H1205" t="s">
        <v>12412</v>
      </c>
    </row>
    <row r="1206" spans="1:8" x14ac:dyDescent="0.45">
      <c r="A1206" t="s">
        <v>3987</v>
      </c>
      <c r="B1206" t="s">
        <v>3988</v>
      </c>
      <c r="C1206" t="s">
        <v>12408</v>
      </c>
      <c r="E1206" t="s">
        <v>12409</v>
      </c>
      <c r="F1206" t="s">
        <v>12413</v>
      </c>
      <c r="G1206" t="s">
        <v>12411</v>
      </c>
      <c r="H1206" t="s">
        <v>12414</v>
      </c>
    </row>
    <row r="1207" spans="1:8" x14ac:dyDescent="0.45">
      <c r="A1207" t="s">
        <v>3987</v>
      </c>
      <c r="B1207" t="s">
        <v>3988</v>
      </c>
      <c r="C1207" t="s">
        <v>12408</v>
      </c>
      <c r="E1207" t="s">
        <v>12409</v>
      </c>
      <c r="F1207" t="s">
        <v>12415</v>
      </c>
      <c r="G1207" t="s">
        <v>12416</v>
      </c>
      <c r="H1207" t="s">
        <v>12417</v>
      </c>
    </row>
    <row r="1208" spans="1:8" x14ac:dyDescent="0.45">
      <c r="A1208" t="s">
        <v>3987</v>
      </c>
      <c r="B1208" t="s">
        <v>3988</v>
      </c>
      <c r="C1208" t="s">
        <v>12408</v>
      </c>
      <c r="E1208" t="s">
        <v>12409</v>
      </c>
      <c r="F1208" t="s">
        <v>12418</v>
      </c>
      <c r="G1208" t="s">
        <v>12419</v>
      </c>
      <c r="H1208" t="s">
        <v>12420</v>
      </c>
    </row>
    <row r="1209" spans="1:8" x14ac:dyDescent="0.45">
      <c r="A1209" t="s">
        <v>3987</v>
      </c>
      <c r="B1209" t="s">
        <v>3988</v>
      </c>
      <c r="C1209" t="s">
        <v>12408</v>
      </c>
      <c r="E1209" t="s">
        <v>12409</v>
      </c>
      <c r="F1209" t="s">
        <v>12421</v>
      </c>
      <c r="G1209" t="s">
        <v>12422</v>
      </c>
      <c r="H1209" t="s">
        <v>12417</v>
      </c>
    </row>
    <row r="1210" spans="1:8" x14ac:dyDescent="0.45">
      <c r="A1210" t="s">
        <v>4288</v>
      </c>
      <c r="B1210" t="s">
        <v>4289</v>
      </c>
      <c r="C1210" t="s">
        <v>12423</v>
      </c>
      <c r="E1210" t="s">
        <v>12424</v>
      </c>
      <c r="F1210" t="s">
        <v>12425</v>
      </c>
      <c r="G1210" t="s">
        <v>12426</v>
      </c>
      <c r="H1210" t="s">
        <v>12427</v>
      </c>
    </row>
    <row r="1211" spans="1:8" x14ac:dyDescent="0.45">
      <c r="A1211" t="s">
        <v>5184</v>
      </c>
      <c r="B1211" t="s">
        <v>5185</v>
      </c>
      <c r="C1211" t="s">
        <v>12428</v>
      </c>
      <c r="E1211" t="s">
        <v>12429</v>
      </c>
      <c r="F1211" t="s">
        <v>12430</v>
      </c>
      <c r="G1211" t="s">
        <v>12431</v>
      </c>
      <c r="H1211" t="s">
        <v>12432</v>
      </c>
    </row>
    <row r="1212" spans="1:8" x14ac:dyDescent="0.45">
      <c r="A1212" t="s">
        <v>4851</v>
      </c>
      <c r="B1212" t="s">
        <v>4852</v>
      </c>
      <c r="C1212" t="s">
        <v>12433</v>
      </c>
      <c r="E1212" t="s">
        <v>12434</v>
      </c>
      <c r="F1212" t="s">
        <v>12435</v>
      </c>
      <c r="G1212" t="s">
        <v>12411</v>
      </c>
      <c r="H1212" t="s">
        <v>12436</v>
      </c>
    </row>
    <row r="1213" spans="1:8" x14ac:dyDescent="0.45">
      <c r="A1213" t="s">
        <v>4858</v>
      </c>
      <c r="B1213" t="s">
        <v>4859</v>
      </c>
      <c r="C1213" t="s">
        <v>12437</v>
      </c>
      <c r="E1213" t="s">
        <v>12438</v>
      </c>
      <c r="F1213" t="s">
        <v>12439</v>
      </c>
      <c r="G1213" t="s">
        <v>12440</v>
      </c>
      <c r="H1213" t="s">
        <v>12441</v>
      </c>
    </row>
    <row r="1214" spans="1:8" x14ac:dyDescent="0.45">
      <c r="A1214" t="s">
        <v>4988</v>
      </c>
      <c r="B1214" t="s">
        <v>4989</v>
      </c>
      <c r="C1214" t="s">
        <v>12442</v>
      </c>
      <c r="E1214" t="s">
        <v>12443</v>
      </c>
      <c r="F1214" t="s">
        <v>12444</v>
      </c>
      <c r="G1214" t="s">
        <v>12445</v>
      </c>
      <c r="H1214" t="s">
        <v>12446</v>
      </c>
    </row>
    <row r="1215" spans="1:8" x14ac:dyDescent="0.45">
      <c r="A1215" t="s">
        <v>4988</v>
      </c>
      <c r="B1215" t="s">
        <v>4989</v>
      </c>
      <c r="C1215" t="s">
        <v>12442</v>
      </c>
      <c r="E1215" t="s">
        <v>12443</v>
      </c>
      <c r="F1215" t="s">
        <v>12447</v>
      </c>
      <c r="G1215" t="s">
        <v>12448</v>
      </c>
      <c r="H1215" t="s">
        <v>12449</v>
      </c>
    </row>
    <row r="1216" spans="1:8" x14ac:dyDescent="0.45">
      <c r="A1216" t="s">
        <v>2319</v>
      </c>
      <c r="B1216" t="s">
        <v>2320</v>
      </c>
      <c r="C1216" t="s">
        <v>12450</v>
      </c>
      <c r="E1216" t="s">
        <v>12451</v>
      </c>
      <c r="F1216" t="s">
        <v>12452</v>
      </c>
      <c r="G1216" t="s">
        <v>12453</v>
      </c>
      <c r="H1216" t="s">
        <v>12454</v>
      </c>
    </row>
    <row r="1217" spans="1:8" x14ac:dyDescent="0.45">
      <c r="A1217" t="s">
        <v>2319</v>
      </c>
      <c r="B1217" t="s">
        <v>2320</v>
      </c>
      <c r="C1217" t="s">
        <v>12450</v>
      </c>
      <c r="E1217" t="s">
        <v>12451</v>
      </c>
      <c r="F1217" t="s">
        <v>12455</v>
      </c>
      <c r="G1217" t="s">
        <v>12456</v>
      </c>
      <c r="H1217" t="s">
        <v>12457</v>
      </c>
    </row>
    <row r="1218" spans="1:8" x14ac:dyDescent="0.45">
      <c r="A1218" t="s">
        <v>2319</v>
      </c>
      <c r="B1218" t="s">
        <v>2320</v>
      </c>
      <c r="C1218" t="s">
        <v>12450</v>
      </c>
      <c r="E1218" t="s">
        <v>12451</v>
      </c>
      <c r="F1218" t="s">
        <v>12458</v>
      </c>
      <c r="G1218" t="s">
        <v>12459</v>
      </c>
      <c r="H1218" t="s">
        <v>12460</v>
      </c>
    </row>
    <row r="1219" spans="1:8" x14ac:dyDescent="0.45">
      <c r="A1219" t="s">
        <v>6882</v>
      </c>
      <c r="B1219" t="s">
        <v>6883</v>
      </c>
      <c r="C1219" t="s">
        <v>12450</v>
      </c>
      <c r="E1219" t="s">
        <v>12451</v>
      </c>
      <c r="F1219" t="s">
        <v>12452</v>
      </c>
      <c r="G1219" t="s">
        <v>12453</v>
      </c>
      <c r="H1219" t="s">
        <v>12454</v>
      </c>
    </row>
    <row r="1220" spans="1:8" x14ac:dyDescent="0.45">
      <c r="A1220" t="s">
        <v>6882</v>
      </c>
      <c r="B1220" t="s">
        <v>6883</v>
      </c>
      <c r="C1220" t="s">
        <v>12450</v>
      </c>
      <c r="E1220" t="s">
        <v>12451</v>
      </c>
      <c r="F1220" t="s">
        <v>12455</v>
      </c>
      <c r="G1220" t="s">
        <v>12456</v>
      </c>
      <c r="H1220" t="s">
        <v>12457</v>
      </c>
    </row>
    <row r="1221" spans="1:8" x14ac:dyDescent="0.45">
      <c r="A1221" t="s">
        <v>6882</v>
      </c>
      <c r="B1221" t="s">
        <v>6883</v>
      </c>
      <c r="C1221" t="s">
        <v>12450</v>
      </c>
      <c r="E1221" t="s">
        <v>12451</v>
      </c>
      <c r="F1221" t="s">
        <v>12458</v>
      </c>
      <c r="G1221" t="s">
        <v>12459</v>
      </c>
      <c r="H1221" t="s">
        <v>12460</v>
      </c>
    </row>
    <row r="1222" spans="1:8" x14ac:dyDescent="0.45">
      <c r="A1222" t="s">
        <v>2129</v>
      </c>
      <c r="B1222" t="s">
        <v>2130</v>
      </c>
      <c r="C1222" t="s">
        <v>12461</v>
      </c>
      <c r="E1222" t="s">
        <v>12462</v>
      </c>
      <c r="F1222" t="s">
        <v>12463</v>
      </c>
      <c r="G1222" t="s">
        <v>12464</v>
      </c>
      <c r="H1222" t="s">
        <v>12465</v>
      </c>
    </row>
    <row r="1223" spans="1:8" x14ac:dyDescent="0.45">
      <c r="A1223" t="s">
        <v>2742</v>
      </c>
      <c r="B1223" t="s">
        <v>2743</v>
      </c>
      <c r="C1223" t="s">
        <v>12466</v>
      </c>
      <c r="E1223" t="s">
        <v>12467</v>
      </c>
      <c r="F1223" t="s">
        <v>12468</v>
      </c>
      <c r="G1223" t="s">
        <v>12469</v>
      </c>
      <c r="H1223" t="s">
        <v>12470</v>
      </c>
    </row>
    <row r="1224" spans="1:8" x14ac:dyDescent="0.45">
      <c r="A1224" t="s">
        <v>5729</v>
      </c>
      <c r="B1224" t="s">
        <v>5730</v>
      </c>
      <c r="C1224" t="s">
        <v>12471</v>
      </c>
    </row>
    <row r="1225" spans="1:8" x14ac:dyDescent="0.45">
      <c r="A1225" t="s">
        <v>2085</v>
      </c>
      <c r="B1225" t="s">
        <v>2086</v>
      </c>
      <c r="C1225" t="s">
        <v>12472</v>
      </c>
    </row>
    <row r="1226" spans="1:8" x14ac:dyDescent="0.45">
      <c r="A1226" t="s">
        <v>3052</v>
      </c>
      <c r="B1226" t="s">
        <v>3053</v>
      </c>
      <c r="C1226" t="s">
        <v>12472</v>
      </c>
    </row>
    <row r="1227" spans="1:8" x14ac:dyDescent="0.45">
      <c r="A1227" t="s">
        <v>3299</v>
      </c>
      <c r="B1227" t="s">
        <v>3300</v>
      </c>
      <c r="C1227" t="s">
        <v>12472</v>
      </c>
    </row>
    <row r="1228" spans="1:8" x14ac:dyDescent="0.45">
      <c r="A1228" t="s">
        <v>5039</v>
      </c>
      <c r="B1228" t="s">
        <v>5040</v>
      </c>
      <c r="C1228" t="s">
        <v>12472</v>
      </c>
    </row>
    <row r="1229" spans="1:8" x14ac:dyDescent="0.45">
      <c r="A1229" t="s">
        <v>6708</v>
      </c>
      <c r="B1229" t="s">
        <v>6709</v>
      </c>
      <c r="C1229" t="s">
        <v>12472</v>
      </c>
    </row>
    <row r="1230" spans="1:8" x14ac:dyDescent="0.45">
      <c r="A1230" t="s">
        <v>7293</v>
      </c>
      <c r="B1230" t="s">
        <v>7294</v>
      </c>
      <c r="C1230" t="s">
        <v>12472</v>
      </c>
    </row>
    <row r="1231" spans="1:8" x14ac:dyDescent="0.45">
      <c r="A1231" t="s">
        <v>9311</v>
      </c>
      <c r="B1231" t="s">
        <v>9312</v>
      </c>
      <c r="C1231" t="s">
        <v>12472</v>
      </c>
    </row>
    <row r="1232" spans="1:8" x14ac:dyDescent="0.45">
      <c r="A1232" t="s">
        <v>1259</v>
      </c>
      <c r="B1232" t="s">
        <v>1260</v>
      </c>
      <c r="C1232" t="s">
        <v>12473</v>
      </c>
      <c r="E1232" t="s">
        <v>12474</v>
      </c>
      <c r="F1232" t="s">
        <v>12475</v>
      </c>
      <c r="G1232" t="s">
        <v>12476</v>
      </c>
      <c r="H1232" t="s">
        <v>12477</v>
      </c>
    </row>
    <row r="1233" spans="1:8" x14ac:dyDescent="0.45">
      <c r="A1233" t="s">
        <v>6781</v>
      </c>
      <c r="B1233" t="s">
        <v>6782</v>
      </c>
      <c r="C1233" t="s">
        <v>12478</v>
      </c>
      <c r="E1233" t="s">
        <v>12479</v>
      </c>
      <c r="F1233" t="s">
        <v>12480</v>
      </c>
      <c r="G1233" t="s">
        <v>12481</v>
      </c>
      <c r="H1233" t="s">
        <v>12482</v>
      </c>
    </row>
    <row r="1234" spans="1:8" x14ac:dyDescent="0.45">
      <c r="A1234" t="s">
        <v>6781</v>
      </c>
      <c r="B1234" t="s">
        <v>6782</v>
      </c>
      <c r="C1234" t="s">
        <v>12478</v>
      </c>
      <c r="E1234" t="s">
        <v>12479</v>
      </c>
      <c r="F1234" t="s">
        <v>12483</v>
      </c>
      <c r="G1234" t="s">
        <v>12484</v>
      </c>
      <c r="H1234" t="s">
        <v>12485</v>
      </c>
    </row>
    <row r="1235" spans="1:8" x14ac:dyDescent="0.45">
      <c r="A1235" t="s">
        <v>3655</v>
      </c>
      <c r="B1235" t="s">
        <v>3656</v>
      </c>
      <c r="C1235" t="s">
        <v>12486</v>
      </c>
      <c r="E1235" t="s">
        <v>12487</v>
      </c>
      <c r="F1235" t="s">
        <v>12488</v>
      </c>
      <c r="G1235" t="s">
        <v>12489</v>
      </c>
      <c r="H1235" t="s">
        <v>12490</v>
      </c>
    </row>
    <row r="1236" spans="1:8" x14ac:dyDescent="0.45">
      <c r="A1236" t="s">
        <v>8258</v>
      </c>
      <c r="B1236" t="s">
        <v>8259</v>
      </c>
      <c r="C1236" t="s">
        <v>12486</v>
      </c>
      <c r="E1236" t="s">
        <v>12487</v>
      </c>
      <c r="F1236" t="s">
        <v>12488</v>
      </c>
      <c r="G1236" t="s">
        <v>12489</v>
      </c>
      <c r="H1236" t="s">
        <v>12490</v>
      </c>
    </row>
    <row r="1237" spans="1:8" x14ac:dyDescent="0.45">
      <c r="A1237" t="s">
        <v>4288</v>
      </c>
      <c r="B1237" t="s">
        <v>4289</v>
      </c>
      <c r="C1237" t="s">
        <v>12491</v>
      </c>
      <c r="E1237" t="s">
        <v>12492</v>
      </c>
      <c r="F1237" t="s">
        <v>12493</v>
      </c>
      <c r="G1237" t="s">
        <v>12494</v>
      </c>
      <c r="H1237" t="s">
        <v>12495</v>
      </c>
    </row>
    <row r="1238" spans="1:8" x14ac:dyDescent="0.45">
      <c r="A1238" t="s">
        <v>7126</v>
      </c>
      <c r="B1238" t="s">
        <v>7127</v>
      </c>
      <c r="C1238" t="s">
        <v>12496</v>
      </c>
      <c r="E1238" t="s">
        <v>12497</v>
      </c>
      <c r="F1238" t="s">
        <v>12498</v>
      </c>
      <c r="G1238" t="s">
        <v>12499</v>
      </c>
      <c r="H1238" t="s">
        <v>11829</v>
      </c>
    </row>
    <row r="1239" spans="1:8" x14ac:dyDescent="0.45">
      <c r="A1239" t="s">
        <v>9751</v>
      </c>
      <c r="B1239" t="s">
        <v>9752</v>
      </c>
      <c r="C1239" t="s">
        <v>12500</v>
      </c>
      <c r="E1239" t="s">
        <v>12501</v>
      </c>
      <c r="F1239" t="s">
        <v>12502</v>
      </c>
      <c r="G1239" t="s">
        <v>12503</v>
      </c>
      <c r="H1239" t="s">
        <v>12504</v>
      </c>
    </row>
    <row r="1240" spans="1:8" x14ac:dyDescent="0.45">
      <c r="A1240" t="s">
        <v>480</v>
      </c>
      <c r="B1240" t="s">
        <v>481</v>
      </c>
      <c r="C1240" t="s">
        <v>12505</v>
      </c>
    </row>
    <row r="1241" spans="1:8" x14ac:dyDescent="0.45">
      <c r="A1241" t="s">
        <v>1243</v>
      </c>
      <c r="B1241" t="s">
        <v>1244</v>
      </c>
      <c r="C1241" t="s">
        <v>12505</v>
      </c>
    </row>
    <row r="1242" spans="1:8" x14ac:dyDescent="0.45">
      <c r="A1242" t="s">
        <v>2218</v>
      </c>
      <c r="B1242" t="s">
        <v>2219</v>
      </c>
      <c r="C1242" t="s">
        <v>12506</v>
      </c>
    </row>
    <row r="1243" spans="1:8" x14ac:dyDescent="0.45">
      <c r="A1243" t="s">
        <v>2813</v>
      </c>
      <c r="B1243" t="s">
        <v>2814</v>
      </c>
      <c r="C1243" t="s">
        <v>12506</v>
      </c>
    </row>
    <row r="1244" spans="1:8" x14ac:dyDescent="0.45">
      <c r="A1244" t="s">
        <v>1436</v>
      </c>
      <c r="B1244" t="s">
        <v>1437</v>
      </c>
      <c r="C1244" t="s">
        <v>12506</v>
      </c>
    </row>
    <row r="1245" spans="1:8" x14ac:dyDescent="0.45">
      <c r="A1245" t="s">
        <v>2258</v>
      </c>
      <c r="B1245" t="s">
        <v>2259</v>
      </c>
      <c r="C1245" t="s">
        <v>12506</v>
      </c>
    </row>
    <row r="1246" spans="1:8" x14ac:dyDescent="0.45">
      <c r="A1246" t="s">
        <v>2449</v>
      </c>
      <c r="B1246" t="s">
        <v>2450</v>
      </c>
      <c r="C1246" t="s">
        <v>12506</v>
      </c>
    </row>
    <row r="1247" spans="1:8" x14ac:dyDescent="0.45">
      <c r="A1247" t="s">
        <v>4372</v>
      </c>
      <c r="B1247" t="s">
        <v>4373</v>
      </c>
      <c r="C1247" t="s">
        <v>12506</v>
      </c>
    </row>
    <row r="1248" spans="1:8" x14ac:dyDescent="0.45">
      <c r="A1248" t="s">
        <v>6025</v>
      </c>
      <c r="B1248" t="s">
        <v>6026</v>
      </c>
      <c r="C1248" t="s">
        <v>12506</v>
      </c>
    </row>
    <row r="1249" spans="1:5" x14ac:dyDescent="0.45">
      <c r="A1249" t="s">
        <v>6239</v>
      </c>
      <c r="B1249" t="s">
        <v>6240</v>
      </c>
      <c r="C1249" t="s">
        <v>12506</v>
      </c>
    </row>
    <row r="1250" spans="1:5" x14ac:dyDescent="0.45">
      <c r="A1250" t="s">
        <v>9626</v>
      </c>
      <c r="B1250" t="s">
        <v>9627</v>
      </c>
      <c r="C1250" t="s">
        <v>12506</v>
      </c>
    </row>
    <row r="1251" spans="1:5" x14ac:dyDescent="0.45">
      <c r="A1251" t="s">
        <v>1852</v>
      </c>
      <c r="B1251" t="s">
        <v>1853</v>
      </c>
      <c r="C1251" t="s">
        <v>12507</v>
      </c>
      <c r="D1251" t="s">
        <v>12508</v>
      </c>
      <c r="E1251" t="s">
        <v>12509</v>
      </c>
    </row>
    <row r="1252" spans="1:5" x14ac:dyDescent="0.45">
      <c r="A1252" t="s">
        <v>1852</v>
      </c>
      <c r="B1252" t="s">
        <v>1853</v>
      </c>
      <c r="C1252" t="s">
        <v>12507</v>
      </c>
      <c r="D1252" t="s">
        <v>12510</v>
      </c>
      <c r="E1252" t="s">
        <v>12511</v>
      </c>
    </row>
    <row r="1253" spans="1:5" x14ac:dyDescent="0.45">
      <c r="A1253" t="s">
        <v>2824</v>
      </c>
      <c r="B1253" t="s">
        <v>2825</v>
      </c>
      <c r="C1253" t="s">
        <v>12507</v>
      </c>
      <c r="D1253" t="s">
        <v>12508</v>
      </c>
      <c r="E1253" t="s">
        <v>12509</v>
      </c>
    </row>
    <row r="1254" spans="1:5" x14ac:dyDescent="0.45">
      <c r="A1254" t="s">
        <v>2824</v>
      </c>
      <c r="B1254" t="s">
        <v>2825</v>
      </c>
      <c r="C1254" t="s">
        <v>12507</v>
      </c>
      <c r="D1254" t="s">
        <v>12510</v>
      </c>
      <c r="E1254" t="s">
        <v>12511</v>
      </c>
    </row>
    <row r="1255" spans="1:5" x14ac:dyDescent="0.45">
      <c r="A1255" t="s">
        <v>7215</v>
      </c>
      <c r="B1255" t="s">
        <v>7216</v>
      </c>
      <c r="C1255" t="s">
        <v>12507</v>
      </c>
      <c r="D1255" t="s">
        <v>12508</v>
      </c>
      <c r="E1255" t="s">
        <v>12509</v>
      </c>
    </row>
    <row r="1256" spans="1:5" x14ac:dyDescent="0.45">
      <c r="A1256" t="s">
        <v>7215</v>
      </c>
      <c r="B1256" t="s">
        <v>7216</v>
      </c>
      <c r="C1256" t="s">
        <v>12507</v>
      </c>
      <c r="D1256" t="s">
        <v>12510</v>
      </c>
      <c r="E1256" t="s">
        <v>12511</v>
      </c>
    </row>
    <row r="1257" spans="1:5" x14ac:dyDescent="0.45">
      <c r="A1257" t="s">
        <v>7926</v>
      </c>
      <c r="B1257" t="s">
        <v>7927</v>
      </c>
      <c r="C1257" t="s">
        <v>12507</v>
      </c>
      <c r="D1257" t="s">
        <v>12508</v>
      </c>
      <c r="E1257" t="s">
        <v>12509</v>
      </c>
    </row>
    <row r="1258" spans="1:5" x14ac:dyDescent="0.45">
      <c r="A1258" t="s">
        <v>7926</v>
      </c>
      <c r="B1258" t="s">
        <v>7927</v>
      </c>
      <c r="C1258" t="s">
        <v>12507</v>
      </c>
      <c r="D1258" t="s">
        <v>12510</v>
      </c>
      <c r="E1258" t="s">
        <v>12511</v>
      </c>
    </row>
    <row r="1259" spans="1:5" x14ac:dyDescent="0.45">
      <c r="A1259" t="s">
        <v>7930</v>
      </c>
      <c r="B1259" t="s">
        <v>7931</v>
      </c>
      <c r="C1259" t="s">
        <v>12507</v>
      </c>
      <c r="D1259" t="s">
        <v>12508</v>
      </c>
      <c r="E1259" t="s">
        <v>12509</v>
      </c>
    </row>
    <row r="1260" spans="1:5" x14ac:dyDescent="0.45">
      <c r="A1260" t="s">
        <v>7930</v>
      </c>
      <c r="B1260" t="s">
        <v>7931</v>
      </c>
      <c r="C1260" t="s">
        <v>12507</v>
      </c>
      <c r="D1260" t="s">
        <v>12510</v>
      </c>
      <c r="E1260" t="s">
        <v>12511</v>
      </c>
    </row>
    <row r="1261" spans="1:5" x14ac:dyDescent="0.45">
      <c r="A1261" t="s">
        <v>8718</v>
      </c>
      <c r="B1261" t="s">
        <v>8719</v>
      </c>
      <c r="C1261" t="s">
        <v>12507</v>
      </c>
      <c r="D1261" t="s">
        <v>12508</v>
      </c>
      <c r="E1261" t="s">
        <v>12509</v>
      </c>
    </row>
    <row r="1262" spans="1:5" x14ac:dyDescent="0.45">
      <c r="A1262" t="s">
        <v>8718</v>
      </c>
      <c r="B1262" t="s">
        <v>8719</v>
      </c>
      <c r="C1262" t="s">
        <v>12507</v>
      </c>
      <c r="D1262" t="s">
        <v>12510</v>
      </c>
      <c r="E1262" t="s">
        <v>12511</v>
      </c>
    </row>
    <row r="1263" spans="1:5" x14ac:dyDescent="0.45">
      <c r="A1263" t="s">
        <v>10170</v>
      </c>
      <c r="B1263" t="s">
        <v>10171</v>
      </c>
      <c r="C1263" t="s">
        <v>12507</v>
      </c>
      <c r="D1263" t="s">
        <v>12508</v>
      </c>
      <c r="E1263" t="s">
        <v>12509</v>
      </c>
    </row>
    <row r="1264" spans="1:5" x14ac:dyDescent="0.45">
      <c r="A1264" t="s">
        <v>10170</v>
      </c>
      <c r="B1264" t="s">
        <v>10171</v>
      </c>
      <c r="C1264" t="s">
        <v>12507</v>
      </c>
      <c r="D1264" t="s">
        <v>12510</v>
      </c>
      <c r="E1264" t="s">
        <v>12511</v>
      </c>
    </row>
    <row r="1265" spans="1:8" x14ac:dyDescent="0.45">
      <c r="A1265" t="s">
        <v>2820</v>
      </c>
      <c r="B1265" t="s">
        <v>2821</v>
      </c>
      <c r="C1265" t="s">
        <v>12507</v>
      </c>
      <c r="D1265" t="s">
        <v>12508</v>
      </c>
      <c r="E1265" t="s">
        <v>12509</v>
      </c>
    </row>
    <row r="1266" spans="1:8" x14ac:dyDescent="0.45">
      <c r="A1266" t="s">
        <v>2820</v>
      </c>
      <c r="B1266" t="s">
        <v>2821</v>
      </c>
      <c r="C1266" t="s">
        <v>12507</v>
      </c>
      <c r="D1266" t="s">
        <v>12510</v>
      </c>
      <c r="E1266" t="s">
        <v>12511</v>
      </c>
    </row>
    <row r="1267" spans="1:8" x14ac:dyDescent="0.45">
      <c r="A1267" t="s">
        <v>7433</v>
      </c>
      <c r="B1267" t="s">
        <v>7434</v>
      </c>
      <c r="C1267" t="s">
        <v>12512</v>
      </c>
    </row>
    <row r="1268" spans="1:8" x14ac:dyDescent="0.45">
      <c r="A1268" t="s">
        <v>6979</v>
      </c>
      <c r="B1268" t="s">
        <v>6980</v>
      </c>
      <c r="C1268" t="s">
        <v>12513</v>
      </c>
    </row>
    <row r="1269" spans="1:8" x14ac:dyDescent="0.45">
      <c r="A1269" t="s">
        <v>9399</v>
      </c>
      <c r="B1269" t="s">
        <v>9400</v>
      </c>
      <c r="C1269" t="s">
        <v>12514</v>
      </c>
      <c r="E1269" t="s">
        <v>12515</v>
      </c>
      <c r="F1269" t="s">
        <v>12516</v>
      </c>
      <c r="G1269" t="s">
        <v>12517</v>
      </c>
      <c r="H1269" t="s">
        <v>12518</v>
      </c>
    </row>
    <row r="1270" spans="1:8" x14ac:dyDescent="0.45">
      <c r="A1270" t="s">
        <v>8296</v>
      </c>
      <c r="B1270" t="s">
        <v>8297</v>
      </c>
      <c r="C1270" t="s">
        <v>12519</v>
      </c>
    </row>
    <row r="1271" spans="1:8" x14ac:dyDescent="0.45">
      <c r="A1271" t="s">
        <v>5787</v>
      </c>
      <c r="B1271" t="s">
        <v>5788</v>
      </c>
      <c r="C1271" t="s">
        <v>12520</v>
      </c>
    </row>
    <row r="1272" spans="1:8" x14ac:dyDescent="0.45">
      <c r="A1272" t="s">
        <v>2602</v>
      </c>
      <c r="B1272" t="s">
        <v>2603</v>
      </c>
      <c r="C1272" t="s">
        <v>12521</v>
      </c>
    </row>
    <row r="1273" spans="1:8" x14ac:dyDescent="0.45">
      <c r="A1273" t="s">
        <v>5150</v>
      </c>
      <c r="B1273" t="s">
        <v>5151</v>
      </c>
      <c r="C1273" t="s">
        <v>12521</v>
      </c>
    </row>
    <row r="1274" spans="1:8" x14ac:dyDescent="0.45">
      <c r="A1274" t="s">
        <v>9809</v>
      </c>
      <c r="B1274" t="s">
        <v>9810</v>
      </c>
      <c r="C1274" t="s">
        <v>12521</v>
      </c>
    </row>
    <row r="1275" spans="1:8" x14ac:dyDescent="0.45">
      <c r="A1275" t="s">
        <v>7107</v>
      </c>
      <c r="B1275" t="s">
        <v>7108</v>
      </c>
      <c r="C1275" t="s">
        <v>12522</v>
      </c>
      <c r="E1275" t="s">
        <v>12523</v>
      </c>
      <c r="F1275" t="s">
        <v>12524</v>
      </c>
      <c r="G1275" t="s">
        <v>12525</v>
      </c>
      <c r="H1275" t="s">
        <v>12526</v>
      </c>
    </row>
    <row r="1276" spans="1:8" x14ac:dyDescent="0.45">
      <c r="A1276" t="s">
        <v>7107</v>
      </c>
      <c r="B1276" t="s">
        <v>7108</v>
      </c>
      <c r="C1276" t="s">
        <v>12522</v>
      </c>
      <c r="E1276" t="s">
        <v>12523</v>
      </c>
      <c r="F1276" t="s">
        <v>12527</v>
      </c>
      <c r="G1276" t="s">
        <v>12528</v>
      </c>
      <c r="H1276" t="s">
        <v>12529</v>
      </c>
    </row>
    <row r="1277" spans="1:8" x14ac:dyDescent="0.45">
      <c r="A1277" t="s">
        <v>5893</v>
      </c>
      <c r="B1277" t="s">
        <v>5894</v>
      </c>
      <c r="C1277" t="s">
        <v>12530</v>
      </c>
      <c r="E1277" t="s">
        <v>12531</v>
      </c>
      <c r="F1277" t="s">
        <v>12532</v>
      </c>
      <c r="G1277" t="s">
        <v>12533</v>
      </c>
      <c r="H1277" t="s">
        <v>12534</v>
      </c>
    </row>
    <row r="1278" spans="1:8" x14ac:dyDescent="0.45">
      <c r="A1278" t="s">
        <v>867</v>
      </c>
      <c r="B1278" t="s">
        <v>868</v>
      </c>
      <c r="C1278" t="s">
        <v>12535</v>
      </c>
      <c r="E1278" t="s">
        <v>12536</v>
      </c>
      <c r="F1278" t="s">
        <v>12537</v>
      </c>
      <c r="G1278" t="s">
        <v>12538</v>
      </c>
      <c r="H1278" t="s">
        <v>12539</v>
      </c>
    </row>
    <row r="1279" spans="1:8" x14ac:dyDescent="0.45">
      <c r="A1279" t="s">
        <v>9935</v>
      </c>
      <c r="B1279" t="s">
        <v>9936</v>
      </c>
      <c r="C1279" t="s">
        <v>12540</v>
      </c>
      <c r="E1279" t="s">
        <v>12541</v>
      </c>
      <c r="F1279" t="s">
        <v>12542</v>
      </c>
      <c r="G1279" t="s">
        <v>12543</v>
      </c>
      <c r="H1279" t="s">
        <v>12544</v>
      </c>
    </row>
    <row r="1280" spans="1:8" x14ac:dyDescent="0.45">
      <c r="A1280" t="s">
        <v>7297</v>
      </c>
      <c r="B1280" t="s">
        <v>7298</v>
      </c>
      <c r="C1280" t="s">
        <v>12545</v>
      </c>
      <c r="E1280" t="s">
        <v>12546</v>
      </c>
      <c r="F1280" t="s">
        <v>12547</v>
      </c>
      <c r="G1280" t="s">
        <v>12548</v>
      </c>
      <c r="H1280" t="s">
        <v>12549</v>
      </c>
    </row>
    <row r="1281" spans="1:8" x14ac:dyDescent="0.45">
      <c r="A1281" t="s">
        <v>2606</v>
      </c>
      <c r="B1281" t="s">
        <v>2607</v>
      </c>
      <c r="C1281" t="s">
        <v>12550</v>
      </c>
      <c r="E1281" t="s">
        <v>12551</v>
      </c>
      <c r="F1281" t="s">
        <v>12552</v>
      </c>
      <c r="G1281" t="s">
        <v>12553</v>
      </c>
      <c r="H1281" t="s">
        <v>12554</v>
      </c>
    </row>
    <row r="1282" spans="1:8" x14ac:dyDescent="0.45">
      <c r="A1282" t="s">
        <v>679</v>
      </c>
      <c r="B1282" t="s">
        <v>680</v>
      </c>
      <c r="C1282" t="s">
        <v>12555</v>
      </c>
      <c r="E1282" t="s">
        <v>12556</v>
      </c>
      <c r="F1282" t="s">
        <v>12557</v>
      </c>
      <c r="G1282" t="s">
        <v>12558</v>
      </c>
      <c r="H1282" t="s">
        <v>12559</v>
      </c>
    </row>
    <row r="1283" spans="1:8" x14ac:dyDescent="0.45">
      <c r="A1283" t="s">
        <v>683</v>
      </c>
      <c r="B1283" t="s">
        <v>684</v>
      </c>
      <c r="C1283" t="s">
        <v>12555</v>
      </c>
      <c r="E1283" t="s">
        <v>12556</v>
      </c>
      <c r="F1283" t="s">
        <v>12557</v>
      </c>
      <c r="G1283" t="s">
        <v>12558</v>
      </c>
      <c r="H1283" t="s">
        <v>12559</v>
      </c>
    </row>
    <row r="1284" spans="1:8" x14ac:dyDescent="0.45">
      <c r="A1284" t="s">
        <v>1364</v>
      </c>
      <c r="B1284" t="s">
        <v>1365</v>
      </c>
      <c r="C1284" t="s">
        <v>12560</v>
      </c>
      <c r="E1284" t="s">
        <v>12561</v>
      </c>
      <c r="F1284" t="s">
        <v>12562</v>
      </c>
      <c r="G1284" t="s">
        <v>12563</v>
      </c>
      <c r="H1284" t="s">
        <v>12564</v>
      </c>
    </row>
    <row r="1285" spans="1:8" x14ac:dyDescent="0.45">
      <c r="A1285" t="s">
        <v>1364</v>
      </c>
      <c r="B1285" t="s">
        <v>1365</v>
      </c>
      <c r="C1285" t="s">
        <v>12560</v>
      </c>
      <c r="E1285" t="s">
        <v>12561</v>
      </c>
      <c r="F1285" t="s">
        <v>12565</v>
      </c>
      <c r="G1285" t="s">
        <v>12566</v>
      </c>
      <c r="H1285" t="s">
        <v>12564</v>
      </c>
    </row>
    <row r="1286" spans="1:8" x14ac:dyDescent="0.45">
      <c r="A1286" t="s">
        <v>1364</v>
      </c>
      <c r="B1286" t="s">
        <v>1365</v>
      </c>
      <c r="C1286" t="s">
        <v>12560</v>
      </c>
      <c r="E1286" t="s">
        <v>12561</v>
      </c>
      <c r="F1286" t="s">
        <v>12567</v>
      </c>
      <c r="G1286" t="s">
        <v>12568</v>
      </c>
      <c r="H1286" t="s">
        <v>12569</v>
      </c>
    </row>
    <row r="1287" spans="1:8" x14ac:dyDescent="0.45">
      <c r="A1287" t="s">
        <v>1364</v>
      </c>
      <c r="B1287" t="s">
        <v>1365</v>
      </c>
      <c r="C1287" t="s">
        <v>12560</v>
      </c>
      <c r="E1287" t="s">
        <v>12561</v>
      </c>
      <c r="F1287" t="s">
        <v>12570</v>
      </c>
      <c r="G1287" t="s">
        <v>12571</v>
      </c>
      <c r="H1287" t="s">
        <v>12572</v>
      </c>
    </row>
    <row r="1288" spans="1:8" x14ac:dyDescent="0.45">
      <c r="A1288" t="s">
        <v>10126</v>
      </c>
      <c r="B1288" t="s">
        <v>10127</v>
      </c>
      <c r="C1288" t="s">
        <v>12573</v>
      </c>
      <c r="E1288" t="s">
        <v>12574</v>
      </c>
      <c r="F1288" t="s">
        <v>12575</v>
      </c>
      <c r="G1288" t="s">
        <v>12576</v>
      </c>
      <c r="H1288" t="s">
        <v>12577</v>
      </c>
    </row>
    <row r="1289" spans="1:8" x14ac:dyDescent="0.45">
      <c r="A1289" t="s">
        <v>3995</v>
      </c>
      <c r="B1289" t="s">
        <v>3996</v>
      </c>
      <c r="C1289" t="s">
        <v>12578</v>
      </c>
      <c r="E1289" t="s">
        <v>12579</v>
      </c>
      <c r="F1289" t="s">
        <v>12580</v>
      </c>
      <c r="G1289" t="s">
        <v>12581</v>
      </c>
      <c r="H1289" t="s">
        <v>12582</v>
      </c>
    </row>
    <row r="1290" spans="1:8" x14ac:dyDescent="0.45">
      <c r="A1290" t="s">
        <v>4133</v>
      </c>
      <c r="B1290" t="s">
        <v>4134</v>
      </c>
      <c r="C1290" t="s">
        <v>12583</v>
      </c>
      <c r="E1290" t="s">
        <v>12584</v>
      </c>
      <c r="F1290" t="s">
        <v>12585</v>
      </c>
      <c r="G1290" t="s">
        <v>12586</v>
      </c>
      <c r="H1290" t="s">
        <v>12587</v>
      </c>
    </row>
    <row r="1291" spans="1:8" x14ac:dyDescent="0.45">
      <c r="A1291" t="s">
        <v>9467</v>
      </c>
      <c r="B1291" t="s">
        <v>9468</v>
      </c>
      <c r="C1291" t="s">
        <v>12588</v>
      </c>
      <c r="E1291" t="s">
        <v>12589</v>
      </c>
      <c r="F1291" t="s">
        <v>12590</v>
      </c>
      <c r="G1291" t="s">
        <v>12591</v>
      </c>
      <c r="H1291" t="s">
        <v>12564</v>
      </c>
    </row>
    <row r="1292" spans="1:8" x14ac:dyDescent="0.45">
      <c r="A1292" t="s">
        <v>7316</v>
      </c>
      <c r="B1292" t="s">
        <v>7317</v>
      </c>
      <c r="C1292" t="s">
        <v>12592</v>
      </c>
      <c r="E1292" t="s">
        <v>12593</v>
      </c>
      <c r="F1292" t="s">
        <v>12594</v>
      </c>
      <c r="G1292" t="s">
        <v>12595</v>
      </c>
      <c r="H1292" t="s">
        <v>12596</v>
      </c>
    </row>
    <row r="1293" spans="1:8" x14ac:dyDescent="0.45">
      <c r="A1293" t="s">
        <v>7316</v>
      </c>
      <c r="B1293" t="s">
        <v>7317</v>
      </c>
      <c r="C1293" t="s">
        <v>12592</v>
      </c>
      <c r="E1293" t="s">
        <v>12593</v>
      </c>
      <c r="F1293" t="s">
        <v>12597</v>
      </c>
      <c r="G1293" t="s">
        <v>12598</v>
      </c>
      <c r="H1293" t="s">
        <v>12596</v>
      </c>
    </row>
    <row r="1294" spans="1:8" x14ac:dyDescent="0.45">
      <c r="A1294" t="s">
        <v>3974</v>
      </c>
      <c r="B1294" t="s">
        <v>3975</v>
      </c>
      <c r="C1294" t="s">
        <v>12599</v>
      </c>
      <c r="E1294" t="s">
        <v>12600</v>
      </c>
      <c r="F1294" t="s">
        <v>12601</v>
      </c>
      <c r="G1294" t="s">
        <v>11566</v>
      </c>
      <c r="H1294" t="s">
        <v>12602</v>
      </c>
    </row>
    <row r="1295" spans="1:8" x14ac:dyDescent="0.45">
      <c r="A1295" t="s">
        <v>3974</v>
      </c>
      <c r="B1295" t="s">
        <v>3975</v>
      </c>
      <c r="C1295" t="s">
        <v>12599</v>
      </c>
      <c r="E1295" t="s">
        <v>12600</v>
      </c>
      <c r="F1295" t="s">
        <v>12603</v>
      </c>
      <c r="G1295" t="s">
        <v>11569</v>
      </c>
      <c r="H1295" t="s">
        <v>12604</v>
      </c>
    </row>
    <row r="1296" spans="1:8" x14ac:dyDescent="0.45">
      <c r="A1296" t="s">
        <v>6372</v>
      </c>
      <c r="B1296" t="s">
        <v>6373</v>
      </c>
      <c r="C1296" t="s">
        <v>12605</v>
      </c>
      <c r="E1296" t="s">
        <v>12606</v>
      </c>
      <c r="F1296" t="s">
        <v>12607</v>
      </c>
      <c r="G1296" t="s">
        <v>12608</v>
      </c>
      <c r="H1296" t="s">
        <v>12609</v>
      </c>
    </row>
    <row r="1297" spans="1:8" x14ac:dyDescent="0.45">
      <c r="A1297" t="s">
        <v>6372</v>
      </c>
      <c r="B1297" t="s">
        <v>6373</v>
      </c>
      <c r="C1297" t="s">
        <v>12605</v>
      </c>
      <c r="E1297" t="s">
        <v>12606</v>
      </c>
      <c r="F1297" t="s">
        <v>12610</v>
      </c>
      <c r="G1297" t="s">
        <v>12611</v>
      </c>
      <c r="H1297" t="s">
        <v>12609</v>
      </c>
    </row>
    <row r="1298" spans="1:8" x14ac:dyDescent="0.45">
      <c r="A1298" t="s">
        <v>4851</v>
      </c>
      <c r="B1298" t="s">
        <v>4852</v>
      </c>
      <c r="C1298" t="s">
        <v>12612</v>
      </c>
      <c r="E1298" t="s">
        <v>12613</v>
      </c>
      <c r="F1298" t="s">
        <v>12614</v>
      </c>
      <c r="G1298" t="s">
        <v>12615</v>
      </c>
      <c r="H1298" t="s">
        <v>12616</v>
      </c>
    </row>
    <row r="1299" spans="1:8" x14ac:dyDescent="0.45">
      <c r="A1299" t="s">
        <v>1089</v>
      </c>
      <c r="B1299" t="s">
        <v>1090</v>
      </c>
      <c r="C1299" t="s">
        <v>12617</v>
      </c>
      <c r="E1299" t="s">
        <v>12618</v>
      </c>
    </row>
    <row r="1300" spans="1:8" x14ac:dyDescent="0.45">
      <c r="A1300" t="s">
        <v>285</v>
      </c>
      <c r="B1300" t="s">
        <v>286</v>
      </c>
      <c r="C1300" t="s">
        <v>12619</v>
      </c>
      <c r="E1300" t="s">
        <v>12620</v>
      </c>
      <c r="F1300" t="s">
        <v>12621</v>
      </c>
      <c r="G1300" t="s">
        <v>12622</v>
      </c>
      <c r="H1300" t="s">
        <v>12623</v>
      </c>
    </row>
    <row r="1301" spans="1:8" x14ac:dyDescent="0.45">
      <c r="A1301" t="s">
        <v>4865</v>
      </c>
      <c r="B1301" t="s">
        <v>4866</v>
      </c>
      <c r="C1301" t="s">
        <v>12619</v>
      </c>
      <c r="E1301" t="s">
        <v>12620</v>
      </c>
      <c r="F1301" t="s">
        <v>12621</v>
      </c>
      <c r="G1301" t="s">
        <v>12622</v>
      </c>
      <c r="H1301" t="s">
        <v>12623</v>
      </c>
    </row>
    <row r="1302" spans="1:8" x14ac:dyDescent="0.45">
      <c r="A1302" t="s">
        <v>4903</v>
      </c>
      <c r="B1302" t="s">
        <v>4904</v>
      </c>
      <c r="C1302" t="s">
        <v>12624</v>
      </c>
      <c r="E1302" t="s">
        <v>12625</v>
      </c>
      <c r="F1302" t="s">
        <v>12626</v>
      </c>
      <c r="G1302" t="s">
        <v>12627</v>
      </c>
      <c r="H1302" t="s">
        <v>12628</v>
      </c>
    </row>
    <row r="1303" spans="1:8" x14ac:dyDescent="0.45">
      <c r="A1303" t="s">
        <v>7767</v>
      </c>
      <c r="B1303" t="s">
        <v>7768</v>
      </c>
      <c r="C1303" t="s">
        <v>12629</v>
      </c>
    </row>
    <row r="1304" spans="1:8" x14ac:dyDescent="0.45">
      <c r="A1304" t="s">
        <v>6329</v>
      </c>
      <c r="B1304" t="s">
        <v>6330</v>
      </c>
      <c r="C1304" t="s">
        <v>12630</v>
      </c>
      <c r="E1304" t="s">
        <v>12631</v>
      </c>
      <c r="F1304" t="s">
        <v>12632</v>
      </c>
      <c r="G1304" t="s">
        <v>12633</v>
      </c>
      <c r="H1304" t="s">
        <v>12634</v>
      </c>
    </row>
    <row r="1305" spans="1:8" x14ac:dyDescent="0.45">
      <c r="A1305" t="s">
        <v>8790</v>
      </c>
      <c r="B1305" t="s">
        <v>8791</v>
      </c>
      <c r="C1305" t="s">
        <v>12635</v>
      </c>
      <c r="E1305" t="s">
        <v>12636</v>
      </c>
      <c r="F1305" t="s">
        <v>12637</v>
      </c>
      <c r="G1305" t="s">
        <v>12638</v>
      </c>
      <c r="H1305" t="s">
        <v>12639</v>
      </c>
    </row>
    <row r="1306" spans="1:8" x14ac:dyDescent="0.45">
      <c r="A1306" t="s">
        <v>8790</v>
      </c>
      <c r="B1306" t="s">
        <v>8791</v>
      </c>
      <c r="C1306" t="s">
        <v>12635</v>
      </c>
      <c r="E1306" t="s">
        <v>12636</v>
      </c>
      <c r="F1306" t="s">
        <v>12640</v>
      </c>
      <c r="G1306" t="s">
        <v>12641</v>
      </c>
      <c r="H1306" t="s">
        <v>12642</v>
      </c>
    </row>
    <row r="1307" spans="1:8" x14ac:dyDescent="0.45">
      <c r="A1307" t="s">
        <v>8407</v>
      </c>
      <c r="B1307" t="s">
        <v>8408</v>
      </c>
      <c r="C1307" t="s">
        <v>12643</v>
      </c>
      <c r="E1307" t="s">
        <v>12644</v>
      </c>
      <c r="F1307" t="s">
        <v>12645</v>
      </c>
      <c r="G1307" t="s">
        <v>12646</v>
      </c>
      <c r="H1307" t="s">
        <v>12647</v>
      </c>
    </row>
    <row r="1308" spans="1:8" x14ac:dyDescent="0.45">
      <c r="A1308" t="s">
        <v>1343</v>
      </c>
      <c r="B1308" t="s">
        <v>1344</v>
      </c>
      <c r="C1308" t="s">
        <v>12648</v>
      </c>
      <c r="E1308" t="s">
        <v>12649</v>
      </c>
      <c r="F1308" t="s">
        <v>12650</v>
      </c>
      <c r="G1308" t="s">
        <v>12651</v>
      </c>
      <c r="H1308" t="s">
        <v>12652</v>
      </c>
    </row>
    <row r="1309" spans="1:8" x14ac:dyDescent="0.45">
      <c r="A1309" t="s">
        <v>1347</v>
      </c>
      <c r="B1309" t="s">
        <v>1348</v>
      </c>
      <c r="C1309" t="s">
        <v>12648</v>
      </c>
      <c r="E1309" t="s">
        <v>12649</v>
      </c>
      <c r="F1309" t="s">
        <v>12650</v>
      </c>
      <c r="G1309" t="s">
        <v>12651</v>
      </c>
      <c r="H1309" t="s">
        <v>12652</v>
      </c>
    </row>
    <row r="1310" spans="1:8" x14ac:dyDescent="0.45">
      <c r="A1310" t="s">
        <v>9104</v>
      </c>
      <c r="B1310" t="s">
        <v>9105</v>
      </c>
      <c r="C1310" t="s">
        <v>12653</v>
      </c>
      <c r="E1310" t="s">
        <v>12654</v>
      </c>
      <c r="F1310" t="s">
        <v>12655</v>
      </c>
      <c r="G1310" t="s">
        <v>12656</v>
      </c>
      <c r="H1310" t="s">
        <v>12657</v>
      </c>
    </row>
    <row r="1311" spans="1:8" x14ac:dyDescent="0.45">
      <c r="A1311" t="s">
        <v>4272</v>
      </c>
      <c r="B1311" t="s">
        <v>4273</v>
      </c>
      <c r="C1311" t="s">
        <v>12658</v>
      </c>
      <c r="E1311" t="s">
        <v>12659</v>
      </c>
      <c r="F1311" t="s">
        <v>12660</v>
      </c>
      <c r="G1311" t="s">
        <v>12661</v>
      </c>
      <c r="H1311" t="s">
        <v>12662</v>
      </c>
    </row>
    <row r="1312" spans="1:8" x14ac:dyDescent="0.45">
      <c r="A1312" t="s">
        <v>2712</v>
      </c>
      <c r="B1312" t="s">
        <v>2713</v>
      </c>
      <c r="C1312" t="s">
        <v>12663</v>
      </c>
      <c r="E1312" t="s">
        <v>12664</v>
      </c>
      <c r="F1312" t="s">
        <v>12665</v>
      </c>
      <c r="G1312" t="s">
        <v>12666</v>
      </c>
      <c r="H1312" t="s">
        <v>12667</v>
      </c>
    </row>
    <row r="1313" spans="1:8" x14ac:dyDescent="0.45">
      <c r="A1313" t="s">
        <v>9376</v>
      </c>
      <c r="B1313" t="s">
        <v>9377</v>
      </c>
      <c r="C1313" t="s">
        <v>12668</v>
      </c>
      <c r="E1313" t="s">
        <v>12669</v>
      </c>
      <c r="F1313" t="s">
        <v>12670</v>
      </c>
      <c r="G1313" t="s">
        <v>12671</v>
      </c>
      <c r="H1313" t="s">
        <v>11525</v>
      </c>
    </row>
    <row r="1314" spans="1:8" x14ac:dyDescent="0.45">
      <c r="A1314" t="s">
        <v>2456</v>
      </c>
      <c r="B1314" t="s">
        <v>2457</v>
      </c>
      <c r="C1314" t="s">
        <v>12672</v>
      </c>
      <c r="E1314" t="s">
        <v>12673</v>
      </c>
      <c r="F1314" t="s">
        <v>12674</v>
      </c>
      <c r="G1314" t="s">
        <v>12675</v>
      </c>
      <c r="H1314" t="s">
        <v>12676</v>
      </c>
    </row>
    <row r="1315" spans="1:8" x14ac:dyDescent="0.45">
      <c r="A1315" t="s">
        <v>2456</v>
      </c>
      <c r="B1315" t="s">
        <v>2457</v>
      </c>
      <c r="C1315" t="s">
        <v>12672</v>
      </c>
      <c r="E1315" t="s">
        <v>12673</v>
      </c>
      <c r="F1315" t="s">
        <v>12677</v>
      </c>
      <c r="G1315" t="s">
        <v>12675</v>
      </c>
      <c r="H1315" t="s">
        <v>12678</v>
      </c>
    </row>
    <row r="1316" spans="1:8" x14ac:dyDescent="0.45">
      <c r="A1316" t="s">
        <v>2456</v>
      </c>
      <c r="B1316" t="s">
        <v>2457</v>
      </c>
      <c r="C1316" t="s">
        <v>12672</v>
      </c>
      <c r="E1316" t="s">
        <v>12673</v>
      </c>
      <c r="F1316" t="s">
        <v>12679</v>
      </c>
      <c r="G1316" t="s">
        <v>12676</v>
      </c>
      <c r="H1316" t="s">
        <v>12678</v>
      </c>
    </row>
    <row r="1317" spans="1:8" x14ac:dyDescent="0.45">
      <c r="A1317" t="s">
        <v>2676</v>
      </c>
      <c r="B1317" t="s">
        <v>2677</v>
      </c>
      <c r="C1317" t="s">
        <v>12680</v>
      </c>
      <c r="E1317" t="s">
        <v>12681</v>
      </c>
      <c r="F1317" t="s">
        <v>12682</v>
      </c>
      <c r="G1317" t="s">
        <v>12683</v>
      </c>
      <c r="H1317" t="s">
        <v>12684</v>
      </c>
    </row>
    <row r="1318" spans="1:8" x14ac:dyDescent="0.45">
      <c r="A1318" t="s">
        <v>2676</v>
      </c>
      <c r="B1318" t="s">
        <v>2677</v>
      </c>
      <c r="C1318" t="s">
        <v>12680</v>
      </c>
      <c r="E1318" t="s">
        <v>12681</v>
      </c>
      <c r="F1318" t="s">
        <v>12685</v>
      </c>
      <c r="G1318" t="s">
        <v>12683</v>
      </c>
      <c r="H1318" t="s">
        <v>12686</v>
      </c>
    </row>
    <row r="1319" spans="1:8" x14ac:dyDescent="0.45">
      <c r="A1319" t="s">
        <v>2676</v>
      </c>
      <c r="B1319" t="s">
        <v>2677</v>
      </c>
      <c r="C1319" t="s">
        <v>12680</v>
      </c>
      <c r="E1319" t="s">
        <v>12681</v>
      </c>
      <c r="F1319" t="s">
        <v>12687</v>
      </c>
      <c r="G1319" t="s">
        <v>12684</v>
      </c>
      <c r="H1319" t="s">
        <v>12686</v>
      </c>
    </row>
    <row r="1320" spans="1:8" x14ac:dyDescent="0.45">
      <c r="A1320" t="s">
        <v>2680</v>
      </c>
      <c r="B1320" t="s">
        <v>2681</v>
      </c>
      <c r="C1320" t="s">
        <v>12680</v>
      </c>
      <c r="E1320" t="s">
        <v>12681</v>
      </c>
      <c r="F1320" t="s">
        <v>12682</v>
      </c>
      <c r="G1320" t="s">
        <v>12683</v>
      </c>
      <c r="H1320" t="s">
        <v>12684</v>
      </c>
    </row>
    <row r="1321" spans="1:8" x14ac:dyDescent="0.45">
      <c r="A1321" t="s">
        <v>2680</v>
      </c>
      <c r="B1321" t="s">
        <v>2681</v>
      </c>
      <c r="C1321" t="s">
        <v>12680</v>
      </c>
      <c r="E1321" t="s">
        <v>12681</v>
      </c>
      <c r="F1321" t="s">
        <v>12685</v>
      </c>
      <c r="G1321" t="s">
        <v>12683</v>
      </c>
      <c r="H1321" t="s">
        <v>12686</v>
      </c>
    </row>
    <row r="1322" spans="1:8" x14ac:dyDescent="0.45">
      <c r="A1322" t="s">
        <v>2680</v>
      </c>
      <c r="B1322" t="s">
        <v>2681</v>
      </c>
      <c r="C1322" t="s">
        <v>12680</v>
      </c>
      <c r="E1322" t="s">
        <v>12681</v>
      </c>
      <c r="F1322" t="s">
        <v>12687</v>
      </c>
      <c r="G1322" t="s">
        <v>12684</v>
      </c>
      <c r="H1322" t="s">
        <v>12686</v>
      </c>
    </row>
    <row r="1323" spans="1:8" x14ac:dyDescent="0.45">
      <c r="A1323" t="s">
        <v>910</v>
      </c>
      <c r="B1323" t="s">
        <v>911</v>
      </c>
      <c r="C1323" t="s">
        <v>12688</v>
      </c>
      <c r="E1323" t="s">
        <v>12689</v>
      </c>
      <c r="F1323" t="s">
        <v>12690</v>
      </c>
      <c r="G1323" t="s">
        <v>12691</v>
      </c>
      <c r="H1323" t="s">
        <v>12692</v>
      </c>
    </row>
    <row r="1324" spans="1:8" x14ac:dyDescent="0.45">
      <c r="A1324" t="s">
        <v>5233</v>
      </c>
      <c r="B1324" t="s">
        <v>5234</v>
      </c>
      <c r="C1324" t="s">
        <v>12693</v>
      </c>
      <c r="E1324" t="s">
        <v>12694</v>
      </c>
      <c r="F1324" t="s">
        <v>12695</v>
      </c>
      <c r="G1324" t="s">
        <v>12696</v>
      </c>
      <c r="H1324" t="s">
        <v>12697</v>
      </c>
    </row>
    <row r="1325" spans="1:8" x14ac:dyDescent="0.45">
      <c r="A1325" t="s">
        <v>5233</v>
      </c>
      <c r="B1325" t="s">
        <v>5234</v>
      </c>
      <c r="C1325" t="s">
        <v>12693</v>
      </c>
      <c r="E1325" t="s">
        <v>12694</v>
      </c>
      <c r="F1325" t="s">
        <v>12698</v>
      </c>
      <c r="G1325" t="s">
        <v>12699</v>
      </c>
      <c r="H1325" t="s">
        <v>12700</v>
      </c>
    </row>
    <row r="1326" spans="1:8" x14ac:dyDescent="0.45">
      <c r="A1326" t="s">
        <v>594</v>
      </c>
      <c r="B1326" t="s">
        <v>595</v>
      </c>
      <c r="C1326" t="s">
        <v>12701</v>
      </c>
      <c r="E1326" t="s">
        <v>12702</v>
      </c>
      <c r="F1326" t="s">
        <v>12703</v>
      </c>
      <c r="G1326" t="s">
        <v>12704</v>
      </c>
      <c r="H1326" t="s">
        <v>12705</v>
      </c>
    </row>
    <row r="1327" spans="1:8" x14ac:dyDescent="0.45">
      <c r="A1327" t="s">
        <v>594</v>
      </c>
      <c r="B1327" t="s">
        <v>595</v>
      </c>
      <c r="C1327" t="s">
        <v>12701</v>
      </c>
      <c r="E1327" t="s">
        <v>12702</v>
      </c>
      <c r="F1327" t="s">
        <v>12706</v>
      </c>
      <c r="G1327" t="s">
        <v>12707</v>
      </c>
      <c r="H1327" t="s">
        <v>12708</v>
      </c>
    </row>
    <row r="1328" spans="1:8" x14ac:dyDescent="0.45">
      <c r="A1328" t="s">
        <v>594</v>
      </c>
      <c r="B1328" t="s">
        <v>595</v>
      </c>
      <c r="C1328" t="s">
        <v>12701</v>
      </c>
      <c r="E1328" t="s">
        <v>12702</v>
      </c>
      <c r="F1328" t="s">
        <v>12709</v>
      </c>
      <c r="G1328" t="s">
        <v>12710</v>
      </c>
      <c r="H1328" t="s">
        <v>12711</v>
      </c>
    </row>
    <row r="1329" spans="1:8" x14ac:dyDescent="0.45">
      <c r="A1329" t="s">
        <v>594</v>
      </c>
      <c r="B1329" t="s">
        <v>595</v>
      </c>
      <c r="C1329" t="s">
        <v>12701</v>
      </c>
      <c r="E1329" t="s">
        <v>12702</v>
      </c>
      <c r="F1329" t="s">
        <v>12712</v>
      </c>
      <c r="G1329" t="s">
        <v>12713</v>
      </c>
      <c r="H1329" t="s">
        <v>12714</v>
      </c>
    </row>
    <row r="1330" spans="1:8" x14ac:dyDescent="0.45">
      <c r="A1330" t="s">
        <v>594</v>
      </c>
      <c r="B1330" t="s">
        <v>595</v>
      </c>
      <c r="C1330" t="s">
        <v>12701</v>
      </c>
      <c r="E1330" t="s">
        <v>12702</v>
      </c>
      <c r="F1330" t="s">
        <v>12715</v>
      </c>
      <c r="G1330" t="s">
        <v>12716</v>
      </c>
      <c r="H1330" t="s">
        <v>12717</v>
      </c>
    </row>
    <row r="1331" spans="1:8" x14ac:dyDescent="0.45">
      <c r="A1331" t="s">
        <v>594</v>
      </c>
      <c r="B1331" t="s">
        <v>595</v>
      </c>
      <c r="C1331" t="s">
        <v>12701</v>
      </c>
      <c r="E1331" t="s">
        <v>12702</v>
      </c>
      <c r="F1331" t="s">
        <v>12718</v>
      </c>
      <c r="G1331" t="s">
        <v>12719</v>
      </c>
      <c r="H1331" t="s">
        <v>12720</v>
      </c>
    </row>
    <row r="1332" spans="1:8" x14ac:dyDescent="0.45">
      <c r="A1332" t="s">
        <v>594</v>
      </c>
      <c r="B1332" t="s">
        <v>595</v>
      </c>
      <c r="C1332" t="s">
        <v>12701</v>
      </c>
      <c r="E1332" t="s">
        <v>12702</v>
      </c>
      <c r="F1332" t="s">
        <v>12721</v>
      </c>
      <c r="G1332" t="s">
        <v>12722</v>
      </c>
      <c r="H1332" t="s">
        <v>12723</v>
      </c>
    </row>
    <row r="1333" spans="1:8" x14ac:dyDescent="0.45">
      <c r="A1333" t="s">
        <v>594</v>
      </c>
      <c r="B1333" t="s">
        <v>595</v>
      </c>
      <c r="C1333" t="s">
        <v>12701</v>
      </c>
      <c r="E1333" t="s">
        <v>12702</v>
      </c>
      <c r="F1333" t="s">
        <v>12724</v>
      </c>
      <c r="G1333" t="s">
        <v>12725</v>
      </c>
      <c r="H1333" t="s">
        <v>12726</v>
      </c>
    </row>
    <row r="1334" spans="1:8" x14ac:dyDescent="0.45">
      <c r="A1334" t="s">
        <v>594</v>
      </c>
      <c r="B1334" t="s">
        <v>595</v>
      </c>
      <c r="C1334" t="s">
        <v>12701</v>
      </c>
      <c r="E1334" t="s">
        <v>12702</v>
      </c>
      <c r="F1334" t="s">
        <v>12727</v>
      </c>
      <c r="G1334" t="s">
        <v>12728</v>
      </c>
      <c r="H1334" t="s">
        <v>12729</v>
      </c>
    </row>
    <row r="1335" spans="1:8" x14ac:dyDescent="0.45">
      <c r="A1335" t="s">
        <v>594</v>
      </c>
      <c r="B1335" t="s">
        <v>595</v>
      </c>
      <c r="C1335" t="s">
        <v>12701</v>
      </c>
      <c r="E1335" t="s">
        <v>12702</v>
      </c>
      <c r="F1335" t="s">
        <v>12730</v>
      </c>
      <c r="G1335" t="s">
        <v>12731</v>
      </c>
      <c r="H1335" t="s">
        <v>12732</v>
      </c>
    </row>
    <row r="1336" spans="1:8" x14ac:dyDescent="0.45">
      <c r="A1336" t="s">
        <v>5797</v>
      </c>
      <c r="B1336" t="s">
        <v>5798</v>
      </c>
      <c r="C1336" t="s">
        <v>12733</v>
      </c>
      <c r="E1336" t="s">
        <v>12734</v>
      </c>
      <c r="F1336" t="s">
        <v>12735</v>
      </c>
      <c r="G1336" t="s">
        <v>12736</v>
      </c>
      <c r="H1336" t="s">
        <v>12737</v>
      </c>
    </row>
    <row r="1337" spans="1:8" x14ac:dyDescent="0.45">
      <c r="A1337" t="s">
        <v>5797</v>
      </c>
      <c r="B1337" t="s">
        <v>5798</v>
      </c>
      <c r="C1337" t="s">
        <v>12733</v>
      </c>
      <c r="E1337" t="s">
        <v>12734</v>
      </c>
      <c r="F1337" t="s">
        <v>12738</v>
      </c>
      <c r="G1337" t="s">
        <v>12739</v>
      </c>
      <c r="H1337" t="s">
        <v>12737</v>
      </c>
    </row>
    <row r="1338" spans="1:8" x14ac:dyDescent="0.45">
      <c r="A1338" t="s">
        <v>5797</v>
      </c>
      <c r="B1338" t="s">
        <v>5798</v>
      </c>
      <c r="C1338" t="s">
        <v>12733</v>
      </c>
      <c r="E1338" t="s">
        <v>12734</v>
      </c>
      <c r="F1338" t="s">
        <v>12740</v>
      </c>
      <c r="G1338" t="s">
        <v>12741</v>
      </c>
      <c r="H1338" t="s">
        <v>12742</v>
      </c>
    </row>
    <row r="1339" spans="1:8" x14ac:dyDescent="0.45">
      <c r="A1339" t="s">
        <v>6062</v>
      </c>
      <c r="B1339" t="s">
        <v>6063</v>
      </c>
      <c r="C1339" t="s">
        <v>12743</v>
      </c>
      <c r="E1339" t="s">
        <v>12744</v>
      </c>
      <c r="F1339" t="s">
        <v>12745</v>
      </c>
      <c r="G1339" t="s">
        <v>12746</v>
      </c>
      <c r="H1339" t="s">
        <v>12747</v>
      </c>
    </row>
    <row r="1340" spans="1:8" x14ac:dyDescent="0.45">
      <c r="A1340" t="s">
        <v>6062</v>
      </c>
      <c r="B1340" t="s">
        <v>6063</v>
      </c>
      <c r="C1340" t="s">
        <v>12743</v>
      </c>
      <c r="E1340" t="s">
        <v>12744</v>
      </c>
      <c r="F1340" t="s">
        <v>12748</v>
      </c>
      <c r="G1340" t="s">
        <v>12749</v>
      </c>
      <c r="H1340" t="s">
        <v>12750</v>
      </c>
    </row>
    <row r="1341" spans="1:8" x14ac:dyDescent="0.45">
      <c r="A1341" t="s">
        <v>3088</v>
      </c>
      <c r="B1341" t="s">
        <v>3089</v>
      </c>
      <c r="C1341" t="s">
        <v>12751</v>
      </c>
      <c r="E1341" t="s">
        <v>12752</v>
      </c>
      <c r="F1341" t="s">
        <v>12753</v>
      </c>
      <c r="G1341" t="s">
        <v>12754</v>
      </c>
      <c r="H1341" t="s">
        <v>12755</v>
      </c>
    </row>
    <row r="1342" spans="1:8" x14ac:dyDescent="0.45">
      <c r="A1342" t="s">
        <v>5221</v>
      </c>
      <c r="B1342" t="s">
        <v>5222</v>
      </c>
      <c r="C1342" t="s">
        <v>12756</v>
      </c>
      <c r="E1342" t="s">
        <v>12757</v>
      </c>
      <c r="F1342" t="s">
        <v>12758</v>
      </c>
      <c r="G1342" t="s">
        <v>12759</v>
      </c>
      <c r="H1342" t="s">
        <v>12760</v>
      </c>
    </row>
    <row r="1343" spans="1:8" x14ac:dyDescent="0.45">
      <c r="A1343" t="s">
        <v>5229</v>
      </c>
      <c r="B1343" t="s">
        <v>5230</v>
      </c>
      <c r="C1343" t="s">
        <v>12761</v>
      </c>
      <c r="E1343" t="s">
        <v>12762</v>
      </c>
      <c r="F1343" t="s">
        <v>12763</v>
      </c>
      <c r="G1343" t="s">
        <v>12764</v>
      </c>
      <c r="H1343" t="s">
        <v>12765</v>
      </c>
    </row>
    <row r="1344" spans="1:8" x14ac:dyDescent="0.45">
      <c r="A1344" t="s">
        <v>799</v>
      </c>
      <c r="B1344" t="s">
        <v>800</v>
      </c>
      <c r="C1344" t="s">
        <v>12766</v>
      </c>
      <c r="E1344" t="s">
        <v>12767</v>
      </c>
    </row>
    <row r="1345" spans="1:8" x14ac:dyDescent="0.45">
      <c r="A1345" t="s">
        <v>1688</v>
      </c>
      <c r="B1345" t="s">
        <v>1689</v>
      </c>
      <c r="C1345" t="s">
        <v>12766</v>
      </c>
      <c r="E1345" t="s">
        <v>12767</v>
      </c>
    </row>
    <row r="1346" spans="1:8" x14ac:dyDescent="0.45">
      <c r="A1346" t="s">
        <v>5975</v>
      </c>
      <c r="B1346" t="s">
        <v>5976</v>
      </c>
      <c r="C1346" t="s">
        <v>12768</v>
      </c>
      <c r="E1346" t="s">
        <v>12769</v>
      </c>
      <c r="F1346" t="s">
        <v>12770</v>
      </c>
      <c r="G1346" t="s">
        <v>12771</v>
      </c>
      <c r="H1346" t="s">
        <v>12772</v>
      </c>
    </row>
    <row r="1347" spans="1:8" x14ac:dyDescent="0.45">
      <c r="A1347" t="s">
        <v>5975</v>
      </c>
      <c r="B1347" t="s">
        <v>5976</v>
      </c>
      <c r="C1347" t="s">
        <v>12768</v>
      </c>
      <c r="E1347" t="s">
        <v>12769</v>
      </c>
      <c r="F1347" t="s">
        <v>12773</v>
      </c>
      <c r="G1347" t="s">
        <v>12774</v>
      </c>
      <c r="H1347" t="s">
        <v>12772</v>
      </c>
    </row>
    <row r="1348" spans="1:8" x14ac:dyDescent="0.45">
      <c r="A1348" t="s">
        <v>8830</v>
      </c>
      <c r="B1348" t="s">
        <v>8831</v>
      </c>
      <c r="C1348" t="s">
        <v>12768</v>
      </c>
      <c r="E1348" t="s">
        <v>12769</v>
      </c>
      <c r="F1348" t="s">
        <v>12770</v>
      </c>
      <c r="G1348" t="s">
        <v>12771</v>
      </c>
      <c r="H1348" t="s">
        <v>12772</v>
      </c>
    </row>
    <row r="1349" spans="1:8" x14ac:dyDescent="0.45">
      <c r="A1349" t="s">
        <v>8830</v>
      </c>
      <c r="B1349" t="s">
        <v>8831</v>
      </c>
      <c r="C1349" t="s">
        <v>12768</v>
      </c>
      <c r="E1349" t="s">
        <v>12769</v>
      </c>
      <c r="F1349" t="s">
        <v>12773</v>
      </c>
      <c r="G1349" t="s">
        <v>12774</v>
      </c>
      <c r="H1349" t="s">
        <v>12772</v>
      </c>
    </row>
    <row r="1350" spans="1:8" x14ac:dyDescent="0.45">
      <c r="A1350" t="s">
        <v>8933</v>
      </c>
      <c r="B1350" t="s">
        <v>8934</v>
      </c>
      <c r="C1350" t="s">
        <v>12775</v>
      </c>
      <c r="E1350" t="s">
        <v>12776</v>
      </c>
      <c r="F1350" t="s">
        <v>12777</v>
      </c>
      <c r="G1350" t="s">
        <v>12778</v>
      </c>
      <c r="H1350" t="s">
        <v>12772</v>
      </c>
    </row>
    <row r="1351" spans="1:8" x14ac:dyDescent="0.45">
      <c r="A1351" t="s">
        <v>8933</v>
      </c>
      <c r="B1351" t="s">
        <v>8934</v>
      </c>
      <c r="C1351" t="s">
        <v>12775</v>
      </c>
      <c r="E1351" t="s">
        <v>12776</v>
      </c>
      <c r="F1351" t="s">
        <v>12779</v>
      </c>
      <c r="G1351" t="s">
        <v>12778</v>
      </c>
      <c r="H1351" t="s">
        <v>12780</v>
      </c>
    </row>
    <row r="1352" spans="1:8" x14ac:dyDescent="0.45">
      <c r="A1352" t="s">
        <v>8933</v>
      </c>
      <c r="B1352" t="s">
        <v>8934</v>
      </c>
      <c r="C1352" t="s">
        <v>12775</v>
      </c>
      <c r="E1352" t="s">
        <v>12776</v>
      </c>
      <c r="F1352" t="s">
        <v>12781</v>
      </c>
      <c r="G1352" t="s">
        <v>12782</v>
      </c>
      <c r="H1352" t="s">
        <v>12783</v>
      </c>
    </row>
    <row r="1353" spans="1:8" x14ac:dyDescent="0.45">
      <c r="A1353" t="s">
        <v>8933</v>
      </c>
      <c r="B1353" t="s">
        <v>8934</v>
      </c>
      <c r="C1353" t="s">
        <v>12775</v>
      </c>
      <c r="E1353" t="s">
        <v>12776</v>
      </c>
      <c r="F1353" t="s">
        <v>12784</v>
      </c>
      <c r="G1353" t="s">
        <v>12785</v>
      </c>
      <c r="H1353" t="s">
        <v>12772</v>
      </c>
    </row>
    <row r="1354" spans="1:8" x14ac:dyDescent="0.45">
      <c r="A1354" t="s">
        <v>8933</v>
      </c>
      <c r="B1354" t="s">
        <v>8934</v>
      </c>
      <c r="C1354" t="s">
        <v>12775</v>
      </c>
      <c r="E1354" t="s">
        <v>12776</v>
      </c>
      <c r="F1354" t="s">
        <v>12786</v>
      </c>
      <c r="G1354" t="s">
        <v>12787</v>
      </c>
      <c r="H1354" t="s">
        <v>12788</v>
      </c>
    </row>
    <row r="1355" spans="1:8" x14ac:dyDescent="0.45">
      <c r="A1355" t="s">
        <v>7103</v>
      </c>
      <c r="B1355" t="s">
        <v>7104</v>
      </c>
      <c r="C1355" t="s">
        <v>12789</v>
      </c>
      <c r="E1355" t="s">
        <v>12790</v>
      </c>
      <c r="F1355" t="s">
        <v>12791</v>
      </c>
      <c r="G1355" t="s">
        <v>12595</v>
      </c>
      <c r="H1355" t="s">
        <v>12792</v>
      </c>
    </row>
    <row r="1356" spans="1:8" x14ac:dyDescent="0.45">
      <c r="A1356" t="s">
        <v>7103</v>
      </c>
      <c r="B1356" t="s">
        <v>7104</v>
      </c>
      <c r="C1356" t="s">
        <v>12789</v>
      </c>
      <c r="E1356" t="s">
        <v>12790</v>
      </c>
      <c r="F1356" t="s">
        <v>12793</v>
      </c>
      <c r="G1356" t="s">
        <v>12794</v>
      </c>
      <c r="H1356" t="s">
        <v>12795</v>
      </c>
    </row>
    <row r="1357" spans="1:8" x14ac:dyDescent="0.45">
      <c r="A1357" t="s">
        <v>7103</v>
      </c>
      <c r="B1357" t="s">
        <v>7104</v>
      </c>
      <c r="C1357" t="s">
        <v>12789</v>
      </c>
      <c r="E1357" t="s">
        <v>12790</v>
      </c>
      <c r="F1357" t="s">
        <v>12796</v>
      </c>
      <c r="G1357" t="s">
        <v>12797</v>
      </c>
      <c r="H1357" t="s">
        <v>12792</v>
      </c>
    </row>
    <row r="1358" spans="1:8" x14ac:dyDescent="0.45">
      <c r="A1358" t="s">
        <v>7103</v>
      </c>
      <c r="B1358" t="s">
        <v>7104</v>
      </c>
      <c r="C1358" t="s">
        <v>12789</v>
      </c>
      <c r="E1358" t="s">
        <v>12790</v>
      </c>
      <c r="F1358" t="s">
        <v>12777</v>
      </c>
      <c r="G1358" t="s">
        <v>12778</v>
      </c>
      <c r="H1358" t="s">
        <v>12772</v>
      </c>
    </row>
    <row r="1359" spans="1:8" x14ac:dyDescent="0.45">
      <c r="A1359" t="s">
        <v>7103</v>
      </c>
      <c r="B1359" t="s">
        <v>7104</v>
      </c>
      <c r="C1359" t="s">
        <v>12789</v>
      </c>
      <c r="E1359" t="s">
        <v>12790</v>
      </c>
      <c r="F1359" t="s">
        <v>12786</v>
      </c>
      <c r="G1359" t="s">
        <v>12787</v>
      </c>
      <c r="H1359" t="s">
        <v>12788</v>
      </c>
    </row>
    <row r="1360" spans="1:8" x14ac:dyDescent="0.45">
      <c r="A1360" t="s">
        <v>5533</v>
      </c>
      <c r="B1360" t="s">
        <v>5534</v>
      </c>
      <c r="C1360" t="s">
        <v>12798</v>
      </c>
      <c r="E1360" t="s">
        <v>12799</v>
      </c>
      <c r="F1360" t="s">
        <v>12800</v>
      </c>
      <c r="G1360" t="s">
        <v>12801</v>
      </c>
      <c r="H1360" t="s">
        <v>12802</v>
      </c>
    </row>
    <row r="1361" spans="1:8" x14ac:dyDescent="0.45">
      <c r="A1361" t="s">
        <v>5533</v>
      </c>
      <c r="B1361" t="s">
        <v>5534</v>
      </c>
      <c r="C1361" t="s">
        <v>12798</v>
      </c>
      <c r="E1361" t="s">
        <v>12799</v>
      </c>
      <c r="F1361" t="s">
        <v>12803</v>
      </c>
      <c r="G1361" t="s">
        <v>12787</v>
      </c>
      <c r="H1361" t="s">
        <v>12804</v>
      </c>
    </row>
    <row r="1362" spans="1:8" x14ac:dyDescent="0.45">
      <c r="A1362" t="s">
        <v>7073</v>
      </c>
      <c r="B1362" t="s">
        <v>7074</v>
      </c>
      <c r="C1362" t="s">
        <v>12805</v>
      </c>
      <c r="E1362" t="s">
        <v>12806</v>
      </c>
      <c r="F1362" t="s">
        <v>12807</v>
      </c>
      <c r="G1362" t="s">
        <v>12808</v>
      </c>
      <c r="H1362" t="s">
        <v>12809</v>
      </c>
    </row>
    <row r="1363" spans="1:8" x14ac:dyDescent="0.45">
      <c r="A1363" t="s">
        <v>4276</v>
      </c>
      <c r="B1363" t="s">
        <v>4277</v>
      </c>
      <c r="C1363" t="s">
        <v>12810</v>
      </c>
      <c r="E1363" t="s">
        <v>12811</v>
      </c>
      <c r="F1363" t="s">
        <v>12812</v>
      </c>
      <c r="G1363" t="s">
        <v>12813</v>
      </c>
      <c r="H1363" t="s">
        <v>12814</v>
      </c>
    </row>
    <row r="1364" spans="1:8" x14ac:dyDescent="0.45">
      <c r="A1364" t="s">
        <v>4276</v>
      </c>
      <c r="B1364" t="s">
        <v>4277</v>
      </c>
      <c r="C1364" t="s">
        <v>12810</v>
      </c>
      <c r="E1364" t="s">
        <v>12811</v>
      </c>
      <c r="F1364" t="s">
        <v>10767</v>
      </c>
      <c r="G1364" t="s">
        <v>10768</v>
      </c>
      <c r="H1364" t="s">
        <v>10769</v>
      </c>
    </row>
    <row r="1365" spans="1:8" x14ac:dyDescent="0.45">
      <c r="A1365" t="s">
        <v>4276</v>
      </c>
      <c r="B1365" t="s">
        <v>4277</v>
      </c>
      <c r="C1365" t="s">
        <v>12810</v>
      </c>
      <c r="E1365" t="s">
        <v>12811</v>
      </c>
      <c r="F1365" t="s">
        <v>12815</v>
      </c>
      <c r="G1365" t="s">
        <v>12816</v>
      </c>
      <c r="H1365" t="s">
        <v>12817</v>
      </c>
    </row>
    <row r="1366" spans="1:8" x14ac:dyDescent="0.45">
      <c r="A1366" t="s">
        <v>4284</v>
      </c>
      <c r="B1366" t="s">
        <v>4285</v>
      </c>
      <c r="C1366" t="s">
        <v>12810</v>
      </c>
      <c r="E1366" t="s">
        <v>12811</v>
      </c>
      <c r="F1366" t="s">
        <v>12812</v>
      </c>
      <c r="G1366" t="s">
        <v>12813</v>
      </c>
      <c r="H1366" t="s">
        <v>12814</v>
      </c>
    </row>
    <row r="1367" spans="1:8" x14ac:dyDescent="0.45">
      <c r="A1367" t="s">
        <v>4284</v>
      </c>
      <c r="B1367" t="s">
        <v>4285</v>
      </c>
      <c r="C1367" t="s">
        <v>12810</v>
      </c>
      <c r="E1367" t="s">
        <v>12811</v>
      </c>
      <c r="F1367" t="s">
        <v>10767</v>
      </c>
      <c r="G1367" t="s">
        <v>10768</v>
      </c>
      <c r="H1367" t="s">
        <v>10769</v>
      </c>
    </row>
    <row r="1368" spans="1:8" x14ac:dyDescent="0.45">
      <c r="A1368" t="s">
        <v>4284</v>
      </c>
      <c r="B1368" t="s">
        <v>4285</v>
      </c>
      <c r="C1368" t="s">
        <v>12810</v>
      </c>
      <c r="E1368" t="s">
        <v>12811</v>
      </c>
      <c r="F1368" t="s">
        <v>12815</v>
      </c>
      <c r="G1368" t="s">
        <v>12816</v>
      </c>
      <c r="H1368" t="s">
        <v>12817</v>
      </c>
    </row>
    <row r="1369" spans="1:8" x14ac:dyDescent="0.45">
      <c r="A1369" t="s">
        <v>3661</v>
      </c>
      <c r="B1369" t="s">
        <v>3662</v>
      </c>
      <c r="C1369" t="s">
        <v>12818</v>
      </c>
      <c r="E1369" t="s">
        <v>12819</v>
      </c>
      <c r="F1369" t="s">
        <v>12820</v>
      </c>
      <c r="G1369" t="s">
        <v>12821</v>
      </c>
      <c r="H1369" t="s">
        <v>12822</v>
      </c>
    </row>
    <row r="1370" spans="1:8" x14ac:dyDescent="0.45">
      <c r="A1370" t="s">
        <v>3661</v>
      </c>
      <c r="B1370" t="s">
        <v>3662</v>
      </c>
      <c r="C1370" t="s">
        <v>12818</v>
      </c>
      <c r="E1370" t="s">
        <v>12819</v>
      </c>
      <c r="F1370" t="s">
        <v>12823</v>
      </c>
      <c r="G1370" t="s">
        <v>12824</v>
      </c>
      <c r="H1370" t="s">
        <v>12825</v>
      </c>
    </row>
    <row r="1371" spans="1:8" x14ac:dyDescent="0.45">
      <c r="A1371" t="s">
        <v>3661</v>
      </c>
      <c r="B1371" t="s">
        <v>3662</v>
      </c>
      <c r="C1371" t="s">
        <v>12818</v>
      </c>
      <c r="E1371" t="s">
        <v>12819</v>
      </c>
      <c r="F1371" t="s">
        <v>12826</v>
      </c>
      <c r="G1371" t="s">
        <v>12827</v>
      </c>
      <c r="H1371" t="s">
        <v>12828</v>
      </c>
    </row>
    <row r="1372" spans="1:8" x14ac:dyDescent="0.45">
      <c r="A1372" t="s">
        <v>8937</v>
      </c>
      <c r="B1372" t="s">
        <v>8938</v>
      </c>
      <c r="C1372" t="s">
        <v>12829</v>
      </c>
      <c r="E1372" t="s">
        <v>12830</v>
      </c>
      <c r="F1372" t="s">
        <v>12831</v>
      </c>
      <c r="G1372" t="s">
        <v>12832</v>
      </c>
      <c r="H1372" t="s">
        <v>12833</v>
      </c>
    </row>
    <row r="1373" spans="1:8" x14ac:dyDescent="0.45">
      <c r="A1373" t="s">
        <v>8942</v>
      </c>
      <c r="B1373" t="s">
        <v>8943</v>
      </c>
      <c r="C1373" t="s">
        <v>12829</v>
      </c>
      <c r="E1373" t="s">
        <v>12830</v>
      </c>
      <c r="F1373" t="s">
        <v>12831</v>
      </c>
      <c r="G1373" t="s">
        <v>12832</v>
      </c>
      <c r="H1373" t="s">
        <v>12833</v>
      </c>
    </row>
    <row r="1374" spans="1:8" x14ac:dyDescent="0.45">
      <c r="A1374" t="s">
        <v>10097</v>
      </c>
      <c r="B1374" t="s">
        <v>10098</v>
      </c>
      <c r="C1374" t="s">
        <v>12829</v>
      </c>
      <c r="E1374" t="s">
        <v>12830</v>
      </c>
      <c r="F1374" t="s">
        <v>12831</v>
      </c>
      <c r="G1374" t="s">
        <v>12832</v>
      </c>
      <c r="H1374" t="s">
        <v>12833</v>
      </c>
    </row>
    <row r="1375" spans="1:8" x14ac:dyDescent="0.45">
      <c r="A1375" t="s">
        <v>5695</v>
      </c>
      <c r="B1375" t="s">
        <v>5696</v>
      </c>
      <c r="C1375" t="s">
        <v>12834</v>
      </c>
    </row>
    <row r="1376" spans="1:8" x14ac:dyDescent="0.45">
      <c r="A1376" t="s">
        <v>5579</v>
      </c>
      <c r="B1376" t="s">
        <v>5580</v>
      </c>
      <c r="C1376" t="s">
        <v>12835</v>
      </c>
      <c r="E1376" t="s">
        <v>12836</v>
      </c>
      <c r="F1376" t="s">
        <v>12837</v>
      </c>
      <c r="G1376" t="s">
        <v>12838</v>
      </c>
      <c r="H1376" t="s">
        <v>12839</v>
      </c>
    </row>
    <row r="1377" spans="1:8" x14ac:dyDescent="0.45">
      <c r="A1377" t="s">
        <v>5579</v>
      </c>
      <c r="B1377" t="s">
        <v>5580</v>
      </c>
      <c r="C1377" t="s">
        <v>12835</v>
      </c>
      <c r="E1377" t="s">
        <v>12836</v>
      </c>
      <c r="F1377" t="s">
        <v>12840</v>
      </c>
      <c r="G1377" t="s">
        <v>12841</v>
      </c>
      <c r="H1377" t="s">
        <v>12842</v>
      </c>
    </row>
    <row r="1378" spans="1:8" x14ac:dyDescent="0.45">
      <c r="A1378" t="s">
        <v>5579</v>
      </c>
      <c r="B1378" t="s">
        <v>5580</v>
      </c>
      <c r="C1378" t="s">
        <v>12835</v>
      </c>
      <c r="E1378" t="s">
        <v>12836</v>
      </c>
      <c r="F1378" t="s">
        <v>12843</v>
      </c>
      <c r="G1378" t="s">
        <v>12844</v>
      </c>
      <c r="H1378" t="s">
        <v>12845</v>
      </c>
    </row>
    <row r="1379" spans="1:8" x14ac:dyDescent="0.45">
      <c r="A1379" t="s">
        <v>5579</v>
      </c>
      <c r="B1379" t="s">
        <v>5580</v>
      </c>
      <c r="C1379" t="s">
        <v>12835</v>
      </c>
      <c r="E1379" t="s">
        <v>12836</v>
      </c>
      <c r="F1379" t="s">
        <v>12846</v>
      </c>
      <c r="G1379" t="s">
        <v>12847</v>
      </c>
      <c r="H1379" t="s">
        <v>12848</v>
      </c>
    </row>
    <row r="1380" spans="1:8" x14ac:dyDescent="0.45">
      <c r="A1380" t="s">
        <v>5579</v>
      </c>
      <c r="B1380" t="s">
        <v>5580</v>
      </c>
      <c r="C1380" t="s">
        <v>12835</v>
      </c>
      <c r="E1380" t="s">
        <v>12836</v>
      </c>
      <c r="F1380" t="s">
        <v>12849</v>
      </c>
      <c r="G1380" t="s">
        <v>12838</v>
      </c>
      <c r="H1380" t="s">
        <v>12850</v>
      </c>
    </row>
    <row r="1381" spans="1:8" x14ac:dyDescent="0.45">
      <c r="A1381" t="s">
        <v>5579</v>
      </c>
      <c r="B1381" t="s">
        <v>5580</v>
      </c>
      <c r="C1381" t="s">
        <v>12835</v>
      </c>
      <c r="E1381" t="s">
        <v>12836</v>
      </c>
      <c r="F1381" t="s">
        <v>12851</v>
      </c>
      <c r="G1381" t="s">
        <v>12852</v>
      </c>
      <c r="H1381" t="s">
        <v>12853</v>
      </c>
    </row>
    <row r="1382" spans="1:8" x14ac:dyDescent="0.45">
      <c r="A1382" t="s">
        <v>5579</v>
      </c>
      <c r="B1382" t="s">
        <v>5580</v>
      </c>
      <c r="C1382" t="s">
        <v>12835</v>
      </c>
      <c r="E1382" t="s">
        <v>12836</v>
      </c>
      <c r="F1382" t="s">
        <v>12854</v>
      </c>
      <c r="G1382" t="s">
        <v>12855</v>
      </c>
      <c r="H1382" t="s">
        <v>12856</v>
      </c>
    </row>
    <row r="1383" spans="1:8" x14ac:dyDescent="0.45">
      <c r="A1383" t="s">
        <v>5579</v>
      </c>
      <c r="B1383" t="s">
        <v>5580</v>
      </c>
      <c r="C1383" t="s">
        <v>12835</v>
      </c>
      <c r="E1383" t="s">
        <v>12836</v>
      </c>
      <c r="F1383" t="s">
        <v>12857</v>
      </c>
      <c r="G1383" t="s">
        <v>12858</v>
      </c>
      <c r="H1383" t="s">
        <v>12859</v>
      </c>
    </row>
    <row r="1384" spans="1:8" x14ac:dyDescent="0.45">
      <c r="A1384" t="s">
        <v>7028</v>
      </c>
      <c r="B1384" t="s">
        <v>7029</v>
      </c>
      <c r="C1384" t="s">
        <v>12835</v>
      </c>
      <c r="E1384" t="s">
        <v>12836</v>
      </c>
      <c r="F1384" t="s">
        <v>12837</v>
      </c>
      <c r="G1384" t="s">
        <v>12838</v>
      </c>
      <c r="H1384" t="s">
        <v>12839</v>
      </c>
    </row>
    <row r="1385" spans="1:8" x14ac:dyDescent="0.45">
      <c r="A1385" t="s">
        <v>7028</v>
      </c>
      <c r="B1385" t="s">
        <v>7029</v>
      </c>
      <c r="C1385" t="s">
        <v>12835</v>
      </c>
      <c r="E1385" t="s">
        <v>12836</v>
      </c>
      <c r="F1385" t="s">
        <v>12840</v>
      </c>
      <c r="G1385" t="s">
        <v>12841</v>
      </c>
      <c r="H1385" t="s">
        <v>12842</v>
      </c>
    </row>
    <row r="1386" spans="1:8" x14ac:dyDescent="0.45">
      <c r="A1386" t="s">
        <v>7028</v>
      </c>
      <c r="B1386" t="s">
        <v>7029</v>
      </c>
      <c r="C1386" t="s">
        <v>12835</v>
      </c>
      <c r="E1386" t="s">
        <v>12836</v>
      </c>
      <c r="F1386" t="s">
        <v>12843</v>
      </c>
      <c r="G1386" t="s">
        <v>12844</v>
      </c>
      <c r="H1386" t="s">
        <v>12845</v>
      </c>
    </row>
    <row r="1387" spans="1:8" x14ac:dyDescent="0.45">
      <c r="A1387" t="s">
        <v>7028</v>
      </c>
      <c r="B1387" t="s">
        <v>7029</v>
      </c>
      <c r="C1387" t="s">
        <v>12835</v>
      </c>
      <c r="E1387" t="s">
        <v>12836</v>
      </c>
      <c r="F1387" t="s">
        <v>12846</v>
      </c>
      <c r="G1387" t="s">
        <v>12847</v>
      </c>
      <c r="H1387" t="s">
        <v>12848</v>
      </c>
    </row>
    <row r="1388" spans="1:8" x14ac:dyDescent="0.45">
      <c r="A1388" t="s">
        <v>7028</v>
      </c>
      <c r="B1388" t="s">
        <v>7029</v>
      </c>
      <c r="C1388" t="s">
        <v>12835</v>
      </c>
      <c r="E1388" t="s">
        <v>12836</v>
      </c>
      <c r="F1388" t="s">
        <v>12849</v>
      </c>
      <c r="G1388" t="s">
        <v>12838</v>
      </c>
      <c r="H1388" t="s">
        <v>12850</v>
      </c>
    </row>
    <row r="1389" spans="1:8" x14ac:dyDescent="0.45">
      <c r="A1389" t="s">
        <v>7028</v>
      </c>
      <c r="B1389" t="s">
        <v>7029</v>
      </c>
      <c r="C1389" t="s">
        <v>12835</v>
      </c>
      <c r="E1389" t="s">
        <v>12836</v>
      </c>
      <c r="F1389" t="s">
        <v>12851</v>
      </c>
      <c r="G1389" t="s">
        <v>12852</v>
      </c>
      <c r="H1389" t="s">
        <v>12853</v>
      </c>
    </row>
    <row r="1390" spans="1:8" x14ac:dyDescent="0.45">
      <c r="A1390" t="s">
        <v>7028</v>
      </c>
      <c r="B1390" t="s">
        <v>7029</v>
      </c>
      <c r="C1390" t="s">
        <v>12835</v>
      </c>
      <c r="E1390" t="s">
        <v>12836</v>
      </c>
      <c r="F1390" t="s">
        <v>12854</v>
      </c>
      <c r="G1390" t="s">
        <v>12855</v>
      </c>
      <c r="H1390" t="s">
        <v>12856</v>
      </c>
    </row>
    <row r="1391" spans="1:8" x14ac:dyDescent="0.45">
      <c r="A1391" t="s">
        <v>7028</v>
      </c>
      <c r="B1391" t="s">
        <v>7029</v>
      </c>
      <c r="C1391" t="s">
        <v>12835</v>
      </c>
      <c r="E1391" t="s">
        <v>12836</v>
      </c>
      <c r="F1391" t="s">
        <v>12857</v>
      </c>
      <c r="G1391" t="s">
        <v>12858</v>
      </c>
      <c r="H1391" t="s">
        <v>12859</v>
      </c>
    </row>
    <row r="1392" spans="1:8" x14ac:dyDescent="0.45">
      <c r="A1392" t="s">
        <v>7620</v>
      </c>
      <c r="B1392" t="s">
        <v>7621</v>
      </c>
      <c r="C1392" t="s">
        <v>12835</v>
      </c>
      <c r="E1392" t="s">
        <v>12836</v>
      </c>
      <c r="F1392" t="s">
        <v>12837</v>
      </c>
      <c r="G1392" t="s">
        <v>12838</v>
      </c>
      <c r="H1392" t="s">
        <v>12839</v>
      </c>
    </row>
    <row r="1393" spans="1:8" x14ac:dyDescent="0.45">
      <c r="A1393" t="s">
        <v>7620</v>
      </c>
      <c r="B1393" t="s">
        <v>7621</v>
      </c>
      <c r="C1393" t="s">
        <v>12835</v>
      </c>
      <c r="E1393" t="s">
        <v>12836</v>
      </c>
      <c r="F1393" t="s">
        <v>12840</v>
      </c>
      <c r="G1393" t="s">
        <v>12841</v>
      </c>
      <c r="H1393" t="s">
        <v>12842</v>
      </c>
    </row>
    <row r="1394" spans="1:8" x14ac:dyDescent="0.45">
      <c r="A1394" t="s">
        <v>7620</v>
      </c>
      <c r="B1394" t="s">
        <v>7621</v>
      </c>
      <c r="C1394" t="s">
        <v>12835</v>
      </c>
      <c r="E1394" t="s">
        <v>12836</v>
      </c>
      <c r="F1394" t="s">
        <v>12843</v>
      </c>
      <c r="G1394" t="s">
        <v>12844</v>
      </c>
      <c r="H1394" t="s">
        <v>12845</v>
      </c>
    </row>
    <row r="1395" spans="1:8" x14ac:dyDescent="0.45">
      <c r="A1395" t="s">
        <v>7620</v>
      </c>
      <c r="B1395" t="s">
        <v>7621</v>
      </c>
      <c r="C1395" t="s">
        <v>12835</v>
      </c>
      <c r="E1395" t="s">
        <v>12836</v>
      </c>
      <c r="F1395" t="s">
        <v>12846</v>
      </c>
      <c r="G1395" t="s">
        <v>12847</v>
      </c>
      <c r="H1395" t="s">
        <v>12848</v>
      </c>
    </row>
    <row r="1396" spans="1:8" x14ac:dyDescent="0.45">
      <c r="A1396" t="s">
        <v>7620</v>
      </c>
      <c r="B1396" t="s">
        <v>7621</v>
      </c>
      <c r="C1396" t="s">
        <v>12835</v>
      </c>
      <c r="E1396" t="s">
        <v>12836</v>
      </c>
      <c r="F1396" t="s">
        <v>12849</v>
      </c>
      <c r="G1396" t="s">
        <v>12838</v>
      </c>
      <c r="H1396" t="s">
        <v>12850</v>
      </c>
    </row>
    <row r="1397" spans="1:8" x14ac:dyDescent="0.45">
      <c r="A1397" t="s">
        <v>7620</v>
      </c>
      <c r="B1397" t="s">
        <v>7621</v>
      </c>
      <c r="C1397" t="s">
        <v>12835</v>
      </c>
      <c r="E1397" t="s">
        <v>12836</v>
      </c>
      <c r="F1397" t="s">
        <v>12851</v>
      </c>
      <c r="G1397" t="s">
        <v>12852</v>
      </c>
      <c r="H1397" t="s">
        <v>12853</v>
      </c>
    </row>
    <row r="1398" spans="1:8" x14ac:dyDescent="0.45">
      <c r="A1398" t="s">
        <v>7620</v>
      </c>
      <c r="B1398" t="s">
        <v>7621</v>
      </c>
      <c r="C1398" t="s">
        <v>12835</v>
      </c>
      <c r="E1398" t="s">
        <v>12836</v>
      </c>
      <c r="F1398" t="s">
        <v>12854</v>
      </c>
      <c r="G1398" t="s">
        <v>12855</v>
      </c>
      <c r="H1398" t="s">
        <v>12856</v>
      </c>
    </row>
    <row r="1399" spans="1:8" x14ac:dyDescent="0.45">
      <c r="A1399" t="s">
        <v>7620</v>
      </c>
      <c r="B1399" t="s">
        <v>7621</v>
      </c>
      <c r="C1399" t="s">
        <v>12835</v>
      </c>
      <c r="E1399" t="s">
        <v>12836</v>
      </c>
      <c r="F1399" t="s">
        <v>12857</v>
      </c>
      <c r="G1399" t="s">
        <v>12858</v>
      </c>
      <c r="H1399" t="s">
        <v>12859</v>
      </c>
    </row>
    <row r="1400" spans="1:8" x14ac:dyDescent="0.45">
      <c r="A1400" t="s">
        <v>7721</v>
      </c>
      <c r="B1400" t="s">
        <v>7722</v>
      </c>
      <c r="C1400" t="s">
        <v>12835</v>
      </c>
      <c r="E1400" t="s">
        <v>12836</v>
      </c>
      <c r="F1400" t="s">
        <v>12837</v>
      </c>
      <c r="G1400" t="s">
        <v>12838</v>
      </c>
      <c r="H1400" t="s">
        <v>12839</v>
      </c>
    </row>
    <row r="1401" spans="1:8" x14ac:dyDescent="0.45">
      <c r="A1401" t="s">
        <v>7721</v>
      </c>
      <c r="B1401" t="s">
        <v>7722</v>
      </c>
      <c r="C1401" t="s">
        <v>12835</v>
      </c>
      <c r="E1401" t="s">
        <v>12836</v>
      </c>
      <c r="F1401" t="s">
        <v>12840</v>
      </c>
      <c r="G1401" t="s">
        <v>12841</v>
      </c>
      <c r="H1401" t="s">
        <v>12842</v>
      </c>
    </row>
    <row r="1402" spans="1:8" x14ac:dyDescent="0.45">
      <c r="A1402" t="s">
        <v>7721</v>
      </c>
      <c r="B1402" t="s">
        <v>7722</v>
      </c>
      <c r="C1402" t="s">
        <v>12835</v>
      </c>
      <c r="E1402" t="s">
        <v>12836</v>
      </c>
      <c r="F1402" t="s">
        <v>12843</v>
      </c>
      <c r="G1402" t="s">
        <v>12844</v>
      </c>
      <c r="H1402" t="s">
        <v>12845</v>
      </c>
    </row>
    <row r="1403" spans="1:8" x14ac:dyDescent="0.45">
      <c r="A1403" t="s">
        <v>7721</v>
      </c>
      <c r="B1403" t="s">
        <v>7722</v>
      </c>
      <c r="C1403" t="s">
        <v>12835</v>
      </c>
      <c r="E1403" t="s">
        <v>12836</v>
      </c>
      <c r="F1403" t="s">
        <v>12846</v>
      </c>
      <c r="G1403" t="s">
        <v>12847</v>
      </c>
      <c r="H1403" t="s">
        <v>12848</v>
      </c>
    </row>
    <row r="1404" spans="1:8" x14ac:dyDescent="0.45">
      <c r="A1404" t="s">
        <v>7721</v>
      </c>
      <c r="B1404" t="s">
        <v>7722</v>
      </c>
      <c r="C1404" t="s">
        <v>12835</v>
      </c>
      <c r="E1404" t="s">
        <v>12836</v>
      </c>
      <c r="F1404" t="s">
        <v>12849</v>
      </c>
      <c r="G1404" t="s">
        <v>12838</v>
      </c>
      <c r="H1404" t="s">
        <v>12850</v>
      </c>
    </row>
    <row r="1405" spans="1:8" x14ac:dyDescent="0.45">
      <c r="A1405" t="s">
        <v>7721</v>
      </c>
      <c r="B1405" t="s">
        <v>7722</v>
      </c>
      <c r="C1405" t="s">
        <v>12835</v>
      </c>
      <c r="E1405" t="s">
        <v>12836</v>
      </c>
      <c r="F1405" t="s">
        <v>12851</v>
      </c>
      <c r="G1405" t="s">
        <v>12852</v>
      </c>
      <c r="H1405" t="s">
        <v>12853</v>
      </c>
    </row>
    <row r="1406" spans="1:8" x14ac:dyDescent="0.45">
      <c r="A1406" t="s">
        <v>7721</v>
      </c>
      <c r="B1406" t="s">
        <v>7722</v>
      </c>
      <c r="C1406" t="s">
        <v>12835</v>
      </c>
      <c r="E1406" t="s">
        <v>12836</v>
      </c>
      <c r="F1406" t="s">
        <v>12854</v>
      </c>
      <c r="G1406" t="s">
        <v>12855</v>
      </c>
      <c r="H1406" t="s">
        <v>12856</v>
      </c>
    </row>
    <row r="1407" spans="1:8" x14ac:dyDescent="0.45">
      <c r="A1407" t="s">
        <v>7721</v>
      </c>
      <c r="B1407" t="s">
        <v>7722</v>
      </c>
      <c r="C1407" t="s">
        <v>12835</v>
      </c>
      <c r="E1407" t="s">
        <v>12836</v>
      </c>
      <c r="F1407" t="s">
        <v>12857</v>
      </c>
      <c r="G1407" t="s">
        <v>12858</v>
      </c>
      <c r="H1407" t="s">
        <v>12859</v>
      </c>
    </row>
    <row r="1408" spans="1:8" x14ac:dyDescent="0.45">
      <c r="A1408" t="s">
        <v>8364</v>
      </c>
      <c r="B1408" t="s">
        <v>8365</v>
      </c>
      <c r="C1408" t="s">
        <v>12835</v>
      </c>
      <c r="E1408" t="s">
        <v>12836</v>
      </c>
      <c r="F1408" t="s">
        <v>12837</v>
      </c>
      <c r="G1408" t="s">
        <v>12838</v>
      </c>
      <c r="H1408" t="s">
        <v>12839</v>
      </c>
    </row>
    <row r="1409" spans="1:8" x14ac:dyDescent="0.45">
      <c r="A1409" t="s">
        <v>8364</v>
      </c>
      <c r="B1409" t="s">
        <v>8365</v>
      </c>
      <c r="C1409" t="s">
        <v>12835</v>
      </c>
      <c r="E1409" t="s">
        <v>12836</v>
      </c>
      <c r="F1409" t="s">
        <v>12840</v>
      </c>
      <c r="G1409" t="s">
        <v>12841</v>
      </c>
      <c r="H1409" t="s">
        <v>12842</v>
      </c>
    </row>
    <row r="1410" spans="1:8" x14ac:dyDescent="0.45">
      <c r="A1410" t="s">
        <v>8364</v>
      </c>
      <c r="B1410" t="s">
        <v>8365</v>
      </c>
      <c r="C1410" t="s">
        <v>12835</v>
      </c>
      <c r="E1410" t="s">
        <v>12836</v>
      </c>
      <c r="F1410" t="s">
        <v>12843</v>
      </c>
      <c r="G1410" t="s">
        <v>12844</v>
      </c>
      <c r="H1410" t="s">
        <v>12845</v>
      </c>
    </row>
    <row r="1411" spans="1:8" x14ac:dyDescent="0.45">
      <c r="A1411" t="s">
        <v>8364</v>
      </c>
      <c r="B1411" t="s">
        <v>8365</v>
      </c>
      <c r="C1411" t="s">
        <v>12835</v>
      </c>
      <c r="E1411" t="s">
        <v>12836</v>
      </c>
      <c r="F1411" t="s">
        <v>12846</v>
      </c>
      <c r="G1411" t="s">
        <v>12847</v>
      </c>
      <c r="H1411" t="s">
        <v>12848</v>
      </c>
    </row>
    <row r="1412" spans="1:8" x14ac:dyDescent="0.45">
      <c r="A1412" t="s">
        <v>8364</v>
      </c>
      <c r="B1412" t="s">
        <v>8365</v>
      </c>
      <c r="C1412" t="s">
        <v>12835</v>
      </c>
      <c r="E1412" t="s">
        <v>12836</v>
      </c>
      <c r="F1412" t="s">
        <v>12849</v>
      </c>
      <c r="G1412" t="s">
        <v>12838</v>
      </c>
      <c r="H1412" t="s">
        <v>12850</v>
      </c>
    </row>
    <row r="1413" spans="1:8" x14ac:dyDescent="0.45">
      <c r="A1413" t="s">
        <v>8364</v>
      </c>
      <c r="B1413" t="s">
        <v>8365</v>
      </c>
      <c r="C1413" t="s">
        <v>12835</v>
      </c>
      <c r="E1413" t="s">
        <v>12836</v>
      </c>
      <c r="F1413" t="s">
        <v>12851</v>
      </c>
      <c r="G1413" t="s">
        <v>12852</v>
      </c>
      <c r="H1413" t="s">
        <v>12853</v>
      </c>
    </row>
    <row r="1414" spans="1:8" x14ac:dyDescent="0.45">
      <c r="A1414" t="s">
        <v>8364</v>
      </c>
      <c r="B1414" t="s">
        <v>8365</v>
      </c>
      <c r="C1414" t="s">
        <v>12835</v>
      </c>
      <c r="E1414" t="s">
        <v>12836</v>
      </c>
      <c r="F1414" t="s">
        <v>12854</v>
      </c>
      <c r="G1414" t="s">
        <v>12855</v>
      </c>
      <c r="H1414" t="s">
        <v>12856</v>
      </c>
    </row>
    <row r="1415" spans="1:8" x14ac:dyDescent="0.45">
      <c r="A1415" t="s">
        <v>8364</v>
      </c>
      <c r="B1415" t="s">
        <v>8365</v>
      </c>
      <c r="C1415" t="s">
        <v>12835</v>
      </c>
      <c r="E1415" t="s">
        <v>12836</v>
      </c>
      <c r="F1415" t="s">
        <v>12857</v>
      </c>
      <c r="G1415" t="s">
        <v>12858</v>
      </c>
      <c r="H1415" t="s">
        <v>12859</v>
      </c>
    </row>
    <row r="1416" spans="1:8" x14ac:dyDescent="0.45">
      <c r="A1416" t="s">
        <v>9451</v>
      </c>
      <c r="B1416" t="s">
        <v>9452</v>
      </c>
      <c r="C1416" t="s">
        <v>12835</v>
      </c>
      <c r="E1416" t="s">
        <v>12836</v>
      </c>
      <c r="F1416" t="s">
        <v>12837</v>
      </c>
      <c r="G1416" t="s">
        <v>12838</v>
      </c>
      <c r="H1416" t="s">
        <v>12839</v>
      </c>
    </row>
    <row r="1417" spans="1:8" x14ac:dyDescent="0.45">
      <c r="A1417" t="s">
        <v>9451</v>
      </c>
      <c r="B1417" t="s">
        <v>9452</v>
      </c>
      <c r="C1417" t="s">
        <v>12835</v>
      </c>
      <c r="E1417" t="s">
        <v>12836</v>
      </c>
      <c r="F1417" t="s">
        <v>12840</v>
      </c>
      <c r="G1417" t="s">
        <v>12841</v>
      </c>
      <c r="H1417" t="s">
        <v>12842</v>
      </c>
    </row>
    <row r="1418" spans="1:8" x14ac:dyDescent="0.45">
      <c r="A1418" t="s">
        <v>9451</v>
      </c>
      <c r="B1418" t="s">
        <v>9452</v>
      </c>
      <c r="C1418" t="s">
        <v>12835</v>
      </c>
      <c r="E1418" t="s">
        <v>12836</v>
      </c>
      <c r="F1418" t="s">
        <v>12843</v>
      </c>
      <c r="G1418" t="s">
        <v>12844</v>
      </c>
      <c r="H1418" t="s">
        <v>12845</v>
      </c>
    </row>
    <row r="1419" spans="1:8" x14ac:dyDescent="0.45">
      <c r="A1419" t="s">
        <v>9451</v>
      </c>
      <c r="B1419" t="s">
        <v>9452</v>
      </c>
      <c r="C1419" t="s">
        <v>12835</v>
      </c>
      <c r="E1419" t="s">
        <v>12836</v>
      </c>
      <c r="F1419" t="s">
        <v>12846</v>
      </c>
      <c r="G1419" t="s">
        <v>12847</v>
      </c>
      <c r="H1419" t="s">
        <v>12848</v>
      </c>
    </row>
    <row r="1420" spans="1:8" x14ac:dyDescent="0.45">
      <c r="A1420" t="s">
        <v>9451</v>
      </c>
      <c r="B1420" t="s">
        <v>9452</v>
      </c>
      <c r="C1420" t="s">
        <v>12835</v>
      </c>
      <c r="E1420" t="s">
        <v>12836</v>
      </c>
      <c r="F1420" t="s">
        <v>12849</v>
      </c>
      <c r="G1420" t="s">
        <v>12838</v>
      </c>
      <c r="H1420" t="s">
        <v>12850</v>
      </c>
    </row>
    <row r="1421" spans="1:8" x14ac:dyDescent="0.45">
      <c r="A1421" t="s">
        <v>9451</v>
      </c>
      <c r="B1421" t="s">
        <v>9452</v>
      </c>
      <c r="C1421" t="s">
        <v>12835</v>
      </c>
      <c r="E1421" t="s">
        <v>12836</v>
      </c>
      <c r="F1421" t="s">
        <v>12851</v>
      </c>
      <c r="G1421" t="s">
        <v>12852</v>
      </c>
      <c r="H1421" t="s">
        <v>12853</v>
      </c>
    </row>
    <row r="1422" spans="1:8" x14ac:dyDescent="0.45">
      <c r="A1422" t="s">
        <v>9451</v>
      </c>
      <c r="B1422" t="s">
        <v>9452</v>
      </c>
      <c r="C1422" t="s">
        <v>12835</v>
      </c>
      <c r="E1422" t="s">
        <v>12836</v>
      </c>
      <c r="F1422" t="s">
        <v>12854</v>
      </c>
      <c r="G1422" t="s">
        <v>12855</v>
      </c>
      <c r="H1422" t="s">
        <v>12856</v>
      </c>
    </row>
    <row r="1423" spans="1:8" x14ac:dyDescent="0.45">
      <c r="A1423" t="s">
        <v>9451</v>
      </c>
      <c r="B1423" t="s">
        <v>9452</v>
      </c>
      <c r="C1423" t="s">
        <v>12835</v>
      </c>
      <c r="E1423" t="s">
        <v>12836</v>
      </c>
      <c r="F1423" t="s">
        <v>12857</v>
      </c>
      <c r="G1423" t="s">
        <v>12858</v>
      </c>
      <c r="H1423" t="s">
        <v>12859</v>
      </c>
    </row>
    <row r="1424" spans="1:8" x14ac:dyDescent="0.45">
      <c r="A1424" t="s">
        <v>9951</v>
      </c>
      <c r="B1424" t="s">
        <v>9952</v>
      </c>
      <c r="C1424" t="s">
        <v>12860</v>
      </c>
      <c r="E1424" t="s">
        <v>12861</v>
      </c>
      <c r="F1424" t="s">
        <v>12862</v>
      </c>
      <c r="G1424" t="s">
        <v>12863</v>
      </c>
      <c r="H1424" t="s">
        <v>12864</v>
      </c>
    </row>
    <row r="1425" spans="1:8" x14ac:dyDescent="0.45">
      <c r="A1425" t="s">
        <v>8963</v>
      </c>
      <c r="B1425" t="s">
        <v>8964</v>
      </c>
      <c r="C1425" t="s">
        <v>12865</v>
      </c>
      <c r="E1425" t="s">
        <v>12866</v>
      </c>
      <c r="F1425" t="s">
        <v>12851</v>
      </c>
      <c r="G1425" t="s">
        <v>12852</v>
      </c>
      <c r="H1425" t="s">
        <v>12853</v>
      </c>
    </row>
    <row r="1426" spans="1:8" x14ac:dyDescent="0.45">
      <c r="A1426" t="s">
        <v>250</v>
      </c>
      <c r="B1426" t="s">
        <v>251</v>
      </c>
      <c r="C1426" t="s">
        <v>12867</v>
      </c>
      <c r="E1426" t="s">
        <v>12868</v>
      </c>
      <c r="F1426" t="s">
        <v>12869</v>
      </c>
      <c r="G1426" t="s">
        <v>12870</v>
      </c>
      <c r="H1426" t="s">
        <v>12871</v>
      </c>
    </row>
    <row r="1427" spans="1:8" x14ac:dyDescent="0.45">
      <c r="A1427" t="s">
        <v>4907</v>
      </c>
      <c r="B1427" t="s">
        <v>4908</v>
      </c>
      <c r="C1427" t="s">
        <v>12872</v>
      </c>
      <c r="E1427" t="s">
        <v>12873</v>
      </c>
      <c r="F1427" t="s">
        <v>12874</v>
      </c>
      <c r="G1427" t="s">
        <v>12875</v>
      </c>
      <c r="H1427" t="s">
        <v>12876</v>
      </c>
    </row>
    <row r="1428" spans="1:8" x14ac:dyDescent="0.45">
      <c r="A1428" t="s">
        <v>5835</v>
      </c>
      <c r="B1428" t="s">
        <v>5836</v>
      </c>
      <c r="C1428" t="s">
        <v>12877</v>
      </c>
    </row>
    <row r="1429" spans="1:8" x14ac:dyDescent="0.45">
      <c r="A1429" t="s">
        <v>6413</v>
      </c>
      <c r="B1429" t="s">
        <v>6414</v>
      </c>
      <c r="C1429" t="s">
        <v>12877</v>
      </c>
    </row>
    <row r="1430" spans="1:8" x14ac:dyDescent="0.45">
      <c r="A1430" t="s">
        <v>7967</v>
      </c>
      <c r="B1430" t="s">
        <v>7968</v>
      </c>
      <c r="C1430" t="s">
        <v>12878</v>
      </c>
      <c r="E1430" t="s">
        <v>12879</v>
      </c>
      <c r="F1430" t="s">
        <v>12880</v>
      </c>
      <c r="G1430" t="s">
        <v>12881</v>
      </c>
      <c r="H1430" t="s">
        <v>12882</v>
      </c>
    </row>
    <row r="1431" spans="1:8" x14ac:dyDescent="0.45">
      <c r="A1431" t="s">
        <v>9539</v>
      </c>
      <c r="B1431" t="s">
        <v>9540</v>
      </c>
      <c r="C1431" t="s">
        <v>12878</v>
      </c>
      <c r="E1431" t="s">
        <v>12879</v>
      </c>
      <c r="F1431" t="s">
        <v>12880</v>
      </c>
      <c r="G1431" t="s">
        <v>12881</v>
      </c>
      <c r="H1431" t="s">
        <v>12882</v>
      </c>
    </row>
    <row r="1432" spans="1:8" x14ac:dyDescent="0.45">
      <c r="A1432" t="s">
        <v>1421</v>
      </c>
      <c r="B1432" t="s">
        <v>1422</v>
      </c>
      <c r="C1432" t="s">
        <v>12883</v>
      </c>
      <c r="E1432" t="s">
        <v>12884</v>
      </c>
      <c r="F1432" t="s">
        <v>12885</v>
      </c>
      <c r="G1432" t="s">
        <v>12886</v>
      </c>
      <c r="H1432" t="s">
        <v>12887</v>
      </c>
    </row>
    <row r="1433" spans="1:8" x14ac:dyDescent="0.45">
      <c r="A1433" t="s">
        <v>9853</v>
      </c>
      <c r="B1433" t="s">
        <v>9854</v>
      </c>
      <c r="C1433" t="s">
        <v>12888</v>
      </c>
      <c r="E1433" t="s">
        <v>12889</v>
      </c>
      <c r="F1433" t="s">
        <v>12890</v>
      </c>
      <c r="G1433" t="s">
        <v>12891</v>
      </c>
      <c r="H1433" t="s">
        <v>12892</v>
      </c>
    </row>
    <row r="1434" spans="1:8" x14ac:dyDescent="0.45">
      <c r="A1434" t="s">
        <v>8977</v>
      </c>
      <c r="B1434" t="s">
        <v>8978</v>
      </c>
      <c r="C1434" t="s">
        <v>12893</v>
      </c>
      <c r="E1434" t="s">
        <v>12894</v>
      </c>
      <c r="F1434" t="s">
        <v>12895</v>
      </c>
      <c r="G1434" t="s">
        <v>12896</v>
      </c>
      <c r="H1434" t="s">
        <v>10721</v>
      </c>
    </row>
    <row r="1435" spans="1:8" x14ac:dyDescent="0.45">
      <c r="A1435" t="s">
        <v>7312</v>
      </c>
      <c r="B1435" t="s">
        <v>7313</v>
      </c>
      <c r="C1435" t="s">
        <v>12897</v>
      </c>
      <c r="E1435" t="s">
        <v>12898</v>
      </c>
      <c r="F1435" t="s">
        <v>12899</v>
      </c>
      <c r="G1435" t="s">
        <v>12900</v>
      </c>
      <c r="H1435" t="s">
        <v>12533</v>
      </c>
    </row>
    <row r="1436" spans="1:8" x14ac:dyDescent="0.45">
      <c r="A1436" t="s">
        <v>7256</v>
      </c>
      <c r="B1436" t="s">
        <v>7257</v>
      </c>
      <c r="C1436" t="s">
        <v>12901</v>
      </c>
      <c r="E1436" t="s">
        <v>12902</v>
      </c>
      <c r="F1436" t="s">
        <v>12903</v>
      </c>
      <c r="G1436" t="s">
        <v>12615</v>
      </c>
      <c r="H1436" t="s">
        <v>12904</v>
      </c>
    </row>
    <row r="1437" spans="1:8" x14ac:dyDescent="0.45">
      <c r="A1437" t="s">
        <v>906</v>
      </c>
      <c r="B1437" t="s">
        <v>907</v>
      </c>
      <c r="C1437" t="s">
        <v>12905</v>
      </c>
      <c r="E1437" t="s">
        <v>12906</v>
      </c>
      <c r="F1437" t="s">
        <v>12907</v>
      </c>
      <c r="G1437" t="s">
        <v>12908</v>
      </c>
      <c r="H1437" t="s">
        <v>12909</v>
      </c>
    </row>
    <row r="1438" spans="1:8" x14ac:dyDescent="0.45">
      <c r="A1438" t="s">
        <v>2798</v>
      </c>
      <c r="B1438" t="s">
        <v>2799</v>
      </c>
      <c r="C1438" t="s">
        <v>12910</v>
      </c>
      <c r="E1438" t="s">
        <v>12911</v>
      </c>
      <c r="F1438" t="s">
        <v>12912</v>
      </c>
      <c r="G1438" t="s">
        <v>12913</v>
      </c>
      <c r="H1438" t="s">
        <v>12914</v>
      </c>
    </row>
    <row r="1439" spans="1:8" x14ac:dyDescent="0.45">
      <c r="A1439" t="s">
        <v>2798</v>
      </c>
      <c r="B1439" t="s">
        <v>2799</v>
      </c>
      <c r="C1439" t="s">
        <v>12910</v>
      </c>
      <c r="E1439" t="s">
        <v>12911</v>
      </c>
      <c r="F1439" t="s">
        <v>12915</v>
      </c>
      <c r="G1439" t="s">
        <v>12916</v>
      </c>
      <c r="H1439" t="s">
        <v>12917</v>
      </c>
    </row>
    <row r="1440" spans="1:8" x14ac:dyDescent="0.45">
      <c r="A1440" t="s">
        <v>2798</v>
      </c>
      <c r="B1440" t="s">
        <v>2799</v>
      </c>
      <c r="C1440" t="s">
        <v>12910</v>
      </c>
      <c r="E1440" t="s">
        <v>12911</v>
      </c>
      <c r="F1440" t="s">
        <v>12918</v>
      </c>
      <c r="G1440" t="s">
        <v>12917</v>
      </c>
      <c r="H1440" t="s">
        <v>12919</v>
      </c>
    </row>
    <row r="1441" spans="1:8" x14ac:dyDescent="0.45">
      <c r="A1441" t="s">
        <v>7665</v>
      </c>
      <c r="B1441" t="s">
        <v>7666</v>
      </c>
      <c r="C1441" t="s">
        <v>12920</v>
      </c>
      <c r="E1441" t="s">
        <v>12921</v>
      </c>
      <c r="F1441" t="s">
        <v>12922</v>
      </c>
      <c r="G1441" t="s">
        <v>12923</v>
      </c>
      <c r="H1441" t="s">
        <v>12924</v>
      </c>
    </row>
    <row r="1442" spans="1:8" x14ac:dyDescent="0.45">
      <c r="A1442" t="s">
        <v>7665</v>
      </c>
      <c r="B1442" t="s">
        <v>7666</v>
      </c>
      <c r="C1442" t="s">
        <v>12920</v>
      </c>
      <c r="E1442" t="s">
        <v>12921</v>
      </c>
      <c r="F1442" t="s">
        <v>12925</v>
      </c>
      <c r="G1442" t="s">
        <v>12913</v>
      </c>
      <c r="H1442" t="s">
        <v>12926</v>
      </c>
    </row>
    <row r="1443" spans="1:8" x14ac:dyDescent="0.45">
      <c r="A1443" t="s">
        <v>7665</v>
      </c>
      <c r="B1443" t="s">
        <v>7666</v>
      </c>
      <c r="C1443" t="s">
        <v>12920</v>
      </c>
      <c r="E1443" t="s">
        <v>12921</v>
      </c>
      <c r="F1443" t="s">
        <v>12927</v>
      </c>
      <c r="G1443" t="s">
        <v>12691</v>
      </c>
      <c r="H1443" t="s">
        <v>12928</v>
      </c>
    </row>
    <row r="1444" spans="1:8" x14ac:dyDescent="0.45">
      <c r="A1444" t="s">
        <v>6470</v>
      </c>
      <c r="B1444" t="s">
        <v>6471</v>
      </c>
      <c r="C1444" t="s">
        <v>12929</v>
      </c>
      <c r="E1444" t="s">
        <v>12930</v>
      </c>
      <c r="F1444" t="s">
        <v>12931</v>
      </c>
      <c r="G1444" t="s">
        <v>12932</v>
      </c>
      <c r="H1444" t="s">
        <v>12904</v>
      </c>
    </row>
    <row r="1445" spans="1:8" x14ac:dyDescent="0.45">
      <c r="A1445" t="s">
        <v>6375</v>
      </c>
      <c r="B1445" t="s">
        <v>6376</v>
      </c>
      <c r="C1445" t="s">
        <v>12933</v>
      </c>
      <c r="E1445" t="s">
        <v>12934</v>
      </c>
      <c r="F1445" t="s">
        <v>12935</v>
      </c>
      <c r="G1445" t="s">
        <v>12936</v>
      </c>
      <c r="H1445" t="s">
        <v>12937</v>
      </c>
    </row>
    <row r="1446" spans="1:8" x14ac:dyDescent="0.45">
      <c r="A1446" t="s">
        <v>6375</v>
      </c>
      <c r="B1446" t="s">
        <v>6376</v>
      </c>
      <c r="C1446" t="s">
        <v>12933</v>
      </c>
      <c r="E1446" t="s">
        <v>12934</v>
      </c>
      <c r="F1446" t="s">
        <v>12938</v>
      </c>
      <c r="G1446" t="s">
        <v>12939</v>
      </c>
      <c r="H1446" t="s">
        <v>12940</v>
      </c>
    </row>
    <row r="1447" spans="1:8" x14ac:dyDescent="0.45">
      <c r="A1447" t="s">
        <v>1255</v>
      </c>
      <c r="B1447" t="s">
        <v>1256</v>
      </c>
      <c r="C1447" t="s">
        <v>12941</v>
      </c>
      <c r="E1447" t="s">
        <v>12942</v>
      </c>
      <c r="F1447" t="s">
        <v>12943</v>
      </c>
      <c r="G1447" t="s">
        <v>12944</v>
      </c>
      <c r="H1447" t="s">
        <v>12945</v>
      </c>
    </row>
    <row r="1448" spans="1:8" x14ac:dyDescent="0.45">
      <c r="A1448" t="s">
        <v>3718</v>
      </c>
      <c r="B1448" t="s">
        <v>3719</v>
      </c>
      <c r="C1448" t="s">
        <v>12941</v>
      </c>
      <c r="E1448" t="s">
        <v>12942</v>
      </c>
      <c r="F1448" t="s">
        <v>12943</v>
      </c>
      <c r="G1448" t="s">
        <v>12944</v>
      </c>
      <c r="H1448" t="s">
        <v>12945</v>
      </c>
    </row>
    <row r="1449" spans="1:8" x14ac:dyDescent="0.45">
      <c r="A1449" t="s">
        <v>4294</v>
      </c>
      <c r="B1449" t="s">
        <v>4295</v>
      </c>
      <c r="C1449" t="s">
        <v>12941</v>
      </c>
      <c r="E1449" t="s">
        <v>12942</v>
      </c>
      <c r="F1449" t="s">
        <v>12943</v>
      </c>
      <c r="G1449" t="s">
        <v>12944</v>
      </c>
      <c r="H1449" t="s">
        <v>12945</v>
      </c>
    </row>
    <row r="1450" spans="1:8" x14ac:dyDescent="0.45">
      <c r="A1450" t="s">
        <v>6433</v>
      </c>
      <c r="B1450" t="s">
        <v>6434</v>
      </c>
      <c r="C1450" t="s">
        <v>12941</v>
      </c>
      <c r="E1450" t="s">
        <v>12942</v>
      </c>
      <c r="F1450" t="s">
        <v>12943</v>
      </c>
      <c r="G1450" t="s">
        <v>12944</v>
      </c>
      <c r="H1450" t="s">
        <v>12945</v>
      </c>
    </row>
    <row r="1451" spans="1:8" x14ac:dyDescent="0.45">
      <c r="A1451" t="s">
        <v>9170</v>
      </c>
      <c r="B1451" t="s">
        <v>9171</v>
      </c>
      <c r="C1451" t="s">
        <v>12941</v>
      </c>
      <c r="E1451" t="s">
        <v>12942</v>
      </c>
      <c r="F1451" t="s">
        <v>12943</v>
      </c>
      <c r="G1451" t="s">
        <v>12944</v>
      </c>
      <c r="H1451" t="s">
        <v>12945</v>
      </c>
    </row>
    <row r="1452" spans="1:8" x14ac:dyDescent="0.45">
      <c r="A1452" t="s">
        <v>9665</v>
      </c>
      <c r="B1452" t="s">
        <v>9666</v>
      </c>
      <c r="C1452" t="s">
        <v>12941</v>
      </c>
      <c r="E1452" t="s">
        <v>12942</v>
      </c>
      <c r="F1452" t="s">
        <v>12943</v>
      </c>
      <c r="G1452" t="s">
        <v>12944</v>
      </c>
      <c r="H1452" t="s">
        <v>12945</v>
      </c>
    </row>
    <row r="1453" spans="1:8" x14ac:dyDescent="0.45">
      <c r="A1453" t="s">
        <v>8362</v>
      </c>
      <c r="B1453" t="s">
        <v>8363</v>
      </c>
      <c r="C1453" t="s">
        <v>12946</v>
      </c>
    </row>
    <row r="1454" spans="1:8" x14ac:dyDescent="0.45">
      <c r="A1454" t="s">
        <v>8798</v>
      </c>
      <c r="B1454" t="s">
        <v>8799</v>
      </c>
      <c r="C1454" t="s">
        <v>12947</v>
      </c>
      <c r="E1454" t="s">
        <v>12948</v>
      </c>
      <c r="F1454" t="s">
        <v>12949</v>
      </c>
      <c r="G1454" t="s">
        <v>12950</v>
      </c>
      <c r="H1454" t="s">
        <v>12754</v>
      </c>
    </row>
    <row r="1455" spans="1:8" x14ac:dyDescent="0.45">
      <c r="A1455" t="s">
        <v>4280</v>
      </c>
      <c r="B1455" t="s">
        <v>4281</v>
      </c>
      <c r="C1455" t="s">
        <v>12951</v>
      </c>
      <c r="E1455" t="s">
        <v>12952</v>
      </c>
      <c r="F1455" t="s">
        <v>12953</v>
      </c>
      <c r="G1455" t="s">
        <v>12427</v>
      </c>
      <c r="H1455" t="s">
        <v>12954</v>
      </c>
    </row>
    <row r="1456" spans="1:8" x14ac:dyDescent="0.45">
      <c r="A1456" t="s">
        <v>8449</v>
      </c>
      <c r="B1456" t="s">
        <v>8450</v>
      </c>
      <c r="C1456" t="s">
        <v>12955</v>
      </c>
      <c r="E1456" t="s">
        <v>12956</v>
      </c>
      <c r="F1456" t="s">
        <v>12957</v>
      </c>
      <c r="G1456" t="s">
        <v>12958</v>
      </c>
      <c r="H1456" t="s">
        <v>12959</v>
      </c>
    </row>
    <row r="1457" spans="1:8" x14ac:dyDescent="0.45">
      <c r="A1457" t="s">
        <v>8449</v>
      </c>
      <c r="B1457" t="s">
        <v>8450</v>
      </c>
      <c r="C1457" t="s">
        <v>12955</v>
      </c>
      <c r="E1457" t="s">
        <v>12956</v>
      </c>
      <c r="F1457" t="s">
        <v>12960</v>
      </c>
      <c r="G1457" t="s">
        <v>12242</v>
      </c>
      <c r="H1457" t="s">
        <v>12961</v>
      </c>
    </row>
    <row r="1458" spans="1:8" x14ac:dyDescent="0.45">
      <c r="A1458" t="s">
        <v>8449</v>
      </c>
      <c r="B1458" t="s">
        <v>8450</v>
      </c>
      <c r="C1458" t="s">
        <v>12955</v>
      </c>
      <c r="E1458" t="s">
        <v>12956</v>
      </c>
      <c r="F1458" t="s">
        <v>12962</v>
      </c>
      <c r="G1458" t="s">
        <v>12242</v>
      </c>
      <c r="H1458" t="s">
        <v>12963</v>
      </c>
    </row>
    <row r="1459" spans="1:8" x14ac:dyDescent="0.45">
      <c r="A1459" t="s">
        <v>8449</v>
      </c>
      <c r="B1459" t="s">
        <v>8450</v>
      </c>
      <c r="C1459" t="s">
        <v>12955</v>
      </c>
      <c r="E1459" t="s">
        <v>12956</v>
      </c>
      <c r="F1459" t="s">
        <v>12964</v>
      </c>
      <c r="G1459" t="s">
        <v>12965</v>
      </c>
      <c r="H1459" t="s">
        <v>12966</v>
      </c>
    </row>
    <row r="1460" spans="1:8" x14ac:dyDescent="0.45">
      <c r="A1460" t="s">
        <v>6547</v>
      </c>
      <c r="B1460" t="s">
        <v>6548</v>
      </c>
      <c r="C1460" t="s">
        <v>12967</v>
      </c>
      <c r="E1460" t="s">
        <v>12968</v>
      </c>
      <c r="F1460" t="s">
        <v>12969</v>
      </c>
      <c r="G1460" t="s">
        <v>12970</v>
      </c>
      <c r="H1460" t="s">
        <v>12615</v>
      </c>
    </row>
    <row r="1461" spans="1:8" x14ac:dyDescent="0.45">
      <c r="A1461" t="s">
        <v>6547</v>
      </c>
      <c r="B1461" t="s">
        <v>6548</v>
      </c>
      <c r="C1461" t="s">
        <v>12967</v>
      </c>
      <c r="E1461" t="s">
        <v>12968</v>
      </c>
      <c r="F1461" t="s">
        <v>12971</v>
      </c>
      <c r="G1461" t="s">
        <v>12972</v>
      </c>
      <c r="H1461" t="s">
        <v>12973</v>
      </c>
    </row>
    <row r="1462" spans="1:8" x14ac:dyDescent="0.45">
      <c r="A1462" t="s">
        <v>9598</v>
      </c>
      <c r="B1462" t="s">
        <v>9599</v>
      </c>
      <c r="C1462" t="s">
        <v>12967</v>
      </c>
      <c r="E1462" t="s">
        <v>12968</v>
      </c>
      <c r="F1462" t="s">
        <v>12969</v>
      </c>
      <c r="G1462" t="s">
        <v>12970</v>
      </c>
      <c r="H1462" t="s">
        <v>12615</v>
      </c>
    </row>
    <row r="1463" spans="1:8" x14ac:dyDescent="0.45">
      <c r="A1463" t="s">
        <v>9598</v>
      </c>
      <c r="B1463" t="s">
        <v>9599</v>
      </c>
      <c r="C1463" t="s">
        <v>12967</v>
      </c>
      <c r="E1463" t="s">
        <v>12968</v>
      </c>
      <c r="F1463" t="s">
        <v>12971</v>
      </c>
      <c r="G1463" t="s">
        <v>12972</v>
      </c>
      <c r="H1463" t="s">
        <v>12973</v>
      </c>
    </row>
    <row r="1464" spans="1:8" x14ac:dyDescent="0.45">
      <c r="A1464" t="s">
        <v>7046</v>
      </c>
      <c r="B1464" t="s">
        <v>7047</v>
      </c>
      <c r="C1464" t="s">
        <v>12974</v>
      </c>
      <c r="E1464" t="s">
        <v>12975</v>
      </c>
      <c r="F1464" t="s">
        <v>12976</v>
      </c>
      <c r="G1464" t="s">
        <v>12977</v>
      </c>
      <c r="H1464" t="s">
        <v>12978</v>
      </c>
    </row>
    <row r="1465" spans="1:8" x14ac:dyDescent="0.45">
      <c r="A1465" t="s">
        <v>7046</v>
      </c>
      <c r="B1465" t="s">
        <v>7047</v>
      </c>
      <c r="C1465" t="s">
        <v>12974</v>
      </c>
      <c r="E1465" t="s">
        <v>12975</v>
      </c>
      <c r="F1465" t="s">
        <v>12979</v>
      </c>
      <c r="G1465" t="s">
        <v>12977</v>
      </c>
      <c r="H1465" t="s">
        <v>12980</v>
      </c>
    </row>
    <row r="1466" spans="1:8" x14ac:dyDescent="0.45">
      <c r="A1466" t="s">
        <v>9114</v>
      </c>
      <c r="B1466" t="s">
        <v>9115</v>
      </c>
      <c r="C1466" t="s">
        <v>12981</v>
      </c>
      <c r="E1466" t="s">
        <v>12982</v>
      </c>
      <c r="F1466" t="s">
        <v>12983</v>
      </c>
      <c r="G1466" t="s">
        <v>12984</v>
      </c>
      <c r="H1466" t="s">
        <v>12980</v>
      </c>
    </row>
    <row r="1467" spans="1:8" x14ac:dyDescent="0.45">
      <c r="A1467" t="s">
        <v>9114</v>
      </c>
      <c r="B1467" t="s">
        <v>9115</v>
      </c>
      <c r="C1467" t="s">
        <v>12981</v>
      </c>
      <c r="E1467" t="s">
        <v>12982</v>
      </c>
      <c r="F1467" t="s">
        <v>12985</v>
      </c>
      <c r="G1467" t="s">
        <v>12986</v>
      </c>
      <c r="H1467" t="s">
        <v>12978</v>
      </c>
    </row>
    <row r="1468" spans="1:8" x14ac:dyDescent="0.45">
      <c r="A1468" t="s">
        <v>9114</v>
      </c>
      <c r="B1468" t="s">
        <v>9115</v>
      </c>
      <c r="C1468" t="s">
        <v>12981</v>
      </c>
      <c r="E1468" t="s">
        <v>12982</v>
      </c>
      <c r="F1468" t="s">
        <v>12987</v>
      </c>
      <c r="G1468" t="s">
        <v>12984</v>
      </c>
      <c r="H1468" t="s">
        <v>12988</v>
      </c>
    </row>
    <row r="1469" spans="1:8" x14ac:dyDescent="0.45">
      <c r="A1469" t="s">
        <v>9114</v>
      </c>
      <c r="B1469" t="s">
        <v>9115</v>
      </c>
      <c r="C1469" t="s">
        <v>12981</v>
      </c>
      <c r="E1469" t="s">
        <v>12982</v>
      </c>
      <c r="F1469" t="s">
        <v>12989</v>
      </c>
      <c r="G1469" t="s">
        <v>12988</v>
      </c>
      <c r="H1469" t="s">
        <v>12980</v>
      </c>
    </row>
    <row r="1470" spans="1:8" x14ac:dyDescent="0.45">
      <c r="A1470" t="s">
        <v>9114</v>
      </c>
      <c r="B1470" t="s">
        <v>9115</v>
      </c>
      <c r="C1470" t="s">
        <v>12981</v>
      </c>
      <c r="E1470" t="s">
        <v>12982</v>
      </c>
      <c r="F1470" t="s">
        <v>12990</v>
      </c>
      <c r="G1470" t="s">
        <v>12984</v>
      </c>
      <c r="H1470" t="s">
        <v>12978</v>
      </c>
    </row>
    <row r="1471" spans="1:8" x14ac:dyDescent="0.45">
      <c r="A1471" t="s">
        <v>978</v>
      </c>
      <c r="B1471" t="s">
        <v>979</v>
      </c>
      <c r="C1471" t="s">
        <v>12991</v>
      </c>
    </row>
    <row r="1472" spans="1:8" x14ac:dyDescent="0.45">
      <c r="A1472" t="s">
        <v>4513</v>
      </c>
      <c r="B1472" t="s">
        <v>4514</v>
      </c>
      <c r="C1472" t="s">
        <v>12992</v>
      </c>
    </row>
    <row r="1473" spans="1:8" x14ac:dyDescent="0.45">
      <c r="A1473" t="s">
        <v>7847</v>
      </c>
      <c r="B1473" t="s">
        <v>7848</v>
      </c>
      <c r="C1473" t="s">
        <v>12992</v>
      </c>
    </row>
    <row r="1474" spans="1:8" x14ac:dyDescent="0.45">
      <c r="A1474" t="s">
        <v>562</v>
      </c>
      <c r="B1474" t="s">
        <v>563</v>
      </c>
      <c r="C1474" t="s">
        <v>12993</v>
      </c>
      <c r="E1474" t="s">
        <v>12994</v>
      </c>
      <c r="F1474" t="s">
        <v>12995</v>
      </c>
      <c r="G1474" t="s">
        <v>12996</v>
      </c>
      <c r="H1474" t="s">
        <v>12997</v>
      </c>
    </row>
    <row r="1475" spans="1:8" x14ac:dyDescent="0.45">
      <c r="A1475" t="s">
        <v>8794</v>
      </c>
      <c r="B1475" t="s">
        <v>8795</v>
      </c>
      <c r="C1475" t="s">
        <v>12998</v>
      </c>
      <c r="E1475" t="s">
        <v>12999</v>
      </c>
      <c r="F1475" t="s">
        <v>13000</v>
      </c>
      <c r="G1475" t="s">
        <v>12638</v>
      </c>
      <c r="H1475" t="s">
        <v>13001</v>
      </c>
    </row>
    <row r="1476" spans="1:8" x14ac:dyDescent="0.45">
      <c r="A1476" t="s">
        <v>6262</v>
      </c>
      <c r="B1476" t="s">
        <v>6263</v>
      </c>
      <c r="C1476" t="s">
        <v>13002</v>
      </c>
      <c r="E1476" t="s">
        <v>13003</v>
      </c>
      <c r="F1476" t="s">
        <v>13004</v>
      </c>
      <c r="G1476" t="s">
        <v>13005</v>
      </c>
      <c r="H1476" t="s">
        <v>12988</v>
      </c>
    </row>
    <row r="1477" spans="1:8" x14ac:dyDescent="0.45">
      <c r="A1477" t="s">
        <v>6262</v>
      </c>
      <c r="B1477" t="s">
        <v>6263</v>
      </c>
      <c r="C1477" t="s">
        <v>13002</v>
      </c>
      <c r="E1477" t="s">
        <v>13003</v>
      </c>
      <c r="F1477" t="s">
        <v>13006</v>
      </c>
      <c r="G1477" t="s">
        <v>13005</v>
      </c>
      <c r="H1477" t="s">
        <v>12986</v>
      </c>
    </row>
    <row r="1478" spans="1:8" x14ac:dyDescent="0.45">
      <c r="A1478" t="s">
        <v>8635</v>
      </c>
      <c r="B1478" t="s">
        <v>8636</v>
      </c>
      <c r="C1478" t="s">
        <v>13002</v>
      </c>
      <c r="E1478" t="s">
        <v>13003</v>
      </c>
      <c r="F1478" t="s">
        <v>13004</v>
      </c>
      <c r="G1478" t="s">
        <v>13005</v>
      </c>
      <c r="H1478" t="s">
        <v>12988</v>
      </c>
    </row>
    <row r="1479" spans="1:8" x14ac:dyDescent="0.45">
      <c r="A1479" t="s">
        <v>8635</v>
      </c>
      <c r="B1479" t="s">
        <v>8636</v>
      </c>
      <c r="C1479" t="s">
        <v>13002</v>
      </c>
      <c r="E1479" t="s">
        <v>13003</v>
      </c>
      <c r="F1479" t="s">
        <v>13006</v>
      </c>
      <c r="G1479" t="s">
        <v>13005</v>
      </c>
      <c r="H1479" t="s">
        <v>12986</v>
      </c>
    </row>
    <row r="1480" spans="1:8" x14ac:dyDescent="0.45">
      <c r="A1480" t="s">
        <v>3307</v>
      </c>
      <c r="B1480" t="s">
        <v>3308</v>
      </c>
      <c r="C1480" t="s">
        <v>13007</v>
      </c>
      <c r="E1480" t="s">
        <v>13008</v>
      </c>
      <c r="F1480" t="s">
        <v>13009</v>
      </c>
      <c r="G1480" t="s">
        <v>13010</v>
      </c>
      <c r="H1480" t="s">
        <v>12970</v>
      </c>
    </row>
    <row r="1481" spans="1:8" x14ac:dyDescent="0.45">
      <c r="A1481" t="s">
        <v>3307</v>
      </c>
      <c r="B1481" t="s">
        <v>3308</v>
      </c>
      <c r="C1481" t="s">
        <v>13007</v>
      </c>
      <c r="E1481" t="s">
        <v>13008</v>
      </c>
      <c r="F1481" t="s">
        <v>13011</v>
      </c>
      <c r="G1481" t="s">
        <v>13012</v>
      </c>
      <c r="H1481" t="s">
        <v>12586</v>
      </c>
    </row>
    <row r="1482" spans="1:8" x14ac:dyDescent="0.45">
      <c r="A1482" t="s">
        <v>1414</v>
      </c>
      <c r="B1482" t="s">
        <v>1415</v>
      </c>
      <c r="C1482" t="s">
        <v>13013</v>
      </c>
      <c r="E1482" t="s">
        <v>13014</v>
      </c>
      <c r="F1482" t="s">
        <v>13015</v>
      </c>
      <c r="G1482" t="s">
        <v>12887</v>
      </c>
      <c r="H1482" t="s">
        <v>13016</v>
      </c>
    </row>
    <row r="1483" spans="1:8" x14ac:dyDescent="0.45">
      <c r="A1483" t="s">
        <v>6409</v>
      </c>
      <c r="B1483" t="s">
        <v>6410</v>
      </c>
      <c r="C1483" t="s">
        <v>13017</v>
      </c>
      <c r="E1483" t="s">
        <v>13018</v>
      </c>
      <c r="F1483" t="s">
        <v>13019</v>
      </c>
      <c r="G1483" t="s">
        <v>12891</v>
      </c>
      <c r="H1483" t="s">
        <v>13020</v>
      </c>
    </row>
    <row r="1484" spans="1:8" x14ac:dyDescent="0.45">
      <c r="A1484" t="s">
        <v>2878</v>
      </c>
      <c r="B1484" t="s">
        <v>2879</v>
      </c>
      <c r="C1484" t="s">
        <v>13021</v>
      </c>
    </row>
    <row r="1485" spans="1:8" x14ac:dyDescent="0.45">
      <c r="A1485" t="s">
        <v>5885</v>
      </c>
      <c r="B1485" t="s">
        <v>5886</v>
      </c>
      <c r="C1485" t="s">
        <v>13021</v>
      </c>
    </row>
    <row r="1486" spans="1:8" x14ac:dyDescent="0.45">
      <c r="A1486" t="s">
        <v>7331</v>
      </c>
      <c r="B1486" t="s">
        <v>7332</v>
      </c>
      <c r="C1486" t="s">
        <v>13021</v>
      </c>
    </row>
    <row r="1487" spans="1:8" x14ac:dyDescent="0.45">
      <c r="A1487" t="s">
        <v>9907</v>
      </c>
      <c r="B1487" t="s">
        <v>9908</v>
      </c>
      <c r="C1487" t="s">
        <v>13021</v>
      </c>
    </row>
    <row r="1488" spans="1:8" x14ac:dyDescent="0.45">
      <c r="A1488" t="s">
        <v>487</v>
      </c>
      <c r="B1488" t="s">
        <v>488</v>
      </c>
      <c r="C1488" t="s">
        <v>13022</v>
      </c>
      <c r="E1488" t="s">
        <v>13023</v>
      </c>
      <c r="F1488" t="s">
        <v>13024</v>
      </c>
      <c r="G1488" t="s">
        <v>13025</v>
      </c>
      <c r="H1488" t="s">
        <v>13026</v>
      </c>
    </row>
    <row r="1489" spans="1:8" x14ac:dyDescent="0.45">
      <c r="A1489" t="s">
        <v>5092</v>
      </c>
      <c r="B1489" t="s">
        <v>5093</v>
      </c>
      <c r="C1489" t="s">
        <v>13022</v>
      </c>
      <c r="E1489" t="s">
        <v>13023</v>
      </c>
      <c r="F1489" t="s">
        <v>13024</v>
      </c>
      <c r="G1489" t="s">
        <v>13025</v>
      </c>
      <c r="H1489" t="s">
        <v>13026</v>
      </c>
    </row>
    <row r="1490" spans="1:8" x14ac:dyDescent="0.45">
      <c r="A1490" t="s">
        <v>867</v>
      </c>
      <c r="B1490" t="s">
        <v>868</v>
      </c>
      <c r="C1490" t="s">
        <v>13027</v>
      </c>
      <c r="E1490" t="s">
        <v>13028</v>
      </c>
      <c r="F1490" t="s">
        <v>13029</v>
      </c>
      <c r="G1490" t="s">
        <v>13030</v>
      </c>
      <c r="H1490" t="s">
        <v>12538</v>
      </c>
    </row>
    <row r="1491" spans="1:8" x14ac:dyDescent="0.45">
      <c r="A1491" t="s">
        <v>3595</v>
      </c>
      <c r="B1491" t="s">
        <v>3596</v>
      </c>
      <c r="C1491" t="s">
        <v>13031</v>
      </c>
      <c r="E1491" t="s">
        <v>13032</v>
      </c>
    </row>
    <row r="1492" spans="1:8" x14ac:dyDescent="0.45">
      <c r="A1492" t="s">
        <v>9415</v>
      </c>
      <c r="B1492" t="s">
        <v>9416</v>
      </c>
      <c r="C1492" t="s">
        <v>13033</v>
      </c>
      <c r="E1492" t="s">
        <v>13034</v>
      </c>
      <c r="F1492" t="s">
        <v>13035</v>
      </c>
      <c r="G1492" t="s">
        <v>13036</v>
      </c>
      <c r="H1492" t="s">
        <v>13037</v>
      </c>
    </row>
    <row r="1493" spans="1:8" x14ac:dyDescent="0.45">
      <c r="A1493" t="s">
        <v>2007</v>
      </c>
      <c r="B1493" t="s">
        <v>2008</v>
      </c>
      <c r="C1493" t="s">
        <v>13038</v>
      </c>
    </row>
    <row r="1494" spans="1:8" x14ac:dyDescent="0.45">
      <c r="A1494" t="s">
        <v>3468</v>
      </c>
      <c r="B1494" t="s">
        <v>3469</v>
      </c>
      <c r="C1494" t="s">
        <v>13039</v>
      </c>
      <c r="E1494" t="s">
        <v>13040</v>
      </c>
    </row>
    <row r="1495" spans="1:8" x14ac:dyDescent="0.45">
      <c r="A1495" t="s">
        <v>6462</v>
      </c>
      <c r="B1495" t="s">
        <v>6463</v>
      </c>
      <c r="C1495" t="s">
        <v>13039</v>
      </c>
      <c r="E1495" t="s">
        <v>13040</v>
      </c>
    </row>
    <row r="1496" spans="1:8" x14ac:dyDescent="0.45">
      <c r="A1496" t="s">
        <v>6784</v>
      </c>
      <c r="B1496" t="s">
        <v>6785</v>
      </c>
      <c r="C1496" t="s">
        <v>13039</v>
      </c>
      <c r="E1496" t="s">
        <v>13040</v>
      </c>
    </row>
    <row r="1497" spans="1:8" x14ac:dyDescent="0.45">
      <c r="A1497" t="s">
        <v>34</v>
      </c>
      <c r="B1497" t="s">
        <v>35</v>
      </c>
      <c r="C1497" t="s">
        <v>13041</v>
      </c>
      <c r="E1497" t="s">
        <v>13042</v>
      </c>
    </row>
    <row r="1498" spans="1:8" x14ac:dyDescent="0.45">
      <c r="A1498" t="s">
        <v>38</v>
      </c>
      <c r="B1498" t="s">
        <v>39</v>
      </c>
      <c r="C1498" t="s">
        <v>13041</v>
      </c>
      <c r="E1498" t="s">
        <v>13042</v>
      </c>
    </row>
    <row r="1499" spans="1:8" x14ac:dyDescent="0.45">
      <c r="A1499" t="s">
        <v>2218</v>
      </c>
      <c r="B1499" t="s">
        <v>2219</v>
      </c>
      <c r="C1499" t="s">
        <v>12510</v>
      </c>
      <c r="E1499" t="s">
        <v>12511</v>
      </c>
    </row>
    <row r="1500" spans="1:8" x14ac:dyDescent="0.45">
      <c r="A1500" t="s">
        <v>2813</v>
      </c>
      <c r="B1500" t="s">
        <v>2814</v>
      </c>
      <c r="C1500" t="s">
        <v>12510</v>
      </c>
      <c r="E1500" t="s">
        <v>12511</v>
      </c>
    </row>
    <row r="1501" spans="1:8" x14ac:dyDescent="0.45">
      <c r="A1501" t="s">
        <v>4862</v>
      </c>
      <c r="B1501" t="s">
        <v>4863</v>
      </c>
      <c r="C1501" t="s">
        <v>12510</v>
      </c>
      <c r="E1501" t="s">
        <v>12511</v>
      </c>
    </row>
    <row r="1502" spans="1:8" x14ac:dyDescent="0.45">
      <c r="A1502" t="s">
        <v>972</v>
      </c>
      <c r="B1502" t="s">
        <v>973</v>
      </c>
      <c r="C1502" t="s">
        <v>13043</v>
      </c>
    </row>
    <row r="1503" spans="1:8" x14ac:dyDescent="0.45">
      <c r="A1503" t="s">
        <v>7012</v>
      </c>
      <c r="B1503" t="s">
        <v>7013</v>
      </c>
      <c r="C1503" t="s">
        <v>13044</v>
      </c>
    </row>
    <row r="1504" spans="1:8" x14ac:dyDescent="0.45">
      <c r="A1504" t="s">
        <v>4193</v>
      </c>
      <c r="B1504" t="s">
        <v>4194</v>
      </c>
      <c r="C1504" t="s">
        <v>13045</v>
      </c>
      <c r="E1504" t="s">
        <v>13046</v>
      </c>
      <c r="F1504" t="s">
        <v>13047</v>
      </c>
      <c r="G1504" t="s">
        <v>13048</v>
      </c>
      <c r="H1504" t="s">
        <v>13049</v>
      </c>
    </row>
    <row r="1505" spans="1:8" x14ac:dyDescent="0.45">
      <c r="A1505" t="s">
        <v>9777</v>
      </c>
      <c r="B1505" t="s">
        <v>9778</v>
      </c>
      <c r="C1505" t="s">
        <v>13050</v>
      </c>
      <c r="E1505" t="s">
        <v>13051</v>
      </c>
      <c r="F1505" t="s">
        <v>13052</v>
      </c>
      <c r="G1505" t="s">
        <v>13053</v>
      </c>
      <c r="H1505" t="s">
        <v>13054</v>
      </c>
    </row>
    <row r="1506" spans="1:8" x14ac:dyDescent="0.45">
      <c r="A1506" t="s">
        <v>9777</v>
      </c>
      <c r="B1506" t="s">
        <v>9778</v>
      </c>
      <c r="C1506" t="s">
        <v>13050</v>
      </c>
      <c r="E1506" t="s">
        <v>13051</v>
      </c>
      <c r="F1506" t="s">
        <v>13055</v>
      </c>
      <c r="G1506" t="s">
        <v>13056</v>
      </c>
      <c r="H1506" t="s">
        <v>13057</v>
      </c>
    </row>
    <row r="1507" spans="1:8" x14ac:dyDescent="0.45">
      <c r="A1507" t="s">
        <v>71</v>
      </c>
      <c r="B1507" t="s">
        <v>72</v>
      </c>
      <c r="C1507" t="s">
        <v>13058</v>
      </c>
      <c r="E1507" t="s">
        <v>13059</v>
      </c>
      <c r="F1507" t="s">
        <v>13060</v>
      </c>
      <c r="G1507" t="s">
        <v>13061</v>
      </c>
      <c r="H1507" t="s">
        <v>13062</v>
      </c>
    </row>
    <row r="1508" spans="1:8" x14ac:dyDescent="0.45">
      <c r="A1508" t="s">
        <v>71</v>
      </c>
      <c r="B1508" t="s">
        <v>72</v>
      </c>
      <c r="C1508" t="s">
        <v>13058</v>
      </c>
      <c r="E1508" t="s">
        <v>13059</v>
      </c>
      <c r="F1508" t="s">
        <v>13063</v>
      </c>
      <c r="G1508" t="s">
        <v>13064</v>
      </c>
      <c r="H1508" t="s">
        <v>13065</v>
      </c>
    </row>
    <row r="1509" spans="1:8" x14ac:dyDescent="0.45">
      <c r="A1509" t="s">
        <v>8027</v>
      </c>
      <c r="B1509" t="s">
        <v>8028</v>
      </c>
      <c r="C1509" t="s">
        <v>13058</v>
      </c>
      <c r="E1509" t="s">
        <v>13059</v>
      </c>
      <c r="F1509" t="s">
        <v>13060</v>
      </c>
      <c r="G1509" t="s">
        <v>13061</v>
      </c>
      <c r="H1509" t="s">
        <v>13062</v>
      </c>
    </row>
    <row r="1510" spans="1:8" x14ac:dyDescent="0.45">
      <c r="A1510" t="s">
        <v>8027</v>
      </c>
      <c r="B1510" t="s">
        <v>8028</v>
      </c>
      <c r="C1510" t="s">
        <v>13058</v>
      </c>
      <c r="E1510" t="s">
        <v>13059</v>
      </c>
      <c r="F1510" t="s">
        <v>13063</v>
      </c>
      <c r="G1510" t="s">
        <v>13064</v>
      </c>
      <c r="H1510" t="s">
        <v>13065</v>
      </c>
    </row>
    <row r="1511" spans="1:8" x14ac:dyDescent="0.45">
      <c r="A1511" t="s">
        <v>7739</v>
      </c>
      <c r="B1511" t="s">
        <v>7740</v>
      </c>
      <c r="C1511" t="s">
        <v>13066</v>
      </c>
      <c r="E1511" t="s">
        <v>13067</v>
      </c>
      <c r="F1511" t="s">
        <v>13068</v>
      </c>
      <c r="G1511" t="s">
        <v>13069</v>
      </c>
      <c r="H1511" t="s">
        <v>13070</v>
      </c>
    </row>
    <row r="1512" spans="1:8" x14ac:dyDescent="0.45">
      <c r="A1512" t="s">
        <v>8056</v>
      </c>
      <c r="B1512" t="s">
        <v>8057</v>
      </c>
      <c r="C1512" t="s">
        <v>13071</v>
      </c>
      <c r="E1512" t="s">
        <v>13072</v>
      </c>
      <c r="F1512" t="s">
        <v>13073</v>
      </c>
      <c r="G1512" t="s">
        <v>13074</v>
      </c>
      <c r="H1512" t="s">
        <v>13075</v>
      </c>
    </row>
    <row r="1513" spans="1:8" x14ac:dyDescent="0.45">
      <c r="A1513" t="s">
        <v>8056</v>
      </c>
      <c r="B1513" t="s">
        <v>8057</v>
      </c>
      <c r="C1513" t="s">
        <v>13071</v>
      </c>
      <c r="E1513" t="s">
        <v>13072</v>
      </c>
      <c r="F1513" t="s">
        <v>13076</v>
      </c>
      <c r="G1513" t="s">
        <v>13077</v>
      </c>
      <c r="H1513" t="s">
        <v>13078</v>
      </c>
    </row>
    <row r="1514" spans="1:8" x14ac:dyDescent="0.45">
      <c r="A1514" t="s">
        <v>8056</v>
      </c>
      <c r="B1514" t="s">
        <v>8057</v>
      </c>
      <c r="C1514" t="s">
        <v>13071</v>
      </c>
      <c r="E1514" t="s">
        <v>13072</v>
      </c>
      <c r="F1514" t="s">
        <v>13079</v>
      </c>
      <c r="G1514" t="s">
        <v>13080</v>
      </c>
      <c r="H1514" t="s">
        <v>13081</v>
      </c>
    </row>
    <row r="1515" spans="1:8" x14ac:dyDescent="0.45">
      <c r="A1515" t="s">
        <v>8056</v>
      </c>
      <c r="B1515" t="s">
        <v>8057</v>
      </c>
      <c r="C1515" t="s">
        <v>13071</v>
      </c>
      <c r="E1515" t="s">
        <v>13072</v>
      </c>
      <c r="F1515" t="s">
        <v>13082</v>
      </c>
      <c r="G1515" t="s">
        <v>13083</v>
      </c>
      <c r="H1515" t="s">
        <v>13084</v>
      </c>
    </row>
    <row r="1516" spans="1:8" x14ac:dyDescent="0.45">
      <c r="A1516" t="s">
        <v>8056</v>
      </c>
      <c r="B1516" t="s">
        <v>8057</v>
      </c>
      <c r="C1516" t="s">
        <v>13071</v>
      </c>
      <c r="E1516" t="s">
        <v>13072</v>
      </c>
      <c r="F1516" t="s">
        <v>13085</v>
      </c>
      <c r="G1516" t="s">
        <v>13086</v>
      </c>
      <c r="H1516" t="s">
        <v>13087</v>
      </c>
    </row>
    <row r="1517" spans="1:8" x14ac:dyDescent="0.45">
      <c r="A1517" t="s">
        <v>8056</v>
      </c>
      <c r="B1517" t="s">
        <v>8057</v>
      </c>
      <c r="C1517" t="s">
        <v>13071</v>
      </c>
      <c r="E1517" t="s">
        <v>13072</v>
      </c>
      <c r="F1517" t="s">
        <v>13088</v>
      </c>
      <c r="G1517" t="s">
        <v>13089</v>
      </c>
      <c r="H1517" t="s">
        <v>13090</v>
      </c>
    </row>
    <row r="1518" spans="1:8" x14ac:dyDescent="0.45">
      <c r="A1518" t="s">
        <v>8056</v>
      </c>
      <c r="B1518" t="s">
        <v>8057</v>
      </c>
      <c r="C1518" t="s">
        <v>13071</v>
      </c>
      <c r="E1518" t="s">
        <v>13072</v>
      </c>
      <c r="F1518" t="s">
        <v>13091</v>
      </c>
      <c r="G1518" t="s">
        <v>13092</v>
      </c>
      <c r="H1518" t="s">
        <v>13093</v>
      </c>
    </row>
    <row r="1519" spans="1:8" x14ac:dyDescent="0.45">
      <c r="A1519" t="s">
        <v>8056</v>
      </c>
      <c r="B1519" t="s">
        <v>8057</v>
      </c>
      <c r="C1519" t="s">
        <v>13071</v>
      </c>
      <c r="E1519" t="s">
        <v>13072</v>
      </c>
      <c r="F1519" t="s">
        <v>13094</v>
      </c>
      <c r="G1519" t="s">
        <v>13095</v>
      </c>
      <c r="H1519" t="s">
        <v>13096</v>
      </c>
    </row>
    <row r="1520" spans="1:8" x14ac:dyDescent="0.45">
      <c r="A1520" t="s">
        <v>6858</v>
      </c>
      <c r="B1520" t="s">
        <v>6859</v>
      </c>
      <c r="C1520" t="s">
        <v>13097</v>
      </c>
      <c r="E1520" t="s">
        <v>13098</v>
      </c>
      <c r="F1520" t="s">
        <v>13099</v>
      </c>
      <c r="G1520" t="s">
        <v>13100</v>
      </c>
      <c r="H1520" t="s">
        <v>13101</v>
      </c>
    </row>
    <row r="1521" spans="1:8" x14ac:dyDescent="0.45">
      <c r="A1521" t="s">
        <v>6862</v>
      </c>
      <c r="B1521" t="s">
        <v>6863</v>
      </c>
      <c r="C1521" t="s">
        <v>13097</v>
      </c>
      <c r="E1521" t="s">
        <v>13098</v>
      </c>
      <c r="F1521" t="s">
        <v>13099</v>
      </c>
      <c r="G1521" t="s">
        <v>13100</v>
      </c>
      <c r="H1521" t="s">
        <v>13101</v>
      </c>
    </row>
    <row r="1522" spans="1:8" x14ac:dyDescent="0.45">
      <c r="A1522" t="s">
        <v>253</v>
      </c>
      <c r="B1522" t="s">
        <v>254</v>
      </c>
      <c r="C1522" t="s">
        <v>13102</v>
      </c>
      <c r="E1522" t="s">
        <v>13103</v>
      </c>
      <c r="F1522" t="s">
        <v>13104</v>
      </c>
      <c r="G1522" t="s">
        <v>13105</v>
      </c>
      <c r="H1522" t="s">
        <v>13106</v>
      </c>
    </row>
    <row r="1523" spans="1:8" x14ac:dyDescent="0.45">
      <c r="A1523" t="s">
        <v>256</v>
      </c>
      <c r="B1523" t="s">
        <v>257</v>
      </c>
      <c r="C1523" t="s">
        <v>13102</v>
      </c>
      <c r="E1523" t="s">
        <v>13103</v>
      </c>
      <c r="F1523" t="s">
        <v>13104</v>
      </c>
      <c r="G1523" t="s">
        <v>13105</v>
      </c>
      <c r="H1523" t="s">
        <v>13106</v>
      </c>
    </row>
    <row r="1524" spans="1:8" x14ac:dyDescent="0.45">
      <c r="A1524" t="s">
        <v>266</v>
      </c>
      <c r="B1524" t="s">
        <v>267</v>
      </c>
      <c r="C1524" t="s">
        <v>13107</v>
      </c>
      <c r="E1524" t="s">
        <v>13108</v>
      </c>
      <c r="F1524" t="s">
        <v>13109</v>
      </c>
      <c r="G1524" t="s">
        <v>13110</v>
      </c>
      <c r="H1524" t="s">
        <v>13111</v>
      </c>
    </row>
    <row r="1525" spans="1:8" x14ac:dyDescent="0.45">
      <c r="A1525" t="s">
        <v>260</v>
      </c>
      <c r="B1525" t="s">
        <v>261</v>
      </c>
      <c r="C1525" t="s">
        <v>13112</v>
      </c>
      <c r="E1525" t="s">
        <v>13113</v>
      </c>
      <c r="F1525" t="s">
        <v>13114</v>
      </c>
      <c r="G1525" t="s">
        <v>13115</v>
      </c>
      <c r="H1525" t="s">
        <v>13116</v>
      </c>
    </row>
    <row r="1526" spans="1:8" x14ac:dyDescent="0.45">
      <c r="A1526" t="s">
        <v>2103</v>
      </c>
      <c r="B1526" t="s">
        <v>2104</v>
      </c>
      <c r="C1526" t="s">
        <v>13117</v>
      </c>
      <c r="E1526" t="s">
        <v>13118</v>
      </c>
      <c r="F1526" t="s">
        <v>13119</v>
      </c>
      <c r="G1526" t="s">
        <v>13120</v>
      </c>
      <c r="H1526" t="s">
        <v>13121</v>
      </c>
    </row>
    <row r="1527" spans="1:8" x14ac:dyDescent="0.45">
      <c r="A1527" t="s">
        <v>7362</v>
      </c>
      <c r="B1527" t="s">
        <v>7363</v>
      </c>
      <c r="C1527" t="s">
        <v>13122</v>
      </c>
      <c r="E1527" t="s">
        <v>13123</v>
      </c>
      <c r="F1527" t="s">
        <v>13124</v>
      </c>
      <c r="G1527" t="s">
        <v>13125</v>
      </c>
      <c r="H1527" t="s">
        <v>13126</v>
      </c>
    </row>
    <row r="1528" spans="1:8" x14ac:dyDescent="0.45">
      <c r="A1528" t="s">
        <v>2065</v>
      </c>
      <c r="B1528" t="s">
        <v>2066</v>
      </c>
      <c r="C1528" t="s">
        <v>13127</v>
      </c>
      <c r="E1528" t="s">
        <v>13128</v>
      </c>
      <c r="F1528" t="s">
        <v>13129</v>
      </c>
      <c r="G1528" t="s">
        <v>13130</v>
      </c>
      <c r="H1528" t="s">
        <v>13131</v>
      </c>
    </row>
    <row r="1529" spans="1:8" x14ac:dyDescent="0.45">
      <c r="A1529" t="s">
        <v>2069</v>
      </c>
      <c r="B1529" t="s">
        <v>2070</v>
      </c>
      <c r="C1529" t="s">
        <v>13127</v>
      </c>
      <c r="E1529" t="s">
        <v>13128</v>
      </c>
      <c r="F1529" t="s">
        <v>13129</v>
      </c>
      <c r="G1529" t="s">
        <v>13130</v>
      </c>
      <c r="H1529" t="s">
        <v>13131</v>
      </c>
    </row>
    <row r="1530" spans="1:8" x14ac:dyDescent="0.45">
      <c r="A1530" t="s">
        <v>7743</v>
      </c>
      <c r="B1530" t="s">
        <v>7744</v>
      </c>
      <c r="C1530" t="s">
        <v>13132</v>
      </c>
      <c r="E1530" t="s">
        <v>13133</v>
      </c>
      <c r="F1530" t="s">
        <v>13134</v>
      </c>
      <c r="G1530" t="s">
        <v>13135</v>
      </c>
      <c r="H1530" t="s">
        <v>13136</v>
      </c>
    </row>
    <row r="1531" spans="1:8" x14ac:dyDescent="0.45">
      <c r="A1531" t="s">
        <v>6385</v>
      </c>
      <c r="B1531" t="s">
        <v>6386</v>
      </c>
      <c r="C1531" t="s">
        <v>13137</v>
      </c>
      <c r="E1531" t="s">
        <v>13138</v>
      </c>
      <c r="F1531" t="s">
        <v>13139</v>
      </c>
      <c r="G1531" t="s">
        <v>13140</v>
      </c>
      <c r="H1531" t="s">
        <v>13141</v>
      </c>
    </row>
    <row r="1532" spans="1:8" x14ac:dyDescent="0.45">
      <c r="A1532" t="s">
        <v>1713</v>
      </c>
      <c r="B1532" t="s">
        <v>1714</v>
      </c>
      <c r="C1532" t="s">
        <v>13142</v>
      </c>
      <c r="E1532" t="s">
        <v>13143</v>
      </c>
      <c r="F1532" t="s">
        <v>13144</v>
      </c>
      <c r="G1532" t="s">
        <v>13145</v>
      </c>
      <c r="H1532" t="s">
        <v>13146</v>
      </c>
    </row>
    <row r="1533" spans="1:8" x14ac:dyDescent="0.45">
      <c r="A1533" t="s">
        <v>7118</v>
      </c>
      <c r="B1533" t="s">
        <v>7119</v>
      </c>
      <c r="C1533" t="s">
        <v>13147</v>
      </c>
      <c r="E1533" t="s">
        <v>13148</v>
      </c>
      <c r="F1533" t="s">
        <v>13149</v>
      </c>
      <c r="G1533" t="s">
        <v>13150</v>
      </c>
      <c r="H1533" t="s">
        <v>13151</v>
      </c>
    </row>
    <row r="1534" spans="1:8" x14ac:dyDescent="0.45">
      <c r="A1534" t="s">
        <v>7383</v>
      </c>
      <c r="B1534" t="s">
        <v>7384</v>
      </c>
      <c r="C1534" t="s">
        <v>13152</v>
      </c>
      <c r="E1534" t="s">
        <v>13153</v>
      </c>
      <c r="F1534" t="s">
        <v>13154</v>
      </c>
      <c r="G1534" t="s">
        <v>13155</v>
      </c>
      <c r="H1534" t="s">
        <v>13156</v>
      </c>
    </row>
    <row r="1535" spans="1:8" x14ac:dyDescent="0.45">
      <c r="A1535" t="s">
        <v>9821</v>
      </c>
      <c r="B1535" t="s">
        <v>9822</v>
      </c>
      <c r="C1535" t="s">
        <v>13157</v>
      </c>
      <c r="E1535" t="s">
        <v>13158</v>
      </c>
      <c r="F1535" t="s">
        <v>13159</v>
      </c>
      <c r="G1535" t="s">
        <v>13160</v>
      </c>
      <c r="H1535" t="s">
        <v>13161</v>
      </c>
    </row>
    <row r="1536" spans="1:8" x14ac:dyDescent="0.45">
      <c r="A1536" t="s">
        <v>3496</v>
      </c>
      <c r="B1536" t="s">
        <v>3497</v>
      </c>
      <c r="C1536" t="s">
        <v>13162</v>
      </c>
      <c r="E1536" t="s">
        <v>13163</v>
      </c>
      <c r="F1536" t="s">
        <v>13164</v>
      </c>
      <c r="G1536" t="s">
        <v>13165</v>
      </c>
      <c r="H1536" t="s">
        <v>13166</v>
      </c>
    </row>
    <row r="1537" spans="1:8" x14ac:dyDescent="0.45">
      <c r="A1537" t="s">
        <v>9030</v>
      </c>
      <c r="B1537" t="s">
        <v>9031</v>
      </c>
      <c r="C1537" t="s">
        <v>13167</v>
      </c>
      <c r="E1537" t="s">
        <v>13168</v>
      </c>
      <c r="F1537" t="s">
        <v>13169</v>
      </c>
      <c r="G1537" t="s">
        <v>13170</v>
      </c>
      <c r="H1537" t="s">
        <v>13171</v>
      </c>
    </row>
    <row r="1538" spans="1:8" x14ac:dyDescent="0.45">
      <c r="A1538" t="s">
        <v>6279</v>
      </c>
      <c r="B1538" t="s">
        <v>6280</v>
      </c>
      <c r="C1538" t="s">
        <v>13172</v>
      </c>
    </row>
    <row r="1539" spans="1:8" x14ac:dyDescent="0.45">
      <c r="A1539" t="s">
        <v>2171</v>
      </c>
      <c r="B1539" t="s">
        <v>2172</v>
      </c>
      <c r="C1539" t="s">
        <v>13173</v>
      </c>
    </row>
    <row r="1540" spans="1:8" x14ac:dyDescent="0.45">
      <c r="A1540" t="s">
        <v>242</v>
      </c>
      <c r="B1540" t="s">
        <v>243</v>
      </c>
      <c r="C1540" t="s">
        <v>13173</v>
      </c>
    </row>
    <row r="1541" spans="1:8" x14ac:dyDescent="0.45">
      <c r="A1541" t="s">
        <v>7618</v>
      </c>
      <c r="B1541" t="s">
        <v>7619</v>
      </c>
      <c r="C1541" t="s">
        <v>13174</v>
      </c>
      <c r="E1541" t="s">
        <v>13175</v>
      </c>
      <c r="F1541" t="s">
        <v>13176</v>
      </c>
      <c r="G1541" t="s">
        <v>13177</v>
      </c>
      <c r="H1541" t="s">
        <v>13178</v>
      </c>
    </row>
    <row r="1542" spans="1:8" x14ac:dyDescent="0.45">
      <c r="A1542" t="s">
        <v>3685</v>
      </c>
      <c r="B1542" t="s">
        <v>3686</v>
      </c>
      <c r="C1542" t="s">
        <v>13179</v>
      </c>
      <c r="E1542" t="s">
        <v>13180</v>
      </c>
      <c r="F1542" t="s">
        <v>13181</v>
      </c>
      <c r="G1542" t="s">
        <v>13182</v>
      </c>
      <c r="H1542" t="s">
        <v>13183</v>
      </c>
    </row>
    <row r="1543" spans="1:8" x14ac:dyDescent="0.45">
      <c r="A1543" t="s">
        <v>2362</v>
      </c>
      <c r="B1543" t="s">
        <v>2363</v>
      </c>
      <c r="C1543" t="s">
        <v>13184</v>
      </c>
      <c r="E1543" t="s">
        <v>13185</v>
      </c>
      <c r="F1543" t="s">
        <v>13186</v>
      </c>
      <c r="G1543" t="s">
        <v>13187</v>
      </c>
      <c r="H1543" t="s">
        <v>13188</v>
      </c>
    </row>
    <row r="1544" spans="1:8" x14ac:dyDescent="0.45">
      <c r="A1544" t="s">
        <v>9021</v>
      </c>
      <c r="B1544" t="s">
        <v>9022</v>
      </c>
      <c r="C1544" t="s">
        <v>13189</v>
      </c>
    </row>
    <row r="1545" spans="1:8" x14ac:dyDescent="0.45">
      <c r="A1545" t="s">
        <v>4165</v>
      </c>
      <c r="B1545" t="s">
        <v>4166</v>
      </c>
      <c r="C1545" t="s">
        <v>13190</v>
      </c>
      <c r="E1545" t="s">
        <v>13191</v>
      </c>
      <c r="F1545" t="s">
        <v>13192</v>
      </c>
      <c r="G1545" t="s">
        <v>13193</v>
      </c>
      <c r="H1545" t="s">
        <v>13194</v>
      </c>
    </row>
    <row r="1546" spans="1:8" x14ac:dyDescent="0.45">
      <c r="A1546" t="s">
        <v>7506</v>
      </c>
      <c r="B1546" t="s">
        <v>7507</v>
      </c>
      <c r="C1546" t="s">
        <v>13195</v>
      </c>
      <c r="E1546" t="s">
        <v>13196</v>
      </c>
      <c r="F1546" t="s">
        <v>13197</v>
      </c>
      <c r="G1546" t="s">
        <v>13198</v>
      </c>
      <c r="H1546" t="s">
        <v>13199</v>
      </c>
    </row>
    <row r="1547" spans="1:8" x14ac:dyDescent="0.45">
      <c r="A1547" t="s">
        <v>7506</v>
      </c>
      <c r="B1547" t="s">
        <v>7507</v>
      </c>
      <c r="C1547" t="s">
        <v>13195</v>
      </c>
      <c r="E1547" t="s">
        <v>13196</v>
      </c>
      <c r="F1547" t="s">
        <v>13200</v>
      </c>
      <c r="G1547" t="s">
        <v>13201</v>
      </c>
      <c r="H1547" t="s">
        <v>13202</v>
      </c>
    </row>
    <row r="1548" spans="1:8" x14ac:dyDescent="0.45">
      <c r="A1548" t="s">
        <v>7536</v>
      </c>
      <c r="B1548" t="s">
        <v>7537</v>
      </c>
      <c r="C1548" t="s">
        <v>13203</v>
      </c>
      <c r="E1548" t="s">
        <v>13204</v>
      </c>
      <c r="F1548" t="s">
        <v>13205</v>
      </c>
      <c r="G1548" t="s">
        <v>13206</v>
      </c>
      <c r="H1548" t="s">
        <v>13207</v>
      </c>
    </row>
    <row r="1549" spans="1:8" x14ac:dyDescent="0.45">
      <c r="A1549" t="s">
        <v>4659</v>
      </c>
      <c r="B1549" t="s">
        <v>4660</v>
      </c>
      <c r="C1549" t="s">
        <v>13208</v>
      </c>
      <c r="E1549" t="s">
        <v>13209</v>
      </c>
      <c r="F1549" t="s">
        <v>13210</v>
      </c>
      <c r="G1549" t="s">
        <v>13211</v>
      </c>
      <c r="H1549" t="s">
        <v>13212</v>
      </c>
    </row>
    <row r="1550" spans="1:8" x14ac:dyDescent="0.45">
      <c r="A1550" t="s">
        <v>3869</v>
      </c>
      <c r="B1550" t="s">
        <v>3870</v>
      </c>
      <c r="C1550" t="s">
        <v>13213</v>
      </c>
      <c r="E1550" t="s">
        <v>13214</v>
      </c>
      <c r="F1550" t="s">
        <v>13215</v>
      </c>
      <c r="G1550" t="s">
        <v>13216</v>
      </c>
      <c r="H1550" t="s">
        <v>13217</v>
      </c>
    </row>
    <row r="1551" spans="1:8" x14ac:dyDescent="0.45">
      <c r="A1551" t="s">
        <v>7297</v>
      </c>
      <c r="B1551" t="s">
        <v>7298</v>
      </c>
      <c r="C1551" t="s">
        <v>13218</v>
      </c>
      <c r="E1551" t="s">
        <v>13219</v>
      </c>
      <c r="F1551" t="s">
        <v>13220</v>
      </c>
      <c r="G1551" t="s">
        <v>13221</v>
      </c>
      <c r="H1551" t="s">
        <v>13222</v>
      </c>
    </row>
    <row r="1552" spans="1:8" x14ac:dyDescent="0.45">
      <c r="A1552" t="s">
        <v>871</v>
      </c>
      <c r="B1552" t="s">
        <v>872</v>
      </c>
      <c r="C1552" t="s">
        <v>13223</v>
      </c>
      <c r="E1552" t="s">
        <v>13224</v>
      </c>
      <c r="F1552" t="s">
        <v>13225</v>
      </c>
      <c r="G1552" t="s">
        <v>13226</v>
      </c>
      <c r="H1552" t="s">
        <v>13227</v>
      </c>
    </row>
    <row r="1553" spans="1:8" x14ac:dyDescent="0.45">
      <c r="A1553" t="s">
        <v>9720</v>
      </c>
      <c r="B1553" t="s">
        <v>9721</v>
      </c>
      <c r="C1553" t="s">
        <v>13228</v>
      </c>
      <c r="E1553" t="s">
        <v>13229</v>
      </c>
      <c r="F1553" t="s">
        <v>13230</v>
      </c>
      <c r="G1553" t="s">
        <v>13231</v>
      </c>
      <c r="H1553" t="s">
        <v>13232</v>
      </c>
    </row>
    <row r="1554" spans="1:8" x14ac:dyDescent="0.45">
      <c r="A1554" t="s">
        <v>7499</v>
      </c>
      <c r="B1554" t="s">
        <v>7500</v>
      </c>
      <c r="C1554" t="s">
        <v>13233</v>
      </c>
      <c r="E1554" t="s">
        <v>13234</v>
      </c>
      <c r="F1554" t="s">
        <v>13235</v>
      </c>
      <c r="G1554" t="s">
        <v>13236</v>
      </c>
      <c r="H1554" t="s">
        <v>13237</v>
      </c>
    </row>
    <row r="1555" spans="1:8" x14ac:dyDescent="0.45">
      <c r="A1555" t="s">
        <v>879</v>
      </c>
      <c r="B1555" t="s">
        <v>880</v>
      </c>
      <c r="C1555" t="s">
        <v>13238</v>
      </c>
      <c r="E1555" t="s">
        <v>13239</v>
      </c>
      <c r="F1555" t="s">
        <v>13240</v>
      </c>
      <c r="G1555" t="s">
        <v>13241</v>
      </c>
      <c r="H1555" t="s">
        <v>13242</v>
      </c>
    </row>
    <row r="1556" spans="1:8" x14ac:dyDescent="0.45">
      <c r="A1556" t="s">
        <v>9522</v>
      </c>
      <c r="B1556" t="s">
        <v>9523</v>
      </c>
      <c r="C1556" t="s">
        <v>13243</v>
      </c>
      <c r="E1556" t="s">
        <v>13244</v>
      </c>
      <c r="F1556" t="s">
        <v>13245</v>
      </c>
      <c r="G1556" t="s">
        <v>13246</v>
      </c>
      <c r="H1556" t="s">
        <v>13247</v>
      </c>
    </row>
    <row r="1557" spans="1:8" x14ac:dyDescent="0.45">
      <c r="A1557" t="s">
        <v>891</v>
      </c>
      <c r="B1557" t="s">
        <v>892</v>
      </c>
      <c r="C1557" t="s">
        <v>13248</v>
      </c>
      <c r="E1557" t="s">
        <v>13249</v>
      </c>
      <c r="F1557" t="s">
        <v>13250</v>
      </c>
      <c r="G1557" t="s">
        <v>13251</v>
      </c>
      <c r="H1557" t="s">
        <v>13252</v>
      </c>
    </row>
    <row r="1558" spans="1:8" x14ac:dyDescent="0.45">
      <c r="A1558" t="s">
        <v>5612</v>
      </c>
      <c r="B1558" t="s">
        <v>5613</v>
      </c>
      <c r="C1558" t="s">
        <v>13253</v>
      </c>
      <c r="E1558" t="s">
        <v>13254</v>
      </c>
      <c r="F1558" t="s">
        <v>13255</v>
      </c>
      <c r="G1558" t="s">
        <v>13256</v>
      </c>
      <c r="H1558" t="s">
        <v>13257</v>
      </c>
    </row>
    <row r="1559" spans="1:8" x14ac:dyDescent="0.45">
      <c r="A1559" t="s">
        <v>9840</v>
      </c>
      <c r="B1559" t="s">
        <v>9841</v>
      </c>
      <c r="C1559" t="s">
        <v>13258</v>
      </c>
      <c r="E1559" t="s">
        <v>13259</v>
      </c>
      <c r="F1559" t="s">
        <v>13260</v>
      </c>
      <c r="G1559" t="s">
        <v>13261</v>
      </c>
      <c r="H1559" t="s">
        <v>13262</v>
      </c>
    </row>
    <row r="1560" spans="1:8" x14ac:dyDescent="0.45">
      <c r="A1560" t="s">
        <v>9840</v>
      </c>
      <c r="B1560" t="s">
        <v>9841</v>
      </c>
      <c r="C1560" t="s">
        <v>13258</v>
      </c>
      <c r="E1560" t="s">
        <v>13259</v>
      </c>
      <c r="F1560" t="s">
        <v>13263</v>
      </c>
      <c r="G1560" t="s">
        <v>13264</v>
      </c>
      <c r="H1560" t="s">
        <v>13265</v>
      </c>
    </row>
    <row r="1561" spans="1:8" x14ac:dyDescent="0.45">
      <c r="A1561" t="s">
        <v>9840</v>
      </c>
      <c r="B1561" t="s">
        <v>9841</v>
      </c>
      <c r="C1561" t="s">
        <v>13258</v>
      </c>
      <c r="E1561" t="s">
        <v>13259</v>
      </c>
      <c r="F1561" t="s">
        <v>13266</v>
      </c>
      <c r="G1561" t="s">
        <v>13267</v>
      </c>
      <c r="H1561" t="s">
        <v>13268</v>
      </c>
    </row>
    <row r="1562" spans="1:8" x14ac:dyDescent="0.45">
      <c r="A1562" t="s">
        <v>9846</v>
      </c>
      <c r="B1562" t="s">
        <v>9847</v>
      </c>
      <c r="C1562" t="s">
        <v>13269</v>
      </c>
      <c r="E1562" t="s">
        <v>13270</v>
      </c>
      <c r="F1562" t="s">
        <v>13271</v>
      </c>
      <c r="G1562" t="s">
        <v>13272</v>
      </c>
      <c r="H1562" t="s">
        <v>13273</v>
      </c>
    </row>
    <row r="1563" spans="1:8" x14ac:dyDescent="0.45">
      <c r="A1563" t="s">
        <v>9786</v>
      </c>
      <c r="B1563" t="s">
        <v>9787</v>
      </c>
      <c r="C1563" t="s">
        <v>13274</v>
      </c>
      <c r="E1563" t="s">
        <v>13275</v>
      </c>
      <c r="F1563" t="s">
        <v>13276</v>
      </c>
      <c r="G1563" t="s">
        <v>13277</v>
      </c>
      <c r="H1563" t="s">
        <v>13278</v>
      </c>
    </row>
    <row r="1564" spans="1:8" x14ac:dyDescent="0.45">
      <c r="A1564" t="s">
        <v>2123</v>
      </c>
      <c r="B1564" t="s">
        <v>2124</v>
      </c>
      <c r="C1564" t="s">
        <v>13279</v>
      </c>
      <c r="E1564" t="s">
        <v>13280</v>
      </c>
      <c r="F1564" t="s">
        <v>13281</v>
      </c>
      <c r="G1564" t="s">
        <v>13282</v>
      </c>
      <c r="H1564" t="s">
        <v>13283</v>
      </c>
    </row>
    <row r="1565" spans="1:8" x14ac:dyDescent="0.45">
      <c r="A1565" t="s">
        <v>10165</v>
      </c>
      <c r="B1565" t="s">
        <v>10166</v>
      </c>
      <c r="C1565" t="s">
        <v>13284</v>
      </c>
      <c r="E1565" t="s">
        <v>13285</v>
      </c>
      <c r="F1565" t="s">
        <v>13286</v>
      </c>
      <c r="G1565" t="s">
        <v>13287</v>
      </c>
      <c r="H1565" t="s">
        <v>13288</v>
      </c>
    </row>
    <row r="1566" spans="1:8" x14ac:dyDescent="0.45">
      <c r="A1566" t="s">
        <v>5095</v>
      </c>
      <c r="B1566" t="s">
        <v>5096</v>
      </c>
      <c r="C1566" t="s">
        <v>13289</v>
      </c>
      <c r="E1566" t="s">
        <v>13290</v>
      </c>
      <c r="F1566" t="s">
        <v>13291</v>
      </c>
      <c r="G1566" t="s">
        <v>13292</v>
      </c>
      <c r="H1566" t="s">
        <v>13293</v>
      </c>
    </row>
    <row r="1567" spans="1:8" x14ac:dyDescent="0.45">
      <c r="A1567" t="s">
        <v>820</v>
      </c>
      <c r="B1567" t="s">
        <v>821</v>
      </c>
      <c r="C1567" t="s">
        <v>13294</v>
      </c>
      <c r="E1567" t="s">
        <v>13295</v>
      </c>
      <c r="F1567" t="s">
        <v>13296</v>
      </c>
      <c r="G1567" t="s">
        <v>13297</v>
      </c>
      <c r="H1567" t="s">
        <v>13298</v>
      </c>
    </row>
    <row r="1568" spans="1:8" x14ac:dyDescent="0.45">
      <c r="A1568" t="s">
        <v>820</v>
      </c>
      <c r="B1568" t="s">
        <v>821</v>
      </c>
      <c r="C1568" t="s">
        <v>13294</v>
      </c>
      <c r="E1568" t="s">
        <v>13295</v>
      </c>
      <c r="F1568" t="s">
        <v>10767</v>
      </c>
      <c r="G1568" t="s">
        <v>10768</v>
      </c>
      <c r="H1568" t="s">
        <v>10769</v>
      </c>
    </row>
    <row r="1569" spans="1:8" x14ac:dyDescent="0.45">
      <c r="A1569" t="s">
        <v>820</v>
      </c>
      <c r="B1569" t="s">
        <v>821</v>
      </c>
      <c r="C1569" t="s">
        <v>13294</v>
      </c>
      <c r="E1569" t="s">
        <v>13295</v>
      </c>
      <c r="F1569" t="s">
        <v>13299</v>
      </c>
      <c r="G1569" t="s">
        <v>13300</v>
      </c>
      <c r="H1569" t="s">
        <v>13301</v>
      </c>
    </row>
    <row r="1570" spans="1:8" x14ac:dyDescent="0.45">
      <c r="A1570" t="s">
        <v>820</v>
      </c>
      <c r="B1570" t="s">
        <v>821</v>
      </c>
      <c r="C1570" t="s">
        <v>13294</v>
      </c>
      <c r="E1570" t="s">
        <v>13295</v>
      </c>
      <c r="F1570" t="s">
        <v>13302</v>
      </c>
      <c r="G1570" t="s">
        <v>13303</v>
      </c>
      <c r="H1570" t="s">
        <v>13304</v>
      </c>
    </row>
    <row r="1571" spans="1:8" x14ac:dyDescent="0.45">
      <c r="A1571" t="s">
        <v>894</v>
      </c>
      <c r="B1571" t="s">
        <v>895</v>
      </c>
      <c r="C1571" t="s">
        <v>13305</v>
      </c>
      <c r="E1571" t="s">
        <v>13306</v>
      </c>
      <c r="F1571" t="s">
        <v>13307</v>
      </c>
      <c r="G1571" t="s">
        <v>13308</v>
      </c>
      <c r="H1571" t="s">
        <v>13309</v>
      </c>
    </row>
    <row r="1572" spans="1:8" x14ac:dyDescent="0.45">
      <c r="A1572" t="s">
        <v>1322</v>
      </c>
      <c r="B1572" t="s">
        <v>1323</v>
      </c>
      <c r="C1572" t="s">
        <v>13310</v>
      </c>
      <c r="E1572" t="s">
        <v>13311</v>
      </c>
      <c r="F1572" t="s">
        <v>13312</v>
      </c>
      <c r="G1572" t="s">
        <v>13313</v>
      </c>
      <c r="H1572" t="s">
        <v>13314</v>
      </c>
    </row>
    <row r="1573" spans="1:8" x14ac:dyDescent="0.45">
      <c r="A1573" t="s">
        <v>1322</v>
      </c>
      <c r="B1573" t="s">
        <v>1323</v>
      </c>
      <c r="C1573" t="s">
        <v>13310</v>
      </c>
      <c r="E1573" t="s">
        <v>13311</v>
      </c>
      <c r="F1573" t="s">
        <v>10767</v>
      </c>
      <c r="G1573" t="s">
        <v>10768</v>
      </c>
      <c r="H1573" t="s">
        <v>10769</v>
      </c>
    </row>
    <row r="1574" spans="1:8" x14ac:dyDescent="0.45">
      <c r="A1574" t="s">
        <v>1322</v>
      </c>
      <c r="B1574" t="s">
        <v>1323</v>
      </c>
      <c r="C1574" t="s">
        <v>13310</v>
      </c>
      <c r="E1574" t="s">
        <v>13311</v>
      </c>
      <c r="F1574" t="s">
        <v>13176</v>
      </c>
      <c r="G1574" t="s">
        <v>13177</v>
      </c>
      <c r="H1574" t="s">
        <v>13178</v>
      </c>
    </row>
    <row r="1575" spans="1:8" x14ac:dyDescent="0.45">
      <c r="A1575" t="s">
        <v>4675</v>
      </c>
      <c r="B1575" t="s">
        <v>4676</v>
      </c>
      <c r="C1575" t="s">
        <v>13310</v>
      </c>
      <c r="E1575" t="s">
        <v>13311</v>
      </c>
      <c r="F1575" t="s">
        <v>13312</v>
      </c>
      <c r="G1575" t="s">
        <v>13313</v>
      </c>
      <c r="H1575" t="s">
        <v>13314</v>
      </c>
    </row>
    <row r="1576" spans="1:8" x14ac:dyDescent="0.45">
      <c r="A1576" t="s">
        <v>4675</v>
      </c>
      <c r="B1576" t="s">
        <v>4676</v>
      </c>
      <c r="C1576" t="s">
        <v>13310</v>
      </c>
      <c r="E1576" t="s">
        <v>13311</v>
      </c>
      <c r="F1576" t="s">
        <v>10767</v>
      </c>
      <c r="G1576" t="s">
        <v>10768</v>
      </c>
      <c r="H1576" t="s">
        <v>10769</v>
      </c>
    </row>
    <row r="1577" spans="1:8" x14ac:dyDescent="0.45">
      <c r="A1577" t="s">
        <v>4675</v>
      </c>
      <c r="B1577" t="s">
        <v>4676</v>
      </c>
      <c r="C1577" t="s">
        <v>13310</v>
      </c>
      <c r="E1577" t="s">
        <v>13311</v>
      </c>
      <c r="F1577" t="s">
        <v>13176</v>
      </c>
      <c r="G1577" t="s">
        <v>13177</v>
      </c>
      <c r="H1577" t="s">
        <v>13178</v>
      </c>
    </row>
    <row r="1578" spans="1:8" x14ac:dyDescent="0.45">
      <c r="A1578" t="s">
        <v>9923</v>
      </c>
      <c r="B1578" t="s">
        <v>9924</v>
      </c>
      <c r="C1578" t="s">
        <v>13315</v>
      </c>
      <c r="E1578" t="s">
        <v>13316</v>
      </c>
      <c r="F1578" t="s">
        <v>13317</v>
      </c>
      <c r="G1578" t="s">
        <v>13318</v>
      </c>
      <c r="H1578" t="s">
        <v>13319</v>
      </c>
    </row>
    <row r="1579" spans="1:8" x14ac:dyDescent="0.45">
      <c r="A1579" t="s">
        <v>9923</v>
      </c>
      <c r="B1579" t="s">
        <v>9924</v>
      </c>
      <c r="C1579" t="s">
        <v>13315</v>
      </c>
      <c r="E1579" t="s">
        <v>13316</v>
      </c>
      <c r="F1579" t="s">
        <v>10767</v>
      </c>
      <c r="G1579" t="s">
        <v>10768</v>
      </c>
      <c r="H1579" t="s">
        <v>10769</v>
      </c>
    </row>
    <row r="1580" spans="1:8" x14ac:dyDescent="0.45">
      <c r="A1580" t="s">
        <v>9923</v>
      </c>
      <c r="B1580" t="s">
        <v>9924</v>
      </c>
      <c r="C1580" t="s">
        <v>13315</v>
      </c>
      <c r="E1580" t="s">
        <v>13316</v>
      </c>
      <c r="F1580" t="s">
        <v>13320</v>
      </c>
      <c r="G1580" t="s">
        <v>13321</v>
      </c>
      <c r="H1580" t="s">
        <v>13322</v>
      </c>
    </row>
    <row r="1581" spans="1:8" x14ac:dyDescent="0.45">
      <c r="A1581" t="s">
        <v>9923</v>
      </c>
      <c r="B1581" t="s">
        <v>9924</v>
      </c>
      <c r="C1581" t="s">
        <v>13315</v>
      </c>
      <c r="E1581" t="s">
        <v>13316</v>
      </c>
      <c r="F1581" t="s">
        <v>13323</v>
      </c>
      <c r="G1581" t="s">
        <v>13324</v>
      </c>
      <c r="H1581" t="s">
        <v>13325</v>
      </c>
    </row>
    <row r="1582" spans="1:8" x14ac:dyDescent="0.45">
      <c r="A1582" t="s">
        <v>9923</v>
      </c>
      <c r="B1582" t="s">
        <v>9924</v>
      </c>
      <c r="C1582" t="s">
        <v>13315</v>
      </c>
      <c r="E1582" t="s">
        <v>13316</v>
      </c>
      <c r="F1582" t="s">
        <v>13326</v>
      </c>
      <c r="G1582" t="s">
        <v>13327</v>
      </c>
      <c r="H1582" t="s">
        <v>13328</v>
      </c>
    </row>
    <row r="1583" spans="1:8" x14ac:dyDescent="0.45">
      <c r="A1583" t="s">
        <v>9923</v>
      </c>
      <c r="B1583" t="s">
        <v>9924</v>
      </c>
      <c r="C1583" t="s">
        <v>13315</v>
      </c>
      <c r="E1583" t="s">
        <v>13316</v>
      </c>
      <c r="F1583" t="s">
        <v>13329</v>
      </c>
      <c r="G1583" t="s">
        <v>13330</v>
      </c>
      <c r="H1583" t="s">
        <v>13331</v>
      </c>
    </row>
    <row r="1584" spans="1:8" x14ac:dyDescent="0.45">
      <c r="A1584" t="s">
        <v>9927</v>
      </c>
      <c r="B1584" t="s">
        <v>9928</v>
      </c>
      <c r="C1584" t="s">
        <v>13315</v>
      </c>
      <c r="E1584" t="s">
        <v>13316</v>
      </c>
      <c r="F1584" t="s">
        <v>13317</v>
      </c>
      <c r="G1584" t="s">
        <v>13318</v>
      </c>
      <c r="H1584" t="s">
        <v>13319</v>
      </c>
    </row>
    <row r="1585" spans="1:8" x14ac:dyDescent="0.45">
      <c r="A1585" t="s">
        <v>9927</v>
      </c>
      <c r="B1585" t="s">
        <v>9928</v>
      </c>
      <c r="C1585" t="s">
        <v>13315</v>
      </c>
      <c r="E1585" t="s">
        <v>13316</v>
      </c>
      <c r="F1585" t="s">
        <v>10767</v>
      </c>
      <c r="G1585" t="s">
        <v>10768</v>
      </c>
      <c r="H1585" t="s">
        <v>10769</v>
      </c>
    </row>
    <row r="1586" spans="1:8" x14ac:dyDescent="0.45">
      <c r="A1586" t="s">
        <v>9927</v>
      </c>
      <c r="B1586" t="s">
        <v>9928</v>
      </c>
      <c r="C1586" t="s">
        <v>13315</v>
      </c>
      <c r="E1586" t="s">
        <v>13316</v>
      </c>
      <c r="F1586" t="s">
        <v>13320</v>
      </c>
      <c r="G1586" t="s">
        <v>13321</v>
      </c>
      <c r="H1586" t="s">
        <v>13322</v>
      </c>
    </row>
    <row r="1587" spans="1:8" x14ac:dyDescent="0.45">
      <c r="A1587" t="s">
        <v>9927</v>
      </c>
      <c r="B1587" t="s">
        <v>9928</v>
      </c>
      <c r="C1587" t="s">
        <v>13315</v>
      </c>
      <c r="E1587" t="s">
        <v>13316</v>
      </c>
      <c r="F1587" t="s">
        <v>13323</v>
      </c>
      <c r="G1587" t="s">
        <v>13324</v>
      </c>
      <c r="H1587" t="s">
        <v>13325</v>
      </c>
    </row>
    <row r="1588" spans="1:8" x14ac:dyDescent="0.45">
      <c r="A1588" t="s">
        <v>9927</v>
      </c>
      <c r="B1588" t="s">
        <v>9928</v>
      </c>
      <c r="C1588" t="s">
        <v>13315</v>
      </c>
      <c r="E1588" t="s">
        <v>13316</v>
      </c>
      <c r="F1588" t="s">
        <v>13326</v>
      </c>
      <c r="G1588" t="s">
        <v>13327</v>
      </c>
      <c r="H1588" t="s">
        <v>13328</v>
      </c>
    </row>
    <row r="1589" spans="1:8" x14ac:dyDescent="0.45">
      <c r="A1589" t="s">
        <v>9927</v>
      </c>
      <c r="B1589" t="s">
        <v>9928</v>
      </c>
      <c r="C1589" t="s">
        <v>13315</v>
      </c>
      <c r="E1589" t="s">
        <v>13316</v>
      </c>
      <c r="F1589" t="s">
        <v>13329</v>
      </c>
      <c r="G1589" t="s">
        <v>13330</v>
      </c>
      <c r="H1589" t="s">
        <v>13331</v>
      </c>
    </row>
    <row r="1590" spans="1:8" x14ac:dyDescent="0.45">
      <c r="A1590" t="s">
        <v>9929</v>
      </c>
      <c r="B1590" t="s">
        <v>9930</v>
      </c>
      <c r="C1590" t="s">
        <v>13315</v>
      </c>
      <c r="E1590" t="s">
        <v>13316</v>
      </c>
      <c r="F1590" t="s">
        <v>13317</v>
      </c>
      <c r="G1590" t="s">
        <v>13318</v>
      </c>
      <c r="H1590" t="s">
        <v>13319</v>
      </c>
    </row>
    <row r="1591" spans="1:8" x14ac:dyDescent="0.45">
      <c r="A1591" t="s">
        <v>9929</v>
      </c>
      <c r="B1591" t="s">
        <v>9930</v>
      </c>
      <c r="C1591" t="s">
        <v>13315</v>
      </c>
      <c r="E1591" t="s">
        <v>13316</v>
      </c>
      <c r="F1591" t="s">
        <v>10767</v>
      </c>
      <c r="G1591" t="s">
        <v>10768</v>
      </c>
      <c r="H1591" t="s">
        <v>10769</v>
      </c>
    </row>
    <row r="1592" spans="1:8" x14ac:dyDescent="0.45">
      <c r="A1592" t="s">
        <v>9929</v>
      </c>
      <c r="B1592" t="s">
        <v>9930</v>
      </c>
      <c r="C1592" t="s">
        <v>13315</v>
      </c>
      <c r="E1592" t="s">
        <v>13316</v>
      </c>
      <c r="F1592" t="s">
        <v>13320</v>
      </c>
      <c r="G1592" t="s">
        <v>13321</v>
      </c>
      <c r="H1592" t="s">
        <v>13322</v>
      </c>
    </row>
    <row r="1593" spans="1:8" x14ac:dyDescent="0.45">
      <c r="A1593" t="s">
        <v>9929</v>
      </c>
      <c r="B1593" t="s">
        <v>9930</v>
      </c>
      <c r="C1593" t="s">
        <v>13315</v>
      </c>
      <c r="E1593" t="s">
        <v>13316</v>
      </c>
      <c r="F1593" t="s">
        <v>13323</v>
      </c>
      <c r="G1593" t="s">
        <v>13324</v>
      </c>
      <c r="H1593" t="s">
        <v>13325</v>
      </c>
    </row>
    <row r="1594" spans="1:8" x14ac:dyDescent="0.45">
      <c r="A1594" t="s">
        <v>9929</v>
      </c>
      <c r="B1594" t="s">
        <v>9930</v>
      </c>
      <c r="C1594" t="s">
        <v>13315</v>
      </c>
      <c r="E1594" t="s">
        <v>13316</v>
      </c>
      <c r="F1594" t="s">
        <v>13326</v>
      </c>
      <c r="G1594" t="s">
        <v>13327</v>
      </c>
      <c r="H1594" t="s">
        <v>13328</v>
      </c>
    </row>
    <row r="1595" spans="1:8" x14ac:dyDescent="0.45">
      <c r="A1595" t="s">
        <v>9929</v>
      </c>
      <c r="B1595" t="s">
        <v>9930</v>
      </c>
      <c r="C1595" t="s">
        <v>13315</v>
      </c>
      <c r="E1595" t="s">
        <v>13316</v>
      </c>
      <c r="F1595" t="s">
        <v>13329</v>
      </c>
      <c r="G1595" t="s">
        <v>13330</v>
      </c>
      <c r="H1595" t="s">
        <v>13331</v>
      </c>
    </row>
    <row r="1596" spans="1:8" x14ac:dyDescent="0.45">
      <c r="A1596" t="s">
        <v>9931</v>
      </c>
      <c r="B1596" t="s">
        <v>9932</v>
      </c>
      <c r="C1596" t="s">
        <v>13315</v>
      </c>
      <c r="E1596" t="s">
        <v>13316</v>
      </c>
      <c r="F1596" t="s">
        <v>13317</v>
      </c>
      <c r="G1596" t="s">
        <v>13318</v>
      </c>
      <c r="H1596" t="s">
        <v>13319</v>
      </c>
    </row>
    <row r="1597" spans="1:8" x14ac:dyDescent="0.45">
      <c r="A1597" t="s">
        <v>9931</v>
      </c>
      <c r="B1597" t="s">
        <v>9932</v>
      </c>
      <c r="C1597" t="s">
        <v>13315</v>
      </c>
      <c r="E1597" t="s">
        <v>13316</v>
      </c>
      <c r="F1597" t="s">
        <v>10767</v>
      </c>
      <c r="G1597" t="s">
        <v>10768</v>
      </c>
      <c r="H1597" t="s">
        <v>10769</v>
      </c>
    </row>
    <row r="1598" spans="1:8" x14ac:dyDescent="0.45">
      <c r="A1598" t="s">
        <v>9931</v>
      </c>
      <c r="B1598" t="s">
        <v>9932</v>
      </c>
      <c r="C1598" t="s">
        <v>13315</v>
      </c>
      <c r="E1598" t="s">
        <v>13316</v>
      </c>
      <c r="F1598" t="s">
        <v>13320</v>
      </c>
      <c r="G1598" t="s">
        <v>13321</v>
      </c>
      <c r="H1598" t="s">
        <v>13322</v>
      </c>
    </row>
    <row r="1599" spans="1:8" x14ac:dyDescent="0.45">
      <c r="A1599" t="s">
        <v>9931</v>
      </c>
      <c r="B1599" t="s">
        <v>9932</v>
      </c>
      <c r="C1599" t="s">
        <v>13315</v>
      </c>
      <c r="E1599" t="s">
        <v>13316</v>
      </c>
      <c r="F1599" t="s">
        <v>13323</v>
      </c>
      <c r="G1599" t="s">
        <v>13324</v>
      </c>
      <c r="H1599" t="s">
        <v>13325</v>
      </c>
    </row>
    <row r="1600" spans="1:8" x14ac:dyDescent="0.45">
      <c r="A1600" t="s">
        <v>9931</v>
      </c>
      <c r="B1600" t="s">
        <v>9932</v>
      </c>
      <c r="C1600" t="s">
        <v>13315</v>
      </c>
      <c r="E1600" t="s">
        <v>13316</v>
      </c>
      <c r="F1600" t="s">
        <v>13326</v>
      </c>
      <c r="G1600" t="s">
        <v>13327</v>
      </c>
      <c r="H1600" t="s">
        <v>13328</v>
      </c>
    </row>
    <row r="1601" spans="1:8" x14ac:dyDescent="0.45">
      <c r="A1601" t="s">
        <v>9931</v>
      </c>
      <c r="B1601" t="s">
        <v>9932</v>
      </c>
      <c r="C1601" t="s">
        <v>13315</v>
      </c>
      <c r="E1601" t="s">
        <v>13316</v>
      </c>
      <c r="F1601" t="s">
        <v>13329</v>
      </c>
      <c r="G1601" t="s">
        <v>13330</v>
      </c>
      <c r="H1601" t="s">
        <v>13331</v>
      </c>
    </row>
    <row r="1602" spans="1:8" x14ac:dyDescent="0.45">
      <c r="A1602" t="s">
        <v>166</v>
      </c>
      <c r="B1602" t="s">
        <v>167</v>
      </c>
      <c r="C1602" t="s">
        <v>13332</v>
      </c>
      <c r="E1602" t="s">
        <v>13333</v>
      </c>
      <c r="F1602" t="s">
        <v>13334</v>
      </c>
      <c r="G1602" t="s">
        <v>13335</v>
      </c>
      <c r="H1602" t="s">
        <v>13336</v>
      </c>
    </row>
    <row r="1603" spans="1:8" x14ac:dyDescent="0.45">
      <c r="A1603" t="s">
        <v>5604</v>
      </c>
      <c r="B1603" t="s">
        <v>5605</v>
      </c>
      <c r="C1603" t="s">
        <v>13337</v>
      </c>
      <c r="E1603" t="s">
        <v>13338</v>
      </c>
      <c r="F1603" t="s">
        <v>13339</v>
      </c>
      <c r="G1603" t="s">
        <v>13340</v>
      </c>
      <c r="H1603" t="s">
        <v>13341</v>
      </c>
    </row>
    <row r="1604" spans="1:8" x14ac:dyDescent="0.45">
      <c r="A1604" t="s">
        <v>5608</v>
      </c>
      <c r="B1604" t="s">
        <v>5609</v>
      </c>
      <c r="C1604" t="s">
        <v>13337</v>
      </c>
      <c r="E1604" t="s">
        <v>13338</v>
      </c>
      <c r="F1604" t="s">
        <v>13339</v>
      </c>
      <c r="G1604" t="s">
        <v>13340</v>
      </c>
      <c r="H1604" t="s">
        <v>13341</v>
      </c>
    </row>
    <row r="1605" spans="1:8" x14ac:dyDescent="0.45">
      <c r="A1605" t="s">
        <v>5616</v>
      </c>
      <c r="B1605" t="s">
        <v>5617</v>
      </c>
      <c r="C1605" t="s">
        <v>13337</v>
      </c>
      <c r="E1605" t="s">
        <v>13338</v>
      </c>
      <c r="F1605" t="s">
        <v>13339</v>
      </c>
      <c r="G1605" t="s">
        <v>13340</v>
      </c>
      <c r="H1605" t="s">
        <v>13341</v>
      </c>
    </row>
    <row r="1606" spans="1:8" x14ac:dyDescent="0.45">
      <c r="A1606" t="s">
        <v>9181</v>
      </c>
      <c r="B1606" t="s">
        <v>9182</v>
      </c>
      <c r="C1606" t="s">
        <v>13342</v>
      </c>
      <c r="E1606" t="s">
        <v>13343</v>
      </c>
      <c r="F1606" t="s">
        <v>13344</v>
      </c>
      <c r="G1606" t="s">
        <v>13345</v>
      </c>
      <c r="H1606" t="s">
        <v>13346</v>
      </c>
    </row>
    <row r="1607" spans="1:8" x14ac:dyDescent="0.45">
      <c r="A1607" t="s">
        <v>1860</v>
      </c>
      <c r="B1607" t="s">
        <v>1861</v>
      </c>
      <c r="C1607" t="s">
        <v>13347</v>
      </c>
    </row>
    <row r="1608" spans="1:8" x14ac:dyDescent="0.45">
      <c r="A1608" t="s">
        <v>2755</v>
      </c>
      <c r="B1608" t="s">
        <v>2756</v>
      </c>
      <c r="C1608" t="s">
        <v>13347</v>
      </c>
    </row>
    <row r="1609" spans="1:8" x14ac:dyDescent="0.45">
      <c r="A1609" t="s">
        <v>2757</v>
      </c>
      <c r="B1609" t="s">
        <v>2758</v>
      </c>
      <c r="C1609" t="s">
        <v>13347</v>
      </c>
    </row>
    <row r="1610" spans="1:8" x14ac:dyDescent="0.45">
      <c r="A1610" t="s">
        <v>2953</v>
      </c>
      <c r="B1610" t="s">
        <v>2954</v>
      </c>
      <c r="C1610" t="s">
        <v>13347</v>
      </c>
    </row>
    <row r="1611" spans="1:8" x14ac:dyDescent="0.45">
      <c r="A1611" t="s">
        <v>4051</v>
      </c>
      <c r="B1611" t="s">
        <v>4052</v>
      </c>
      <c r="C1611" t="s">
        <v>13347</v>
      </c>
    </row>
    <row r="1612" spans="1:8" x14ac:dyDescent="0.45">
      <c r="A1612" t="s">
        <v>4053</v>
      </c>
      <c r="B1612" t="s">
        <v>4054</v>
      </c>
      <c r="C1612" t="s">
        <v>13347</v>
      </c>
    </row>
    <row r="1613" spans="1:8" x14ac:dyDescent="0.45">
      <c r="A1613" t="s">
        <v>6312</v>
      </c>
      <c r="B1613" t="s">
        <v>6313</v>
      </c>
      <c r="C1613" t="s">
        <v>13347</v>
      </c>
    </row>
    <row r="1614" spans="1:8" x14ac:dyDescent="0.45">
      <c r="A1614" t="s">
        <v>6314</v>
      </c>
      <c r="B1614" t="s">
        <v>6315</v>
      </c>
      <c r="C1614" t="s">
        <v>13347</v>
      </c>
    </row>
    <row r="1615" spans="1:8" x14ac:dyDescent="0.45">
      <c r="A1615" t="s">
        <v>7957</v>
      </c>
      <c r="B1615" t="s">
        <v>7958</v>
      </c>
      <c r="C1615" t="s">
        <v>13347</v>
      </c>
    </row>
    <row r="1616" spans="1:8" x14ac:dyDescent="0.45">
      <c r="A1616" t="s">
        <v>7959</v>
      </c>
      <c r="B1616" t="s">
        <v>7960</v>
      </c>
      <c r="C1616" t="s">
        <v>13347</v>
      </c>
    </row>
    <row r="1617" spans="1:8" x14ac:dyDescent="0.45">
      <c r="A1617" t="s">
        <v>8159</v>
      </c>
      <c r="B1617" t="s">
        <v>8160</v>
      </c>
      <c r="C1617" t="s">
        <v>13347</v>
      </c>
    </row>
    <row r="1618" spans="1:8" x14ac:dyDescent="0.45">
      <c r="A1618" t="s">
        <v>8655</v>
      </c>
      <c r="B1618" t="s">
        <v>8656</v>
      </c>
      <c r="C1618" t="s">
        <v>13347</v>
      </c>
    </row>
    <row r="1619" spans="1:8" x14ac:dyDescent="0.45">
      <c r="A1619" t="s">
        <v>9746</v>
      </c>
      <c r="B1619" t="s">
        <v>9747</v>
      </c>
      <c r="C1619" t="s">
        <v>13347</v>
      </c>
    </row>
    <row r="1620" spans="1:8" x14ac:dyDescent="0.45">
      <c r="A1620" t="s">
        <v>9335</v>
      </c>
      <c r="B1620" t="s">
        <v>9336</v>
      </c>
      <c r="C1620" t="s">
        <v>13348</v>
      </c>
    </row>
    <row r="1621" spans="1:8" x14ac:dyDescent="0.45">
      <c r="A1621" t="s">
        <v>8165</v>
      </c>
      <c r="B1621" t="s">
        <v>8166</v>
      </c>
      <c r="C1621" t="s">
        <v>13349</v>
      </c>
      <c r="E1621" t="s">
        <v>13350</v>
      </c>
      <c r="F1621" t="s">
        <v>13351</v>
      </c>
      <c r="G1621" t="s">
        <v>13352</v>
      </c>
      <c r="H1621" t="s">
        <v>13353</v>
      </c>
    </row>
    <row r="1622" spans="1:8" x14ac:dyDescent="0.45">
      <c r="A1622" t="s">
        <v>8171</v>
      </c>
      <c r="B1622" t="s">
        <v>8172</v>
      </c>
      <c r="C1622" t="s">
        <v>13349</v>
      </c>
      <c r="E1622" t="s">
        <v>13350</v>
      </c>
      <c r="F1622" t="s">
        <v>13351</v>
      </c>
      <c r="G1622" t="s">
        <v>13352</v>
      </c>
      <c r="H1622" t="s">
        <v>13353</v>
      </c>
    </row>
    <row r="1623" spans="1:8" x14ac:dyDescent="0.45">
      <c r="A1623" t="s">
        <v>8174</v>
      </c>
      <c r="B1623" t="s">
        <v>8175</v>
      </c>
      <c r="C1623" t="s">
        <v>13349</v>
      </c>
      <c r="E1623" t="s">
        <v>13350</v>
      </c>
      <c r="F1623" t="s">
        <v>13351</v>
      </c>
      <c r="G1623" t="s">
        <v>13352</v>
      </c>
      <c r="H1623" t="s">
        <v>13353</v>
      </c>
    </row>
    <row r="1624" spans="1:8" x14ac:dyDescent="0.45">
      <c r="A1624" t="s">
        <v>8177</v>
      </c>
      <c r="B1624" t="s">
        <v>8178</v>
      </c>
      <c r="C1624" t="s">
        <v>13349</v>
      </c>
      <c r="E1624" t="s">
        <v>13350</v>
      </c>
      <c r="F1624" t="s">
        <v>13351</v>
      </c>
      <c r="G1624" t="s">
        <v>13352</v>
      </c>
      <c r="H1624" t="s">
        <v>13353</v>
      </c>
    </row>
    <row r="1625" spans="1:8" x14ac:dyDescent="0.45">
      <c r="A1625" t="s">
        <v>8183</v>
      </c>
      <c r="B1625" t="s">
        <v>8184</v>
      </c>
      <c r="C1625" t="s">
        <v>13349</v>
      </c>
      <c r="E1625" t="s">
        <v>13350</v>
      </c>
      <c r="F1625" t="s">
        <v>13351</v>
      </c>
      <c r="G1625" t="s">
        <v>13352</v>
      </c>
      <c r="H1625" t="s">
        <v>13353</v>
      </c>
    </row>
    <row r="1626" spans="1:8" x14ac:dyDescent="0.45">
      <c r="A1626" t="s">
        <v>9553</v>
      </c>
      <c r="B1626" t="s">
        <v>9554</v>
      </c>
      <c r="C1626" t="s">
        <v>13349</v>
      </c>
      <c r="E1626" t="s">
        <v>13350</v>
      </c>
      <c r="F1626" t="s">
        <v>13351</v>
      </c>
      <c r="G1626" t="s">
        <v>13352</v>
      </c>
      <c r="H1626" t="s">
        <v>13353</v>
      </c>
    </row>
    <row r="1627" spans="1:8" x14ac:dyDescent="0.45">
      <c r="A1627" t="s">
        <v>9557</v>
      </c>
      <c r="B1627" t="s">
        <v>9558</v>
      </c>
      <c r="C1627" t="s">
        <v>13349</v>
      </c>
      <c r="E1627" t="s">
        <v>13350</v>
      </c>
      <c r="F1627" t="s">
        <v>13351</v>
      </c>
      <c r="G1627" t="s">
        <v>13352</v>
      </c>
      <c r="H1627" t="s">
        <v>13353</v>
      </c>
    </row>
    <row r="1628" spans="1:8" x14ac:dyDescent="0.45">
      <c r="A1628" t="s">
        <v>9561</v>
      </c>
      <c r="B1628" t="s">
        <v>9562</v>
      </c>
      <c r="C1628" t="s">
        <v>13349</v>
      </c>
      <c r="E1628" t="s">
        <v>13350</v>
      </c>
      <c r="F1628" t="s">
        <v>13351</v>
      </c>
      <c r="G1628" t="s">
        <v>13352</v>
      </c>
      <c r="H1628" t="s">
        <v>13353</v>
      </c>
    </row>
    <row r="1629" spans="1:8" x14ac:dyDescent="0.45">
      <c r="A1629" t="s">
        <v>9565</v>
      </c>
      <c r="B1629" t="s">
        <v>9566</v>
      </c>
      <c r="C1629" t="s">
        <v>13349</v>
      </c>
      <c r="E1629" t="s">
        <v>13350</v>
      </c>
      <c r="F1629" t="s">
        <v>13351</v>
      </c>
      <c r="G1629" t="s">
        <v>13352</v>
      </c>
      <c r="H1629" t="s">
        <v>13353</v>
      </c>
    </row>
    <row r="1630" spans="1:8" x14ac:dyDescent="0.45">
      <c r="A1630" t="s">
        <v>9568</v>
      </c>
      <c r="B1630" t="s">
        <v>9569</v>
      </c>
      <c r="C1630" t="s">
        <v>13349</v>
      </c>
      <c r="E1630" t="s">
        <v>13350</v>
      </c>
      <c r="F1630" t="s">
        <v>13351</v>
      </c>
      <c r="G1630" t="s">
        <v>13352</v>
      </c>
      <c r="H1630" t="s">
        <v>13353</v>
      </c>
    </row>
    <row r="1631" spans="1:8" x14ac:dyDescent="0.45">
      <c r="A1631" t="s">
        <v>9572</v>
      </c>
      <c r="B1631" t="s">
        <v>9573</v>
      </c>
      <c r="C1631" t="s">
        <v>13349</v>
      </c>
      <c r="E1631" t="s">
        <v>13350</v>
      </c>
      <c r="F1631" t="s">
        <v>13351</v>
      </c>
      <c r="G1631" t="s">
        <v>13352</v>
      </c>
      <c r="H1631" t="s">
        <v>13353</v>
      </c>
    </row>
    <row r="1632" spans="1:8" x14ac:dyDescent="0.45">
      <c r="A1632" t="s">
        <v>9576</v>
      </c>
      <c r="B1632" t="s">
        <v>9577</v>
      </c>
      <c r="C1632" t="s">
        <v>13349</v>
      </c>
      <c r="E1632" t="s">
        <v>13350</v>
      </c>
      <c r="F1632" t="s">
        <v>13351</v>
      </c>
      <c r="G1632" t="s">
        <v>13352</v>
      </c>
      <c r="H1632" t="s">
        <v>13353</v>
      </c>
    </row>
    <row r="1633" spans="1:8" x14ac:dyDescent="0.45">
      <c r="A1633" t="s">
        <v>9580</v>
      </c>
      <c r="B1633" t="s">
        <v>9581</v>
      </c>
      <c r="C1633" t="s">
        <v>13349</v>
      </c>
      <c r="E1633" t="s">
        <v>13350</v>
      </c>
      <c r="F1633" t="s">
        <v>13351</v>
      </c>
      <c r="G1633" t="s">
        <v>13352</v>
      </c>
      <c r="H1633" t="s">
        <v>13353</v>
      </c>
    </row>
    <row r="1634" spans="1:8" x14ac:dyDescent="0.45">
      <c r="A1634" t="s">
        <v>9586</v>
      </c>
      <c r="B1634" t="s">
        <v>9587</v>
      </c>
      <c r="C1634" t="s">
        <v>13349</v>
      </c>
      <c r="E1634" t="s">
        <v>13350</v>
      </c>
      <c r="F1634" t="s">
        <v>13351</v>
      </c>
      <c r="G1634" t="s">
        <v>13352</v>
      </c>
      <c r="H1634" t="s">
        <v>13353</v>
      </c>
    </row>
    <row r="1635" spans="1:8" x14ac:dyDescent="0.45">
      <c r="A1635" t="s">
        <v>1205</v>
      </c>
      <c r="B1635" t="s">
        <v>1206</v>
      </c>
      <c r="C1635" t="s">
        <v>13354</v>
      </c>
    </row>
    <row r="1636" spans="1:8" x14ac:dyDescent="0.45">
      <c r="A1636" t="s">
        <v>6046</v>
      </c>
      <c r="B1636" t="s">
        <v>6047</v>
      </c>
      <c r="C1636" t="s">
        <v>13354</v>
      </c>
    </row>
    <row r="1637" spans="1:8" x14ac:dyDescent="0.45">
      <c r="A1637" t="s">
        <v>4688</v>
      </c>
      <c r="B1637" t="s">
        <v>4689</v>
      </c>
      <c r="C1637" t="s">
        <v>13355</v>
      </c>
      <c r="E1637" t="s">
        <v>13356</v>
      </c>
    </row>
    <row r="1638" spans="1:8" x14ac:dyDescent="0.45">
      <c r="A1638" t="s">
        <v>8012</v>
      </c>
      <c r="B1638" t="s">
        <v>8013</v>
      </c>
      <c r="C1638" t="s">
        <v>13355</v>
      </c>
      <c r="E1638" t="s">
        <v>13356</v>
      </c>
    </row>
    <row r="1639" spans="1:8" x14ac:dyDescent="0.45">
      <c r="A1639" t="s">
        <v>4555</v>
      </c>
      <c r="B1639" t="s">
        <v>4556</v>
      </c>
      <c r="C1639" t="s">
        <v>13357</v>
      </c>
      <c r="E1639" t="s">
        <v>13358</v>
      </c>
    </row>
    <row r="1640" spans="1:8" x14ac:dyDescent="0.45">
      <c r="A1640" t="s">
        <v>4559</v>
      </c>
      <c r="B1640" t="s">
        <v>4560</v>
      </c>
      <c r="C1640" t="s">
        <v>13357</v>
      </c>
      <c r="E1640" t="s">
        <v>13358</v>
      </c>
    </row>
    <row r="1641" spans="1:8" x14ac:dyDescent="0.45">
      <c r="A1641" t="s">
        <v>4563</v>
      </c>
      <c r="B1641" t="s">
        <v>4564</v>
      </c>
      <c r="C1641" t="s">
        <v>13357</v>
      </c>
      <c r="E1641" t="s">
        <v>13358</v>
      </c>
    </row>
    <row r="1642" spans="1:8" x14ac:dyDescent="0.45">
      <c r="A1642" t="s">
        <v>4566</v>
      </c>
      <c r="B1642" t="s">
        <v>4567</v>
      </c>
      <c r="C1642" t="s">
        <v>13357</v>
      </c>
      <c r="E1642" t="s">
        <v>13358</v>
      </c>
    </row>
    <row r="1643" spans="1:8" x14ac:dyDescent="0.45">
      <c r="A1643" t="s">
        <v>9045</v>
      </c>
      <c r="B1643" t="s">
        <v>9046</v>
      </c>
      <c r="C1643" t="s">
        <v>13359</v>
      </c>
      <c r="E1643" t="s">
        <v>13360</v>
      </c>
    </row>
    <row r="1644" spans="1:8" x14ac:dyDescent="0.45">
      <c r="A1644" t="s">
        <v>4100</v>
      </c>
      <c r="B1644" t="s">
        <v>4101</v>
      </c>
      <c r="C1644" t="s">
        <v>13361</v>
      </c>
      <c r="E1644" t="s">
        <v>13362</v>
      </c>
    </row>
    <row r="1645" spans="1:8" x14ac:dyDescent="0.45">
      <c r="A1645" t="s">
        <v>4103</v>
      </c>
      <c r="B1645" t="s">
        <v>4104</v>
      </c>
      <c r="C1645" t="s">
        <v>13361</v>
      </c>
      <c r="E1645" t="s">
        <v>13362</v>
      </c>
    </row>
    <row r="1646" spans="1:8" x14ac:dyDescent="0.45">
      <c r="A1646" t="s">
        <v>1165</v>
      </c>
      <c r="B1646" t="s">
        <v>1166</v>
      </c>
      <c r="C1646" t="s">
        <v>13363</v>
      </c>
    </row>
    <row r="1647" spans="1:8" x14ac:dyDescent="0.45">
      <c r="A1647" t="s">
        <v>1902</v>
      </c>
      <c r="B1647" t="s">
        <v>1903</v>
      </c>
      <c r="C1647" t="s">
        <v>13363</v>
      </c>
    </row>
    <row r="1648" spans="1:8" x14ac:dyDescent="0.45">
      <c r="A1648" t="s">
        <v>4544</v>
      </c>
      <c r="B1648" t="s">
        <v>4545</v>
      </c>
      <c r="C1648" t="s">
        <v>13363</v>
      </c>
    </row>
    <row r="1649" spans="1:3" x14ac:dyDescent="0.45">
      <c r="A1649" t="s">
        <v>4720</v>
      </c>
      <c r="B1649" t="s">
        <v>4721</v>
      </c>
      <c r="C1649" t="s">
        <v>13363</v>
      </c>
    </row>
    <row r="1650" spans="1:3" x14ac:dyDescent="0.45">
      <c r="A1650" t="s">
        <v>4775</v>
      </c>
      <c r="B1650" t="s">
        <v>4776</v>
      </c>
      <c r="C1650" t="s">
        <v>13363</v>
      </c>
    </row>
    <row r="1651" spans="1:3" x14ac:dyDescent="0.45">
      <c r="A1651" t="s">
        <v>8760</v>
      </c>
      <c r="B1651" t="s">
        <v>8761</v>
      </c>
      <c r="C1651" t="s">
        <v>13363</v>
      </c>
    </row>
    <row r="1652" spans="1:3" x14ac:dyDescent="0.45">
      <c r="A1652" t="s">
        <v>9057</v>
      </c>
      <c r="B1652" t="s">
        <v>9058</v>
      </c>
      <c r="C1652" t="s">
        <v>13363</v>
      </c>
    </row>
    <row r="1653" spans="1:3" x14ac:dyDescent="0.45">
      <c r="A1653" t="s">
        <v>9278</v>
      </c>
      <c r="B1653" t="s">
        <v>9279</v>
      </c>
      <c r="C1653" t="s">
        <v>13363</v>
      </c>
    </row>
    <row r="1654" spans="1:3" x14ac:dyDescent="0.45">
      <c r="A1654" t="s">
        <v>1267</v>
      </c>
      <c r="B1654" t="s">
        <v>1268</v>
      </c>
      <c r="C1654" t="s">
        <v>13364</v>
      </c>
    </row>
    <row r="1655" spans="1:3" x14ac:dyDescent="0.45">
      <c r="A1655" t="s">
        <v>1446</v>
      </c>
      <c r="B1655" t="s">
        <v>1447</v>
      </c>
      <c r="C1655" t="s">
        <v>13364</v>
      </c>
    </row>
    <row r="1656" spans="1:3" x14ac:dyDescent="0.45">
      <c r="A1656" t="s">
        <v>1514</v>
      </c>
      <c r="B1656" t="s">
        <v>1515</v>
      </c>
      <c r="C1656" t="s">
        <v>13364</v>
      </c>
    </row>
    <row r="1657" spans="1:3" x14ac:dyDescent="0.45">
      <c r="A1657" t="s">
        <v>1821</v>
      </c>
      <c r="B1657" t="s">
        <v>1822</v>
      </c>
      <c r="C1657" t="s">
        <v>13364</v>
      </c>
    </row>
    <row r="1658" spans="1:3" x14ac:dyDescent="0.45">
      <c r="A1658" t="s">
        <v>2705</v>
      </c>
      <c r="B1658" t="s">
        <v>2706</v>
      </c>
      <c r="C1658" t="s">
        <v>13364</v>
      </c>
    </row>
    <row r="1659" spans="1:3" x14ac:dyDescent="0.45">
      <c r="A1659" t="s">
        <v>2727</v>
      </c>
      <c r="B1659" t="s">
        <v>2728</v>
      </c>
      <c r="C1659" t="s">
        <v>13364</v>
      </c>
    </row>
    <row r="1660" spans="1:3" x14ac:dyDescent="0.45">
      <c r="A1660" t="s">
        <v>4036</v>
      </c>
      <c r="B1660" t="s">
        <v>4037</v>
      </c>
      <c r="C1660" t="s">
        <v>13364</v>
      </c>
    </row>
    <row r="1661" spans="1:3" x14ac:dyDescent="0.45">
      <c r="A1661" t="s">
        <v>4082</v>
      </c>
      <c r="B1661" t="s">
        <v>4083</v>
      </c>
      <c r="C1661" t="s">
        <v>13364</v>
      </c>
    </row>
    <row r="1662" spans="1:3" x14ac:dyDescent="0.45">
      <c r="A1662" t="s">
        <v>4208</v>
      </c>
      <c r="B1662" t="s">
        <v>4209</v>
      </c>
      <c r="C1662" t="s">
        <v>13364</v>
      </c>
    </row>
    <row r="1663" spans="1:3" x14ac:dyDescent="0.45">
      <c r="A1663" t="s">
        <v>4217</v>
      </c>
      <c r="B1663" t="s">
        <v>4218</v>
      </c>
      <c r="C1663" t="s">
        <v>13364</v>
      </c>
    </row>
    <row r="1664" spans="1:3" x14ac:dyDescent="0.45">
      <c r="A1664" t="s">
        <v>4237</v>
      </c>
      <c r="B1664" t="s">
        <v>4238</v>
      </c>
      <c r="C1664" t="s">
        <v>13364</v>
      </c>
    </row>
    <row r="1665" spans="1:3" x14ac:dyDescent="0.45">
      <c r="A1665" t="s">
        <v>5460</v>
      </c>
      <c r="B1665" t="s">
        <v>5461</v>
      </c>
      <c r="C1665" t="s">
        <v>13364</v>
      </c>
    </row>
    <row r="1666" spans="1:3" x14ac:dyDescent="0.45">
      <c r="A1666" t="s">
        <v>5581</v>
      </c>
      <c r="B1666" t="s">
        <v>5582</v>
      </c>
      <c r="C1666" t="s">
        <v>13364</v>
      </c>
    </row>
    <row r="1667" spans="1:3" x14ac:dyDescent="0.45">
      <c r="A1667" t="s">
        <v>5636</v>
      </c>
      <c r="B1667" t="s">
        <v>5637</v>
      </c>
      <c r="C1667" t="s">
        <v>13364</v>
      </c>
    </row>
    <row r="1668" spans="1:3" x14ac:dyDescent="0.45">
      <c r="A1668" t="s">
        <v>5653</v>
      </c>
      <c r="B1668" t="s">
        <v>5654</v>
      </c>
      <c r="C1668" t="s">
        <v>13364</v>
      </c>
    </row>
    <row r="1669" spans="1:3" x14ac:dyDescent="0.45">
      <c r="A1669" t="s">
        <v>5665</v>
      </c>
      <c r="B1669" t="s">
        <v>5666</v>
      </c>
      <c r="C1669" t="s">
        <v>13364</v>
      </c>
    </row>
    <row r="1670" spans="1:3" x14ac:dyDescent="0.45">
      <c r="A1670" t="s">
        <v>5713</v>
      </c>
      <c r="B1670" t="s">
        <v>5714</v>
      </c>
      <c r="C1670" t="s">
        <v>13364</v>
      </c>
    </row>
    <row r="1671" spans="1:3" x14ac:dyDescent="0.45">
      <c r="A1671" t="s">
        <v>7150</v>
      </c>
      <c r="B1671" t="s">
        <v>7151</v>
      </c>
      <c r="C1671" t="s">
        <v>13364</v>
      </c>
    </row>
    <row r="1672" spans="1:3" x14ac:dyDescent="0.45">
      <c r="A1672" t="s">
        <v>8095</v>
      </c>
      <c r="B1672" t="s">
        <v>8096</v>
      </c>
      <c r="C1672" t="s">
        <v>13364</v>
      </c>
    </row>
    <row r="1673" spans="1:3" x14ac:dyDescent="0.45">
      <c r="A1673" t="s">
        <v>8256</v>
      </c>
      <c r="B1673" t="s">
        <v>8257</v>
      </c>
      <c r="C1673" t="s">
        <v>13364</v>
      </c>
    </row>
    <row r="1674" spans="1:3" x14ac:dyDescent="0.45">
      <c r="A1674" t="s">
        <v>8266</v>
      </c>
      <c r="B1674" t="s">
        <v>8267</v>
      </c>
      <c r="C1674" t="s">
        <v>13364</v>
      </c>
    </row>
    <row r="1675" spans="1:3" x14ac:dyDescent="0.45">
      <c r="A1675" t="s">
        <v>8428</v>
      </c>
      <c r="B1675" t="s">
        <v>8429</v>
      </c>
      <c r="C1675" t="s">
        <v>13364</v>
      </c>
    </row>
    <row r="1676" spans="1:3" x14ac:dyDescent="0.45">
      <c r="A1676" t="s">
        <v>8851</v>
      </c>
      <c r="B1676" t="s">
        <v>8852</v>
      </c>
      <c r="C1676" t="s">
        <v>13364</v>
      </c>
    </row>
    <row r="1677" spans="1:3" x14ac:dyDescent="0.45">
      <c r="A1677" t="s">
        <v>9913</v>
      </c>
      <c r="B1677" t="s">
        <v>9914</v>
      </c>
      <c r="C1677" t="s">
        <v>13364</v>
      </c>
    </row>
    <row r="1678" spans="1:3" x14ac:dyDescent="0.45">
      <c r="A1678" t="s">
        <v>301</v>
      </c>
      <c r="B1678" t="s">
        <v>302</v>
      </c>
    </row>
    <row r="1679" spans="1:3" x14ac:dyDescent="0.45">
      <c r="A1679" t="s">
        <v>18</v>
      </c>
      <c r="B1679" t="s">
        <v>19</v>
      </c>
    </row>
    <row r="1680" spans="1:3" x14ac:dyDescent="0.45">
      <c r="A1680" t="s">
        <v>26</v>
      </c>
      <c r="B1680" t="s">
        <v>27</v>
      </c>
    </row>
    <row r="1681" spans="1:2" x14ac:dyDescent="0.45">
      <c r="A1681" t="s">
        <v>30</v>
      </c>
      <c r="B1681" t="s">
        <v>31</v>
      </c>
    </row>
    <row r="1682" spans="1:2" x14ac:dyDescent="0.45">
      <c r="A1682" t="s">
        <v>41</v>
      </c>
      <c r="B1682" t="s">
        <v>42</v>
      </c>
    </row>
    <row r="1683" spans="1:2" x14ac:dyDescent="0.45">
      <c r="A1683" t="s">
        <v>44</v>
      </c>
      <c r="B1683" t="s">
        <v>45</v>
      </c>
    </row>
    <row r="1684" spans="1:2" x14ac:dyDescent="0.45">
      <c r="A1684" t="s">
        <v>47</v>
      </c>
      <c r="B1684" t="s">
        <v>48</v>
      </c>
    </row>
    <row r="1685" spans="1:2" x14ac:dyDescent="0.45">
      <c r="A1685" t="s">
        <v>50</v>
      </c>
      <c r="B1685" t="s">
        <v>51</v>
      </c>
    </row>
    <row r="1686" spans="1:2" x14ac:dyDescent="0.45">
      <c r="A1686" t="s">
        <v>53</v>
      </c>
      <c r="B1686" t="s">
        <v>54</v>
      </c>
    </row>
    <row r="1687" spans="1:2" x14ac:dyDescent="0.45">
      <c r="A1687" t="s">
        <v>64</v>
      </c>
      <c r="B1687" t="s">
        <v>65</v>
      </c>
    </row>
    <row r="1688" spans="1:2" x14ac:dyDescent="0.45">
      <c r="A1688" t="s">
        <v>67</v>
      </c>
      <c r="B1688" t="s">
        <v>68</v>
      </c>
    </row>
    <row r="1689" spans="1:2" x14ac:dyDescent="0.45">
      <c r="A1689" t="s">
        <v>88</v>
      </c>
      <c r="B1689" t="s">
        <v>89</v>
      </c>
    </row>
    <row r="1690" spans="1:2" x14ac:dyDescent="0.45">
      <c r="A1690" t="s">
        <v>92</v>
      </c>
      <c r="B1690" t="s">
        <v>93</v>
      </c>
    </row>
    <row r="1691" spans="1:2" x14ac:dyDescent="0.45">
      <c r="A1691" t="s">
        <v>94</v>
      </c>
      <c r="B1691" t="s">
        <v>95</v>
      </c>
    </row>
    <row r="1692" spans="1:2" x14ac:dyDescent="0.45">
      <c r="A1692" t="s">
        <v>98</v>
      </c>
      <c r="B1692" t="s">
        <v>99</v>
      </c>
    </row>
    <row r="1693" spans="1:2" x14ac:dyDescent="0.45">
      <c r="A1693" t="s">
        <v>163</v>
      </c>
      <c r="B1693" t="s">
        <v>164</v>
      </c>
    </row>
    <row r="1694" spans="1:2" x14ac:dyDescent="0.45">
      <c r="A1694" t="s">
        <v>169</v>
      </c>
      <c r="B1694" t="s">
        <v>170</v>
      </c>
    </row>
    <row r="1695" spans="1:2" x14ac:dyDescent="0.45">
      <c r="A1695" t="s">
        <v>172</v>
      </c>
      <c r="B1695" t="s">
        <v>173</v>
      </c>
    </row>
    <row r="1696" spans="1:2" x14ac:dyDescent="0.45">
      <c r="A1696" t="s">
        <v>175</v>
      </c>
      <c r="B1696" t="s">
        <v>176</v>
      </c>
    </row>
    <row r="1697" spans="1:2" x14ac:dyDescent="0.45">
      <c r="A1697" t="s">
        <v>181</v>
      </c>
      <c r="B1697" t="s">
        <v>182</v>
      </c>
    </row>
    <row r="1698" spans="1:2" x14ac:dyDescent="0.45">
      <c r="A1698" t="s">
        <v>185</v>
      </c>
      <c r="B1698" t="s">
        <v>186</v>
      </c>
    </row>
    <row r="1699" spans="1:2" x14ac:dyDescent="0.45">
      <c r="A1699" t="s">
        <v>192</v>
      </c>
      <c r="B1699" t="s">
        <v>193</v>
      </c>
    </row>
    <row r="1700" spans="1:2" x14ac:dyDescent="0.45">
      <c r="A1700" t="s">
        <v>194</v>
      </c>
      <c r="B1700" t="s">
        <v>195</v>
      </c>
    </row>
    <row r="1701" spans="1:2" x14ac:dyDescent="0.45">
      <c r="A1701" t="s">
        <v>197</v>
      </c>
      <c r="B1701" t="s">
        <v>198</v>
      </c>
    </row>
    <row r="1702" spans="1:2" x14ac:dyDescent="0.45">
      <c r="A1702" t="s">
        <v>206</v>
      </c>
      <c r="B1702" t="s">
        <v>207</v>
      </c>
    </row>
    <row r="1703" spans="1:2" x14ac:dyDescent="0.45">
      <c r="A1703" t="s">
        <v>209</v>
      </c>
      <c r="B1703" t="s">
        <v>210</v>
      </c>
    </row>
    <row r="1704" spans="1:2" x14ac:dyDescent="0.45">
      <c r="A1704" t="s">
        <v>218</v>
      </c>
      <c r="B1704" t="s">
        <v>219</v>
      </c>
    </row>
    <row r="1705" spans="1:2" x14ac:dyDescent="0.45">
      <c r="A1705" t="s">
        <v>225</v>
      </c>
      <c r="B1705" t="s">
        <v>226</v>
      </c>
    </row>
    <row r="1706" spans="1:2" x14ac:dyDescent="0.45">
      <c r="A1706" t="s">
        <v>228</v>
      </c>
      <c r="B1706" t="s">
        <v>229</v>
      </c>
    </row>
    <row r="1707" spans="1:2" x14ac:dyDescent="0.45">
      <c r="A1707" t="s">
        <v>234</v>
      </c>
      <c r="B1707" t="s">
        <v>235</v>
      </c>
    </row>
    <row r="1708" spans="1:2" x14ac:dyDescent="0.45">
      <c r="A1708" t="s">
        <v>236</v>
      </c>
      <c r="B1708" t="s">
        <v>237</v>
      </c>
    </row>
    <row r="1709" spans="1:2" x14ac:dyDescent="0.45">
      <c r="A1709" t="s">
        <v>239</v>
      </c>
      <c r="B1709" t="s">
        <v>240</v>
      </c>
    </row>
    <row r="1710" spans="1:2" x14ac:dyDescent="0.45">
      <c r="A1710" t="s">
        <v>262</v>
      </c>
      <c r="B1710" t="s">
        <v>263</v>
      </c>
    </row>
    <row r="1711" spans="1:2" x14ac:dyDescent="0.45">
      <c r="A1711" t="s">
        <v>282</v>
      </c>
      <c r="B1711" t="s">
        <v>283</v>
      </c>
    </row>
    <row r="1712" spans="1:2" x14ac:dyDescent="0.45">
      <c r="A1712" t="s">
        <v>290</v>
      </c>
      <c r="B1712" t="s">
        <v>291</v>
      </c>
    </row>
    <row r="1713" spans="1:2" x14ac:dyDescent="0.45">
      <c r="A1713" t="s">
        <v>293</v>
      </c>
      <c r="B1713" t="s">
        <v>294</v>
      </c>
    </row>
    <row r="1714" spans="1:2" x14ac:dyDescent="0.45">
      <c r="A1714" t="s">
        <v>297</v>
      </c>
      <c r="B1714" t="s">
        <v>298</v>
      </c>
    </row>
    <row r="1715" spans="1:2" x14ac:dyDescent="0.45">
      <c r="A1715" t="s">
        <v>305</v>
      </c>
      <c r="B1715" t="s">
        <v>306</v>
      </c>
    </row>
    <row r="1716" spans="1:2" x14ac:dyDescent="0.45">
      <c r="A1716" t="s">
        <v>309</v>
      </c>
      <c r="B1716" t="s">
        <v>310</v>
      </c>
    </row>
    <row r="1717" spans="1:2" x14ac:dyDescent="0.45">
      <c r="A1717" t="s">
        <v>313</v>
      </c>
      <c r="B1717" t="s">
        <v>314</v>
      </c>
    </row>
    <row r="1718" spans="1:2" x14ac:dyDescent="0.45">
      <c r="A1718" t="s">
        <v>317</v>
      </c>
      <c r="B1718" t="s">
        <v>318</v>
      </c>
    </row>
    <row r="1719" spans="1:2" x14ac:dyDescent="0.45">
      <c r="A1719" t="s">
        <v>321</v>
      </c>
      <c r="B1719" t="s">
        <v>322</v>
      </c>
    </row>
    <row r="1720" spans="1:2" x14ac:dyDescent="0.45">
      <c r="A1720" t="s">
        <v>325</v>
      </c>
      <c r="B1720" t="s">
        <v>326</v>
      </c>
    </row>
    <row r="1721" spans="1:2" x14ac:dyDescent="0.45">
      <c r="A1721" t="s">
        <v>329</v>
      </c>
      <c r="B1721" t="s">
        <v>330</v>
      </c>
    </row>
    <row r="1722" spans="1:2" x14ac:dyDescent="0.45">
      <c r="A1722" t="s">
        <v>343</v>
      </c>
      <c r="B1722" t="s">
        <v>344</v>
      </c>
    </row>
    <row r="1723" spans="1:2" x14ac:dyDescent="0.45">
      <c r="A1723" t="s">
        <v>347</v>
      </c>
      <c r="B1723" t="s">
        <v>348</v>
      </c>
    </row>
    <row r="1724" spans="1:2" x14ac:dyDescent="0.45">
      <c r="A1724" t="s">
        <v>350</v>
      </c>
      <c r="B1724" t="s">
        <v>351</v>
      </c>
    </row>
    <row r="1725" spans="1:2" x14ac:dyDescent="0.45">
      <c r="A1725" t="s">
        <v>355</v>
      </c>
      <c r="B1725" t="s">
        <v>356</v>
      </c>
    </row>
    <row r="1726" spans="1:2" x14ac:dyDescent="0.45">
      <c r="A1726" t="s">
        <v>359</v>
      </c>
      <c r="B1726" t="s">
        <v>360</v>
      </c>
    </row>
    <row r="1727" spans="1:2" x14ac:dyDescent="0.45">
      <c r="A1727" t="s">
        <v>363</v>
      </c>
      <c r="B1727" t="s">
        <v>364</v>
      </c>
    </row>
    <row r="1728" spans="1:2" x14ac:dyDescent="0.45">
      <c r="A1728" t="s">
        <v>367</v>
      </c>
      <c r="B1728" t="s">
        <v>368</v>
      </c>
    </row>
    <row r="1729" spans="1:2" x14ac:dyDescent="0.45">
      <c r="A1729" t="s">
        <v>371</v>
      </c>
      <c r="B1729" t="s">
        <v>372</v>
      </c>
    </row>
    <row r="1730" spans="1:2" x14ac:dyDescent="0.45">
      <c r="A1730" t="s">
        <v>375</v>
      </c>
      <c r="B1730" t="s">
        <v>376</v>
      </c>
    </row>
    <row r="1731" spans="1:2" x14ac:dyDescent="0.45">
      <c r="A1731" t="s">
        <v>379</v>
      </c>
      <c r="B1731" t="s">
        <v>380</v>
      </c>
    </row>
    <row r="1732" spans="1:2" x14ac:dyDescent="0.45">
      <c r="A1732" t="s">
        <v>383</v>
      </c>
      <c r="B1732" t="s">
        <v>384</v>
      </c>
    </row>
    <row r="1733" spans="1:2" x14ac:dyDescent="0.45">
      <c r="A1733" t="s">
        <v>387</v>
      </c>
      <c r="B1733" t="s">
        <v>388</v>
      </c>
    </row>
    <row r="1734" spans="1:2" x14ac:dyDescent="0.45">
      <c r="A1734" t="s">
        <v>391</v>
      </c>
      <c r="B1734" t="s">
        <v>392</v>
      </c>
    </row>
    <row r="1735" spans="1:2" x14ac:dyDescent="0.45">
      <c r="A1735" t="s">
        <v>395</v>
      </c>
      <c r="B1735" t="s">
        <v>396</v>
      </c>
    </row>
    <row r="1736" spans="1:2" x14ac:dyDescent="0.45">
      <c r="A1736" t="s">
        <v>399</v>
      </c>
      <c r="B1736" t="s">
        <v>400</v>
      </c>
    </row>
    <row r="1737" spans="1:2" x14ac:dyDescent="0.45">
      <c r="A1737" t="s">
        <v>403</v>
      </c>
      <c r="B1737" t="s">
        <v>404</v>
      </c>
    </row>
    <row r="1738" spans="1:2" x14ac:dyDescent="0.45">
      <c r="A1738" t="s">
        <v>407</v>
      </c>
      <c r="B1738" t="s">
        <v>408</v>
      </c>
    </row>
    <row r="1739" spans="1:2" x14ac:dyDescent="0.45">
      <c r="A1739" t="s">
        <v>410</v>
      </c>
      <c r="B1739" t="s">
        <v>411</v>
      </c>
    </row>
    <row r="1740" spans="1:2" x14ac:dyDescent="0.45">
      <c r="A1740" t="s">
        <v>414</v>
      </c>
      <c r="B1740" t="s">
        <v>415</v>
      </c>
    </row>
    <row r="1741" spans="1:2" x14ac:dyDescent="0.45">
      <c r="A1741" t="s">
        <v>418</v>
      </c>
      <c r="B1741" t="s">
        <v>419</v>
      </c>
    </row>
    <row r="1742" spans="1:2" x14ac:dyDescent="0.45">
      <c r="A1742" t="s">
        <v>422</v>
      </c>
      <c r="B1742" t="s">
        <v>423</v>
      </c>
    </row>
    <row r="1743" spans="1:2" x14ac:dyDescent="0.45">
      <c r="A1743" t="s">
        <v>426</v>
      </c>
      <c r="B1743" t="s">
        <v>427</v>
      </c>
    </row>
    <row r="1744" spans="1:2" x14ac:dyDescent="0.45">
      <c r="A1744" t="s">
        <v>430</v>
      </c>
      <c r="B1744" t="s">
        <v>431</v>
      </c>
    </row>
    <row r="1745" spans="1:2" x14ac:dyDescent="0.45">
      <c r="A1745" t="s">
        <v>434</v>
      </c>
      <c r="B1745" t="s">
        <v>435</v>
      </c>
    </row>
    <row r="1746" spans="1:2" x14ac:dyDescent="0.45">
      <c r="A1746" t="s">
        <v>438</v>
      </c>
      <c r="B1746" t="s">
        <v>439</v>
      </c>
    </row>
    <row r="1747" spans="1:2" x14ac:dyDescent="0.45">
      <c r="A1747" t="s">
        <v>448</v>
      </c>
      <c r="B1747" t="s">
        <v>449</v>
      </c>
    </row>
    <row r="1748" spans="1:2" x14ac:dyDescent="0.45">
      <c r="A1748" t="s">
        <v>452</v>
      </c>
      <c r="B1748" t="s">
        <v>453</v>
      </c>
    </row>
    <row r="1749" spans="1:2" x14ac:dyDescent="0.45">
      <c r="A1749" t="s">
        <v>456</v>
      </c>
      <c r="B1749" t="s">
        <v>457</v>
      </c>
    </row>
    <row r="1750" spans="1:2" x14ac:dyDescent="0.45">
      <c r="A1750" t="s">
        <v>460</v>
      </c>
      <c r="B1750" t="s">
        <v>461</v>
      </c>
    </row>
    <row r="1751" spans="1:2" x14ac:dyDescent="0.45">
      <c r="A1751" t="s">
        <v>464</v>
      </c>
      <c r="B1751" t="s">
        <v>465</v>
      </c>
    </row>
    <row r="1752" spans="1:2" x14ac:dyDescent="0.45">
      <c r="A1752" t="s">
        <v>468</v>
      </c>
      <c r="B1752" t="s">
        <v>469</v>
      </c>
    </row>
    <row r="1753" spans="1:2" x14ac:dyDescent="0.45">
      <c r="A1753" t="s">
        <v>475</v>
      </c>
      <c r="B1753" t="s">
        <v>476</v>
      </c>
    </row>
    <row r="1754" spans="1:2" x14ac:dyDescent="0.45">
      <c r="A1754" t="s">
        <v>478</v>
      </c>
      <c r="B1754" t="s">
        <v>479</v>
      </c>
    </row>
    <row r="1755" spans="1:2" x14ac:dyDescent="0.45">
      <c r="A1755" t="s">
        <v>483</v>
      </c>
      <c r="B1755" t="s">
        <v>484</v>
      </c>
    </row>
    <row r="1756" spans="1:2" x14ac:dyDescent="0.45">
      <c r="A1756" t="s">
        <v>491</v>
      </c>
      <c r="B1756" t="s">
        <v>492</v>
      </c>
    </row>
    <row r="1757" spans="1:2" x14ac:dyDescent="0.45">
      <c r="A1757" t="s">
        <v>495</v>
      </c>
      <c r="B1757" t="s">
        <v>496</v>
      </c>
    </row>
    <row r="1758" spans="1:2" x14ac:dyDescent="0.45">
      <c r="A1758" t="s">
        <v>517</v>
      </c>
      <c r="B1758" t="s">
        <v>518</v>
      </c>
    </row>
    <row r="1759" spans="1:2" x14ac:dyDescent="0.45">
      <c r="A1759" t="s">
        <v>536</v>
      </c>
      <c r="B1759" t="s">
        <v>537</v>
      </c>
    </row>
    <row r="1760" spans="1:2" x14ac:dyDescent="0.45">
      <c r="A1760" t="s">
        <v>546</v>
      </c>
      <c r="B1760" t="s">
        <v>547</v>
      </c>
    </row>
    <row r="1761" spans="1:2" x14ac:dyDescent="0.45">
      <c r="A1761" t="s">
        <v>549</v>
      </c>
      <c r="B1761" t="s">
        <v>550</v>
      </c>
    </row>
    <row r="1762" spans="1:2" x14ac:dyDescent="0.45">
      <c r="A1762" t="s">
        <v>552</v>
      </c>
      <c r="B1762" t="s">
        <v>553</v>
      </c>
    </row>
    <row r="1763" spans="1:2" x14ac:dyDescent="0.45">
      <c r="A1763" t="s">
        <v>555</v>
      </c>
      <c r="B1763" t="s">
        <v>556</v>
      </c>
    </row>
    <row r="1764" spans="1:2" x14ac:dyDescent="0.45">
      <c r="A1764" t="s">
        <v>558</v>
      </c>
      <c r="B1764" t="s">
        <v>559</v>
      </c>
    </row>
    <row r="1765" spans="1:2" x14ac:dyDescent="0.45">
      <c r="A1765" t="s">
        <v>569</v>
      </c>
      <c r="B1765" t="s">
        <v>570</v>
      </c>
    </row>
    <row r="1766" spans="1:2" x14ac:dyDescent="0.45">
      <c r="A1766" t="s">
        <v>572</v>
      </c>
      <c r="B1766" t="s">
        <v>573</v>
      </c>
    </row>
    <row r="1767" spans="1:2" x14ac:dyDescent="0.45">
      <c r="A1767" t="s">
        <v>580</v>
      </c>
      <c r="B1767" t="s">
        <v>581</v>
      </c>
    </row>
    <row r="1768" spans="1:2" x14ac:dyDescent="0.45">
      <c r="A1768" t="s">
        <v>587</v>
      </c>
      <c r="B1768" t="s">
        <v>588</v>
      </c>
    </row>
    <row r="1769" spans="1:2" x14ac:dyDescent="0.45">
      <c r="A1769" t="s">
        <v>590</v>
      </c>
      <c r="B1769" t="s">
        <v>591</v>
      </c>
    </row>
    <row r="1770" spans="1:2" x14ac:dyDescent="0.45">
      <c r="A1770" t="s">
        <v>598</v>
      </c>
      <c r="B1770" t="s">
        <v>599</v>
      </c>
    </row>
    <row r="1771" spans="1:2" x14ac:dyDescent="0.45">
      <c r="A1771" t="s">
        <v>605</v>
      </c>
      <c r="B1771" t="s">
        <v>606</v>
      </c>
    </row>
    <row r="1772" spans="1:2" x14ac:dyDescent="0.45">
      <c r="A1772" t="s">
        <v>608</v>
      </c>
      <c r="B1772" t="s">
        <v>609</v>
      </c>
    </row>
    <row r="1773" spans="1:2" x14ac:dyDescent="0.45">
      <c r="A1773" t="s">
        <v>611</v>
      </c>
      <c r="B1773" t="s">
        <v>612</v>
      </c>
    </row>
    <row r="1774" spans="1:2" x14ac:dyDescent="0.45">
      <c r="A1774" t="s">
        <v>614</v>
      </c>
      <c r="B1774" t="s">
        <v>615</v>
      </c>
    </row>
    <row r="1775" spans="1:2" x14ac:dyDescent="0.45">
      <c r="A1775" t="s">
        <v>617</v>
      </c>
      <c r="B1775" t="s">
        <v>618</v>
      </c>
    </row>
    <row r="1776" spans="1:2" x14ac:dyDescent="0.45">
      <c r="A1776" t="s">
        <v>626</v>
      </c>
      <c r="B1776" t="s">
        <v>627</v>
      </c>
    </row>
    <row r="1777" spans="1:2" x14ac:dyDescent="0.45">
      <c r="A1777" t="s">
        <v>629</v>
      </c>
      <c r="B1777" t="s">
        <v>630</v>
      </c>
    </row>
    <row r="1778" spans="1:2" x14ac:dyDescent="0.45">
      <c r="A1778" t="s">
        <v>635</v>
      </c>
      <c r="B1778" t="s">
        <v>636</v>
      </c>
    </row>
    <row r="1779" spans="1:2" x14ac:dyDescent="0.45">
      <c r="A1779" t="s">
        <v>639</v>
      </c>
      <c r="B1779" t="s">
        <v>640</v>
      </c>
    </row>
    <row r="1780" spans="1:2" x14ac:dyDescent="0.45">
      <c r="A1780" t="s">
        <v>643</v>
      </c>
      <c r="B1780" t="s">
        <v>644</v>
      </c>
    </row>
    <row r="1781" spans="1:2" x14ac:dyDescent="0.45">
      <c r="A1781" t="s">
        <v>647</v>
      </c>
      <c r="B1781" t="s">
        <v>648</v>
      </c>
    </row>
    <row r="1782" spans="1:2" x14ac:dyDescent="0.45">
      <c r="A1782" t="s">
        <v>650</v>
      </c>
      <c r="B1782" t="s">
        <v>651</v>
      </c>
    </row>
    <row r="1783" spans="1:2" x14ac:dyDescent="0.45">
      <c r="A1783" t="s">
        <v>653</v>
      </c>
      <c r="B1783" t="s">
        <v>654</v>
      </c>
    </row>
    <row r="1784" spans="1:2" x14ac:dyDescent="0.45">
      <c r="A1784" t="s">
        <v>656</v>
      </c>
      <c r="B1784" t="s">
        <v>657</v>
      </c>
    </row>
    <row r="1785" spans="1:2" x14ac:dyDescent="0.45">
      <c r="A1785" t="s">
        <v>659</v>
      </c>
      <c r="B1785" t="s">
        <v>660</v>
      </c>
    </row>
    <row r="1786" spans="1:2" x14ac:dyDescent="0.45">
      <c r="A1786" t="s">
        <v>663</v>
      </c>
      <c r="B1786" t="s">
        <v>664</v>
      </c>
    </row>
    <row r="1787" spans="1:2" x14ac:dyDescent="0.45">
      <c r="A1787" t="s">
        <v>687</v>
      </c>
      <c r="B1787" t="s">
        <v>688</v>
      </c>
    </row>
    <row r="1788" spans="1:2" x14ac:dyDescent="0.45">
      <c r="A1788" t="s">
        <v>695</v>
      </c>
      <c r="B1788" t="s">
        <v>696</v>
      </c>
    </row>
    <row r="1789" spans="1:2" x14ac:dyDescent="0.45">
      <c r="A1789" t="s">
        <v>698</v>
      </c>
      <c r="B1789" t="s">
        <v>699</v>
      </c>
    </row>
    <row r="1790" spans="1:2" x14ac:dyDescent="0.45">
      <c r="A1790" t="s">
        <v>701</v>
      </c>
      <c r="B1790" t="s">
        <v>702</v>
      </c>
    </row>
    <row r="1791" spans="1:2" x14ac:dyDescent="0.45">
      <c r="A1791" t="s">
        <v>705</v>
      </c>
      <c r="B1791" t="s">
        <v>706</v>
      </c>
    </row>
    <row r="1792" spans="1:2" x14ac:dyDescent="0.45">
      <c r="A1792" t="s">
        <v>708</v>
      </c>
      <c r="B1792" t="s">
        <v>709</v>
      </c>
    </row>
    <row r="1793" spans="1:2" x14ac:dyDescent="0.45">
      <c r="A1793" t="s">
        <v>711</v>
      </c>
      <c r="B1793" t="s">
        <v>712</v>
      </c>
    </row>
    <row r="1794" spans="1:2" x14ac:dyDescent="0.45">
      <c r="A1794" t="s">
        <v>713</v>
      </c>
      <c r="B1794" t="s">
        <v>714</v>
      </c>
    </row>
    <row r="1795" spans="1:2" x14ac:dyDescent="0.45">
      <c r="A1795" t="s">
        <v>715</v>
      </c>
      <c r="B1795" t="s">
        <v>716</v>
      </c>
    </row>
    <row r="1796" spans="1:2" x14ac:dyDescent="0.45">
      <c r="A1796" t="s">
        <v>718</v>
      </c>
      <c r="B1796" t="s">
        <v>719</v>
      </c>
    </row>
    <row r="1797" spans="1:2" x14ac:dyDescent="0.45">
      <c r="A1797" t="s">
        <v>724</v>
      </c>
      <c r="B1797" t="s">
        <v>725</v>
      </c>
    </row>
    <row r="1798" spans="1:2" x14ac:dyDescent="0.45">
      <c r="A1798" t="s">
        <v>727</v>
      </c>
      <c r="B1798" t="s">
        <v>728</v>
      </c>
    </row>
    <row r="1799" spans="1:2" x14ac:dyDescent="0.45">
      <c r="A1799" t="s">
        <v>730</v>
      </c>
      <c r="B1799" t="s">
        <v>731</v>
      </c>
    </row>
    <row r="1800" spans="1:2" x14ac:dyDescent="0.45">
      <c r="A1800" t="s">
        <v>733</v>
      </c>
      <c r="B1800" t="s">
        <v>734</v>
      </c>
    </row>
    <row r="1801" spans="1:2" x14ac:dyDescent="0.45">
      <c r="A1801" t="s">
        <v>736</v>
      </c>
      <c r="B1801" t="s">
        <v>737</v>
      </c>
    </row>
    <row r="1802" spans="1:2" x14ac:dyDescent="0.45">
      <c r="A1802" t="s">
        <v>739</v>
      </c>
      <c r="B1802" t="s">
        <v>740</v>
      </c>
    </row>
    <row r="1803" spans="1:2" x14ac:dyDescent="0.45">
      <c r="A1803" t="s">
        <v>742</v>
      </c>
      <c r="B1803" t="s">
        <v>743</v>
      </c>
    </row>
    <row r="1804" spans="1:2" x14ac:dyDescent="0.45">
      <c r="A1804" t="s">
        <v>752</v>
      </c>
      <c r="B1804" t="s">
        <v>753</v>
      </c>
    </row>
    <row r="1805" spans="1:2" x14ac:dyDescent="0.45">
      <c r="A1805" t="s">
        <v>761</v>
      </c>
      <c r="B1805" t="s">
        <v>762</v>
      </c>
    </row>
    <row r="1806" spans="1:2" x14ac:dyDescent="0.45">
      <c r="A1806" t="s">
        <v>768</v>
      </c>
      <c r="B1806" t="s">
        <v>769</v>
      </c>
    </row>
    <row r="1807" spans="1:2" x14ac:dyDescent="0.45">
      <c r="A1807" t="s">
        <v>780</v>
      </c>
      <c r="B1807" t="s">
        <v>781</v>
      </c>
    </row>
    <row r="1808" spans="1:2" x14ac:dyDescent="0.45">
      <c r="A1808" t="s">
        <v>793</v>
      </c>
      <c r="B1808" t="s">
        <v>794</v>
      </c>
    </row>
    <row r="1809" spans="1:2" x14ac:dyDescent="0.45">
      <c r="A1809" t="s">
        <v>796</v>
      </c>
      <c r="B1809" t="s">
        <v>797</v>
      </c>
    </row>
    <row r="1810" spans="1:2" x14ac:dyDescent="0.45">
      <c r="A1810" t="s">
        <v>803</v>
      </c>
      <c r="B1810" t="s">
        <v>804</v>
      </c>
    </row>
    <row r="1811" spans="1:2" x14ac:dyDescent="0.45">
      <c r="A1811" t="s">
        <v>806</v>
      </c>
      <c r="B1811" t="s">
        <v>807</v>
      </c>
    </row>
    <row r="1812" spans="1:2" x14ac:dyDescent="0.45">
      <c r="A1812" t="s">
        <v>810</v>
      </c>
      <c r="B1812" t="s">
        <v>811</v>
      </c>
    </row>
    <row r="1813" spans="1:2" x14ac:dyDescent="0.45">
      <c r="A1813" t="s">
        <v>814</v>
      </c>
      <c r="B1813" t="s">
        <v>815</v>
      </c>
    </row>
    <row r="1814" spans="1:2" x14ac:dyDescent="0.45">
      <c r="A1814" t="s">
        <v>823</v>
      </c>
      <c r="B1814" t="s">
        <v>824</v>
      </c>
    </row>
    <row r="1815" spans="1:2" x14ac:dyDescent="0.45">
      <c r="A1815" t="s">
        <v>825</v>
      </c>
      <c r="B1815" t="s">
        <v>826</v>
      </c>
    </row>
    <row r="1816" spans="1:2" x14ac:dyDescent="0.45">
      <c r="A1816" t="s">
        <v>828</v>
      </c>
      <c r="B1816" t="s">
        <v>829</v>
      </c>
    </row>
    <row r="1817" spans="1:2" x14ac:dyDescent="0.45">
      <c r="A1817" t="s">
        <v>830</v>
      </c>
      <c r="B1817" t="s">
        <v>831</v>
      </c>
    </row>
    <row r="1818" spans="1:2" x14ac:dyDescent="0.45">
      <c r="A1818" t="s">
        <v>832</v>
      </c>
      <c r="B1818" t="s">
        <v>833</v>
      </c>
    </row>
    <row r="1819" spans="1:2" x14ac:dyDescent="0.45">
      <c r="A1819" t="s">
        <v>836</v>
      </c>
      <c r="B1819" t="s">
        <v>837</v>
      </c>
    </row>
    <row r="1820" spans="1:2" x14ac:dyDescent="0.45">
      <c r="A1820" t="s">
        <v>839</v>
      </c>
      <c r="B1820" t="s">
        <v>840</v>
      </c>
    </row>
    <row r="1821" spans="1:2" x14ac:dyDescent="0.45">
      <c r="A1821" t="s">
        <v>841</v>
      </c>
      <c r="B1821" t="s">
        <v>842</v>
      </c>
    </row>
    <row r="1822" spans="1:2" x14ac:dyDescent="0.45">
      <c r="A1822" t="s">
        <v>843</v>
      </c>
      <c r="B1822" t="s">
        <v>844</v>
      </c>
    </row>
    <row r="1823" spans="1:2" x14ac:dyDescent="0.45">
      <c r="A1823" t="s">
        <v>846</v>
      </c>
      <c r="B1823" t="s">
        <v>847</v>
      </c>
    </row>
    <row r="1824" spans="1:2" x14ac:dyDescent="0.45">
      <c r="A1824" t="s">
        <v>852</v>
      </c>
      <c r="B1824" t="s">
        <v>853</v>
      </c>
    </row>
    <row r="1825" spans="1:2" x14ac:dyDescent="0.45">
      <c r="A1825" t="s">
        <v>858</v>
      </c>
      <c r="B1825" t="s">
        <v>859</v>
      </c>
    </row>
    <row r="1826" spans="1:2" x14ac:dyDescent="0.45">
      <c r="A1826" t="s">
        <v>860</v>
      </c>
      <c r="B1826" t="s">
        <v>861</v>
      </c>
    </row>
    <row r="1827" spans="1:2" x14ac:dyDescent="0.45">
      <c r="A1827" t="s">
        <v>913</v>
      </c>
      <c r="B1827" t="s">
        <v>914</v>
      </c>
    </row>
    <row r="1828" spans="1:2" x14ac:dyDescent="0.45">
      <c r="A1828" t="s">
        <v>916</v>
      </c>
      <c r="B1828" t="s">
        <v>917</v>
      </c>
    </row>
    <row r="1829" spans="1:2" x14ac:dyDescent="0.45">
      <c r="A1829" t="s">
        <v>919</v>
      </c>
      <c r="B1829" t="s">
        <v>920</v>
      </c>
    </row>
    <row r="1830" spans="1:2" x14ac:dyDescent="0.45">
      <c r="A1830" t="s">
        <v>923</v>
      </c>
      <c r="B1830" t="s">
        <v>924</v>
      </c>
    </row>
    <row r="1831" spans="1:2" x14ac:dyDescent="0.45">
      <c r="A1831" t="s">
        <v>926</v>
      </c>
      <c r="B1831" t="s">
        <v>927</v>
      </c>
    </row>
    <row r="1832" spans="1:2" x14ac:dyDescent="0.45">
      <c r="A1832" t="s">
        <v>930</v>
      </c>
      <c r="B1832" t="s">
        <v>931</v>
      </c>
    </row>
    <row r="1833" spans="1:2" x14ac:dyDescent="0.45">
      <c r="A1833" t="s">
        <v>934</v>
      </c>
      <c r="B1833" t="s">
        <v>935</v>
      </c>
    </row>
    <row r="1834" spans="1:2" x14ac:dyDescent="0.45">
      <c r="A1834" t="s">
        <v>938</v>
      </c>
      <c r="B1834" t="s">
        <v>939</v>
      </c>
    </row>
    <row r="1835" spans="1:2" x14ac:dyDescent="0.45">
      <c r="A1835" t="s">
        <v>942</v>
      </c>
      <c r="B1835" t="s">
        <v>943</v>
      </c>
    </row>
    <row r="1836" spans="1:2" x14ac:dyDescent="0.45">
      <c r="A1836" t="s">
        <v>946</v>
      </c>
      <c r="B1836" t="s">
        <v>947</v>
      </c>
    </row>
    <row r="1837" spans="1:2" x14ac:dyDescent="0.45">
      <c r="A1837" t="s">
        <v>948</v>
      </c>
      <c r="B1837" t="s">
        <v>949</v>
      </c>
    </row>
    <row r="1838" spans="1:2" x14ac:dyDescent="0.45">
      <c r="A1838" t="s">
        <v>952</v>
      </c>
      <c r="B1838" t="s">
        <v>953</v>
      </c>
    </row>
    <row r="1839" spans="1:2" x14ac:dyDescent="0.45">
      <c r="A1839" t="s">
        <v>955</v>
      </c>
      <c r="B1839" t="s">
        <v>956</v>
      </c>
    </row>
    <row r="1840" spans="1:2" x14ac:dyDescent="0.45">
      <c r="A1840" t="s">
        <v>958</v>
      </c>
      <c r="B1840" t="s">
        <v>959</v>
      </c>
    </row>
    <row r="1841" spans="1:2" x14ac:dyDescent="0.45">
      <c r="A1841" t="s">
        <v>966</v>
      </c>
      <c r="B1841" t="s">
        <v>967</v>
      </c>
    </row>
    <row r="1842" spans="1:2" x14ac:dyDescent="0.45">
      <c r="A1842" t="s">
        <v>969</v>
      </c>
      <c r="B1842" t="s">
        <v>970</v>
      </c>
    </row>
    <row r="1843" spans="1:2" x14ac:dyDescent="0.45">
      <c r="A1843" t="s">
        <v>975</v>
      </c>
      <c r="B1843" t="s">
        <v>976</v>
      </c>
    </row>
    <row r="1844" spans="1:2" x14ac:dyDescent="0.45">
      <c r="A1844" t="s">
        <v>985</v>
      </c>
      <c r="B1844" t="s">
        <v>986</v>
      </c>
    </row>
    <row r="1845" spans="1:2" x14ac:dyDescent="0.45">
      <c r="A1845" t="s">
        <v>989</v>
      </c>
      <c r="B1845" t="s">
        <v>990</v>
      </c>
    </row>
    <row r="1846" spans="1:2" x14ac:dyDescent="0.45">
      <c r="A1846" t="s">
        <v>993</v>
      </c>
      <c r="B1846" t="s">
        <v>994</v>
      </c>
    </row>
    <row r="1847" spans="1:2" x14ac:dyDescent="0.45">
      <c r="A1847" t="s">
        <v>997</v>
      </c>
      <c r="B1847" t="s">
        <v>998</v>
      </c>
    </row>
    <row r="1848" spans="1:2" x14ac:dyDescent="0.45">
      <c r="A1848" t="s">
        <v>1001</v>
      </c>
      <c r="B1848" t="s">
        <v>1002</v>
      </c>
    </row>
    <row r="1849" spans="1:2" x14ac:dyDescent="0.45">
      <c r="A1849" t="s">
        <v>1004</v>
      </c>
      <c r="B1849" t="s">
        <v>1005</v>
      </c>
    </row>
    <row r="1850" spans="1:2" x14ac:dyDescent="0.45">
      <c r="A1850" t="s">
        <v>1008</v>
      </c>
      <c r="B1850" t="s">
        <v>1009</v>
      </c>
    </row>
    <row r="1851" spans="1:2" x14ac:dyDescent="0.45">
      <c r="A1851" t="s">
        <v>1012</v>
      </c>
      <c r="B1851" t="s">
        <v>1013</v>
      </c>
    </row>
    <row r="1852" spans="1:2" x14ac:dyDescent="0.45">
      <c r="A1852" t="s">
        <v>1015</v>
      </c>
      <c r="B1852" t="s">
        <v>1016</v>
      </c>
    </row>
    <row r="1853" spans="1:2" x14ac:dyDescent="0.45">
      <c r="A1853" t="s">
        <v>1018</v>
      </c>
      <c r="B1853" t="s">
        <v>1019</v>
      </c>
    </row>
    <row r="1854" spans="1:2" x14ac:dyDescent="0.45">
      <c r="A1854" t="s">
        <v>1021</v>
      </c>
      <c r="B1854" t="s">
        <v>1022</v>
      </c>
    </row>
    <row r="1855" spans="1:2" x14ac:dyDescent="0.45">
      <c r="A1855" t="s">
        <v>1024</v>
      </c>
      <c r="B1855" t="s">
        <v>1025</v>
      </c>
    </row>
    <row r="1856" spans="1:2" x14ac:dyDescent="0.45">
      <c r="A1856" t="s">
        <v>1027</v>
      </c>
      <c r="B1856" t="s">
        <v>1028</v>
      </c>
    </row>
    <row r="1857" spans="1:2" x14ac:dyDescent="0.45">
      <c r="A1857" t="s">
        <v>1030</v>
      </c>
      <c r="B1857" t="s">
        <v>1031</v>
      </c>
    </row>
    <row r="1858" spans="1:2" x14ac:dyDescent="0.45">
      <c r="A1858" t="s">
        <v>1033</v>
      </c>
      <c r="B1858" t="s">
        <v>1034</v>
      </c>
    </row>
    <row r="1859" spans="1:2" x14ac:dyDescent="0.45">
      <c r="A1859" t="s">
        <v>1036</v>
      </c>
      <c r="B1859" t="s">
        <v>1037</v>
      </c>
    </row>
    <row r="1860" spans="1:2" x14ac:dyDescent="0.45">
      <c r="A1860" t="s">
        <v>1040</v>
      </c>
      <c r="B1860" t="s">
        <v>1041</v>
      </c>
    </row>
    <row r="1861" spans="1:2" x14ac:dyDescent="0.45">
      <c r="A1861" t="s">
        <v>1044</v>
      </c>
      <c r="B1861" t="s">
        <v>1045</v>
      </c>
    </row>
    <row r="1862" spans="1:2" x14ac:dyDescent="0.45">
      <c r="A1862" t="s">
        <v>1047</v>
      </c>
      <c r="B1862" t="s">
        <v>1048</v>
      </c>
    </row>
    <row r="1863" spans="1:2" x14ac:dyDescent="0.45">
      <c r="A1863" t="s">
        <v>1051</v>
      </c>
      <c r="B1863" t="s">
        <v>1052</v>
      </c>
    </row>
    <row r="1864" spans="1:2" x14ac:dyDescent="0.45">
      <c r="A1864" t="s">
        <v>1055</v>
      </c>
      <c r="B1864" t="s">
        <v>1056</v>
      </c>
    </row>
    <row r="1865" spans="1:2" x14ac:dyDescent="0.45">
      <c r="A1865" t="s">
        <v>1058</v>
      </c>
      <c r="B1865" t="s">
        <v>1059</v>
      </c>
    </row>
    <row r="1866" spans="1:2" x14ac:dyDescent="0.45">
      <c r="A1866" t="s">
        <v>1061</v>
      </c>
      <c r="B1866" t="s">
        <v>1062</v>
      </c>
    </row>
    <row r="1867" spans="1:2" x14ac:dyDescent="0.45">
      <c r="A1867" t="s">
        <v>1063</v>
      </c>
      <c r="B1867" t="s">
        <v>1064</v>
      </c>
    </row>
    <row r="1868" spans="1:2" x14ac:dyDescent="0.45">
      <c r="A1868" t="s">
        <v>1066</v>
      </c>
      <c r="B1868" t="s">
        <v>1067</v>
      </c>
    </row>
    <row r="1869" spans="1:2" x14ac:dyDescent="0.45">
      <c r="A1869" t="s">
        <v>1069</v>
      </c>
      <c r="B1869" t="s">
        <v>1070</v>
      </c>
    </row>
    <row r="1870" spans="1:2" x14ac:dyDescent="0.45">
      <c r="A1870" t="s">
        <v>1071</v>
      </c>
      <c r="B1870" t="s">
        <v>1072</v>
      </c>
    </row>
    <row r="1871" spans="1:2" x14ac:dyDescent="0.45">
      <c r="A1871" t="s">
        <v>1073</v>
      </c>
      <c r="B1871" t="s">
        <v>1074</v>
      </c>
    </row>
    <row r="1872" spans="1:2" x14ac:dyDescent="0.45">
      <c r="A1872" t="s">
        <v>1075</v>
      </c>
      <c r="B1872" t="s">
        <v>1076</v>
      </c>
    </row>
    <row r="1873" spans="1:2" x14ac:dyDescent="0.45">
      <c r="A1873" t="s">
        <v>1078</v>
      </c>
      <c r="B1873" t="s">
        <v>1079</v>
      </c>
    </row>
    <row r="1874" spans="1:2" x14ac:dyDescent="0.45">
      <c r="A1874" t="s">
        <v>1082</v>
      </c>
      <c r="B1874" t="s">
        <v>1083</v>
      </c>
    </row>
    <row r="1875" spans="1:2" x14ac:dyDescent="0.45">
      <c r="A1875" t="s">
        <v>1085</v>
      </c>
      <c r="B1875" t="s">
        <v>1086</v>
      </c>
    </row>
    <row r="1876" spans="1:2" x14ac:dyDescent="0.45">
      <c r="A1876" t="s">
        <v>1091</v>
      </c>
      <c r="B1876" t="s">
        <v>1092</v>
      </c>
    </row>
    <row r="1877" spans="1:2" x14ac:dyDescent="0.45">
      <c r="A1877" t="s">
        <v>1094</v>
      </c>
      <c r="B1877" t="s">
        <v>1095</v>
      </c>
    </row>
    <row r="1878" spans="1:2" x14ac:dyDescent="0.45">
      <c r="A1878" t="s">
        <v>1097</v>
      </c>
      <c r="B1878" t="s">
        <v>1098</v>
      </c>
    </row>
    <row r="1879" spans="1:2" x14ac:dyDescent="0.45">
      <c r="A1879" t="s">
        <v>1100</v>
      </c>
      <c r="B1879" t="s">
        <v>1101</v>
      </c>
    </row>
    <row r="1880" spans="1:2" x14ac:dyDescent="0.45">
      <c r="A1880" t="s">
        <v>1102</v>
      </c>
      <c r="B1880" t="s">
        <v>1103</v>
      </c>
    </row>
    <row r="1881" spans="1:2" x14ac:dyDescent="0.45">
      <c r="A1881" t="s">
        <v>1105</v>
      </c>
      <c r="B1881" t="s">
        <v>1106</v>
      </c>
    </row>
    <row r="1882" spans="1:2" x14ac:dyDescent="0.45">
      <c r="A1882" t="s">
        <v>1108</v>
      </c>
      <c r="B1882" t="s">
        <v>1109</v>
      </c>
    </row>
    <row r="1883" spans="1:2" x14ac:dyDescent="0.45">
      <c r="A1883" t="s">
        <v>1110</v>
      </c>
      <c r="B1883" t="s">
        <v>1111</v>
      </c>
    </row>
    <row r="1884" spans="1:2" x14ac:dyDescent="0.45">
      <c r="A1884" t="s">
        <v>1114</v>
      </c>
      <c r="B1884" t="s">
        <v>1115</v>
      </c>
    </row>
    <row r="1885" spans="1:2" x14ac:dyDescent="0.45">
      <c r="A1885" t="s">
        <v>1117</v>
      </c>
      <c r="B1885" t="s">
        <v>1118</v>
      </c>
    </row>
    <row r="1886" spans="1:2" x14ac:dyDescent="0.45">
      <c r="A1886" t="s">
        <v>1120</v>
      </c>
      <c r="B1886" t="s">
        <v>1121</v>
      </c>
    </row>
    <row r="1887" spans="1:2" x14ac:dyDescent="0.45">
      <c r="A1887" t="s">
        <v>1123</v>
      </c>
      <c r="B1887" t="s">
        <v>1124</v>
      </c>
    </row>
    <row r="1888" spans="1:2" x14ac:dyDescent="0.45">
      <c r="A1888" t="s">
        <v>1126</v>
      </c>
      <c r="B1888" t="s">
        <v>1127</v>
      </c>
    </row>
    <row r="1889" spans="1:2" x14ac:dyDescent="0.45">
      <c r="A1889" t="s">
        <v>1129</v>
      </c>
      <c r="B1889" t="s">
        <v>1130</v>
      </c>
    </row>
    <row r="1890" spans="1:2" x14ac:dyDescent="0.45">
      <c r="A1890" t="s">
        <v>1132</v>
      </c>
      <c r="B1890" t="s">
        <v>1133</v>
      </c>
    </row>
    <row r="1891" spans="1:2" x14ac:dyDescent="0.45">
      <c r="A1891" t="s">
        <v>1135</v>
      </c>
      <c r="B1891" t="s">
        <v>1136</v>
      </c>
    </row>
    <row r="1892" spans="1:2" x14ac:dyDescent="0.45">
      <c r="A1892" t="s">
        <v>1138</v>
      </c>
      <c r="B1892" t="s">
        <v>1139</v>
      </c>
    </row>
    <row r="1893" spans="1:2" x14ac:dyDescent="0.45">
      <c r="A1893" t="s">
        <v>1141</v>
      </c>
      <c r="B1893" t="s">
        <v>1142</v>
      </c>
    </row>
    <row r="1894" spans="1:2" x14ac:dyDescent="0.45">
      <c r="A1894" t="s">
        <v>1144</v>
      </c>
      <c r="B1894" t="s">
        <v>1145</v>
      </c>
    </row>
    <row r="1895" spans="1:2" x14ac:dyDescent="0.45">
      <c r="A1895" t="s">
        <v>1146</v>
      </c>
      <c r="B1895" t="s">
        <v>1147</v>
      </c>
    </row>
    <row r="1896" spans="1:2" x14ac:dyDescent="0.45">
      <c r="A1896" t="s">
        <v>1148</v>
      </c>
      <c r="B1896" t="s">
        <v>1149</v>
      </c>
    </row>
    <row r="1897" spans="1:2" x14ac:dyDescent="0.45">
      <c r="A1897" t="s">
        <v>1155</v>
      </c>
      <c r="B1897" t="s">
        <v>1156</v>
      </c>
    </row>
    <row r="1898" spans="1:2" x14ac:dyDescent="0.45">
      <c r="A1898" t="s">
        <v>1162</v>
      </c>
      <c r="B1898" t="s">
        <v>1163</v>
      </c>
    </row>
    <row r="1899" spans="1:2" x14ac:dyDescent="0.45">
      <c r="A1899" t="s">
        <v>1167</v>
      </c>
      <c r="B1899" t="s">
        <v>1168</v>
      </c>
    </row>
    <row r="1900" spans="1:2" x14ac:dyDescent="0.45">
      <c r="A1900" t="s">
        <v>1172</v>
      </c>
      <c r="B1900" t="s">
        <v>1173</v>
      </c>
    </row>
    <row r="1901" spans="1:2" x14ac:dyDescent="0.45">
      <c r="A1901" t="s">
        <v>1174</v>
      </c>
      <c r="B1901" t="s">
        <v>1175</v>
      </c>
    </row>
    <row r="1902" spans="1:2" x14ac:dyDescent="0.45">
      <c r="A1902" t="s">
        <v>1179</v>
      </c>
      <c r="B1902" t="s">
        <v>1180</v>
      </c>
    </row>
    <row r="1903" spans="1:2" x14ac:dyDescent="0.45">
      <c r="A1903" t="s">
        <v>1181</v>
      </c>
      <c r="B1903" t="s">
        <v>1182</v>
      </c>
    </row>
    <row r="1904" spans="1:2" x14ac:dyDescent="0.45">
      <c r="A1904" t="s">
        <v>1186</v>
      </c>
      <c r="B1904" t="s">
        <v>1187</v>
      </c>
    </row>
    <row r="1905" spans="1:2" x14ac:dyDescent="0.45">
      <c r="A1905" t="s">
        <v>1189</v>
      </c>
      <c r="B1905" t="s">
        <v>1190</v>
      </c>
    </row>
    <row r="1906" spans="1:2" x14ac:dyDescent="0.45">
      <c r="A1906" t="s">
        <v>1191</v>
      </c>
      <c r="B1906" t="s">
        <v>1192</v>
      </c>
    </row>
    <row r="1907" spans="1:2" x14ac:dyDescent="0.45">
      <c r="A1907" t="s">
        <v>1193</v>
      </c>
      <c r="B1907" t="s">
        <v>1194</v>
      </c>
    </row>
    <row r="1908" spans="1:2" x14ac:dyDescent="0.45">
      <c r="A1908" t="s">
        <v>1197</v>
      </c>
      <c r="B1908" t="s">
        <v>1198</v>
      </c>
    </row>
    <row r="1909" spans="1:2" x14ac:dyDescent="0.45">
      <c r="A1909" t="s">
        <v>1199</v>
      </c>
      <c r="B1909" t="s">
        <v>1200</v>
      </c>
    </row>
    <row r="1910" spans="1:2" x14ac:dyDescent="0.45">
      <c r="A1910" t="s">
        <v>1202</v>
      </c>
      <c r="B1910" t="s">
        <v>1203</v>
      </c>
    </row>
    <row r="1911" spans="1:2" x14ac:dyDescent="0.45">
      <c r="A1911" t="s">
        <v>1211</v>
      </c>
      <c r="B1911" t="s">
        <v>1212</v>
      </c>
    </row>
    <row r="1912" spans="1:2" x14ac:dyDescent="0.45">
      <c r="A1912" t="s">
        <v>1213</v>
      </c>
      <c r="B1912" t="s">
        <v>1214</v>
      </c>
    </row>
    <row r="1913" spans="1:2" x14ac:dyDescent="0.45">
      <c r="A1913" t="s">
        <v>1215</v>
      </c>
      <c r="B1913" t="s">
        <v>1216</v>
      </c>
    </row>
    <row r="1914" spans="1:2" x14ac:dyDescent="0.45">
      <c r="A1914" t="s">
        <v>1217</v>
      </c>
      <c r="B1914" t="s">
        <v>1218</v>
      </c>
    </row>
    <row r="1915" spans="1:2" x14ac:dyDescent="0.45">
      <c r="A1915" t="s">
        <v>1223</v>
      </c>
      <c r="B1915" t="s">
        <v>1224</v>
      </c>
    </row>
    <row r="1916" spans="1:2" x14ac:dyDescent="0.45">
      <c r="A1916" t="s">
        <v>1225</v>
      </c>
      <c r="B1916" t="s">
        <v>1226</v>
      </c>
    </row>
    <row r="1917" spans="1:2" x14ac:dyDescent="0.45">
      <c r="A1917" t="s">
        <v>1228</v>
      </c>
      <c r="B1917" t="s">
        <v>1229</v>
      </c>
    </row>
    <row r="1918" spans="1:2" x14ac:dyDescent="0.45">
      <c r="A1918" t="s">
        <v>1230</v>
      </c>
      <c r="B1918" t="s">
        <v>1231</v>
      </c>
    </row>
    <row r="1919" spans="1:2" x14ac:dyDescent="0.45">
      <c r="A1919" t="s">
        <v>1233</v>
      </c>
      <c r="B1919" t="s">
        <v>1234</v>
      </c>
    </row>
    <row r="1920" spans="1:2" x14ac:dyDescent="0.45">
      <c r="A1920" t="s">
        <v>1236</v>
      </c>
      <c r="B1920" t="s">
        <v>1237</v>
      </c>
    </row>
    <row r="1921" spans="1:2" x14ac:dyDescent="0.45">
      <c r="A1921" t="s">
        <v>1240</v>
      </c>
      <c r="B1921" t="s">
        <v>1241</v>
      </c>
    </row>
    <row r="1922" spans="1:2" x14ac:dyDescent="0.45">
      <c r="A1922" t="s">
        <v>1246</v>
      </c>
      <c r="B1922" t="s">
        <v>1247</v>
      </c>
    </row>
    <row r="1923" spans="1:2" x14ac:dyDescent="0.45">
      <c r="A1923" t="s">
        <v>1249</v>
      </c>
      <c r="B1923" t="s">
        <v>1250</v>
      </c>
    </row>
    <row r="1924" spans="1:2" x14ac:dyDescent="0.45">
      <c r="A1924" t="s">
        <v>1265</v>
      </c>
      <c r="B1924" t="s">
        <v>1266</v>
      </c>
    </row>
    <row r="1925" spans="1:2" x14ac:dyDescent="0.45">
      <c r="A1925" t="s">
        <v>1269</v>
      </c>
      <c r="B1925" t="s">
        <v>1270</v>
      </c>
    </row>
    <row r="1926" spans="1:2" x14ac:dyDescent="0.45">
      <c r="A1926" t="s">
        <v>1273</v>
      </c>
      <c r="B1926" t="s">
        <v>1274</v>
      </c>
    </row>
    <row r="1927" spans="1:2" x14ac:dyDescent="0.45">
      <c r="A1927" t="s">
        <v>1276</v>
      </c>
      <c r="B1927" t="s">
        <v>1277</v>
      </c>
    </row>
    <row r="1928" spans="1:2" x14ac:dyDescent="0.45">
      <c r="A1928" t="s">
        <v>1278</v>
      </c>
      <c r="B1928" t="s">
        <v>1279</v>
      </c>
    </row>
    <row r="1929" spans="1:2" x14ac:dyDescent="0.45">
      <c r="A1929" t="s">
        <v>1280</v>
      </c>
      <c r="B1929" t="s">
        <v>1281</v>
      </c>
    </row>
    <row r="1930" spans="1:2" x14ac:dyDescent="0.45">
      <c r="A1930" t="s">
        <v>1283</v>
      </c>
      <c r="B1930" t="s">
        <v>1284</v>
      </c>
    </row>
    <row r="1931" spans="1:2" x14ac:dyDescent="0.45">
      <c r="A1931" t="s">
        <v>1291</v>
      </c>
      <c r="B1931" t="s">
        <v>1292</v>
      </c>
    </row>
    <row r="1932" spans="1:2" x14ac:dyDescent="0.45">
      <c r="A1932" t="s">
        <v>1293</v>
      </c>
      <c r="B1932" t="s">
        <v>1294</v>
      </c>
    </row>
    <row r="1933" spans="1:2" x14ac:dyDescent="0.45">
      <c r="A1933" t="s">
        <v>1299</v>
      </c>
      <c r="B1933" t="s">
        <v>1300</v>
      </c>
    </row>
    <row r="1934" spans="1:2" x14ac:dyDescent="0.45">
      <c r="A1934" t="s">
        <v>1301</v>
      </c>
      <c r="B1934" t="s">
        <v>1302</v>
      </c>
    </row>
    <row r="1935" spans="1:2" x14ac:dyDescent="0.45">
      <c r="A1935" t="s">
        <v>1303</v>
      </c>
      <c r="B1935" t="s">
        <v>1304</v>
      </c>
    </row>
    <row r="1936" spans="1:2" x14ac:dyDescent="0.45">
      <c r="A1936" t="s">
        <v>1306</v>
      </c>
      <c r="B1936" t="s">
        <v>1307</v>
      </c>
    </row>
    <row r="1937" spans="1:2" x14ac:dyDescent="0.45">
      <c r="A1937" t="s">
        <v>1309</v>
      </c>
      <c r="B1937" t="s">
        <v>1310</v>
      </c>
    </row>
    <row r="1938" spans="1:2" x14ac:dyDescent="0.45">
      <c r="A1938" t="s">
        <v>1318</v>
      </c>
      <c r="B1938" t="s">
        <v>1319</v>
      </c>
    </row>
    <row r="1939" spans="1:2" x14ac:dyDescent="0.45">
      <c r="A1939" t="s">
        <v>1325</v>
      </c>
      <c r="B1939" t="s">
        <v>1326</v>
      </c>
    </row>
    <row r="1940" spans="1:2" x14ac:dyDescent="0.45">
      <c r="A1940" t="s">
        <v>1328</v>
      </c>
      <c r="B1940" t="s">
        <v>1329</v>
      </c>
    </row>
    <row r="1941" spans="1:2" x14ac:dyDescent="0.45">
      <c r="A1941" t="s">
        <v>1331</v>
      </c>
      <c r="B1941" t="s">
        <v>1332</v>
      </c>
    </row>
    <row r="1942" spans="1:2" x14ac:dyDescent="0.45">
      <c r="A1942" t="s">
        <v>1335</v>
      </c>
      <c r="B1942" t="s">
        <v>1336</v>
      </c>
    </row>
    <row r="1943" spans="1:2" x14ac:dyDescent="0.45">
      <c r="A1943" t="s">
        <v>1339</v>
      </c>
      <c r="B1943" t="s">
        <v>1340</v>
      </c>
    </row>
    <row r="1944" spans="1:2" x14ac:dyDescent="0.45">
      <c r="A1944" t="s">
        <v>1351</v>
      </c>
      <c r="B1944" t="s">
        <v>1352</v>
      </c>
    </row>
    <row r="1945" spans="1:2" x14ac:dyDescent="0.45">
      <c r="A1945" t="s">
        <v>1355</v>
      </c>
      <c r="B1945" t="s">
        <v>1356</v>
      </c>
    </row>
    <row r="1946" spans="1:2" x14ac:dyDescent="0.45">
      <c r="A1946" t="s">
        <v>1358</v>
      </c>
      <c r="B1946" t="s">
        <v>1359</v>
      </c>
    </row>
    <row r="1947" spans="1:2" x14ac:dyDescent="0.45">
      <c r="A1947" t="s">
        <v>1360</v>
      </c>
      <c r="B1947" t="s">
        <v>1361</v>
      </c>
    </row>
    <row r="1948" spans="1:2" x14ac:dyDescent="0.45">
      <c r="A1948" t="s">
        <v>1367</v>
      </c>
      <c r="B1948" t="s">
        <v>1368</v>
      </c>
    </row>
    <row r="1949" spans="1:2" x14ac:dyDescent="0.45">
      <c r="A1949" t="s">
        <v>1372</v>
      </c>
      <c r="B1949" t="s">
        <v>1373</v>
      </c>
    </row>
    <row r="1950" spans="1:2" x14ac:dyDescent="0.45">
      <c r="A1950" t="s">
        <v>1379</v>
      </c>
      <c r="B1950" t="s">
        <v>1380</v>
      </c>
    </row>
    <row r="1951" spans="1:2" x14ac:dyDescent="0.45">
      <c r="A1951" t="s">
        <v>1382</v>
      </c>
      <c r="B1951" t="s">
        <v>1383</v>
      </c>
    </row>
    <row r="1952" spans="1:2" x14ac:dyDescent="0.45">
      <c r="A1952" t="s">
        <v>1385</v>
      </c>
      <c r="B1952" t="s">
        <v>1386</v>
      </c>
    </row>
    <row r="1953" spans="1:2" x14ac:dyDescent="0.45">
      <c r="A1953" t="s">
        <v>1388</v>
      </c>
      <c r="B1953" t="s">
        <v>1389</v>
      </c>
    </row>
    <row r="1954" spans="1:2" x14ac:dyDescent="0.45">
      <c r="A1954" t="s">
        <v>1391</v>
      </c>
      <c r="B1954" t="s">
        <v>1392</v>
      </c>
    </row>
    <row r="1955" spans="1:2" x14ac:dyDescent="0.45">
      <c r="A1955" t="s">
        <v>1393</v>
      </c>
      <c r="B1955" t="s">
        <v>1394</v>
      </c>
    </row>
    <row r="1956" spans="1:2" x14ac:dyDescent="0.45">
      <c r="A1956" t="s">
        <v>1395</v>
      </c>
      <c r="B1956" t="s">
        <v>1396</v>
      </c>
    </row>
    <row r="1957" spans="1:2" x14ac:dyDescent="0.45">
      <c r="A1957" t="s">
        <v>1410</v>
      </c>
      <c r="B1957" t="s">
        <v>1411</v>
      </c>
    </row>
    <row r="1958" spans="1:2" x14ac:dyDescent="0.45">
      <c r="A1958" t="s">
        <v>1417</v>
      </c>
      <c r="B1958" t="s">
        <v>1418</v>
      </c>
    </row>
    <row r="1959" spans="1:2" x14ac:dyDescent="0.45">
      <c r="A1959" t="s">
        <v>1425</v>
      </c>
      <c r="B1959" t="s">
        <v>1426</v>
      </c>
    </row>
    <row r="1960" spans="1:2" x14ac:dyDescent="0.45">
      <c r="A1960" t="s">
        <v>1428</v>
      </c>
      <c r="B1960" t="s">
        <v>1429</v>
      </c>
    </row>
    <row r="1961" spans="1:2" x14ac:dyDescent="0.45">
      <c r="A1961" t="s">
        <v>1430</v>
      </c>
      <c r="B1961" t="s">
        <v>1431</v>
      </c>
    </row>
    <row r="1962" spans="1:2" x14ac:dyDescent="0.45">
      <c r="A1962" t="s">
        <v>1433</v>
      </c>
      <c r="B1962" t="s">
        <v>1434</v>
      </c>
    </row>
    <row r="1963" spans="1:2" x14ac:dyDescent="0.45">
      <c r="A1963" t="s">
        <v>1438</v>
      </c>
      <c r="B1963" t="s">
        <v>1439</v>
      </c>
    </row>
    <row r="1964" spans="1:2" x14ac:dyDescent="0.45">
      <c r="A1964" t="s">
        <v>1440</v>
      </c>
      <c r="B1964" t="s">
        <v>1441</v>
      </c>
    </row>
    <row r="1965" spans="1:2" x14ac:dyDescent="0.45">
      <c r="A1965" t="s">
        <v>1448</v>
      </c>
      <c r="B1965" t="s">
        <v>1449</v>
      </c>
    </row>
    <row r="1966" spans="1:2" x14ac:dyDescent="0.45">
      <c r="A1966" t="s">
        <v>1452</v>
      </c>
      <c r="B1966" t="s">
        <v>1453</v>
      </c>
    </row>
    <row r="1967" spans="1:2" x14ac:dyDescent="0.45">
      <c r="A1967" t="s">
        <v>1454</v>
      </c>
      <c r="B1967" t="s">
        <v>1455</v>
      </c>
    </row>
    <row r="1968" spans="1:2" x14ac:dyDescent="0.45">
      <c r="A1968" t="s">
        <v>1458</v>
      </c>
      <c r="B1968" t="s">
        <v>1459</v>
      </c>
    </row>
    <row r="1969" spans="1:2" x14ac:dyDescent="0.45">
      <c r="A1969" t="s">
        <v>1463</v>
      </c>
      <c r="B1969" t="s">
        <v>1464</v>
      </c>
    </row>
    <row r="1970" spans="1:2" x14ac:dyDescent="0.45">
      <c r="A1970" t="s">
        <v>1465</v>
      </c>
      <c r="B1970" t="s">
        <v>1466</v>
      </c>
    </row>
    <row r="1971" spans="1:2" x14ac:dyDescent="0.45">
      <c r="A1971" t="s">
        <v>1474</v>
      </c>
      <c r="B1971" t="s">
        <v>1475</v>
      </c>
    </row>
    <row r="1972" spans="1:2" x14ac:dyDescent="0.45">
      <c r="A1972" t="s">
        <v>1477</v>
      </c>
      <c r="B1972" t="s">
        <v>1478</v>
      </c>
    </row>
    <row r="1973" spans="1:2" x14ac:dyDescent="0.45">
      <c r="A1973" t="s">
        <v>1480</v>
      </c>
      <c r="B1973" t="s">
        <v>1481</v>
      </c>
    </row>
    <row r="1974" spans="1:2" x14ac:dyDescent="0.45">
      <c r="A1974" t="s">
        <v>1483</v>
      </c>
      <c r="B1974" t="s">
        <v>1484</v>
      </c>
    </row>
    <row r="1975" spans="1:2" x14ac:dyDescent="0.45">
      <c r="A1975" t="s">
        <v>1486</v>
      </c>
      <c r="B1975" t="s">
        <v>1487</v>
      </c>
    </row>
    <row r="1976" spans="1:2" x14ac:dyDescent="0.45">
      <c r="A1976" t="s">
        <v>1489</v>
      </c>
      <c r="B1976" t="s">
        <v>1490</v>
      </c>
    </row>
    <row r="1977" spans="1:2" x14ac:dyDescent="0.45">
      <c r="A1977" t="s">
        <v>1492</v>
      </c>
      <c r="B1977" t="s">
        <v>1493</v>
      </c>
    </row>
    <row r="1978" spans="1:2" x14ac:dyDescent="0.45">
      <c r="A1978" t="s">
        <v>1494</v>
      </c>
      <c r="B1978" t="s">
        <v>1495</v>
      </c>
    </row>
    <row r="1979" spans="1:2" x14ac:dyDescent="0.45">
      <c r="A1979" t="s">
        <v>1496</v>
      </c>
      <c r="B1979" t="s">
        <v>1497</v>
      </c>
    </row>
    <row r="1980" spans="1:2" x14ac:dyDescent="0.45">
      <c r="A1980" t="s">
        <v>1499</v>
      </c>
      <c r="B1980" t="s">
        <v>1500</v>
      </c>
    </row>
    <row r="1981" spans="1:2" x14ac:dyDescent="0.45">
      <c r="A1981" t="s">
        <v>1502</v>
      </c>
      <c r="B1981" t="s">
        <v>1503</v>
      </c>
    </row>
    <row r="1982" spans="1:2" x14ac:dyDescent="0.45">
      <c r="A1982" t="s">
        <v>1505</v>
      </c>
      <c r="B1982" t="s">
        <v>1506</v>
      </c>
    </row>
    <row r="1983" spans="1:2" x14ac:dyDescent="0.45">
      <c r="A1983" t="s">
        <v>1507</v>
      </c>
      <c r="B1983" t="s">
        <v>1508</v>
      </c>
    </row>
    <row r="1984" spans="1:2" x14ac:dyDescent="0.45">
      <c r="A1984" t="s">
        <v>1512</v>
      </c>
      <c r="B1984" t="s">
        <v>1513</v>
      </c>
    </row>
    <row r="1985" spans="1:2" x14ac:dyDescent="0.45">
      <c r="A1985" t="s">
        <v>1521</v>
      </c>
      <c r="B1985" t="s">
        <v>1522</v>
      </c>
    </row>
    <row r="1986" spans="1:2" x14ac:dyDescent="0.45">
      <c r="A1986" t="s">
        <v>1528</v>
      </c>
      <c r="B1986" t="s">
        <v>1529</v>
      </c>
    </row>
    <row r="1987" spans="1:2" x14ac:dyDescent="0.45">
      <c r="A1987" t="s">
        <v>1530</v>
      </c>
      <c r="B1987" t="s">
        <v>1531</v>
      </c>
    </row>
    <row r="1988" spans="1:2" x14ac:dyDescent="0.45">
      <c r="A1988" t="s">
        <v>1533</v>
      </c>
      <c r="B1988" t="s">
        <v>1534</v>
      </c>
    </row>
    <row r="1989" spans="1:2" x14ac:dyDescent="0.45">
      <c r="A1989" t="s">
        <v>1535</v>
      </c>
      <c r="B1989" t="s">
        <v>1536</v>
      </c>
    </row>
    <row r="1990" spans="1:2" x14ac:dyDescent="0.45">
      <c r="A1990" t="s">
        <v>1537</v>
      </c>
      <c r="B1990" t="s">
        <v>1538</v>
      </c>
    </row>
    <row r="1991" spans="1:2" x14ac:dyDescent="0.45">
      <c r="A1991" t="s">
        <v>1539</v>
      </c>
      <c r="B1991" t="s">
        <v>1540</v>
      </c>
    </row>
    <row r="1992" spans="1:2" x14ac:dyDescent="0.45">
      <c r="A1992" t="s">
        <v>1541</v>
      </c>
      <c r="B1992" t="s">
        <v>1542</v>
      </c>
    </row>
    <row r="1993" spans="1:2" x14ac:dyDescent="0.45">
      <c r="A1993" t="s">
        <v>1543</v>
      </c>
      <c r="B1993" t="s">
        <v>1544</v>
      </c>
    </row>
    <row r="1994" spans="1:2" x14ac:dyDescent="0.45">
      <c r="A1994" t="s">
        <v>1548</v>
      </c>
      <c r="B1994" t="s">
        <v>1549</v>
      </c>
    </row>
    <row r="1995" spans="1:2" x14ac:dyDescent="0.45">
      <c r="A1995" t="s">
        <v>1553</v>
      </c>
      <c r="B1995" t="s">
        <v>1554</v>
      </c>
    </row>
    <row r="1996" spans="1:2" x14ac:dyDescent="0.45">
      <c r="A1996" t="s">
        <v>1556</v>
      </c>
      <c r="B1996" t="s">
        <v>1557</v>
      </c>
    </row>
    <row r="1997" spans="1:2" x14ac:dyDescent="0.45">
      <c r="A1997" t="s">
        <v>1558</v>
      </c>
      <c r="B1997" t="s">
        <v>1559</v>
      </c>
    </row>
    <row r="1998" spans="1:2" x14ac:dyDescent="0.45">
      <c r="A1998" t="s">
        <v>1560</v>
      </c>
      <c r="B1998" t="s">
        <v>1561</v>
      </c>
    </row>
    <row r="1999" spans="1:2" x14ac:dyDescent="0.45">
      <c r="A1999" t="s">
        <v>1563</v>
      </c>
      <c r="B1999" t="s">
        <v>1564</v>
      </c>
    </row>
    <row r="2000" spans="1:2" x14ac:dyDescent="0.45">
      <c r="A2000" t="s">
        <v>1566</v>
      </c>
      <c r="B2000" t="s">
        <v>1567</v>
      </c>
    </row>
    <row r="2001" spans="1:2" x14ac:dyDescent="0.45">
      <c r="A2001" t="s">
        <v>1568</v>
      </c>
      <c r="B2001" t="s">
        <v>1569</v>
      </c>
    </row>
    <row r="2002" spans="1:2" x14ac:dyDescent="0.45">
      <c r="A2002" t="s">
        <v>1574</v>
      </c>
      <c r="B2002" t="s">
        <v>1575</v>
      </c>
    </row>
    <row r="2003" spans="1:2" x14ac:dyDescent="0.45">
      <c r="A2003" t="s">
        <v>1577</v>
      </c>
      <c r="B2003" t="s">
        <v>1578</v>
      </c>
    </row>
    <row r="2004" spans="1:2" x14ac:dyDescent="0.45">
      <c r="A2004" t="s">
        <v>1580</v>
      </c>
      <c r="B2004" t="s">
        <v>1581</v>
      </c>
    </row>
    <row r="2005" spans="1:2" x14ac:dyDescent="0.45">
      <c r="A2005" t="s">
        <v>1582</v>
      </c>
      <c r="B2005" t="s">
        <v>1583</v>
      </c>
    </row>
    <row r="2006" spans="1:2" x14ac:dyDescent="0.45">
      <c r="A2006" t="s">
        <v>1584</v>
      </c>
      <c r="B2006" t="s">
        <v>1585</v>
      </c>
    </row>
    <row r="2007" spans="1:2" x14ac:dyDescent="0.45">
      <c r="A2007" t="s">
        <v>1586</v>
      </c>
      <c r="B2007" t="s">
        <v>1587</v>
      </c>
    </row>
    <row r="2008" spans="1:2" x14ac:dyDescent="0.45">
      <c r="A2008" t="s">
        <v>1589</v>
      </c>
      <c r="B2008" t="s">
        <v>1590</v>
      </c>
    </row>
    <row r="2009" spans="1:2" x14ac:dyDescent="0.45">
      <c r="A2009" t="s">
        <v>1591</v>
      </c>
      <c r="B2009" t="s">
        <v>1592</v>
      </c>
    </row>
    <row r="2010" spans="1:2" x14ac:dyDescent="0.45">
      <c r="A2010" t="s">
        <v>1593</v>
      </c>
      <c r="B2010" t="s">
        <v>1594</v>
      </c>
    </row>
    <row r="2011" spans="1:2" x14ac:dyDescent="0.45">
      <c r="A2011" t="s">
        <v>1595</v>
      </c>
      <c r="B2011" t="s">
        <v>1596</v>
      </c>
    </row>
    <row r="2012" spans="1:2" x14ac:dyDescent="0.45">
      <c r="A2012" t="s">
        <v>1598</v>
      </c>
      <c r="B2012" t="s">
        <v>1599</v>
      </c>
    </row>
    <row r="2013" spans="1:2" x14ac:dyDescent="0.45">
      <c r="A2013" t="s">
        <v>1601</v>
      </c>
      <c r="B2013" t="s">
        <v>1602</v>
      </c>
    </row>
    <row r="2014" spans="1:2" x14ac:dyDescent="0.45">
      <c r="A2014" t="s">
        <v>1604</v>
      </c>
      <c r="B2014" t="s">
        <v>1605</v>
      </c>
    </row>
    <row r="2015" spans="1:2" x14ac:dyDescent="0.45">
      <c r="A2015" t="s">
        <v>1610</v>
      </c>
      <c r="B2015" t="s">
        <v>1611</v>
      </c>
    </row>
    <row r="2016" spans="1:2" x14ac:dyDescent="0.45">
      <c r="A2016" t="s">
        <v>1615</v>
      </c>
      <c r="B2016" t="s">
        <v>1616</v>
      </c>
    </row>
    <row r="2017" spans="1:2" x14ac:dyDescent="0.45">
      <c r="A2017" t="s">
        <v>1621</v>
      </c>
      <c r="B2017" t="s">
        <v>1622</v>
      </c>
    </row>
    <row r="2018" spans="1:2" x14ac:dyDescent="0.45">
      <c r="A2018" t="s">
        <v>1624</v>
      </c>
      <c r="B2018" t="s">
        <v>1625</v>
      </c>
    </row>
    <row r="2019" spans="1:2" x14ac:dyDescent="0.45">
      <c r="A2019" t="s">
        <v>1627</v>
      </c>
      <c r="B2019" t="s">
        <v>1628</v>
      </c>
    </row>
    <row r="2020" spans="1:2" x14ac:dyDescent="0.45">
      <c r="A2020" t="s">
        <v>1630</v>
      </c>
      <c r="B2020" t="s">
        <v>1631</v>
      </c>
    </row>
    <row r="2021" spans="1:2" x14ac:dyDescent="0.45">
      <c r="A2021" t="s">
        <v>1633</v>
      </c>
      <c r="B2021" t="s">
        <v>1634</v>
      </c>
    </row>
    <row r="2022" spans="1:2" x14ac:dyDescent="0.45">
      <c r="A2022" t="s">
        <v>1635</v>
      </c>
      <c r="B2022" t="s">
        <v>1636</v>
      </c>
    </row>
    <row r="2023" spans="1:2" x14ac:dyDescent="0.45">
      <c r="A2023" t="s">
        <v>1639</v>
      </c>
      <c r="B2023" t="s">
        <v>1640</v>
      </c>
    </row>
    <row r="2024" spans="1:2" x14ac:dyDescent="0.45">
      <c r="A2024" t="s">
        <v>1641</v>
      </c>
      <c r="B2024" t="s">
        <v>1642</v>
      </c>
    </row>
    <row r="2025" spans="1:2" x14ac:dyDescent="0.45">
      <c r="A2025" t="s">
        <v>1645</v>
      </c>
      <c r="B2025" t="s">
        <v>1646</v>
      </c>
    </row>
    <row r="2026" spans="1:2" x14ac:dyDescent="0.45">
      <c r="A2026" t="s">
        <v>1651</v>
      </c>
      <c r="B2026" t="s">
        <v>1652</v>
      </c>
    </row>
    <row r="2027" spans="1:2" x14ac:dyDescent="0.45">
      <c r="A2027" t="s">
        <v>1660</v>
      </c>
      <c r="B2027" t="s">
        <v>1661</v>
      </c>
    </row>
    <row r="2028" spans="1:2" x14ac:dyDescent="0.45">
      <c r="A2028" t="s">
        <v>1663</v>
      </c>
      <c r="B2028" t="s">
        <v>1664</v>
      </c>
    </row>
    <row r="2029" spans="1:2" x14ac:dyDescent="0.45">
      <c r="A2029" t="s">
        <v>1669</v>
      </c>
      <c r="B2029" t="s">
        <v>1670</v>
      </c>
    </row>
    <row r="2030" spans="1:2" x14ac:dyDescent="0.45">
      <c r="A2030" t="s">
        <v>1684</v>
      </c>
      <c r="B2030" t="s">
        <v>1685</v>
      </c>
    </row>
    <row r="2031" spans="1:2" x14ac:dyDescent="0.45">
      <c r="A2031" t="s">
        <v>1695</v>
      </c>
      <c r="B2031" t="s">
        <v>1696</v>
      </c>
    </row>
    <row r="2032" spans="1:2" x14ac:dyDescent="0.45">
      <c r="A2032" t="s">
        <v>1698</v>
      </c>
      <c r="B2032" t="s">
        <v>1699</v>
      </c>
    </row>
    <row r="2033" spans="1:2" x14ac:dyDescent="0.45">
      <c r="A2033" t="s">
        <v>1700</v>
      </c>
      <c r="B2033" t="s">
        <v>1701</v>
      </c>
    </row>
    <row r="2034" spans="1:2" x14ac:dyDescent="0.45">
      <c r="A2034" t="s">
        <v>1703</v>
      </c>
      <c r="B2034" t="s">
        <v>1704</v>
      </c>
    </row>
    <row r="2035" spans="1:2" x14ac:dyDescent="0.45">
      <c r="A2035" t="s">
        <v>1706</v>
      </c>
      <c r="B2035" t="s">
        <v>1707</v>
      </c>
    </row>
    <row r="2036" spans="1:2" x14ac:dyDescent="0.45">
      <c r="A2036" t="s">
        <v>1709</v>
      </c>
      <c r="B2036" t="s">
        <v>1710</v>
      </c>
    </row>
    <row r="2037" spans="1:2" x14ac:dyDescent="0.45">
      <c r="A2037" t="s">
        <v>1717</v>
      </c>
      <c r="B2037" t="s">
        <v>1718</v>
      </c>
    </row>
    <row r="2038" spans="1:2" x14ac:dyDescent="0.45">
      <c r="A2038" t="s">
        <v>1720</v>
      </c>
      <c r="B2038" t="s">
        <v>1721</v>
      </c>
    </row>
    <row r="2039" spans="1:2" x14ac:dyDescent="0.45">
      <c r="A2039" t="s">
        <v>1723</v>
      </c>
      <c r="B2039" t="s">
        <v>1724</v>
      </c>
    </row>
    <row r="2040" spans="1:2" x14ac:dyDescent="0.45">
      <c r="A2040" t="s">
        <v>1726</v>
      </c>
      <c r="B2040" t="s">
        <v>1727</v>
      </c>
    </row>
    <row r="2041" spans="1:2" x14ac:dyDescent="0.45">
      <c r="A2041" t="s">
        <v>1729</v>
      </c>
      <c r="B2041" t="s">
        <v>1730</v>
      </c>
    </row>
    <row r="2042" spans="1:2" x14ac:dyDescent="0.45">
      <c r="A2042" t="s">
        <v>1734</v>
      </c>
      <c r="B2042" t="s">
        <v>1735</v>
      </c>
    </row>
    <row r="2043" spans="1:2" x14ac:dyDescent="0.45">
      <c r="A2043" t="s">
        <v>1736</v>
      </c>
      <c r="B2043" t="s">
        <v>1737</v>
      </c>
    </row>
    <row r="2044" spans="1:2" x14ac:dyDescent="0.45">
      <c r="A2044" t="s">
        <v>1738</v>
      </c>
      <c r="B2044" t="s">
        <v>1739</v>
      </c>
    </row>
    <row r="2045" spans="1:2" x14ac:dyDescent="0.45">
      <c r="A2045" t="s">
        <v>1741</v>
      </c>
      <c r="B2045" t="s">
        <v>1742</v>
      </c>
    </row>
    <row r="2046" spans="1:2" x14ac:dyDescent="0.45">
      <c r="A2046" t="s">
        <v>1743</v>
      </c>
      <c r="B2046" t="s">
        <v>1744</v>
      </c>
    </row>
    <row r="2047" spans="1:2" x14ac:dyDescent="0.45">
      <c r="A2047" t="s">
        <v>1746</v>
      </c>
      <c r="B2047" t="s">
        <v>1747</v>
      </c>
    </row>
    <row r="2048" spans="1:2" x14ac:dyDescent="0.45">
      <c r="A2048" t="s">
        <v>1751</v>
      </c>
      <c r="B2048" t="s">
        <v>1752</v>
      </c>
    </row>
    <row r="2049" spans="1:2" x14ac:dyDescent="0.45">
      <c r="A2049" t="s">
        <v>1753</v>
      </c>
      <c r="B2049" t="s">
        <v>1754</v>
      </c>
    </row>
    <row r="2050" spans="1:2" x14ac:dyDescent="0.45">
      <c r="A2050" t="s">
        <v>1755</v>
      </c>
      <c r="B2050" t="s">
        <v>1756</v>
      </c>
    </row>
    <row r="2051" spans="1:2" x14ac:dyDescent="0.45">
      <c r="A2051" t="s">
        <v>1758</v>
      </c>
      <c r="B2051" t="s">
        <v>1759</v>
      </c>
    </row>
    <row r="2052" spans="1:2" x14ac:dyDescent="0.45">
      <c r="A2052" t="s">
        <v>1761</v>
      </c>
      <c r="B2052" t="s">
        <v>1762</v>
      </c>
    </row>
    <row r="2053" spans="1:2" x14ac:dyDescent="0.45">
      <c r="A2053" t="s">
        <v>1763</v>
      </c>
      <c r="B2053" t="s">
        <v>1764</v>
      </c>
    </row>
    <row r="2054" spans="1:2" x14ac:dyDescent="0.45">
      <c r="A2054" t="s">
        <v>1765</v>
      </c>
      <c r="B2054" t="s">
        <v>1766</v>
      </c>
    </row>
    <row r="2055" spans="1:2" x14ac:dyDescent="0.45">
      <c r="A2055" t="s">
        <v>1768</v>
      </c>
      <c r="B2055" t="s">
        <v>1769</v>
      </c>
    </row>
    <row r="2056" spans="1:2" x14ac:dyDescent="0.45">
      <c r="A2056" t="s">
        <v>1770</v>
      </c>
      <c r="B2056" t="s">
        <v>1771</v>
      </c>
    </row>
    <row r="2057" spans="1:2" x14ac:dyDescent="0.45">
      <c r="A2057" t="s">
        <v>1772</v>
      </c>
      <c r="B2057" t="s">
        <v>1773</v>
      </c>
    </row>
    <row r="2058" spans="1:2" x14ac:dyDescent="0.45">
      <c r="A2058" t="s">
        <v>1775</v>
      </c>
      <c r="B2058" t="s">
        <v>1776</v>
      </c>
    </row>
    <row r="2059" spans="1:2" x14ac:dyDescent="0.45">
      <c r="A2059" t="s">
        <v>1778</v>
      </c>
      <c r="B2059" t="s">
        <v>1779</v>
      </c>
    </row>
    <row r="2060" spans="1:2" x14ac:dyDescent="0.45">
      <c r="A2060" t="s">
        <v>1781</v>
      </c>
      <c r="B2060" t="s">
        <v>1782</v>
      </c>
    </row>
    <row r="2061" spans="1:2" x14ac:dyDescent="0.45">
      <c r="A2061" t="s">
        <v>1784</v>
      </c>
      <c r="B2061" t="s">
        <v>1785</v>
      </c>
    </row>
    <row r="2062" spans="1:2" x14ac:dyDescent="0.45">
      <c r="A2062" t="s">
        <v>1795</v>
      </c>
      <c r="B2062" t="s">
        <v>1796</v>
      </c>
    </row>
    <row r="2063" spans="1:2" x14ac:dyDescent="0.45">
      <c r="A2063" t="s">
        <v>1798</v>
      </c>
      <c r="B2063" t="s">
        <v>1799</v>
      </c>
    </row>
    <row r="2064" spans="1:2" x14ac:dyDescent="0.45">
      <c r="A2064" t="s">
        <v>1801</v>
      </c>
      <c r="B2064" t="s">
        <v>1802</v>
      </c>
    </row>
    <row r="2065" spans="1:2" x14ac:dyDescent="0.45">
      <c r="A2065" t="s">
        <v>1804</v>
      </c>
      <c r="B2065" t="s">
        <v>1805</v>
      </c>
    </row>
    <row r="2066" spans="1:2" x14ac:dyDescent="0.45">
      <c r="A2066" t="s">
        <v>1806</v>
      </c>
      <c r="B2066" t="s">
        <v>1807</v>
      </c>
    </row>
    <row r="2067" spans="1:2" x14ac:dyDescent="0.45">
      <c r="A2067" t="s">
        <v>1808</v>
      </c>
      <c r="B2067" t="s">
        <v>1809</v>
      </c>
    </row>
    <row r="2068" spans="1:2" x14ac:dyDescent="0.45">
      <c r="A2068" t="s">
        <v>1812</v>
      </c>
      <c r="B2068" t="s">
        <v>1813</v>
      </c>
    </row>
    <row r="2069" spans="1:2" x14ac:dyDescent="0.45">
      <c r="A2069" t="s">
        <v>1816</v>
      </c>
      <c r="B2069" t="s">
        <v>1817</v>
      </c>
    </row>
    <row r="2070" spans="1:2" x14ac:dyDescent="0.45">
      <c r="A2070" t="s">
        <v>1819</v>
      </c>
      <c r="B2070" t="s">
        <v>1820</v>
      </c>
    </row>
    <row r="2071" spans="1:2" x14ac:dyDescent="0.45">
      <c r="A2071" t="s">
        <v>1823</v>
      </c>
      <c r="B2071" t="s">
        <v>1824</v>
      </c>
    </row>
    <row r="2072" spans="1:2" x14ac:dyDescent="0.45">
      <c r="A2072" t="s">
        <v>1825</v>
      </c>
      <c r="B2072" t="s">
        <v>1826</v>
      </c>
    </row>
    <row r="2073" spans="1:2" x14ac:dyDescent="0.45">
      <c r="A2073" t="s">
        <v>1828</v>
      </c>
      <c r="B2073" t="s">
        <v>1829</v>
      </c>
    </row>
    <row r="2074" spans="1:2" x14ac:dyDescent="0.45">
      <c r="A2074" t="s">
        <v>1834</v>
      </c>
      <c r="B2074" t="s">
        <v>1835</v>
      </c>
    </row>
    <row r="2075" spans="1:2" x14ac:dyDescent="0.45">
      <c r="A2075" t="s">
        <v>1837</v>
      </c>
      <c r="B2075" t="s">
        <v>1838</v>
      </c>
    </row>
    <row r="2076" spans="1:2" x14ac:dyDescent="0.45">
      <c r="A2076" t="s">
        <v>1840</v>
      </c>
      <c r="B2076" t="s">
        <v>1841</v>
      </c>
    </row>
    <row r="2077" spans="1:2" x14ac:dyDescent="0.45">
      <c r="A2077" t="s">
        <v>1843</v>
      </c>
      <c r="B2077" t="s">
        <v>1844</v>
      </c>
    </row>
    <row r="2078" spans="1:2" x14ac:dyDescent="0.45">
      <c r="A2078" t="s">
        <v>1846</v>
      </c>
      <c r="B2078" t="s">
        <v>1847</v>
      </c>
    </row>
    <row r="2079" spans="1:2" x14ac:dyDescent="0.45">
      <c r="A2079" t="s">
        <v>1849</v>
      </c>
      <c r="B2079" t="s">
        <v>1850</v>
      </c>
    </row>
    <row r="2080" spans="1:2" x14ac:dyDescent="0.45">
      <c r="A2080" t="s">
        <v>1854</v>
      </c>
      <c r="B2080" t="s">
        <v>1855</v>
      </c>
    </row>
    <row r="2081" spans="1:2" x14ac:dyDescent="0.45">
      <c r="A2081" t="s">
        <v>1856</v>
      </c>
      <c r="B2081" t="s">
        <v>1857</v>
      </c>
    </row>
    <row r="2082" spans="1:2" x14ac:dyDescent="0.45">
      <c r="A2082" t="s">
        <v>1858</v>
      </c>
      <c r="B2082" t="s">
        <v>1859</v>
      </c>
    </row>
    <row r="2083" spans="1:2" x14ac:dyDescent="0.45">
      <c r="A2083" t="s">
        <v>1862</v>
      </c>
      <c r="B2083" t="s">
        <v>1863</v>
      </c>
    </row>
    <row r="2084" spans="1:2" x14ac:dyDescent="0.45">
      <c r="A2084" t="s">
        <v>1864</v>
      </c>
      <c r="B2084" t="s">
        <v>1865</v>
      </c>
    </row>
    <row r="2085" spans="1:2" x14ac:dyDescent="0.45">
      <c r="A2085" t="s">
        <v>1866</v>
      </c>
      <c r="B2085" t="s">
        <v>1867</v>
      </c>
    </row>
    <row r="2086" spans="1:2" x14ac:dyDescent="0.45">
      <c r="A2086" t="s">
        <v>1868</v>
      </c>
      <c r="B2086" t="s">
        <v>1869</v>
      </c>
    </row>
    <row r="2087" spans="1:2" x14ac:dyDescent="0.45">
      <c r="A2087" t="s">
        <v>1871</v>
      </c>
      <c r="B2087" t="s">
        <v>1872</v>
      </c>
    </row>
    <row r="2088" spans="1:2" x14ac:dyDescent="0.45">
      <c r="A2088" t="s">
        <v>1874</v>
      </c>
      <c r="B2088" t="s">
        <v>1875</v>
      </c>
    </row>
    <row r="2089" spans="1:2" x14ac:dyDescent="0.45">
      <c r="A2089" t="s">
        <v>1877</v>
      </c>
      <c r="B2089" t="s">
        <v>1878</v>
      </c>
    </row>
    <row r="2090" spans="1:2" x14ac:dyDescent="0.45">
      <c r="A2090" t="s">
        <v>1880</v>
      </c>
      <c r="B2090" t="s">
        <v>1881</v>
      </c>
    </row>
    <row r="2091" spans="1:2" x14ac:dyDescent="0.45">
      <c r="A2091" t="s">
        <v>1884</v>
      </c>
      <c r="B2091" t="s">
        <v>1885</v>
      </c>
    </row>
    <row r="2092" spans="1:2" x14ac:dyDescent="0.45">
      <c r="A2092" t="s">
        <v>1887</v>
      </c>
      <c r="B2092" t="s">
        <v>1888</v>
      </c>
    </row>
    <row r="2093" spans="1:2" x14ac:dyDescent="0.45">
      <c r="A2093" t="s">
        <v>1890</v>
      </c>
      <c r="B2093" t="s">
        <v>1891</v>
      </c>
    </row>
    <row r="2094" spans="1:2" x14ac:dyDescent="0.45">
      <c r="A2094" t="s">
        <v>1892</v>
      </c>
      <c r="B2094" t="s">
        <v>1893</v>
      </c>
    </row>
    <row r="2095" spans="1:2" x14ac:dyDescent="0.45">
      <c r="A2095" t="s">
        <v>1894</v>
      </c>
      <c r="B2095" t="s">
        <v>1895</v>
      </c>
    </row>
    <row r="2096" spans="1:2" x14ac:dyDescent="0.45">
      <c r="A2096" t="s">
        <v>1896</v>
      </c>
      <c r="B2096" t="s">
        <v>1897</v>
      </c>
    </row>
    <row r="2097" spans="1:2" x14ac:dyDescent="0.45">
      <c r="A2097" t="s">
        <v>1898</v>
      </c>
      <c r="B2097" t="s">
        <v>1899</v>
      </c>
    </row>
    <row r="2098" spans="1:2" x14ac:dyDescent="0.45">
      <c r="A2098" t="s">
        <v>1904</v>
      </c>
      <c r="B2098" t="s">
        <v>1905</v>
      </c>
    </row>
    <row r="2099" spans="1:2" x14ac:dyDescent="0.45">
      <c r="A2099" t="s">
        <v>1907</v>
      </c>
      <c r="B2099" t="s">
        <v>1908</v>
      </c>
    </row>
    <row r="2100" spans="1:2" x14ac:dyDescent="0.45">
      <c r="A2100" t="s">
        <v>1910</v>
      </c>
      <c r="B2100" t="s">
        <v>1911</v>
      </c>
    </row>
    <row r="2101" spans="1:2" x14ac:dyDescent="0.45">
      <c r="A2101" t="s">
        <v>1917</v>
      </c>
      <c r="B2101" t="s">
        <v>1918</v>
      </c>
    </row>
    <row r="2102" spans="1:2" x14ac:dyDescent="0.45">
      <c r="A2102" t="s">
        <v>1919</v>
      </c>
      <c r="B2102" t="s">
        <v>1920</v>
      </c>
    </row>
    <row r="2103" spans="1:2" x14ac:dyDescent="0.45">
      <c r="A2103" t="s">
        <v>1921</v>
      </c>
      <c r="B2103" t="s">
        <v>1922</v>
      </c>
    </row>
    <row r="2104" spans="1:2" x14ac:dyDescent="0.45">
      <c r="A2104" t="s">
        <v>1923</v>
      </c>
      <c r="B2104" t="s">
        <v>1924</v>
      </c>
    </row>
    <row r="2105" spans="1:2" x14ac:dyDescent="0.45">
      <c r="A2105" t="s">
        <v>1926</v>
      </c>
      <c r="B2105" t="s">
        <v>1927</v>
      </c>
    </row>
    <row r="2106" spans="1:2" x14ac:dyDescent="0.45">
      <c r="A2106" t="s">
        <v>1930</v>
      </c>
      <c r="B2106" t="s">
        <v>1931</v>
      </c>
    </row>
    <row r="2107" spans="1:2" x14ac:dyDescent="0.45">
      <c r="A2107" t="s">
        <v>1933</v>
      </c>
      <c r="B2107" t="s">
        <v>1934</v>
      </c>
    </row>
    <row r="2108" spans="1:2" x14ac:dyDescent="0.45">
      <c r="A2108" t="s">
        <v>1935</v>
      </c>
      <c r="B2108" t="s">
        <v>1936</v>
      </c>
    </row>
    <row r="2109" spans="1:2" x14ac:dyDescent="0.45">
      <c r="A2109" t="s">
        <v>1939</v>
      </c>
      <c r="B2109" t="s">
        <v>1940</v>
      </c>
    </row>
    <row r="2110" spans="1:2" x14ac:dyDescent="0.45">
      <c r="A2110" t="s">
        <v>1943</v>
      </c>
      <c r="B2110" t="s">
        <v>1944</v>
      </c>
    </row>
    <row r="2111" spans="1:2" x14ac:dyDescent="0.45">
      <c r="A2111" t="s">
        <v>1947</v>
      </c>
      <c r="B2111" t="s">
        <v>1948</v>
      </c>
    </row>
    <row r="2112" spans="1:2" x14ac:dyDescent="0.45">
      <c r="A2112" t="s">
        <v>1949</v>
      </c>
      <c r="B2112" t="s">
        <v>1950</v>
      </c>
    </row>
    <row r="2113" spans="1:2" x14ac:dyDescent="0.45">
      <c r="A2113" t="s">
        <v>1952</v>
      </c>
      <c r="B2113" t="s">
        <v>1953</v>
      </c>
    </row>
    <row r="2114" spans="1:2" x14ac:dyDescent="0.45">
      <c r="A2114" t="s">
        <v>1956</v>
      </c>
      <c r="B2114" t="s">
        <v>1957</v>
      </c>
    </row>
    <row r="2115" spans="1:2" x14ac:dyDescent="0.45">
      <c r="A2115" t="s">
        <v>1962</v>
      </c>
      <c r="B2115" t="s">
        <v>1963</v>
      </c>
    </row>
    <row r="2116" spans="1:2" x14ac:dyDescent="0.45">
      <c r="A2116" t="s">
        <v>1964</v>
      </c>
      <c r="B2116" t="s">
        <v>1965</v>
      </c>
    </row>
    <row r="2117" spans="1:2" x14ac:dyDescent="0.45">
      <c r="A2117" t="s">
        <v>1966</v>
      </c>
      <c r="B2117" t="s">
        <v>1967</v>
      </c>
    </row>
    <row r="2118" spans="1:2" x14ac:dyDescent="0.45">
      <c r="A2118" t="s">
        <v>1968</v>
      </c>
      <c r="B2118" t="s">
        <v>1969</v>
      </c>
    </row>
    <row r="2119" spans="1:2" x14ac:dyDescent="0.45">
      <c r="A2119" t="s">
        <v>1970</v>
      </c>
      <c r="B2119" t="s">
        <v>1971</v>
      </c>
    </row>
    <row r="2120" spans="1:2" x14ac:dyDescent="0.45">
      <c r="A2120" t="s">
        <v>1972</v>
      </c>
      <c r="B2120" t="s">
        <v>1973</v>
      </c>
    </row>
    <row r="2121" spans="1:2" x14ac:dyDescent="0.45">
      <c r="A2121" t="s">
        <v>1974</v>
      </c>
      <c r="B2121" t="s">
        <v>1975</v>
      </c>
    </row>
    <row r="2122" spans="1:2" x14ac:dyDescent="0.45">
      <c r="A2122" t="s">
        <v>1978</v>
      </c>
      <c r="B2122" t="s">
        <v>1979</v>
      </c>
    </row>
    <row r="2123" spans="1:2" x14ac:dyDescent="0.45">
      <c r="A2123" t="s">
        <v>1980</v>
      </c>
      <c r="B2123" t="s">
        <v>1981</v>
      </c>
    </row>
    <row r="2124" spans="1:2" x14ac:dyDescent="0.45">
      <c r="A2124" t="s">
        <v>1983</v>
      </c>
      <c r="B2124" t="s">
        <v>1984</v>
      </c>
    </row>
    <row r="2125" spans="1:2" x14ac:dyDescent="0.45">
      <c r="A2125" t="s">
        <v>1989</v>
      </c>
      <c r="B2125" t="s">
        <v>1990</v>
      </c>
    </row>
    <row r="2126" spans="1:2" x14ac:dyDescent="0.45">
      <c r="A2126" t="s">
        <v>1992</v>
      </c>
      <c r="B2126" t="s">
        <v>1993</v>
      </c>
    </row>
    <row r="2127" spans="1:2" x14ac:dyDescent="0.45">
      <c r="A2127" t="s">
        <v>1995</v>
      </c>
      <c r="B2127" t="s">
        <v>1996</v>
      </c>
    </row>
    <row r="2128" spans="1:2" x14ac:dyDescent="0.45">
      <c r="A2128" t="s">
        <v>1997</v>
      </c>
      <c r="B2128" t="s">
        <v>1998</v>
      </c>
    </row>
    <row r="2129" spans="1:2" x14ac:dyDescent="0.45">
      <c r="A2129" t="s">
        <v>2002</v>
      </c>
      <c r="B2129" t="s">
        <v>2003</v>
      </c>
    </row>
    <row r="2130" spans="1:2" x14ac:dyDescent="0.45">
      <c r="A2130" t="s">
        <v>2004</v>
      </c>
      <c r="B2130" t="s">
        <v>2005</v>
      </c>
    </row>
    <row r="2131" spans="1:2" x14ac:dyDescent="0.45">
      <c r="A2131" t="s">
        <v>2009</v>
      </c>
      <c r="B2131" t="s">
        <v>2010</v>
      </c>
    </row>
    <row r="2132" spans="1:2" x14ac:dyDescent="0.45">
      <c r="A2132" t="s">
        <v>2012</v>
      </c>
      <c r="B2132" t="s">
        <v>2013</v>
      </c>
    </row>
    <row r="2133" spans="1:2" x14ac:dyDescent="0.45">
      <c r="A2133" t="s">
        <v>2014</v>
      </c>
      <c r="B2133" t="s">
        <v>2015</v>
      </c>
    </row>
    <row r="2134" spans="1:2" x14ac:dyDescent="0.45">
      <c r="A2134" t="s">
        <v>2016</v>
      </c>
      <c r="B2134" t="s">
        <v>2017</v>
      </c>
    </row>
    <row r="2135" spans="1:2" x14ac:dyDescent="0.45">
      <c r="A2135" t="s">
        <v>2023</v>
      </c>
      <c r="B2135" t="s">
        <v>2024</v>
      </c>
    </row>
    <row r="2136" spans="1:2" x14ac:dyDescent="0.45">
      <c r="A2136" t="s">
        <v>2027</v>
      </c>
      <c r="B2136" t="s">
        <v>2028</v>
      </c>
    </row>
    <row r="2137" spans="1:2" x14ac:dyDescent="0.45">
      <c r="A2137" t="s">
        <v>2031</v>
      </c>
      <c r="B2137" t="s">
        <v>2032</v>
      </c>
    </row>
    <row r="2138" spans="1:2" x14ac:dyDescent="0.45">
      <c r="A2138" t="s">
        <v>2033</v>
      </c>
      <c r="B2138" t="s">
        <v>2034</v>
      </c>
    </row>
    <row r="2139" spans="1:2" x14ac:dyDescent="0.45">
      <c r="A2139" t="s">
        <v>2035</v>
      </c>
      <c r="B2139" t="s">
        <v>2036</v>
      </c>
    </row>
    <row r="2140" spans="1:2" x14ac:dyDescent="0.45">
      <c r="A2140" t="s">
        <v>2037</v>
      </c>
      <c r="B2140" t="s">
        <v>2038</v>
      </c>
    </row>
    <row r="2141" spans="1:2" x14ac:dyDescent="0.45">
      <c r="A2141" t="s">
        <v>2039</v>
      </c>
      <c r="B2141" t="s">
        <v>2040</v>
      </c>
    </row>
    <row r="2142" spans="1:2" x14ac:dyDescent="0.45">
      <c r="A2142" t="s">
        <v>2045</v>
      </c>
      <c r="B2142" t="s">
        <v>2046</v>
      </c>
    </row>
    <row r="2143" spans="1:2" x14ac:dyDescent="0.45">
      <c r="A2143" t="s">
        <v>2047</v>
      </c>
      <c r="B2143" t="s">
        <v>2048</v>
      </c>
    </row>
    <row r="2144" spans="1:2" x14ac:dyDescent="0.45">
      <c r="A2144" t="s">
        <v>2049</v>
      </c>
      <c r="B2144" t="s">
        <v>2050</v>
      </c>
    </row>
    <row r="2145" spans="1:2" x14ac:dyDescent="0.45">
      <c r="A2145" t="s">
        <v>2052</v>
      </c>
      <c r="B2145" t="s">
        <v>2053</v>
      </c>
    </row>
    <row r="2146" spans="1:2" x14ac:dyDescent="0.45">
      <c r="A2146" t="s">
        <v>2055</v>
      </c>
      <c r="B2146" t="s">
        <v>2056</v>
      </c>
    </row>
    <row r="2147" spans="1:2" x14ac:dyDescent="0.45">
      <c r="A2147" t="s">
        <v>2058</v>
      </c>
      <c r="B2147" t="s">
        <v>2059</v>
      </c>
    </row>
    <row r="2148" spans="1:2" x14ac:dyDescent="0.45">
      <c r="A2148" t="s">
        <v>2073</v>
      </c>
      <c r="B2148" t="s">
        <v>2074</v>
      </c>
    </row>
    <row r="2149" spans="1:2" x14ac:dyDescent="0.45">
      <c r="A2149" t="s">
        <v>2076</v>
      </c>
      <c r="B2149" t="s">
        <v>2077</v>
      </c>
    </row>
    <row r="2150" spans="1:2" x14ac:dyDescent="0.45">
      <c r="A2150" t="s">
        <v>2079</v>
      </c>
      <c r="B2150" t="s">
        <v>2080</v>
      </c>
    </row>
    <row r="2151" spans="1:2" x14ac:dyDescent="0.45">
      <c r="A2151" t="s">
        <v>2082</v>
      </c>
      <c r="B2151" t="s">
        <v>2083</v>
      </c>
    </row>
    <row r="2152" spans="1:2" x14ac:dyDescent="0.45">
      <c r="A2152" t="s">
        <v>2093</v>
      </c>
      <c r="B2152" t="s">
        <v>2094</v>
      </c>
    </row>
    <row r="2153" spans="1:2" x14ac:dyDescent="0.45">
      <c r="A2153" t="s">
        <v>2096</v>
      </c>
      <c r="B2153" t="s">
        <v>2097</v>
      </c>
    </row>
    <row r="2154" spans="1:2" x14ac:dyDescent="0.45">
      <c r="A2154" t="s">
        <v>2099</v>
      </c>
      <c r="B2154" t="s">
        <v>2100</v>
      </c>
    </row>
    <row r="2155" spans="1:2" x14ac:dyDescent="0.45">
      <c r="A2155" t="s">
        <v>2105</v>
      </c>
      <c r="B2155" t="s">
        <v>2106</v>
      </c>
    </row>
    <row r="2156" spans="1:2" x14ac:dyDescent="0.45">
      <c r="A2156" t="s">
        <v>2107</v>
      </c>
      <c r="B2156" t="s">
        <v>2108</v>
      </c>
    </row>
    <row r="2157" spans="1:2" x14ac:dyDescent="0.45">
      <c r="A2157" t="s">
        <v>2110</v>
      </c>
      <c r="B2157" t="s">
        <v>2111</v>
      </c>
    </row>
    <row r="2158" spans="1:2" x14ac:dyDescent="0.45">
      <c r="A2158" t="s">
        <v>2112</v>
      </c>
      <c r="B2158" t="s">
        <v>2113</v>
      </c>
    </row>
    <row r="2159" spans="1:2" x14ac:dyDescent="0.45">
      <c r="A2159" t="s">
        <v>2116</v>
      </c>
      <c r="B2159" t="s">
        <v>2117</v>
      </c>
    </row>
    <row r="2160" spans="1:2" x14ac:dyDescent="0.45">
      <c r="A2160" t="s">
        <v>2120</v>
      </c>
      <c r="B2160" t="s">
        <v>2121</v>
      </c>
    </row>
    <row r="2161" spans="1:2" x14ac:dyDescent="0.45">
      <c r="A2161" t="s">
        <v>2126</v>
      </c>
      <c r="B2161" t="s">
        <v>2127</v>
      </c>
    </row>
    <row r="2162" spans="1:2" x14ac:dyDescent="0.45">
      <c r="A2162" t="s">
        <v>2132</v>
      </c>
      <c r="B2162" t="s">
        <v>2133</v>
      </c>
    </row>
    <row r="2163" spans="1:2" x14ac:dyDescent="0.45">
      <c r="A2163" t="s">
        <v>2140</v>
      </c>
      <c r="B2163" t="s">
        <v>2141</v>
      </c>
    </row>
    <row r="2164" spans="1:2" x14ac:dyDescent="0.45">
      <c r="A2164" t="s">
        <v>2144</v>
      </c>
      <c r="B2164" t="s">
        <v>2145</v>
      </c>
    </row>
    <row r="2165" spans="1:2" x14ac:dyDescent="0.45">
      <c r="A2165" t="s">
        <v>2148</v>
      </c>
      <c r="B2165" t="s">
        <v>2149</v>
      </c>
    </row>
    <row r="2166" spans="1:2" x14ac:dyDescent="0.45">
      <c r="A2166" t="s">
        <v>2152</v>
      </c>
      <c r="B2166" t="s">
        <v>2153</v>
      </c>
    </row>
    <row r="2167" spans="1:2" x14ac:dyDescent="0.45">
      <c r="A2167" t="s">
        <v>2160</v>
      </c>
      <c r="B2167" t="s">
        <v>2161</v>
      </c>
    </row>
    <row r="2168" spans="1:2" x14ac:dyDescent="0.45">
      <c r="A2168" t="s">
        <v>2164</v>
      </c>
      <c r="B2168" t="s">
        <v>2165</v>
      </c>
    </row>
    <row r="2169" spans="1:2" x14ac:dyDescent="0.45">
      <c r="A2169" t="s">
        <v>2167</v>
      </c>
      <c r="B2169" t="s">
        <v>2168</v>
      </c>
    </row>
    <row r="2170" spans="1:2" x14ac:dyDescent="0.45">
      <c r="A2170" t="s">
        <v>2169</v>
      </c>
      <c r="B2170" t="s">
        <v>2170</v>
      </c>
    </row>
    <row r="2171" spans="1:2" x14ac:dyDescent="0.45">
      <c r="A2171" t="s">
        <v>2174</v>
      </c>
      <c r="B2171" t="s">
        <v>2175</v>
      </c>
    </row>
    <row r="2172" spans="1:2" x14ac:dyDescent="0.45">
      <c r="A2172" t="s">
        <v>2177</v>
      </c>
      <c r="B2172" t="s">
        <v>2178</v>
      </c>
    </row>
    <row r="2173" spans="1:2" x14ac:dyDescent="0.45">
      <c r="A2173" t="s">
        <v>2179</v>
      </c>
      <c r="B2173" t="s">
        <v>2180</v>
      </c>
    </row>
    <row r="2174" spans="1:2" x14ac:dyDescent="0.45">
      <c r="A2174" t="s">
        <v>2186</v>
      </c>
      <c r="B2174" t="s">
        <v>2187</v>
      </c>
    </row>
    <row r="2175" spans="1:2" x14ac:dyDescent="0.45">
      <c r="A2175" t="s">
        <v>2188</v>
      </c>
      <c r="B2175" t="s">
        <v>2189</v>
      </c>
    </row>
    <row r="2176" spans="1:2" x14ac:dyDescent="0.45">
      <c r="A2176" t="s">
        <v>2198</v>
      </c>
      <c r="B2176" t="s">
        <v>2199</v>
      </c>
    </row>
    <row r="2177" spans="1:2" x14ac:dyDescent="0.45">
      <c r="A2177" t="s">
        <v>2201</v>
      </c>
      <c r="B2177" t="s">
        <v>2202</v>
      </c>
    </row>
    <row r="2178" spans="1:2" x14ac:dyDescent="0.45">
      <c r="A2178" t="s">
        <v>2205</v>
      </c>
      <c r="B2178" t="s">
        <v>2206</v>
      </c>
    </row>
    <row r="2179" spans="1:2" x14ac:dyDescent="0.45">
      <c r="A2179" t="s">
        <v>2208</v>
      </c>
      <c r="B2179" t="s">
        <v>2209</v>
      </c>
    </row>
    <row r="2180" spans="1:2" x14ac:dyDescent="0.45">
      <c r="A2180" t="s">
        <v>2210</v>
      </c>
      <c r="B2180" t="s">
        <v>2211</v>
      </c>
    </row>
    <row r="2181" spans="1:2" x14ac:dyDescent="0.45">
      <c r="A2181" t="s">
        <v>2213</v>
      </c>
      <c r="B2181" t="s">
        <v>2214</v>
      </c>
    </row>
    <row r="2182" spans="1:2" x14ac:dyDescent="0.45">
      <c r="A2182" t="s">
        <v>2215</v>
      </c>
      <c r="B2182" t="s">
        <v>2216</v>
      </c>
    </row>
    <row r="2183" spans="1:2" x14ac:dyDescent="0.45">
      <c r="A2183" t="s">
        <v>2221</v>
      </c>
      <c r="B2183" t="s">
        <v>2222</v>
      </c>
    </row>
    <row r="2184" spans="1:2" x14ac:dyDescent="0.45">
      <c r="A2184" t="s">
        <v>2224</v>
      </c>
      <c r="B2184" t="s">
        <v>2225</v>
      </c>
    </row>
    <row r="2185" spans="1:2" x14ac:dyDescent="0.45">
      <c r="A2185" t="s">
        <v>2227</v>
      </c>
      <c r="B2185" t="s">
        <v>2228</v>
      </c>
    </row>
    <row r="2186" spans="1:2" x14ac:dyDescent="0.45">
      <c r="A2186" t="s">
        <v>2230</v>
      </c>
      <c r="B2186" t="s">
        <v>2231</v>
      </c>
    </row>
    <row r="2187" spans="1:2" x14ac:dyDescent="0.45">
      <c r="A2187" t="s">
        <v>2237</v>
      </c>
      <c r="B2187" t="s">
        <v>2238</v>
      </c>
    </row>
    <row r="2188" spans="1:2" x14ac:dyDescent="0.45">
      <c r="A2188" t="s">
        <v>2244</v>
      </c>
      <c r="B2188" t="s">
        <v>2245</v>
      </c>
    </row>
    <row r="2189" spans="1:2" x14ac:dyDescent="0.45">
      <c r="A2189" t="s">
        <v>2255</v>
      </c>
      <c r="B2189" t="s">
        <v>2256</v>
      </c>
    </row>
    <row r="2190" spans="1:2" x14ac:dyDescent="0.45">
      <c r="A2190" t="s">
        <v>2260</v>
      </c>
      <c r="B2190" t="s">
        <v>2261</v>
      </c>
    </row>
    <row r="2191" spans="1:2" x14ac:dyDescent="0.45">
      <c r="A2191" t="s">
        <v>2263</v>
      </c>
      <c r="B2191" t="s">
        <v>2264</v>
      </c>
    </row>
    <row r="2192" spans="1:2" x14ac:dyDescent="0.45">
      <c r="A2192" t="s">
        <v>2266</v>
      </c>
      <c r="B2192" t="s">
        <v>2267</v>
      </c>
    </row>
    <row r="2193" spans="1:2" x14ac:dyDescent="0.45">
      <c r="A2193" t="s">
        <v>2269</v>
      </c>
      <c r="B2193" t="s">
        <v>2270</v>
      </c>
    </row>
    <row r="2194" spans="1:2" x14ac:dyDescent="0.45">
      <c r="A2194" t="s">
        <v>2272</v>
      </c>
      <c r="B2194" t="s">
        <v>2273</v>
      </c>
    </row>
    <row r="2195" spans="1:2" x14ac:dyDescent="0.45">
      <c r="A2195" t="s">
        <v>2278</v>
      </c>
      <c r="B2195" t="s">
        <v>2279</v>
      </c>
    </row>
    <row r="2196" spans="1:2" x14ac:dyDescent="0.45">
      <c r="A2196" t="s">
        <v>2281</v>
      </c>
      <c r="B2196" t="s">
        <v>2282</v>
      </c>
    </row>
    <row r="2197" spans="1:2" x14ac:dyDescent="0.45">
      <c r="A2197" t="s">
        <v>2285</v>
      </c>
      <c r="B2197" t="s">
        <v>2286</v>
      </c>
    </row>
    <row r="2198" spans="1:2" x14ac:dyDescent="0.45">
      <c r="A2198" t="s">
        <v>2293</v>
      </c>
      <c r="B2198" t="s">
        <v>2294</v>
      </c>
    </row>
    <row r="2199" spans="1:2" x14ac:dyDescent="0.45">
      <c r="A2199" t="s">
        <v>2297</v>
      </c>
      <c r="B2199" t="s">
        <v>2298</v>
      </c>
    </row>
    <row r="2200" spans="1:2" x14ac:dyDescent="0.45">
      <c r="A2200" t="s">
        <v>2301</v>
      </c>
      <c r="B2200" t="s">
        <v>2302</v>
      </c>
    </row>
    <row r="2201" spans="1:2" x14ac:dyDescent="0.45">
      <c r="A2201" t="s">
        <v>2305</v>
      </c>
      <c r="B2201" t="s">
        <v>2306</v>
      </c>
    </row>
    <row r="2202" spans="1:2" x14ac:dyDescent="0.45">
      <c r="A2202" t="s">
        <v>2307</v>
      </c>
      <c r="B2202" t="s">
        <v>2308</v>
      </c>
    </row>
    <row r="2203" spans="1:2" x14ac:dyDescent="0.45">
      <c r="A2203" t="s">
        <v>2309</v>
      </c>
      <c r="B2203" t="s">
        <v>2310</v>
      </c>
    </row>
    <row r="2204" spans="1:2" x14ac:dyDescent="0.45">
      <c r="A2204" t="s">
        <v>2311</v>
      </c>
      <c r="B2204" t="s">
        <v>2312</v>
      </c>
    </row>
    <row r="2205" spans="1:2" x14ac:dyDescent="0.45">
      <c r="A2205" t="s">
        <v>2313</v>
      </c>
      <c r="B2205" t="s">
        <v>2314</v>
      </c>
    </row>
    <row r="2206" spans="1:2" x14ac:dyDescent="0.45">
      <c r="A2206" t="s">
        <v>2316</v>
      </c>
      <c r="B2206" t="s">
        <v>2317</v>
      </c>
    </row>
    <row r="2207" spans="1:2" x14ac:dyDescent="0.45">
      <c r="A2207" t="s">
        <v>2326</v>
      </c>
      <c r="B2207" t="s">
        <v>2327</v>
      </c>
    </row>
    <row r="2208" spans="1:2" x14ac:dyDescent="0.45">
      <c r="A2208" t="s">
        <v>2329</v>
      </c>
      <c r="B2208" t="s">
        <v>2330</v>
      </c>
    </row>
    <row r="2209" spans="1:2" x14ac:dyDescent="0.45">
      <c r="A2209" t="s">
        <v>2334</v>
      </c>
      <c r="B2209" t="s">
        <v>2335</v>
      </c>
    </row>
    <row r="2210" spans="1:2" x14ac:dyDescent="0.45">
      <c r="A2210" t="s">
        <v>2337</v>
      </c>
      <c r="B2210" t="s">
        <v>2338</v>
      </c>
    </row>
    <row r="2211" spans="1:2" x14ac:dyDescent="0.45">
      <c r="A2211" t="s">
        <v>2340</v>
      </c>
      <c r="B2211" t="s">
        <v>2341</v>
      </c>
    </row>
    <row r="2212" spans="1:2" x14ac:dyDescent="0.45">
      <c r="A2212" t="s">
        <v>2344</v>
      </c>
      <c r="B2212" t="s">
        <v>2345</v>
      </c>
    </row>
    <row r="2213" spans="1:2" x14ac:dyDescent="0.45">
      <c r="A2213" t="s">
        <v>2347</v>
      </c>
      <c r="B2213" t="s">
        <v>2348</v>
      </c>
    </row>
    <row r="2214" spans="1:2" x14ac:dyDescent="0.45">
      <c r="A2214" t="s">
        <v>2350</v>
      </c>
      <c r="B2214" t="s">
        <v>2351</v>
      </c>
    </row>
    <row r="2215" spans="1:2" x14ac:dyDescent="0.45">
      <c r="A2215" t="s">
        <v>2353</v>
      </c>
      <c r="B2215" t="s">
        <v>2354</v>
      </c>
    </row>
    <row r="2216" spans="1:2" x14ac:dyDescent="0.45">
      <c r="A2216" t="s">
        <v>2356</v>
      </c>
      <c r="B2216" t="s">
        <v>2357</v>
      </c>
    </row>
    <row r="2217" spans="1:2" x14ac:dyDescent="0.45">
      <c r="A2217" t="s">
        <v>2358</v>
      </c>
      <c r="B2217" t="s">
        <v>2359</v>
      </c>
    </row>
    <row r="2218" spans="1:2" x14ac:dyDescent="0.45">
      <c r="A2218" t="s">
        <v>2365</v>
      </c>
      <c r="B2218" t="s">
        <v>2366</v>
      </c>
    </row>
    <row r="2219" spans="1:2" x14ac:dyDescent="0.45">
      <c r="A2219" t="s">
        <v>2367</v>
      </c>
      <c r="B2219" t="s">
        <v>2368</v>
      </c>
    </row>
    <row r="2220" spans="1:2" x14ac:dyDescent="0.45">
      <c r="A2220" t="s">
        <v>2370</v>
      </c>
      <c r="B2220" t="s">
        <v>2371</v>
      </c>
    </row>
    <row r="2221" spans="1:2" x14ac:dyDescent="0.45">
      <c r="A2221" t="s">
        <v>2373</v>
      </c>
      <c r="B2221" t="s">
        <v>2374</v>
      </c>
    </row>
    <row r="2222" spans="1:2" x14ac:dyDescent="0.45">
      <c r="A2222" t="s">
        <v>2376</v>
      </c>
      <c r="B2222" t="s">
        <v>2377</v>
      </c>
    </row>
    <row r="2223" spans="1:2" x14ac:dyDescent="0.45">
      <c r="A2223" t="s">
        <v>2379</v>
      </c>
      <c r="B2223" t="s">
        <v>2380</v>
      </c>
    </row>
    <row r="2224" spans="1:2" x14ac:dyDescent="0.45">
      <c r="A2224" t="s">
        <v>2382</v>
      </c>
      <c r="B2224" t="s">
        <v>2383</v>
      </c>
    </row>
    <row r="2225" spans="1:2" x14ac:dyDescent="0.45">
      <c r="A2225" t="s">
        <v>2384</v>
      </c>
      <c r="B2225" t="s">
        <v>2385</v>
      </c>
    </row>
    <row r="2226" spans="1:2" x14ac:dyDescent="0.45">
      <c r="A2226" t="s">
        <v>2393</v>
      </c>
      <c r="B2226" t="s">
        <v>2394</v>
      </c>
    </row>
    <row r="2227" spans="1:2" x14ac:dyDescent="0.45">
      <c r="A2227" t="s">
        <v>2395</v>
      </c>
      <c r="B2227" t="s">
        <v>2396</v>
      </c>
    </row>
    <row r="2228" spans="1:2" x14ac:dyDescent="0.45">
      <c r="A2228" t="s">
        <v>2397</v>
      </c>
      <c r="B2228" t="s">
        <v>2398</v>
      </c>
    </row>
    <row r="2229" spans="1:2" x14ac:dyDescent="0.45">
      <c r="A2229" t="s">
        <v>2399</v>
      </c>
      <c r="B2229" t="s">
        <v>2400</v>
      </c>
    </row>
    <row r="2230" spans="1:2" x14ac:dyDescent="0.45">
      <c r="A2230" t="s">
        <v>2401</v>
      </c>
      <c r="B2230" t="s">
        <v>2402</v>
      </c>
    </row>
    <row r="2231" spans="1:2" x14ac:dyDescent="0.45">
      <c r="A2231" t="s">
        <v>2403</v>
      </c>
      <c r="B2231" t="s">
        <v>2404</v>
      </c>
    </row>
    <row r="2232" spans="1:2" x14ac:dyDescent="0.45">
      <c r="A2232" t="s">
        <v>2406</v>
      </c>
      <c r="B2232" t="s">
        <v>2407</v>
      </c>
    </row>
    <row r="2233" spans="1:2" x14ac:dyDescent="0.45">
      <c r="A2233" t="s">
        <v>2409</v>
      </c>
      <c r="B2233" t="s">
        <v>2410</v>
      </c>
    </row>
    <row r="2234" spans="1:2" x14ac:dyDescent="0.45">
      <c r="A2234" t="s">
        <v>2412</v>
      </c>
      <c r="B2234" t="s">
        <v>2413</v>
      </c>
    </row>
    <row r="2235" spans="1:2" x14ac:dyDescent="0.45">
      <c r="A2235" t="s">
        <v>2414</v>
      </c>
      <c r="B2235" t="s">
        <v>2415</v>
      </c>
    </row>
    <row r="2236" spans="1:2" x14ac:dyDescent="0.45">
      <c r="A2236" t="s">
        <v>2420</v>
      </c>
      <c r="B2236" t="s">
        <v>2421</v>
      </c>
    </row>
    <row r="2237" spans="1:2" x14ac:dyDescent="0.45">
      <c r="A2237" t="s">
        <v>2422</v>
      </c>
      <c r="B2237" t="s">
        <v>2423</v>
      </c>
    </row>
    <row r="2238" spans="1:2" x14ac:dyDescent="0.45">
      <c r="A2238" t="s">
        <v>2426</v>
      </c>
      <c r="B2238" t="s">
        <v>2427</v>
      </c>
    </row>
    <row r="2239" spans="1:2" x14ac:dyDescent="0.45">
      <c r="A2239" t="s">
        <v>2428</v>
      </c>
      <c r="B2239" t="s">
        <v>2429</v>
      </c>
    </row>
    <row r="2240" spans="1:2" x14ac:dyDescent="0.45">
      <c r="A2240" t="s">
        <v>2430</v>
      </c>
      <c r="B2240" t="s">
        <v>2431</v>
      </c>
    </row>
    <row r="2241" spans="1:2" x14ac:dyDescent="0.45">
      <c r="A2241" t="s">
        <v>2437</v>
      </c>
      <c r="B2241" t="s">
        <v>2438</v>
      </c>
    </row>
    <row r="2242" spans="1:2" x14ac:dyDescent="0.45">
      <c r="A2242" t="s">
        <v>2440</v>
      </c>
      <c r="B2242" t="s">
        <v>2441</v>
      </c>
    </row>
    <row r="2243" spans="1:2" x14ac:dyDescent="0.45">
      <c r="A2243" t="s">
        <v>2443</v>
      </c>
      <c r="B2243" t="s">
        <v>2444</v>
      </c>
    </row>
    <row r="2244" spans="1:2" x14ac:dyDescent="0.45">
      <c r="A2244" t="s">
        <v>2447</v>
      </c>
      <c r="B2244" t="s">
        <v>2448</v>
      </c>
    </row>
    <row r="2245" spans="1:2" x14ac:dyDescent="0.45">
      <c r="A2245" t="s">
        <v>2461</v>
      </c>
      <c r="B2245" t="s">
        <v>2462</v>
      </c>
    </row>
    <row r="2246" spans="1:2" x14ac:dyDescent="0.45">
      <c r="A2246" t="s">
        <v>2467</v>
      </c>
      <c r="B2246" t="s">
        <v>2468</v>
      </c>
    </row>
    <row r="2247" spans="1:2" x14ac:dyDescent="0.45">
      <c r="A2247" t="s">
        <v>2472</v>
      </c>
      <c r="B2247" t="s">
        <v>2473</v>
      </c>
    </row>
    <row r="2248" spans="1:2" x14ac:dyDescent="0.45">
      <c r="A2248" t="s">
        <v>2477</v>
      </c>
      <c r="B2248" t="s">
        <v>2478</v>
      </c>
    </row>
    <row r="2249" spans="1:2" x14ac:dyDescent="0.45">
      <c r="A2249" t="s">
        <v>2483</v>
      </c>
      <c r="B2249" t="s">
        <v>2484</v>
      </c>
    </row>
    <row r="2250" spans="1:2" x14ac:dyDescent="0.45">
      <c r="A2250" t="s">
        <v>2486</v>
      </c>
      <c r="B2250" t="s">
        <v>2487</v>
      </c>
    </row>
    <row r="2251" spans="1:2" x14ac:dyDescent="0.45">
      <c r="A2251" t="s">
        <v>2488</v>
      </c>
      <c r="B2251" t="s">
        <v>2489</v>
      </c>
    </row>
    <row r="2252" spans="1:2" x14ac:dyDescent="0.45">
      <c r="A2252" t="s">
        <v>2491</v>
      </c>
      <c r="B2252" t="s">
        <v>2492</v>
      </c>
    </row>
    <row r="2253" spans="1:2" x14ac:dyDescent="0.45">
      <c r="A2253" t="s">
        <v>2494</v>
      </c>
      <c r="B2253" t="s">
        <v>2495</v>
      </c>
    </row>
    <row r="2254" spans="1:2" x14ac:dyDescent="0.45">
      <c r="A2254" t="s">
        <v>2496</v>
      </c>
      <c r="B2254" t="s">
        <v>2497</v>
      </c>
    </row>
    <row r="2255" spans="1:2" x14ac:dyDescent="0.45">
      <c r="A2255" t="s">
        <v>2499</v>
      </c>
      <c r="B2255" t="s">
        <v>2500</v>
      </c>
    </row>
    <row r="2256" spans="1:2" x14ac:dyDescent="0.45">
      <c r="A2256" t="s">
        <v>2502</v>
      </c>
      <c r="B2256" t="s">
        <v>2503</v>
      </c>
    </row>
    <row r="2257" spans="1:2" x14ac:dyDescent="0.45">
      <c r="A2257" t="s">
        <v>2504</v>
      </c>
      <c r="B2257" t="s">
        <v>2505</v>
      </c>
    </row>
    <row r="2258" spans="1:2" x14ac:dyDescent="0.45">
      <c r="A2258" t="s">
        <v>2506</v>
      </c>
      <c r="B2258" t="s">
        <v>2507</v>
      </c>
    </row>
    <row r="2259" spans="1:2" x14ac:dyDescent="0.45">
      <c r="A2259" t="s">
        <v>2508</v>
      </c>
      <c r="B2259" t="s">
        <v>2509</v>
      </c>
    </row>
    <row r="2260" spans="1:2" x14ac:dyDescent="0.45">
      <c r="A2260" t="s">
        <v>2511</v>
      </c>
      <c r="B2260" t="s">
        <v>2512</v>
      </c>
    </row>
    <row r="2261" spans="1:2" x14ac:dyDescent="0.45">
      <c r="A2261" t="s">
        <v>2513</v>
      </c>
      <c r="B2261" t="s">
        <v>2514</v>
      </c>
    </row>
    <row r="2262" spans="1:2" x14ac:dyDescent="0.45">
      <c r="A2262" t="s">
        <v>2515</v>
      </c>
      <c r="B2262" t="s">
        <v>2516</v>
      </c>
    </row>
    <row r="2263" spans="1:2" x14ac:dyDescent="0.45">
      <c r="A2263" t="s">
        <v>2517</v>
      </c>
      <c r="B2263" t="s">
        <v>2518</v>
      </c>
    </row>
    <row r="2264" spans="1:2" x14ac:dyDescent="0.45">
      <c r="A2264" t="s">
        <v>2519</v>
      </c>
      <c r="B2264" t="s">
        <v>2520</v>
      </c>
    </row>
    <row r="2265" spans="1:2" x14ac:dyDescent="0.45">
      <c r="A2265" t="s">
        <v>2521</v>
      </c>
      <c r="B2265" t="s">
        <v>2522</v>
      </c>
    </row>
    <row r="2266" spans="1:2" x14ac:dyDescent="0.45">
      <c r="A2266" t="s">
        <v>2526</v>
      </c>
      <c r="B2266" t="s">
        <v>2527</v>
      </c>
    </row>
    <row r="2267" spans="1:2" x14ac:dyDescent="0.45">
      <c r="A2267" t="s">
        <v>2528</v>
      </c>
      <c r="B2267" t="s">
        <v>2529</v>
      </c>
    </row>
    <row r="2268" spans="1:2" x14ac:dyDescent="0.45">
      <c r="A2268" t="s">
        <v>2531</v>
      </c>
      <c r="B2268" t="s">
        <v>2532</v>
      </c>
    </row>
    <row r="2269" spans="1:2" x14ac:dyDescent="0.45">
      <c r="A2269" t="s">
        <v>2534</v>
      </c>
      <c r="B2269" t="s">
        <v>2535</v>
      </c>
    </row>
    <row r="2270" spans="1:2" x14ac:dyDescent="0.45">
      <c r="A2270" t="s">
        <v>2539</v>
      </c>
      <c r="B2270" t="s">
        <v>2540</v>
      </c>
    </row>
    <row r="2271" spans="1:2" x14ac:dyDescent="0.45">
      <c r="A2271" t="s">
        <v>2541</v>
      </c>
      <c r="B2271" t="s">
        <v>2542</v>
      </c>
    </row>
    <row r="2272" spans="1:2" x14ac:dyDescent="0.45">
      <c r="A2272" t="s">
        <v>2545</v>
      </c>
      <c r="B2272" t="s">
        <v>2546</v>
      </c>
    </row>
    <row r="2273" spans="1:2" x14ac:dyDescent="0.45">
      <c r="A2273" t="s">
        <v>2549</v>
      </c>
      <c r="B2273" t="s">
        <v>2550</v>
      </c>
    </row>
    <row r="2274" spans="1:2" x14ac:dyDescent="0.45">
      <c r="A2274" t="s">
        <v>2552</v>
      </c>
      <c r="B2274" t="s">
        <v>2553</v>
      </c>
    </row>
    <row r="2275" spans="1:2" x14ac:dyDescent="0.45">
      <c r="A2275" t="s">
        <v>2558</v>
      </c>
      <c r="B2275" t="s">
        <v>2559</v>
      </c>
    </row>
    <row r="2276" spans="1:2" x14ac:dyDescent="0.45">
      <c r="A2276" t="s">
        <v>2560</v>
      </c>
      <c r="B2276" t="s">
        <v>2561</v>
      </c>
    </row>
    <row r="2277" spans="1:2" x14ac:dyDescent="0.45">
      <c r="A2277" t="s">
        <v>2562</v>
      </c>
      <c r="B2277" t="s">
        <v>2563</v>
      </c>
    </row>
    <row r="2278" spans="1:2" x14ac:dyDescent="0.45">
      <c r="A2278" t="s">
        <v>2564</v>
      </c>
      <c r="B2278" t="s">
        <v>2565</v>
      </c>
    </row>
    <row r="2279" spans="1:2" x14ac:dyDescent="0.45">
      <c r="A2279" t="s">
        <v>2566</v>
      </c>
      <c r="B2279" t="s">
        <v>2567</v>
      </c>
    </row>
    <row r="2280" spans="1:2" x14ac:dyDescent="0.45">
      <c r="A2280" t="s">
        <v>2568</v>
      </c>
      <c r="B2280" t="s">
        <v>2569</v>
      </c>
    </row>
    <row r="2281" spans="1:2" x14ac:dyDescent="0.45">
      <c r="A2281" t="s">
        <v>2571</v>
      </c>
      <c r="B2281" t="s">
        <v>2572</v>
      </c>
    </row>
    <row r="2282" spans="1:2" x14ac:dyDescent="0.45">
      <c r="A2282" t="s">
        <v>2574</v>
      </c>
      <c r="B2282" t="s">
        <v>2575</v>
      </c>
    </row>
    <row r="2283" spans="1:2" x14ac:dyDescent="0.45">
      <c r="A2283" t="s">
        <v>2577</v>
      </c>
      <c r="B2283" t="s">
        <v>2578</v>
      </c>
    </row>
    <row r="2284" spans="1:2" x14ac:dyDescent="0.45">
      <c r="A2284" t="s">
        <v>2580</v>
      </c>
      <c r="B2284" t="s">
        <v>2581</v>
      </c>
    </row>
    <row r="2285" spans="1:2" x14ac:dyDescent="0.45">
      <c r="A2285" t="s">
        <v>2597</v>
      </c>
      <c r="B2285" t="s">
        <v>2598</v>
      </c>
    </row>
    <row r="2286" spans="1:2" x14ac:dyDescent="0.45">
      <c r="A2286" t="s">
        <v>2599</v>
      </c>
      <c r="B2286" t="s">
        <v>2600</v>
      </c>
    </row>
    <row r="2287" spans="1:2" x14ac:dyDescent="0.45">
      <c r="A2287" t="s">
        <v>2617</v>
      </c>
      <c r="B2287" t="s">
        <v>2618</v>
      </c>
    </row>
    <row r="2288" spans="1:2" x14ac:dyDescent="0.45">
      <c r="A2288" t="s">
        <v>2619</v>
      </c>
      <c r="B2288" t="s">
        <v>2620</v>
      </c>
    </row>
    <row r="2289" spans="1:2" x14ac:dyDescent="0.45">
      <c r="A2289" t="s">
        <v>2621</v>
      </c>
      <c r="B2289" t="s">
        <v>2622</v>
      </c>
    </row>
    <row r="2290" spans="1:2" x14ac:dyDescent="0.45">
      <c r="A2290" t="s">
        <v>2624</v>
      </c>
      <c r="B2290" t="s">
        <v>2625</v>
      </c>
    </row>
    <row r="2291" spans="1:2" x14ac:dyDescent="0.45">
      <c r="A2291" t="s">
        <v>2627</v>
      </c>
      <c r="B2291" t="s">
        <v>2628</v>
      </c>
    </row>
    <row r="2292" spans="1:2" x14ac:dyDescent="0.45">
      <c r="A2292" t="s">
        <v>2630</v>
      </c>
      <c r="B2292" t="s">
        <v>2631</v>
      </c>
    </row>
    <row r="2293" spans="1:2" x14ac:dyDescent="0.45">
      <c r="A2293" t="s">
        <v>2633</v>
      </c>
      <c r="B2293" t="s">
        <v>2634</v>
      </c>
    </row>
    <row r="2294" spans="1:2" x14ac:dyDescent="0.45">
      <c r="A2294" t="s">
        <v>2639</v>
      </c>
      <c r="B2294" t="s">
        <v>2640</v>
      </c>
    </row>
    <row r="2295" spans="1:2" x14ac:dyDescent="0.45">
      <c r="A2295" t="s">
        <v>2642</v>
      </c>
      <c r="B2295" t="s">
        <v>2643</v>
      </c>
    </row>
    <row r="2296" spans="1:2" x14ac:dyDescent="0.45">
      <c r="A2296" t="s">
        <v>2645</v>
      </c>
      <c r="B2296" t="s">
        <v>2646</v>
      </c>
    </row>
    <row r="2297" spans="1:2" x14ac:dyDescent="0.45">
      <c r="A2297" t="s">
        <v>2650</v>
      </c>
      <c r="B2297" t="s">
        <v>2651</v>
      </c>
    </row>
    <row r="2298" spans="1:2" x14ac:dyDescent="0.45">
      <c r="A2298" t="s">
        <v>2656</v>
      </c>
      <c r="B2298" t="s">
        <v>2657</v>
      </c>
    </row>
    <row r="2299" spans="1:2" x14ac:dyDescent="0.45">
      <c r="A2299" t="s">
        <v>2659</v>
      </c>
      <c r="B2299" t="s">
        <v>2660</v>
      </c>
    </row>
    <row r="2300" spans="1:2" x14ac:dyDescent="0.45">
      <c r="A2300" t="s">
        <v>2661</v>
      </c>
      <c r="B2300" t="s">
        <v>2662</v>
      </c>
    </row>
    <row r="2301" spans="1:2" x14ac:dyDescent="0.45">
      <c r="A2301" t="s">
        <v>2664</v>
      </c>
      <c r="B2301" t="s">
        <v>2665</v>
      </c>
    </row>
    <row r="2302" spans="1:2" x14ac:dyDescent="0.45">
      <c r="A2302" t="s">
        <v>2666</v>
      </c>
      <c r="B2302" t="s">
        <v>2667</v>
      </c>
    </row>
    <row r="2303" spans="1:2" x14ac:dyDescent="0.45">
      <c r="A2303" t="s">
        <v>2668</v>
      </c>
      <c r="B2303" t="s">
        <v>2669</v>
      </c>
    </row>
    <row r="2304" spans="1:2" x14ac:dyDescent="0.45">
      <c r="A2304" t="s">
        <v>2691</v>
      </c>
      <c r="B2304" t="s">
        <v>2692</v>
      </c>
    </row>
    <row r="2305" spans="1:2" x14ac:dyDescent="0.45">
      <c r="A2305" t="s">
        <v>2694</v>
      </c>
      <c r="B2305" t="s">
        <v>2695</v>
      </c>
    </row>
    <row r="2306" spans="1:2" x14ac:dyDescent="0.45">
      <c r="A2306" t="s">
        <v>2699</v>
      </c>
      <c r="B2306" t="s">
        <v>2700</v>
      </c>
    </row>
    <row r="2307" spans="1:2" x14ac:dyDescent="0.45">
      <c r="A2307" t="s">
        <v>2701</v>
      </c>
      <c r="B2307" t="s">
        <v>2702</v>
      </c>
    </row>
    <row r="2308" spans="1:2" x14ac:dyDescent="0.45">
      <c r="A2308" t="s">
        <v>2703</v>
      </c>
      <c r="B2308" t="s">
        <v>2704</v>
      </c>
    </row>
    <row r="2309" spans="1:2" x14ac:dyDescent="0.45">
      <c r="A2309" t="s">
        <v>2709</v>
      </c>
      <c r="B2309" t="s">
        <v>2710</v>
      </c>
    </row>
    <row r="2310" spans="1:2" x14ac:dyDescent="0.45">
      <c r="A2310" t="s">
        <v>2715</v>
      </c>
      <c r="B2310" t="s">
        <v>2716</v>
      </c>
    </row>
    <row r="2311" spans="1:2" x14ac:dyDescent="0.45">
      <c r="A2311" t="s">
        <v>2721</v>
      </c>
      <c r="B2311" t="s">
        <v>2722</v>
      </c>
    </row>
    <row r="2312" spans="1:2" x14ac:dyDescent="0.45">
      <c r="A2312" t="s">
        <v>2723</v>
      </c>
      <c r="B2312" t="s">
        <v>2724</v>
      </c>
    </row>
    <row r="2313" spans="1:2" x14ac:dyDescent="0.45">
      <c r="A2313" t="s">
        <v>2729</v>
      </c>
      <c r="B2313" t="s">
        <v>2730</v>
      </c>
    </row>
    <row r="2314" spans="1:2" x14ac:dyDescent="0.45">
      <c r="A2314" t="s">
        <v>2732</v>
      </c>
      <c r="B2314" t="s">
        <v>2733</v>
      </c>
    </row>
    <row r="2315" spans="1:2" x14ac:dyDescent="0.45">
      <c r="A2315" t="s">
        <v>2734</v>
      </c>
      <c r="B2315" t="s">
        <v>2735</v>
      </c>
    </row>
    <row r="2316" spans="1:2" x14ac:dyDescent="0.45">
      <c r="A2316" t="s">
        <v>2744</v>
      </c>
      <c r="B2316" t="s">
        <v>2745</v>
      </c>
    </row>
    <row r="2317" spans="1:2" x14ac:dyDescent="0.45">
      <c r="A2317" t="s">
        <v>2746</v>
      </c>
      <c r="B2317" t="s">
        <v>2747</v>
      </c>
    </row>
    <row r="2318" spans="1:2" x14ac:dyDescent="0.45">
      <c r="A2318" t="s">
        <v>2753</v>
      </c>
      <c r="B2318" t="s">
        <v>2754</v>
      </c>
    </row>
    <row r="2319" spans="1:2" x14ac:dyDescent="0.45">
      <c r="A2319" t="s">
        <v>2760</v>
      </c>
      <c r="B2319" t="s">
        <v>2761</v>
      </c>
    </row>
    <row r="2320" spans="1:2" x14ac:dyDescent="0.45">
      <c r="A2320" t="s">
        <v>2763</v>
      </c>
      <c r="B2320" t="s">
        <v>2764</v>
      </c>
    </row>
    <row r="2321" spans="1:2" x14ac:dyDescent="0.45">
      <c r="A2321" t="s">
        <v>2766</v>
      </c>
      <c r="B2321" t="s">
        <v>2767</v>
      </c>
    </row>
    <row r="2322" spans="1:2" x14ac:dyDescent="0.45">
      <c r="A2322" t="s">
        <v>2769</v>
      </c>
      <c r="B2322" t="s">
        <v>2770</v>
      </c>
    </row>
    <row r="2323" spans="1:2" x14ac:dyDescent="0.45">
      <c r="A2323" t="s">
        <v>2771</v>
      </c>
      <c r="B2323" t="s">
        <v>2772</v>
      </c>
    </row>
    <row r="2324" spans="1:2" x14ac:dyDescent="0.45">
      <c r="A2324" t="s">
        <v>2775</v>
      </c>
      <c r="B2324" t="s">
        <v>2776</v>
      </c>
    </row>
    <row r="2325" spans="1:2" x14ac:dyDescent="0.45">
      <c r="A2325" t="s">
        <v>2777</v>
      </c>
      <c r="B2325" t="s">
        <v>2778</v>
      </c>
    </row>
    <row r="2326" spans="1:2" x14ac:dyDescent="0.45">
      <c r="A2326" t="s">
        <v>2779</v>
      </c>
      <c r="B2326" t="s">
        <v>2780</v>
      </c>
    </row>
    <row r="2327" spans="1:2" x14ac:dyDescent="0.45">
      <c r="A2327" t="s">
        <v>2781</v>
      </c>
      <c r="B2327" t="s">
        <v>2782</v>
      </c>
    </row>
    <row r="2328" spans="1:2" x14ac:dyDescent="0.45">
      <c r="A2328" t="s">
        <v>2786</v>
      </c>
      <c r="B2328" t="s">
        <v>2787</v>
      </c>
    </row>
    <row r="2329" spans="1:2" x14ac:dyDescent="0.45">
      <c r="A2329" t="s">
        <v>2791</v>
      </c>
      <c r="B2329" t="s">
        <v>2792</v>
      </c>
    </row>
    <row r="2330" spans="1:2" x14ac:dyDescent="0.45">
      <c r="A2330" t="s">
        <v>2794</v>
      </c>
      <c r="B2330" t="s">
        <v>2795</v>
      </c>
    </row>
    <row r="2331" spans="1:2" x14ac:dyDescent="0.45">
      <c r="A2331" t="s">
        <v>2811</v>
      </c>
      <c r="B2331" t="s">
        <v>2812</v>
      </c>
    </row>
    <row r="2332" spans="1:2" x14ac:dyDescent="0.45">
      <c r="A2332" t="s">
        <v>2816</v>
      </c>
      <c r="B2332" t="s">
        <v>2817</v>
      </c>
    </row>
    <row r="2333" spans="1:2" x14ac:dyDescent="0.45">
      <c r="A2333" t="s">
        <v>2827</v>
      </c>
      <c r="B2333" t="s">
        <v>2828</v>
      </c>
    </row>
    <row r="2334" spans="1:2" x14ac:dyDescent="0.45">
      <c r="A2334" t="s">
        <v>2829</v>
      </c>
      <c r="B2334" t="s">
        <v>2830</v>
      </c>
    </row>
    <row r="2335" spans="1:2" x14ac:dyDescent="0.45">
      <c r="A2335" t="s">
        <v>2832</v>
      </c>
      <c r="B2335" t="s">
        <v>2833</v>
      </c>
    </row>
    <row r="2336" spans="1:2" x14ac:dyDescent="0.45">
      <c r="A2336" t="s">
        <v>2835</v>
      </c>
      <c r="B2336" t="s">
        <v>2836</v>
      </c>
    </row>
    <row r="2337" spans="1:2" x14ac:dyDescent="0.45">
      <c r="A2337" t="s">
        <v>2837</v>
      </c>
      <c r="B2337" t="s">
        <v>2838</v>
      </c>
    </row>
    <row r="2338" spans="1:2" x14ac:dyDescent="0.45">
      <c r="A2338" t="s">
        <v>2844</v>
      </c>
      <c r="B2338" t="s">
        <v>2845</v>
      </c>
    </row>
    <row r="2339" spans="1:2" x14ac:dyDescent="0.45">
      <c r="A2339" t="s">
        <v>2853</v>
      </c>
      <c r="B2339" t="s">
        <v>2854</v>
      </c>
    </row>
    <row r="2340" spans="1:2" x14ac:dyDescent="0.45">
      <c r="A2340" t="s">
        <v>2855</v>
      </c>
      <c r="B2340" t="s">
        <v>2856</v>
      </c>
    </row>
    <row r="2341" spans="1:2" x14ac:dyDescent="0.45">
      <c r="A2341" t="s">
        <v>2857</v>
      </c>
      <c r="B2341" t="s">
        <v>2858</v>
      </c>
    </row>
    <row r="2342" spans="1:2" x14ac:dyDescent="0.45">
      <c r="A2342" t="s">
        <v>2860</v>
      </c>
      <c r="B2342" t="s">
        <v>2861</v>
      </c>
    </row>
    <row r="2343" spans="1:2" x14ac:dyDescent="0.45">
      <c r="A2343" t="s">
        <v>2863</v>
      </c>
      <c r="B2343" t="s">
        <v>2864</v>
      </c>
    </row>
    <row r="2344" spans="1:2" x14ac:dyDescent="0.45">
      <c r="A2344" t="s">
        <v>2867</v>
      </c>
      <c r="B2344" t="s">
        <v>2868</v>
      </c>
    </row>
    <row r="2345" spans="1:2" x14ac:dyDescent="0.45">
      <c r="A2345" t="s">
        <v>2869</v>
      </c>
      <c r="B2345" t="s">
        <v>2870</v>
      </c>
    </row>
    <row r="2346" spans="1:2" x14ac:dyDescent="0.45">
      <c r="A2346" t="s">
        <v>2881</v>
      </c>
      <c r="B2346" t="s">
        <v>2882</v>
      </c>
    </row>
    <row r="2347" spans="1:2" x14ac:dyDescent="0.45">
      <c r="A2347" t="s">
        <v>2885</v>
      </c>
      <c r="B2347" t="s">
        <v>2886</v>
      </c>
    </row>
    <row r="2348" spans="1:2" x14ac:dyDescent="0.45">
      <c r="A2348" t="s">
        <v>2887</v>
      </c>
      <c r="B2348" t="s">
        <v>2888</v>
      </c>
    </row>
    <row r="2349" spans="1:2" x14ac:dyDescent="0.45">
      <c r="A2349" t="s">
        <v>2889</v>
      </c>
      <c r="B2349" t="s">
        <v>2890</v>
      </c>
    </row>
    <row r="2350" spans="1:2" x14ac:dyDescent="0.45">
      <c r="A2350" t="s">
        <v>2891</v>
      </c>
      <c r="B2350" t="s">
        <v>2892</v>
      </c>
    </row>
    <row r="2351" spans="1:2" x14ac:dyDescent="0.45">
      <c r="A2351" t="s">
        <v>2893</v>
      </c>
      <c r="B2351" t="s">
        <v>2894</v>
      </c>
    </row>
    <row r="2352" spans="1:2" x14ac:dyDescent="0.45">
      <c r="A2352" t="s">
        <v>2897</v>
      </c>
      <c r="B2352" t="s">
        <v>2898</v>
      </c>
    </row>
    <row r="2353" spans="1:2" x14ac:dyDescent="0.45">
      <c r="A2353" t="s">
        <v>2899</v>
      </c>
      <c r="B2353" t="s">
        <v>2900</v>
      </c>
    </row>
    <row r="2354" spans="1:2" x14ac:dyDescent="0.45">
      <c r="A2354" t="s">
        <v>2901</v>
      </c>
      <c r="B2354" t="s">
        <v>2902</v>
      </c>
    </row>
    <row r="2355" spans="1:2" x14ac:dyDescent="0.45">
      <c r="A2355" t="s">
        <v>2909</v>
      </c>
      <c r="B2355" t="s">
        <v>2910</v>
      </c>
    </row>
    <row r="2356" spans="1:2" x14ac:dyDescent="0.45">
      <c r="A2356" t="s">
        <v>2912</v>
      </c>
      <c r="B2356" t="s">
        <v>2913</v>
      </c>
    </row>
    <row r="2357" spans="1:2" x14ac:dyDescent="0.45">
      <c r="A2357" t="s">
        <v>2915</v>
      </c>
      <c r="B2357" t="s">
        <v>2916</v>
      </c>
    </row>
    <row r="2358" spans="1:2" x14ac:dyDescent="0.45">
      <c r="A2358" t="s">
        <v>2918</v>
      </c>
      <c r="B2358" t="s">
        <v>2919</v>
      </c>
    </row>
    <row r="2359" spans="1:2" x14ac:dyDescent="0.45">
      <c r="A2359" t="s">
        <v>2921</v>
      </c>
      <c r="B2359" t="s">
        <v>2922</v>
      </c>
    </row>
    <row r="2360" spans="1:2" x14ac:dyDescent="0.45">
      <c r="A2360" t="s">
        <v>2926</v>
      </c>
      <c r="B2360" t="s">
        <v>2927</v>
      </c>
    </row>
    <row r="2361" spans="1:2" x14ac:dyDescent="0.45">
      <c r="A2361" t="s">
        <v>2928</v>
      </c>
      <c r="B2361" t="s">
        <v>2929</v>
      </c>
    </row>
    <row r="2362" spans="1:2" x14ac:dyDescent="0.45">
      <c r="A2362" t="s">
        <v>2931</v>
      </c>
      <c r="B2362" t="s">
        <v>2932</v>
      </c>
    </row>
    <row r="2363" spans="1:2" x14ac:dyDescent="0.45">
      <c r="A2363" t="s">
        <v>2935</v>
      </c>
      <c r="B2363" t="s">
        <v>2936</v>
      </c>
    </row>
    <row r="2364" spans="1:2" x14ac:dyDescent="0.45">
      <c r="A2364" t="s">
        <v>2937</v>
      </c>
      <c r="B2364" t="s">
        <v>2938</v>
      </c>
    </row>
    <row r="2365" spans="1:2" x14ac:dyDescent="0.45">
      <c r="A2365" t="s">
        <v>2940</v>
      </c>
      <c r="B2365" t="s">
        <v>2941</v>
      </c>
    </row>
    <row r="2366" spans="1:2" x14ac:dyDescent="0.45">
      <c r="A2366" t="s">
        <v>2942</v>
      </c>
      <c r="B2366" t="s">
        <v>2943</v>
      </c>
    </row>
    <row r="2367" spans="1:2" x14ac:dyDescent="0.45">
      <c r="A2367" t="s">
        <v>2949</v>
      </c>
      <c r="B2367" t="s">
        <v>2950</v>
      </c>
    </row>
    <row r="2368" spans="1:2" x14ac:dyDescent="0.45">
      <c r="A2368" t="s">
        <v>2955</v>
      </c>
      <c r="B2368" t="s">
        <v>2956</v>
      </c>
    </row>
    <row r="2369" spans="1:2" x14ac:dyDescent="0.45">
      <c r="A2369" t="s">
        <v>2957</v>
      </c>
      <c r="B2369" t="s">
        <v>2958</v>
      </c>
    </row>
    <row r="2370" spans="1:2" x14ac:dyDescent="0.45">
      <c r="A2370" t="s">
        <v>2961</v>
      </c>
      <c r="B2370" t="s">
        <v>2962</v>
      </c>
    </row>
    <row r="2371" spans="1:2" x14ac:dyDescent="0.45">
      <c r="A2371" t="s">
        <v>2964</v>
      </c>
      <c r="B2371" t="s">
        <v>2965</v>
      </c>
    </row>
    <row r="2372" spans="1:2" x14ac:dyDescent="0.45">
      <c r="A2372" t="s">
        <v>2968</v>
      </c>
      <c r="B2372" t="s">
        <v>2969</v>
      </c>
    </row>
    <row r="2373" spans="1:2" x14ac:dyDescent="0.45">
      <c r="A2373" t="s">
        <v>2972</v>
      </c>
      <c r="B2373" t="s">
        <v>2973</v>
      </c>
    </row>
    <row r="2374" spans="1:2" x14ac:dyDescent="0.45">
      <c r="A2374" t="s">
        <v>2975</v>
      </c>
      <c r="B2374" t="s">
        <v>2976</v>
      </c>
    </row>
    <row r="2375" spans="1:2" x14ac:dyDescent="0.45">
      <c r="A2375" t="s">
        <v>2980</v>
      </c>
      <c r="B2375" t="s">
        <v>2981</v>
      </c>
    </row>
    <row r="2376" spans="1:2" x14ac:dyDescent="0.45">
      <c r="A2376" t="s">
        <v>2984</v>
      </c>
      <c r="B2376" t="s">
        <v>2985</v>
      </c>
    </row>
    <row r="2377" spans="1:2" x14ac:dyDescent="0.45">
      <c r="A2377" t="s">
        <v>2986</v>
      </c>
      <c r="B2377" t="s">
        <v>2987</v>
      </c>
    </row>
    <row r="2378" spans="1:2" x14ac:dyDescent="0.45">
      <c r="A2378" t="s">
        <v>2988</v>
      </c>
      <c r="B2378" t="s">
        <v>2989</v>
      </c>
    </row>
    <row r="2379" spans="1:2" x14ac:dyDescent="0.45">
      <c r="A2379" t="s">
        <v>2990</v>
      </c>
      <c r="B2379" t="s">
        <v>2991</v>
      </c>
    </row>
    <row r="2380" spans="1:2" x14ac:dyDescent="0.45">
      <c r="A2380" t="s">
        <v>2992</v>
      </c>
      <c r="B2380" t="s">
        <v>2993</v>
      </c>
    </row>
    <row r="2381" spans="1:2" x14ac:dyDescent="0.45">
      <c r="A2381" t="s">
        <v>2995</v>
      </c>
      <c r="B2381" t="s">
        <v>2996</v>
      </c>
    </row>
    <row r="2382" spans="1:2" x14ac:dyDescent="0.45">
      <c r="A2382" t="s">
        <v>2997</v>
      </c>
      <c r="B2382" t="s">
        <v>2998</v>
      </c>
    </row>
    <row r="2383" spans="1:2" x14ac:dyDescent="0.45">
      <c r="A2383" t="s">
        <v>2999</v>
      </c>
      <c r="B2383" t="s">
        <v>3000</v>
      </c>
    </row>
    <row r="2384" spans="1:2" x14ac:dyDescent="0.45">
      <c r="A2384" t="s">
        <v>3002</v>
      </c>
      <c r="B2384" t="s">
        <v>3003</v>
      </c>
    </row>
    <row r="2385" spans="1:2" x14ac:dyDescent="0.45">
      <c r="A2385" t="s">
        <v>3016</v>
      </c>
      <c r="B2385" t="s">
        <v>3017</v>
      </c>
    </row>
    <row r="2386" spans="1:2" x14ac:dyDescent="0.45">
      <c r="A2386" t="s">
        <v>3018</v>
      </c>
      <c r="B2386" t="s">
        <v>3019</v>
      </c>
    </row>
    <row r="2387" spans="1:2" x14ac:dyDescent="0.45">
      <c r="A2387" t="s">
        <v>3021</v>
      </c>
      <c r="B2387" t="s">
        <v>3022</v>
      </c>
    </row>
    <row r="2388" spans="1:2" x14ac:dyDescent="0.45">
      <c r="A2388" t="s">
        <v>3023</v>
      </c>
      <c r="B2388" t="s">
        <v>3024</v>
      </c>
    </row>
    <row r="2389" spans="1:2" x14ac:dyDescent="0.45">
      <c r="A2389" t="s">
        <v>3025</v>
      </c>
      <c r="B2389" t="s">
        <v>3026</v>
      </c>
    </row>
    <row r="2390" spans="1:2" x14ac:dyDescent="0.45">
      <c r="A2390" t="s">
        <v>3029</v>
      </c>
      <c r="B2390" t="s">
        <v>3030</v>
      </c>
    </row>
    <row r="2391" spans="1:2" x14ac:dyDescent="0.45">
      <c r="A2391" t="s">
        <v>3033</v>
      </c>
      <c r="B2391" t="s">
        <v>3034</v>
      </c>
    </row>
    <row r="2392" spans="1:2" x14ac:dyDescent="0.45">
      <c r="A2392" t="s">
        <v>3036</v>
      </c>
      <c r="B2392" t="s">
        <v>3037</v>
      </c>
    </row>
    <row r="2393" spans="1:2" x14ac:dyDescent="0.45">
      <c r="A2393" t="s">
        <v>3039</v>
      </c>
      <c r="B2393" t="s">
        <v>3040</v>
      </c>
    </row>
    <row r="2394" spans="1:2" x14ac:dyDescent="0.45">
      <c r="A2394" t="s">
        <v>3042</v>
      </c>
      <c r="B2394" t="s">
        <v>3043</v>
      </c>
    </row>
    <row r="2395" spans="1:2" x14ac:dyDescent="0.45">
      <c r="A2395" t="s">
        <v>3046</v>
      </c>
      <c r="B2395" t="s">
        <v>3047</v>
      </c>
    </row>
    <row r="2396" spans="1:2" x14ac:dyDescent="0.45">
      <c r="A2396" t="s">
        <v>3049</v>
      </c>
      <c r="B2396" t="s">
        <v>3050</v>
      </c>
    </row>
    <row r="2397" spans="1:2" x14ac:dyDescent="0.45">
      <c r="A2397" t="s">
        <v>3056</v>
      </c>
      <c r="B2397" t="s">
        <v>3057</v>
      </c>
    </row>
    <row r="2398" spans="1:2" x14ac:dyDescent="0.45">
      <c r="A2398" t="s">
        <v>3058</v>
      </c>
      <c r="B2398" t="s">
        <v>3059</v>
      </c>
    </row>
    <row r="2399" spans="1:2" x14ac:dyDescent="0.45">
      <c r="A2399" t="s">
        <v>3062</v>
      </c>
      <c r="B2399" t="s">
        <v>3063</v>
      </c>
    </row>
    <row r="2400" spans="1:2" x14ac:dyDescent="0.45">
      <c r="A2400" t="s">
        <v>3066</v>
      </c>
      <c r="B2400" t="s">
        <v>3067</v>
      </c>
    </row>
    <row r="2401" spans="1:2" x14ac:dyDescent="0.45">
      <c r="A2401" t="s">
        <v>3069</v>
      </c>
      <c r="B2401" t="s">
        <v>3070</v>
      </c>
    </row>
    <row r="2402" spans="1:2" x14ac:dyDescent="0.45">
      <c r="A2402" t="s">
        <v>3073</v>
      </c>
      <c r="B2402" t="s">
        <v>3074</v>
      </c>
    </row>
    <row r="2403" spans="1:2" x14ac:dyDescent="0.45">
      <c r="A2403" t="s">
        <v>3077</v>
      </c>
      <c r="B2403" t="s">
        <v>3078</v>
      </c>
    </row>
    <row r="2404" spans="1:2" x14ac:dyDescent="0.45">
      <c r="A2404" t="s">
        <v>3081</v>
      </c>
      <c r="B2404" t="s">
        <v>3082</v>
      </c>
    </row>
    <row r="2405" spans="1:2" x14ac:dyDescent="0.45">
      <c r="A2405" t="s">
        <v>3085</v>
      </c>
      <c r="B2405" t="s">
        <v>3086</v>
      </c>
    </row>
    <row r="2406" spans="1:2" x14ac:dyDescent="0.45">
      <c r="A2406" t="s">
        <v>3090</v>
      </c>
      <c r="B2406" t="s">
        <v>3091</v>
      </c>
    </row>
    <row r="2407" spans="1:2" x14ac:dyDescent="0.45">
      <c r="A2407" t="s">
        <v>3092</v>
      </c>
      <c r="B2407" t="s">
        <v>3093</v>
      </c>
    </row>
    <row r="2408" spans="1:2" x14ac:dyDescent="0.45">
      <c r="A2408" t="s">
        <v>3095</v>
      </c>
      <c r="B2408" t="s">
        <v>3096</v>
      </c>
    </row>
    <row r="2409" spans="1:2" x14ac:dyDescent="0.45">
      <c r="A2409" t="s">
        <v>3098</v>
      </c>
      <c r="B2409" t="s">
        <v>3099</v>
      </c>
    </row>
    <row r="2410" spans="1:2" x14ac:dyDescent="0.45">
      <c r="A2410" t="s">
        <v>3101</v>
      </c>
      <c r="B2410" t="s">
        <v>3102</v>
      </c>
    </row>
    <row r="2411" spans="1:2" x14ac:dyDescent="0.45">
      <c r="A2411" t="s">
        <v>3104</v>
      </c>
      <c r="B2411" t="s">
        <v>3105</v>
      </c>
    </row>
    <row r="2412" spans="1:2" x14ac:dyDescent="0.45">
      <c r="A2412" t="s">
        <v>3107</v>
      </c>
      <c r="B2412" t="s">
        <v>3108</v>
      </c>
    </row>
    <row r="2413" spans="1:2" x14ac:dyDescent="0.45">
      <c r="A2413" t="s">
        <v>3111</v>
      </c>
      <c r="B2413" t="s">
        <v>3112</v>
      </c>
    </row>
    <row r="2414" spans="1:2" x14ac:dyDescent="0.45">
      <c r="A2414" t="s">
        <v>3118</v>
      </c>
      <c r="B2414" t="s">
        <v>3119</v>
      </c>
    </row>
    <row r="2415" spans="1:2" x14ac:dyDescent="0.45">
      <c r="A2415" t="s">
        <v>3122</v>
      </c>
      <c r="B2415" t="s">
        <v>3123</v>
      </c>
    </row>
    <row r="2416" spans="1:2" x14ac:dyDescent="0.45">
      <c r="A2416" t="s">
        <v>3125</v>
      </c>
      <c r="B2416" t="s">
        <v>3126</v>
      </c>
    </row>
    <row r="2417" spans="1:2" x14ac:dyDescent="0.45">
      <c r="A2417" t="s">
        <v>3131</v>
      </c>
      <c r="B2417" t="s">
        <v>3132</v>
      </c>
    </row>
    <row r="2418" spans="1:2" x14ac:dyDescent="0.45">
      <c r="A2418" t="s">
        <v>3133</v>
      </c>
      <c r="B2418" t="s">
        <v>3134</v>
      </c>
    </row>
    <row r="2419" spans="1:2" x14ac:dyDescent="0.45">
      <c r="A2419" t="s">
        <v>3135</v>
      </c>
      <c r="B2419" t="s">
        <v>3136</v>
      </c>
    </row>
    <row r="2420" spans="1:2" x14ac:dyDescent="0.45">
      <c r="A2420" t="s">
        <v>3139</v>
      </c>
      <c r="B2420" t="s">
        <v>3140</v>
      </c>
    </row>
    <row r="2421" spans="1:2" x14ac:dyDescent="0.45">
      <c r="A2421" t="s">
        <v>3144</v>
      </c>
      <c r="B2421" t="s">
        <v>3145</v>
      </c>
    </row>
    <row r="2422" spans="1:2" x14ac:dyDescent="0.45">
      <c r="A2422" t="s">
        <v>3150</v>
      </c>
      <c r="B2422" t="s">
        <v>3151</v>
      </c>
    </row>
    <row r="2423" spans="1:2" x14ac:dyDescent="0.45">
      <c r="A2423" t="s">
        <v>3156</v>
      </c>
      <c r="B2423" t="s">
        <v>3157</v>
      </c>
    </row>
    <row r="2424" spans="1:2" x14ac:dyDescent="0.45">
      <c r="A2424" t="s">
        <v>3160</v>
      </c>
      <c r="B2424" t="s">
        <v>3161</v>
      </c>
    </row>
    <row r="2425" spans="1:2" x14ac:dyDescent="0.45">
      <c r="A2425" t="s">
        <v>3164</v>
      </c>
      <c r="B2425" t="s">
        <v>3165</v>
      </c>
    </row>
    <row r="2426" spans="1:2" x14ac:dyDescent="0.45">
      <c r="A2426" t="s">
        <v>3175</v>
      </c>
      <c r="B2426" t="s">
        <v>3176</v>
      </c>
    </row>
    <row r="2427" spans="1:2" x14ac:dyDescent="0.45">
      <c r="A2427" t="s">
        <v>3185</v>
      </c>
      <c r="B2427" t="s">
        <v>3186</v>
      </c>
    </row>
    <row r="2428" spans="1:2" x14ac:dyDescent="0.45">
      <c r="A2428" t="s">
        <v>3193</v>
      </c>
      <c r="B2428" t="s">
        <v>3194</v>
      </c>
    </row>
    <row r="2429" spans="1:2" x14ac:dyDescent="0.45">
      <c r="A2429" t="s">
        <v>3196</v>
      </c>
      <c r="B2429" t="s">
        <v>3197</v>
      </c>
    </row>
    <row r="2430" spans="1:2" x14ac:dyDescent="0.45">
      <c r="A2430" t="s">
        <v>3201</v>
      </c>
      <c r="B2430" t="s">
        <v>3202</v>
      </c>
    </row>
    <row r="2431" spans="1:2" x14ac:dyDescent="0.45">
      <c r="A2431" t="s">
        <v>3206</v>
      </c>
      <c r="B2431" t="s">
        <v>3207</v>
      </c>
    </row>
    <row r="2432" spans="1:2" x14ac:dyDescent="0.45">
      <c r="A2432" t="s">
        <v>3210</v>
      </c>
      <c r="B2432" t="s">
        <v>3211</v>
      </c>
    </row>
    <row r="2433" spans="1:2" x14ac:dyDescent="0.45">
      <c r="A2433" t="s">
        <v>3213</v>
      </c>
      <c r="B2433" t="s">
        <v>3214</v>
      </c>
    </row>
    <row r="2434" spans="1:2" x14ac:dyDescent="0.45">
      <c r="A2434" t="s">
        <v>3217</v>
      </c>
      <c r="B2434" t="s">
        <v>3218</v>
      </c>
    </row>
    <row r="2435" spans="1:2" x14ac:dyDescent="0.45">
      <c r="A2435" t="s">
        <v>3221</v>
      </c>
      <c r="B2435" t="s">
        <v>3222</v>
      </c>
    </row>
    <row r="2436" spans="1:2" x14ac:dyDescent="0.45">
      <c r="A2436" t="s">
        <v>3225</v>
      </c>
      <c r="B2436" t="s">
        <v>3226</v>
      </c>
    </row>
    <row r="2437" spans="1:2" x14ac:dyDescent="0.45">
      <c r="A2437" t="s">
        <v>3228</v>
      </c>
      <c r="B2437" t="s">
        <v>3229</v>
      </c>
    </row>
    <row r="2438" spans="1:2" x14ac:dyDescent="0.45">
      <c r="A2438" t="s">
        <v>3231</v>
      </c>
      <c r="B2438" t="s">
        <v>3232</v>
      </c>
    </row>
    <row r="2439" spans="1:2" x14ac:dyDescent="0.45">
      <c r="A2439" t="s">
        <v>3234</v>
      </c>
      <c r="B2439" t="s">
        <v>3235</v>
      </c>
    </row>
    <row r="2440" spans="1:2" x14ac:dyDescent="0.45">
      <c r="A2440" t="s">
        <v>3237</v>
      </c>
      <c r="B2440" t="s">
        <v>3238</v>
      </c>
    </row>
    <row r="2441" spans="1:2" x14ac:dyDescent="0.45">
      <c r="A2441" t="s">
        <v>3241</v>
      </c>
      <c r="B2441" t="s">
        <v>3242</v>
      </c>
    </row>
    <row r="2442" spans="1:2" x14ac:dyDescent="0.45">
      <c r="A2442" t="s">
        <v>3244</v>
      </c>
      <c r="B2442" t="s">
        <v>3245</v>
      </c>
    </row>
    <row r="2443" spans="1:2" x14ac:dyDescent="0.45">
      <c r="A2443" t="s">
        <v>3258</v>
      </c>
      <c r="B2443" t="s">
        <v>3259</v>
      </c>
    </row>
    <row r="2444" spans="1:2" x14ac:dyDescent="0.45">
      <c r="A2444" t="s">
        <v>3265</v>
      </c>
      <c r="B2444" t="s">
        <v>3266</v>
      </c>
    </row>
    <row r="2445" spans="1:2" x14ac:dyDescent="0.45">
      <c r="A2445" t="s">
        <v>3269</v>
      </c>
      <c r="B2445" t="s">
        <v>3270</v>
      </c>
    </row>
    <row r="2446" spans="1:2" x14ac:dyDescent="0.45">
      <c r="A2446" t="s">
        <v>3271</v>
      </c>
      <c r="B2446" t="s">
        <v>3272</v>
      </c>
    </row>
    <row r="2447" spans="1:2" x14ac:dyDescent="0.45">
      <c r="A2447" t="s">
        <v>3277</v>
      </c>
      <c r="B2447" t="s">
        <v>3278</v>
      </c>
    </row>
    <row r="2448" spans="1:2" x14ac:dyDescent="0.45">
      <c r="A2448" t="s">
        <v>3281</v>
      </c>
      <c r="B2448" t="s">
        <v>3282</v>
      </c>
    </row>
    <row r="2449" spans="1:2" x14ac:dyDescent="0.45">
      <c r="A2449" t="s">
        <v>3285</v>
      </c>
      <c r="B2449" t="s">
        <v>3286</v>
      </c>
    </row>
    <row r="2450" spans="1:2" x14ac:dyDescent="0.45">
      <c r="A2450" t="s">
        <v>3288</v>
      </c>
      <c r="B2450" t="s">
        <v>3289</v>
      </c>
    </row>
    <row r="2451" spans="1:2" x14ac:dyDescent="0.45">
      <c r="A2451" t="s">
        <v>3294</v>
      </c>
      <c r="B2451" t="s">
        <v>3295</v>
      </c>
    </row>
    <row r="2452" spans="1:2" x14ac:dyDescent="0.45">
      <c r="A2452" t="s">
        <v>3297</v>
      </c>
      <c r="B2452" t="s">
        <v>3298</v>
      </c>
    </row>
    <row r="2453" spans="1:2" x14ac:dyDescent="0.45">
      <c r="A2453" t="s">
        <v>3302</v>
      </c>
      <c r="B2453" t="s">
        <v>3303</v>
      </c>
    </row>
    <row r="2454" spans="1:2" x14ac:dyDescent="0.45">
      <c r="A2454" t="s">
        <v>3304</v>
      </c>
      <c r="B2454" t="s">
        <v>3305</v>
      </c>
    </row>
    <row r="2455" spans="1:2" x14ac:dyDescent="0.45">
      <c r="A2455" t="s">
        <v>3317</v>
      </c>
      <c r="B2455" t="s">
        <v>3318</v>
      </c>
    </row>
    <row r="2456" spans="1:2" x14ac:dyDescent="0.45">
      <c r="A2456" t="s">
        <v>3323</v>
      </c>
      <c r="B2456" t="s">
        <v>3324</v>
      </c>
    </row>
    <row r="2457" spans="1:2" x14ac:dyDescent="0.45">
      <c r="A2457" t="s">
        <v>3328</v>
      </c>
      <c r="B2457" t="s">
        <v>3329</v>
      </c>
    </row>
    <row r="2458" spans="1:2" x14ac:dyDescent="0.45">
      <c r="A2458" t="s">
        <v>3331</v>
      </c>
      <c r="B2458" t="s">
        <v>3332</v>
      </c>
    </row>
    <row r="2459" spans="1:2" x14ac:dyDescent="0.45">
      <c r="A2459" t="s">
        <v>3333</v>
      </c>
      <c r="B2459" t="s">
        <v>3334</v>
      </c>
    </row>
    <row r="2460" spans="1:2" x14ac:dyDescent="0.45">
      <c r="A2460" t="s">
        <v>3336</v>
      </c>
      <c r="B2460" t="s">
        <v>3337</v>
      </c>
    </row>
    <row r="2461" spans="1:2" x14ac:dyDescent="0.45">
      <c r="A2461" t="s">
        <v>3338</v>
      </c>
      <c r="B2461" t="s">
        <v>3339</v>
      </c>
    </row>
    <row r="2462" spans="1:2" x14ac:dyDescent="0.45">
      <c r="A2462" t="s">
        <v>3340</v>
      </c>
      <c r="B2462" t="s">
        <v>3341</v>
      </c>
    </row>
    <row r="2463" spans="1:2" x14ac:dyDescent="0.45">
      <c r="A2463" t="s">
        <v>3342</v>
      </c>
      <c r="B2463" t="s">
        <v>3343</v>
      </c>
    </row>
    <row r="2464" spans="1:2" x14ac:dyDescent="0.45">
      <c r="A2464" t="s">
        <v>3344</v>
      </c>
      <c r="B2464" t="s">
        <v>3345</v>
      </c>
    </row>
    <row r="2465" spans="1:2" x14ac:dyDescent="0.45">
      <c r="A2465" t="s">
        <v>3346</v>
      </c>
      <c r="B2465" t="s">
        <v>3347</v>
      </c>
    </row>
    <row r="2466" spans="1:2" x14ac:dyDescent="0.45">
      <c r="A2466" t="s">
        <v>3348</v>
      </c>
      <c r="B2466" t="s">
        <v>3349</v>
      </c>
    </row>
    <row r="2467" spans="1:2" x14ac:dyDescent="0.45">
      <c r="A2467" t="s">
        <v>3350</v>
      </c>
      <c r="B2467" t="s">
        <v>3351</v>
      </c>
    </row>
    <row r="2468" spans="1:2" x14ac:dyDescent="0.45">
      <c r="A2468" t="s">
        <v>3352</v>
      </c>
      <c r="B2468" t="s">
        <v>3353</v>
      </c>
    </row>
    <row r="2469" spans="1:2" x14ac:dyDescent="0.45">
      <c r="A2469" t="s">
        <v>3354</v>
      </c>
      <c r="B2469" t="s">
        <v>3355</v>
      </c>
    </row>
    <row r="2470" spans="1:2" x14ac:dyDescent="0.45">
      <c r="A2470" t="s">
        <v>3359</v>
      </c>
      <c r="B2470" t="s">
        <v>3360</v>
      </c>
    </row>
    <row r="2471" spans="1:2" x14ac:dyDescent="0.45">
      <c r="A2471" t="s">
        <v>3361</v>
      </c>
      <c r="B2471" t="s">
        <v>3362</v>
      </c>
    </row>
    <row r="2472" spans="1:2" x14ac:dyDescent="0.45">
      <c r="A2472" t="s">
        <v>3363</v>
      </c>
      <c r="B2472" t="s">
        <v>3364</v>
      </c>
    </row>
    <row r="2473" spans="1:2" x14ac:dyDescent="0.45">
      <c r="A2473" t="s">
        <v>3365</v>
      </c>
      <c r="B2473" t="s">
        <v>3366</v>
      </c>
    </row>
    <row r="2474" spans="1:2" x14ac:dyDescent="0.45">
      <c r="A2474" t="s">
        <v>3367</v>
      </c>
      <c r="B2474" t="s">
        <v>3368</v>
      </c>
    </row>
    <row r="2475" spans="1:2" x14ac:dyDescent="0.45">
      <c r="A2475" t="s">
        <v>3369</v>
      </c>
      <c r="B2475" t="s">
        <v>3370</v>
      </c>
    </row>
    <row r="2476" spans="1:2" x14ac:dyDescent="0.45">
      <c r="A2476" t="s">
        <v>3371</v>
      </c>
      <c r="B2476" t="s">
        <v>3372</v>
      </c>
    </row>
    <row r="2477" spans="1:2" x14ac:dyDescent="0.45">
      <c r="A2477" t="s">
        <v>3375</v>
      </c>
      <c r="B2477" t="s">
        <v>3376</v>
      </c>
    </row>
    <row r="2478" spans="1:2" x14ac:dyDescent="0.45">
      <c r="A2478" t="s">
        <v>3378</v>
      </c>
      <c r="B2478" t="s">
        <v>3379</v>
      </c>
    </row>
    <row r="2479" spans="1:2" x14ac:dyDescent="0.45">
      <c r="A2479" t="s">
        <v>3389</v>
      </c>
      <c r="B2479" t="s">
        <v>3390</v>
      </c>
    </row>
    <row r="2480" spans="1:2" x14ac:dyDescent="0.45">
      <c r="A2480" t="s">
        <v>3393</v>
      </c>
      <c r="B2480" t="s">
        <v>3394</v>
      </c>
    </row>
    <row r="2481" spans="1:2" x14ac:dyDescent="0.45">
      <c r="A2481" t="s">
        <v>3397</v>
      </c>
      <c r="B2481" t="s">
        <v>3398</v>
      </c>
    </row>
    <row r="2482" spans="1:2" x14ac:dyDescent="0.45">
      <c r="A2482" t="s">
        <v>3401</v>
      </c>
      <c r="B2482" t="s">
        <v>3402</v>
      </c>
    </row>
    <row r="2483" spans="1:2" x14ac:dyDescent="0.45">
      <c r="A2483" t="s">
        <v>3405</v>
      </c>
      <c r="B2483" t="s">
        <v>3406</v>
      </c>
    </row>
    <row r="2484" spans="1:2" x14ac:dyDescent="0.45">
      <c r="A2484" t="s">
        <v>3408</v>
      </c>
      <c r="B2484" t="s">
        <v>3409</v>
      </c>
    </row>
    <row r="2485" spans="1:2" x14ac:dyDescent="0.45">
      <c r="A2485" t="s">
        <v>3412</v>
      </c>
      <c r="B2485" t="s">
        <v>3413</v>
      </c>
    </row>
    <row r="2486" spans="1:2" x14ac:dyDescent="0.45">
      <c r="A2486" t="s">
        <v>3420</v>
      </c>
      <c r="B2486" t="s">
        <v>3421</v>
      </c>
    </row>
    <row r="2487" spans="1:2" x14ac:dyDescent="0.45">
      <c r="A2487" t="s">
        <v>3424</v>
      </c>
      <c r="B2487" t="s">
        <v>3425</v>
      </c>
    </row>
    <row r="2488" spans="1:2" x14ac:dyDescent="0.45">
      <c r="A2488" t="s">
        <v>3428</v>
      </c>
      <c r="B2488" t="s">
        <v>3429</v>
      </c>
    </row>
    <row r="2489" spans="1:2" x14ac:dyDescent="0.45">
      <c r="A2489" t="s">
        <v>3430</v>
      </c>
      <c r="B2489" t="s">
        <v>3431</v>
      </c>
    </row>
    <row r="2490" spans="1:2" x14ac:dyDescent="0.45">
      <c r="A2490" t="s">
        <v>3441</v>
      </c>
      <c r="B2490" t="s">
        <v>3442</v>
      </c>
    </row>
    <row r="2491" spans="1:2" x14ac:dyDescent="0.45">
      <c r="A2491" t="s">
        <v>3444</v>
      </c>
      <c r="B2491" t="s">
        <v>3445</v>
      </c>
    </row>
    <row r="2492" spans="1:2" x14ac:dyDescent="0.45">
      <c r="A2492" t="s">
        <v>3446</v>
      </c>
      <c r="B2492" t="s">
        <v>3447</v>
      </c>
    </row>
    <row r="2493" spans="1:2" x14ac:dyDescent="0.45">
      <c r="A2493" t="s">
        <v>3448</v>
      </c>
      <c r="B2493" t="s">
        <v>3449</v>
      </c>
    </row>
    <row r="2494" spans="1:2" x14ac:dyDescent="0.45">
      <c r="A2494" t="s">
        <v>3450</v>
      </c>
      <c r="B2494" t="s">
        <v>3451</v>
      </c>
    </row>
    <row r="2495" spans="1:2" x14ac:dyDescent="0.45">
      <c r="A2495" t="s">
        <v>3452</v>
      </c>
      <c r="B2495" t="s">
        <v>3453</v>
      </c>
    </row>
    <row r="2496" spans="1:2" x14ac:dyDescent="0.45">
      <c r="A2496" t="s">
        <v>3457</v>
      </c>
      <c r="B2496" t="s">
        <v>3458</v>
      </c>
    </row>
    <row r="2497" spans="1:2" x14ac:dyDescent="0.45">
      <c r="A2497" t="s">
        <v>3460</v>
      </c>
      <c r="B2497" t="s">
        <v>3461</v>
      </c>
    </row>
    <row r="2498" spans="1:2" x14ac:dyDescent="0.45">
      <c r="A2498" t="s">
        <v>3464</v>
      </c>
      <c r="B2498" t="s">
        <v>3465</v>
      </c>
    </row>
    <row r="2499" spans="1:2" x14ac:dyDescent="0.45">
      <c r="A2499" t="s">
        <v>3472</v>
      </c>
      <c r="B2499" t="s">
        <v>3473</v>
      </c>
    </row>
    <row r="2500" spans="1:2" x14ac:dyDescent="0.45">
      <c r="A2500" t="s">
        <v>3475</v>
      </c>
      <c r="B2500" t="s">
        <v>3476</v>
      </c>
    </row>
    <row r="2501" spans="1:2" x14ac:dyDescent="0.45">
      <c r="A2501" t="s">
        <v>3480</v>
      </c>
      <c r="B2501" t="s">
        <v>3481</v>
      </c>
    </row>
    <row r="2502" spans="1:2" x14ac:dyDescent="0.45">
      <c r="A2502" t="s">
        <v>3488</v>
      </c>
      <c r="B2502" t="s">
        <v>3489</v>
      </c>
    </row>
    <row r="2503" spans="1:2" x14ac:dyDescent="0.45">
      <c r="A2503" t="s">
        <v>3499</v>
      </c>
      <c r="B2503" t="s">
        <v>3500</v>
      </c>
    </row>
    <row r="2504" spans="1:2" x14ac:dyDescent="0.45">
      <c r="A2504" t="s">
        <v>3501</v>
      </c>
      <c r="B2504" t="s">
        <v>3502</v>
      </c>
    </row>
    <row r="2505" spans="1:2" x14ac:dyDescent="0.45">
      <c r="A2505" t="s">
        <v>3508</v>
      </c>
      <c r="B2505" t="s">
        <v>3509</v>
      </c>
    </row>
    <row r="2506" spans="1:2" x14ac:dyDescent="0.45">
      <c r="A2506" t="s">
        <v>3510</v>
      </c>
      <c r="B2506" t="s">
        <v>3511</v>
      </c>
    </row>
    <row r="2507" spans="1:2" x14ac:dyDescent="0.45">
      <c r="A2507" t="s">
        <v>3513</v>
      </c>
      <c r="B2507" t="s">
        <v>3514</v>
      </c>
    </row>
    <row r="2508" spans="1:2" x14ac:dyDescent="0.45">
      <c r="A2508" t="s">
        <v>3519</v>
      </c>
      <c r="B2508" t="s">
        <v>3520</v>
      </c>
    </row>
    <row r="2509" spans="1:2" x14ac:dyDescent="0.45">
      <c r="A2509" t="s">
        <v>3524</v>
      </c>
      <c r="B2509" t="s">
        <v>3525</v>
      </c>
    </row>
    <row r="2510" spans="1:2" x14ac:dyDescent="0.45">
      <c r="A2510" t="s">
        <v>3526</v>
      </c>
      <c r="B2510" t="s">
        <v>3527</v>
      </c>
    </row>
    <row r="2511" spans="1:2" x14ac:dyDescent="0.45">
      <c r="A2511" t="s">
        <v>3532</v>
      </c>
      <c r="B2511" t="s">
        <v>3533</v>
      </c>
    </row>
    <row r="2512" spans="1:2" x14ac:dyDescent="0.45">
      <c r="A2512" t="s">
        <v>3536</v>
      </c>
      <c r="B2512" t="s">
        <v>3537</v>
      </c>
    </row>
    <row r="2513" spans="1:2" x14ac:dyDescent="0.45">
      <c r="A2513" t="s">
        <v>3539</v>
      </c>
      <c r="B2513" t="s">
        <v>3540</v>
      </c>
    </row>
    <row r="2514" spans="1:2" x14ac:dyDescent="0.45">
      <c r="A2514" t="s">
        <v>3542</v>
      </c>
      <c r="B2514" t="s">
        <v>3543</v>
      </c>
    </row>
    <row r="2515" spans="1:2" x14ac:dyDescent="0.45">
      <c r="A2515" t="s">
        <v>3544</v>
      </c>
      <c r="B2515" t="s">
        <v>3545</v>
      </c>
    </row>
    <row r="2516" spans="1:2" x14ac:dyDescent="0.45">
      <c r="A2516" t="s">
        <v>3550</v>
      </c>
      <c r="B2516" t="s">
        <v>3551</v>
      </c>
    </row>
    <row r="2517" spans="1:2" x14ac:dyDescent="0.45">
      <c r="A2517" t="s">
        <v>3552</v>
      </c>
      <c r="B2517" t="s">
        <v>3553</v>
      </c>
    </row>
    <row r="2518" spans="1:2" x14ac:dyDescent="0.45">
      <c r="A2518" t="s">
        <v>3555</v>
      </c>
      <c r="B2518" t="s">
        <v>3556</v>
      </c>
    </row>
    <row r="2519" spans="1:2" x14ac:dyDescent="0.45">
      <c r="A2519" t="s">
        <v>3562</v>
      </c>
      <c r="B2519" t="s">
        <v>3563</v>
      </c>
    </row>
    <row r="2520" spans="1:2" x14ac:dyDescent="0.45">
      <c r="A2520" t="s">
        <v>3569</v>
      </c>
      <c r="B2520" t="s">
        <v>3570</v>
      </c>
    </row>
    <row r="2521" spans="1:2" x14ac:dyDescent="0.45">
      <c r="A2521" t="s">
        <v>3573</v>
      </c>
      <c r="B2521" t="s">
        <v>3574</v>
      </c>
    </row>
    <row r="2522" spans="1:2" x14ac:dyDescent="0.45">
      <c r="A2522" t="s">
        <v>3577</v>
      </c>
      <c r="B2522" t="s">
        <v>3578</v>
      </c>
    </row>
    <row r="2523" spans="1:2" x14ac:dyDescent="0.45">
      <c r="A2523" t="s">
        <v>3580</v>
      </c>
      <c r="B2523" t="s">
        <v>3581</v>
      </c>
    </row>
    <row r="2524" spans="1:2" x14ac:dyDescent="0.45">
      <c r="A2524" t="s">
        <v>3584</v>
      </c>
      <c r="B2524" t="s">
        <v>3585</v>
      </c>
    </row>
    <row r="2525" spans="1:2" x14ac:dyDescent="0.45">
      <c r="A2525" t="s">
        <v>3588</v>
      </c>
      <c r="B2525" t="s">
        <v>3589</v>
      </c>
    </row>
    <row r="2526" spans="1:2" x14ac:dyDescent="0.45">
      <c r="A2526" t="s">
        <v>3602</v>
      </c>
      <c r="B2526" t="s">
        <v>3603</v>
      </c>
    </row>
    <row r="2527" spans="1:2" x14ac:dyDescent="0.45">
      <c r="A2527" t="s">
        <v>3604</v>
      </c>
      <c r="B2527" t="s">
        <v>3605</v>
      </c>
    </row>
    <row r="2528" spans="1:2" x14ac:dyDescent="0.45">
      <c r="A2528" t="s">
        <v>3614</v>
      </c>
      <c r="B2528" t="s">
        <v>3615</v>
      </c>
    </row>
    <row r="2529" spans="1:2" x14ac:dyDescent="0.45">
      <c r="A2529" t="s">
        <v>3617</v>
      </c>
      <c r="B2529" t="s">
        <v>3618</v>
      </c>
    </row>
    <row r="2530" spans="1:2" x14ac:dyDescent="0.45">
      <c r="A2530" t="s">
        <v>3627</v>
      </c>
      <c r="B2530" t="s">
        <v>3628</v>
      </c>
    </row>
    <row r="2531" spans="1:2" x14ac:dyDescent="0.45">
      <c r="A2531" t="s">
        <v>3643</v>
      </c>
      <c r="B2531" t="s">
        <v>3644</v>
      </c>
    </row>
    <row r="2532" spans="1:2" x14ac:dyDescent="0.45">
      <c r="A2532" t="s">
        <v>3647</v>
      </c>
      <c r="B2532" t="s">
        <v>3648</v>
      </c>
    </row>
    <row r="2533" spans="1:2" x14ac:dyDescent="0.45">
      <c r="A2533" t="s">
        <v>3650</v>
      </c>
      <c r="B2533" t="s">
        <v>3651</v>
      </c>
    </row>
    <row r="2534" spans="1:2" x14ac:dyDescent="0.45">
      <c r="A2534" t="s">
        <v>3657</v>
      </c>
      <c r="B2534" t="s">
        <v>3658</v>
      </c>
    </row>
    <row r="2535" spans="1:2" x14ac:dyDescent="0.45">
      <c r="A2535" t="s">
        <v>3663</v>
      </c>
      <c r="B2535" t="s">
        <v>3664</v>
      </c>
    </row>
    <row r="2536" spans="1:2" x14ac:dyDescent="0.45">
      <c r="A2536" t="s">
        <v>3666</v>
      </c>
      <c r="B2536" t="s">
        <v>3667</v>
      </c>
    </row>
    <row r="2537" spans="1:2" x14ac:dyDescent="0.45">
      <c r="A2537" t="s">
        <v>3668</v>
      </c>
      <c r="B2537" t="s">
        <v>3669</v>
      </c>
    </row>
    <row r="2538" spans="1:2" x14ac:dyDescent="0.45">
      <c r="A2538" t="s">
        <v>3670</v>
      </c>
      <c r="B2538" t="s">
        <v>3671</v>
      </c>
    </row>
    <row r="2539" spans="1:2" x14ac:dyDescent="0.45">
      <c r="A2539" t="s">
        <v>3672</v>
      </c>
      <c r="B2539" t="s">
        <v>3673</v>
      </c>
    </row>
    <row r="2540" spans="1:2" x14ac:dyDescent="0.45">
      <c r="A2540" t="s">
        <v>3687</v>
      </c>
      <c r="B2540" t="s">
        <v>3688</v>
      </c>
    </row>
    <row r="2541" spans="1:2" x14ac:dyDescent="0.45">
      <c r="A2541" t="s">
        <v>3689</v>
      </c>
      <c r="B2541" t="s">
        <v>3690</v>
      </c>
    </row>
    <row r="2542" spans="1:2" x14ac:dyDescent="0.45">
      <c r="A2542" t="s">
        <v>3692</v>
      </c>
      <c r="B2542" t="s">
        <v>3693</v>
      </c>
    </row>
    <row r="2543" spans="1:2" x14ac:dyDescent="0.45">
      <c r="A2543" t="s">
        <v>3694</v>
      </c>
      <c r="B2543" t="s">
        <v>3695</v>
      </c>
    </row>
    <row r="2544" spans="1:2" x14ac:dyDescent="0.45">
      <c r="A2544" t="s">
        <v>3696</v>
      </c>
      <c r="B2544" t="s">
        <v>3697</v>
      </c>
    </row>
    <row r="2545" spans="1:2" x14ac:dyDescent="0.45">
      <c r="A2545" t="s">
        <v>3698</v>
      </c>
      <c r="B2545" t="s">
        <v>3699</v>
      </c>
    </row>
    <row r="2546" spans="1:2" x14ac:dyDescent="0.45">
      <c r="A2546" t="s">
        <v>3700</v>
      </c>
      <c r="B2546" t="s">
        <v>3701</v>
      </c>
    </row>
    <row r="2547" spans="1:2" x14ac:dyDescent="0.45">
      <c r="A2547" t="s">
        <v>3702</v>
      </c>
      <c r="B2547" t="s">
        <v>3703</v>
      </c>
    </row>
    <row r="2548" spans="1:2" x14ac:dyDescent="0.45">
      <c r="A2548" t="s">
        <v>3705</v>
      </c>
      <c r="B2548" t="s">
        <v>3706</v>
      </c>
    </row>
    <row r="2549" spans="1:2" x14ac:dyDescent="0.45">
      <c r="A2549" t="s">
        <v>3711</v>
      </c>
      <c r="B2549" t="s">
        <v>3712</v>
      </c>
    </row>
    <row r="2550" spans="1:2" x14ac:dyDescent="0.45">
      <c r="A2550" t="s">
        <v>3713</v>
      </c>
      <c r="B2550" t="s">
        <v>3714</v>
      </c>
    </row>
    <row r="2551" spans="1:2" x14ac:dyDescent="0.45">
      <c r="A2551" t="s">
        <v>3716</v>
      </c>
      <c r="B2551" t="s">
        <v>3717</v>
      </c>
    </row>
    <row r="2552" spans="1:2" x14ac:dyDescent="0.45">
      <c r="A2552" t="s">
        <v>3721</v>
      </c>
      <c r="B2552" t="s">
        <v>3722</v>
      </c>
    </row>
    <row r="2553" spans="1:2" x14ac:dyDescent="0.45">
      <c r="A2553" t="s">
        <v>3724</v>
      </c>
      <c r="B2553" t="s">
        <v>3725</v>
      </c>
    </row>
    <row r="2554" spans="1:2" x14ac:dyDescent="0.45">
      <c r="A2554" t="s">
        <v>3726</v>
      </c>
      <c r="B2554" t="s">
        <v>3727</v>
      </c>
    </row>
    <row r="2555" spans="1:2" x14ac:dyDescent="0.45">
      <c r="A2555" t="s">
        <v>3728</v>
      </c>
      <c r="B2555" t="s">
        <v>3729</v>
      </c>
    </row>
    <row r="2556" spans="1:2" x14ac:dyDescent="0.45">
      <c r="A2556" t="s">
        <v>3731</v>
      </c>
      <c r="B2556" t="s">
        <v>3732</v>
      </c>
    </row>
    <row r="2557" spans="1:2" x14ac:dyDescent="0.45">
      <c r="A2557" t="s">
        <v>3734</v>
      </c>
      <c r="B2557" t="s">
        <v>3735</v>
      </c>
    </row>
    <row r="2558" spans="1:2" x14ac:dyDescent="0.45">
      <c r="A2558" t="s">
        <v>3737</v>
      </c>
      <c r="B2558" t="s">
        <v>3738</v>
      </c>
    </row>
    <row r="2559" spans="1:2" x14ac:dyDescent="0.45">
      <c r="A2559" t="s">
        <v>3740</v>
      </c>
      <c r="B2559" t="s">
        <v>3741</v>
      </c>
    </row>
    <row r="2560" spans="1:2" x14ac:dyDescent="0.45">
      <c r="A2560" t="s">
        <v>3742</v>
      </c>
      <c r="B2560" t="s">
        <v>3743</v>
      </c>
    </row>
    <row r="2561" spans="1:2" x14ac:dyDescent="0.45">
      <c r="A2561" t="s">
        <v>3744</v>
      </c>
      <c r="B2561" t="s">
        <v>3745</v>
      </c>
    </row>
    <row r="2562" spans="1:2" x14ac:dyDescent="0.45">
      <c r="A2562" t="s">
        <v>3747</v>
      </c>
      <c r="B2562" t="s">
        <v>3748</v>
      </c>
    </row>
    <row r="2563" spans="1:2" x14ac:dyDescent="0.45">
      <c r="A2563" t="s">
        <v>3750</v>
      </c>
      <c r="B2563" t="s">
        <v>3751</v>
      </c>
    </row>
    <row r="2564" spans="1:2" x14ac:dyDescent="0.45">
      <c r="A2564" t="s">
        <v>3753</v>
      </c>
      <c r="B2564" t="s">
        <v>3754</v>
      </c>
    </row>
    <row r="2565" spans="1:2" x14ac:dyDescent="0.45">
      <c r="A2565" t="s">
        <v>3756</v>
      </c>
      <c r="B2565" t="s">
        <v>3757</v>
      </c>
    </row>
    <row r="2566" spans="1:2" x14ac:dyDescent="0.45">
      <c r="A2566" t="s">
        <v>3759</v>
      </c>
      <c r="B2566" t="s">
        <v>3760</v>
      </c>
    </row>
    <row r="2567" spans="1:2" x14ac:dyDescent="0.45">
      <c r="A2567" t="s">
        <v>3762</v>
      </c>
      <c r="B2567" t="s">
        <v>3763</v>
      </c>
    </row>
    <row r="2568" spans="1:2" x14ac:dyDescent="0.45">
      <c r="A2568" t="s">
        <v>3765</v>
      </c>
      <c r="B2568" t="s">
        <v>3766</v>
      </c>
    </row>
    <row r="2569" spans="1:2" x14ac:dyDescent="0.45">
      <c r="A2569" t="s">
        <v>3768</v>
      </c>
      <c r="B2569" t="s">
        <v>3769</v>
      </c>
    </row>
    <row r="2570" spans="1:2" x14ac:dyDescent="0.45">
      <c r="A2570" t="s">
        <v>3771</v>
      </c>
      <c r="B2570" t="s">
        <v>3772</v>
      </c>
    </row>
    <row r="2571" spans="1:2" x14ac:dyDescent="0.45">
      <c r="A2571" t="s">
        <v>3773</v>
      </c>
      <c r="B2571" t="s">
        <v>3774</v>
      </c>
    </row>
    <row r="2572" spans="1:2" x14ac:dyDescent="0.45">
      <c r="A2572" t="s">
        <v>3775</v>
      </c>
      <c r="B2572" t="s">
        <v>3776</v>
      </c>
    </row>
    <row r="2573" spans="1:2" x14ac:dyDescent="0.45">
      <c r="A2573" t="s">
        <v>3777</v>
      </c>
      <c r="B2573" t="s">
        <v>3778</v>
      </c>
    </row>
    <row r="2574" spans="1:2" x14ac:dyDescent="0.45">
      <c r="A2574" t="s">
        <v>3779</v>
      </c>
      <c r="B2574" t="s">
        <v>3780</v>
      </c>
    </row>
    <row r="2575" spans="1:2" x14ac:dyDescent="0.45">
      <c r="A2575" t="s">
        <v>3781</v>
      </c>
      <c r="B2575" t="s">
        <v>3782</v>
      </c>
    </row>
    <row r="2576" spans="1:2" x14ac:dyDescent="0.45">
      <c r="A2576" t="s">
        <v>3783</v>
      </c>
      <c r="B2576" t="s">
        <v>3784</v>
      </c>
    </row>
    <row r="2577" spans="1:2" x14ac:dyDescent="0.45">
      <c r="A2577" t="s">
        <v>3786</v>
      </c>
      <c r="B2577" t="s">
        <v>3787</v>
      </c>
    </row>
    <row r="2578" spans="1:2" x14ac:dyDescent="0.45">
      <c r="A2578" t="s">
        <v>3788</v>
      </c>
      <c r="B2578" t="s">
        <v>3789</v>
      </c>
    </row>
    <row r="2579" spans="1:2" x14ac:dyDescent="0.45">
      <c r="A2579" t="s">
        <v>3793</v>
      </c>
      <c r="B2579" t="s">
        <v>3794</v>
      </c>
    </row>
    <row r="2580" spans="1:2" x14ac:dyDescent="0.45">
      <c r="A2580" t="s">
        <v>3799</v>
      </c>
      <c r="B2580" t="s">
        <v>3800</v>
      </c>
    </row>
    <row r="2581" spans="1:2" x14ac:dyDescent="0.45">
      <c r="A2581" t="s">
        <v>3808</v>
      </c>
      <c r="B2581" t="s">
        <v>3809</v>
      </c>
    </row>
    <row r="2582" spans="1:2" x14ac:dyDescent="0.45">
      <c r="A2582" t="s">
        <v>3811</v>
      </c>
      <c r="B2582" t="s">
        <v>3812</v>
      </c>
    </row>
    <row r="2583" spans="1:2" x14ac:dyDescent="0.45">
      <c r="A2583" t="s">
        <v>3814</v>
      </c>
      <c r="B2583" t="s">
        <v>3815</v>
      </c>
    </row>
    <row r="2584" spans="1:2" x14ac:dyDescent="0.45">
      <c r="A2584" t="s">
        <v>3820</v>
      </c>
      <c r="B2584" t="s">
        <v>3821</v>
      </c>
    </row>
    <row r="2585" spans="1:2" x14ac:dyDescent="0.45">
      <c r="A2585" t="s">
        <v>3823</v>
      </c>
      <c r="B2585" t="s">
        <v>3824</v>
      </c>
    </row>
    <row r="2586" spans="1:2" x14ac:dyDescent="0.45">
      <c r="A2586" t="s">
        <v>3826</v>
      </c>
      <c r="B2586" t="s">
        <v>3827</v>
      </c>
    </row>
    <row r="2587" spans="1:2" x14ac:dyDescent="0.45">
      <c r="A2587" t="s">
        <v>3829</v>
      </c>
      <c r="B2587" t="s">
        <v>3830</v>
      </c>
    </row>
    <row r="2588" spans="1:2" x14ac:dyDescent="0.45">
      <c r="A2588" t="s">
        <v>3832</v>
      </c>
      <c r="B2588" t="s">
        <v>3833</v>
      </c>
    </row>
    <row r="2589" spans="1:2" x14ac:dyDescent="0.45">
      <c r="A2589" t="s">
        <v>3834</v>
      </c>
      <c r="B2589" t="s">
        <v>3835</v>
      </c>
    </row>
    <row r="2590" spans="1:2" x14ac:dyDescent="0.45">
      <c r="A2590" t="s">
        <v>3842</v>
      </c>
      <c r="B2590" t="s">
        <v>3843</v>
      </c>
    </row>
    <row r="2591" spans="1:2" x14ac:dyDescent="0.45">
      <c r="A2591" t="s">
        <v>3848</v>
      </c>
      <c r="B2591" t="s">
        <v>3849</v>
      </c>
    </row>
    <row r="2592" spans="1:2" x14ac:dyDescent="0.45">
      <c r="A2592" t="s">
        <v>3851</v>
      </c>
      <c r="B2592" t="s">
        <v>3852</v>
      </c>
    </row>
    <row r="2593" spans="1:2" x14ac:dyDescent="0.45">
      <c r="A2593" t="s">
        <v>3854</v>
      </c>
      <c r="B2593" t="s">
        <v>3855</v>
      </c>
    </row>
    <row r="2594" spans="1:2" x14ac:dyDescent="0.45">
      <c r="A2594" t="s">
        <v>3857</v>
      </c>
      <c r="B2594" t="s">
        <v>3858</v>
      </c>
    </row>
    <row r="2595" spans="1:2" x14ac:dyDescent="0.45">
      <c r="A2595" t="s">
        <v>3859</v>
      </c>
      <c r="B2595" t="s">
        <v>3860</v>
      </c>
    </row>
    <row r="2596" spans="1:2" x14ac:dyDescent="0.45">
      <c r="A2596" t="s">
        <v>3866</v>
      </c>
      <c r="B2596" t="s">
        <v>3867</v>
      </c>
    </row>
    <row r="2597" spans="1:2" x14ac:dyDescent="0.45">
      <c r="A2597" t="s">
        <v>3872</v>
      </c>
      <c r="B2597" t="s">
        <v>3873</v>
      </c>
    </row>
    <row r="2598" spans="1:2" x14ac:dyDescent="0.45">
      <c r="A2598" t="s">
        <v>3874</v>
      </c>
      <c r="B2598" t="s">
        <v>3875</v>
      </c>
    </row>
    <row r="2599" spans="1:2" x14ac:dyDescent="0.45">
      <c r="A2599" t="s">
        <v>3877</v>
      </c>
      <c r="B2599" t="s">
        <v>3878</v>
      </c>
    </row>
    <row r="2600" spans="1:2" x14ac:dyDescent="0.45">
      <c r="A2600" t="s">
        <v>3879</v>
      </c>
      <c r="B2600" t="s">
        <v>3880</v>
      </c>
    </row>
    <row r="2601" spans="1:2" x14ac:dyDescent="0.45">
      <c r="A2601" t="s">
        <v>3881</v>
      </c>
      <c r="B2601" t="s">
        <v>3882</v>
      </c>
    </row>
    <row r="2602" spans="1:2" x14ac:dyDescent="0.45">
      <c r="A2602" t="s">
        <v>3884</v>
      </c>
      <c r="B2602" t="s">
        <v>3885</v>
      </c>
    </row>
    <row r="2603" spans="1:2" x14ac:dyDescent="0.45">
      <c r="A2603" t="s">
        <v>3887</v>
      </c>
      <c r="B2603" t="s">
        <v>3888</v>
      </c>
    </row>
    <row r="2604" spans="1:2" x14ac:dyDescent="0.45">
      <c r="A2604" t="s">
        <v>3889</v>
      </c>
      <c r="B2604" t="s">
        <v>3890</v>
      </c>
    </row>
    <row r="2605" spans="1:2" x14ac:dyDescent="0.45">
      <c r="A2605" t="s">
        <v>3892</v>
      </c>
      <c r="B2605" t="s">
        <v>3893</v>
      </c>
    </row>
    <row r="2606" spans="1:2" x14ac:dyDescent="0.45">
      <c r="A2606" t="s">
        <v>3894</v>
      </c>
      <c r="B2606" t="s">
        <v>3895</v>
      </c>
    </row>
    <row r="2607" spans="1:2" x14ac:dyDescent="0.45">
      <c r="A2607" t="s">
        <v>3897</v>
      </c>
      <c r="B2607" t="s">
        <v>3898</v>
      </c>
    </row>
    <row r="2608" spans="1:2" x14ac:dyDescent="0.45">
      <c r="A2608" t="s">
        <v>3899</v>
      </c>
      <c r="B2608" t="s">
        <v>3900</v>
      </c>
    </row>
    <row r="2609" spans="1:2" x14ac:dyDescent="0.45">
      <c r="A2609" t="s">
        <v>3905</v>
      </c>
      <c r="B2609" t="s">
        <v>3906</v>
      </c>
    </row>
    <row r="2610" spans="1:2" x14ac:dyDescent="0.45">
      <c r="A2610" t="s">
        <v>3907</v>
      </c>
      <c r="B2610" t="s">
        <v>3908</v>
      </c>
    </row>
    <row r="2611" spans="1:2" x14ac:dyDescent="0.45">
      <c r="A2611" t="s">
        <v>3909</v>
      </c>
      <c r="B2611" t="s">
        <v>3910</v>
      </c>
    </row>
    <row r="2612" spans="1:2" x14ac:dyDescent="0.45">
      <c r="A2612" t="s">
        <v>3911</v>
      </c>
      <c r="B2612" t="s">
        <v>3912</v>
      </c>
    </row>
    <row r="2613" spans="1:2" x14ac:dyDescent="0.45">
      <c r="A2613" t="s">
        <v>3913</v>
      </c>
      <c r="B2613" t="s">
        <v>3914</v>
      </c>
    </row>
    <row r="2614" spans="1:2" x14ac:dyDescent="0.45">
      <c r="A2614" t="s">
        <v>3916</v>
      </c>
      <c r="B2614" t="s">
        <v>3917</v>
      </c>
    </row>
    <row r="2615" spans="1:2" x14ac:dyDescent="0.45">
      <c r="A2615" t="s">
        <v>3921</v>
      </c>
      <c r="B2615" t="s">
        <v>3922</v>
      </c>
    </row>
    <row r="2616" spans="1:2" x14ac:dyDescent="0.45">
      <c r="A2616" t="s">
        <v>3923</v>
      </c>
      <c r="B2616" t="s">
        <v>3924</v>
      </c>
    </row>
    <row r="2617" spans="1:2" x14ac:dyDescent="0.45">
      <c r="A2617" t="s">
        <v>3927</v>
      </c>
      <c r="B2617" t="s">
        <v>3928</v>
      </c>
    </row>
    <row r="2618" spans="1:2" x14ac:dyDescent="0.45">
      <c r="A2618" t="s">
        <v>3929</v>
      </c>
      <c r="B2618" t="s">
        <v>3930</v>
      </c>
    </row>
    <row r="2619" spans="1:2" x14ac:dyDescent="0.45">
      <c r="A2619" t="s">
        <v>3933</v>
      </c>
      <c r="B2619" t="s">
        <v>3934</v>
      </c>
    </row>
    <row r="2620" spans="1:2" x14ac:dyDescent="0.45">
      <c r="A2620" t="s">
        <v>3936</v>
      </c>
      <c r="B2620" t="s">
        <v>3937</v>
      </c>
    </row>
    <row r="2621" spans="1:2" x14ac:dyDescent="0.45">
      <c r="A2621" t="s">
        <v>3939</v>
      </c>
      <c r="B2621" t="s">
        <v>3940</v>
      </c>
    </row>
    <row r="2622" spans="1:2" x14ac:dyDescent="0.45">
      <c r="A2622" t="s">
        <v>3944</v>
      </c>
      <c r="B2622" t="s">
        <v>3945</v>
      </c>
    </row>
    <row r="2623" spans="1:2" x14ac:dyDescent="0.45">
      <c r="A2623" t="s">
        <v>3946</v>
      </c>
      <c r="B2623" t="s">
        <v>3947</v>
      </c>
    </row>
    <row r="2624" spans="1:2" x14ac:dyDescent="0.45">
      <c r="A2624" t="s">
        <v>3949</v>
      </c>
      <c r="B2624" t="s">
        <v>3950</v>
      </c>
    </row>
    <row r="2625" spans="1:2" x14ac:dyDescent="0.45">
      <c r="A2625" t="s">
        <v>3952</v>
      </c>
      <c r="B2625" t="s">
        <v>3953</v>
      </c>
    </row>
    <row r="2626" spans="1:2" x14ac:dyDescent="0.45">
      <c r="A2626" t="s">
        <v>3954</v>
      </c>
      <c r="B2626" t="s">
        <v>3955</v>
      </c>
    </row>
    <row r="2627" spans="1:2" x14ac:dyDescent="0.45">
      <c r="A2627" t="s">
        <v>3957</v>
      </c>
      <c r="B2627" t="s">
        <v>3958</v>
      </c>
    </row>
    <row r="2628" spans="1:2" x14ac:dyDescent="0.45">
      <c r="A2628" t="s">
        <v>3960</v>
      </c>
      <c r="B2628" t="s">
        <v>3961</v>
      </c>
    </row>
    <row r="2629" spans="1:2" x14ac:dyDescent="0.45">
      <c r="A2629" t="s">
        <v>3963</v>
      </c>
      <c r="B2629" t="s">
        <v>3964</v>
      </c>
    </row>
    <row r="2630" spans="1:2" x14ac:dyDescent="0.45">
      <c r="A2630" t="s">
        <v>3966</v>
      </c>
      <c r="B2630" t="s">
        <v>3967</v>
      </c>
    </row>
    <row r="2631" spans="1:2" x14ac:dyDescent="0.45">
      <c r="A2631" t="s">
        <v>3969</v>
      </c>
      <c r="B2631" t="s">
        <v>3970</v>
      </c>
    </row>
    <row r="2632" spans="1:2" x14ac:dyDescent="0.45">
      <c r="A2632" t="s">
        <v>3981</v>
      </c>
      <c r="B2632" t="s">
        <v>3982</v>
      </c>
    </row>
    <row r="2633" spans="1:2" x14ac:dyDescent="0.45">
      <c r="A2633" t="s">
        <v>3983</v>
      </c>
      <c r="B2633" t="s">
        <v>3984</v>
      </c>
    </row>
    <row r="2634" spans="1:2" x14ac:dyDescent="0.45">
      <c r="A2634" t="s">
        <v>4007</v>
      </c>
      <c r="B2634" t="s">
        <v>4008</v>
      </c>
    </row>
    <row r="2635" spans="1:2" x14ac:dyDescent="0.45">
      <c r="A2635" t="s">
        <v>4011</v>
      </c>
      <c r="B2635" t="s">
        <v>4012</v>
      </c>
    </row>
    <row r="2636" spans="1:2" x14ac:dyDescent="0.45">
      <c r="A2636" t="s">
        <v>4016</v>
      </c>
      <c r="B2636" t="s">
        <v>4017</v>
      </c>
    </row>
    <row r="2637" spans="1:2" x14ac:dyDescent="0.45">
      <c r="A2637" t="s">
        <v>4018</v>
      </c>
      <c r="B2637" t="s">
        <v>4019</v>
      </c>
    </row>
    <row r="2638" spans="1:2" x14ac:dyDescent="0.45">
      <c r="A2638" t="s">
        <v>4021</v>
      </c>
      <c r="B2638" t="s">
        <v>4022</v>
      </c>
    </row>
    <row r="2639" spans="1:2" x14ac:dyDescent="0.45">
      <c r="A2639" t="s">
        <v>4023</v>
      </c>
      <c r="B2639" t="s">
        <v>4024</v>
      </c>
    </row>
    <row r="2640" spans="1:2" x14ac:dyDescent="0.45">
      <c r="A2640" t="s">
        <v>4026</v>
      </c>
      <c r="B2640" t="s">
        <v>4027</v>
      </c>
    </row>
    <row r="2641" spans="1:2" x14ac:dyDescent="0.45">
      <c r="A2641" t="s">
        <v>4028</v>
      </c>
      <c r="B2641" t="s">
        <v>4029</v>
      </c>
    </row>
    <row r="2642" spans="1:2" x14ac:dyDescent="0.45">
      <c r="A2642" t="s">
        <v>4030</v>
      </c>
      <c r="B2642" t="s">
        <v>4031</v>
      </c>
    </row>
    <row r="2643" spans="1:2" x14ac:dyDescent="0.45">
      <c r="A2643" t="s">
        <v>4032</v>
      </c>
      <c r="B2643" t="s">
        <v>4033</v>
      </c>
    </row>
    <row r="2644" spans="1:2" x14ac:dyDescent="0.45">
      <c r="A2644" t="s">
        <v>4038</v>
      </c>
      <c r="B2644" t="s">
        <v>4039</v>
      </c>
    </row>
    <row r="2645" spans="1:2" x14ac:dyDescent="0.45">
      <c r="A2645" t="s">
        <v>4041</v>
      </c>
      <c r="B2645" t="s">
        <v>4042</v>
      </c>
    </row>
    <row r="2646" spans="1:2" x14ac:dyDescent="0.45">
      <c r="A2646" t="s">
        <v>4044</v>
      </c>
      <c r="B2646" t="s">
        <v>4045</v>
      </c>
    </row>
    <row r="2647" spans="1:2" x14ac:dyDescent="0.45">
      <c r="A2647" t="s">
        <v>4046</v>
      </c>
      <c r="B2647" t="s">
        <v>4047</v>
      </c>
    </row>
    <row r="2648" spans="1:2" x14ac:dyDescent="0.45">
      <c r="A2648" t="s">
        <v>4049</v>
      </c>
      <c r="B2648" t="s">
        <v>4050</v>
      </c>
    </row>
    <row r="2649" spans="1:2" x14ac:dyDescent="0.45">
      <c r="A2649" t="s">
        <v>4058</v>
      </c>
      <c r="B2649" t="s">
        <v>4059</v>
      </c>
    </row>
    <row r="2650" spans="1:2" x14ac:dyDescent="0.45">
      <c r="A2650" t="s">
        <v>4066</v>
      </c>
      <c r="B2650" t="s">
        <v>4067</v>
      </c>
    </row>
    <row r="2651" spans="1:2" x14ac:dyDescent="0.45">
      <c r="A2651" t="s">
        <v>4068</v>
      </c>
      <c r="B2651" t="s">
        <v>4069</v>
      </c>
    </row>
    <row r="2652" spans="1:2" x14ac:dyDescent="0.45">
      <c r="A2652" t="s">
        <v>4072</v>
      </c>
      <c r="B2652" t="s">
        <v>4073</v>
      </c>
    </row>
    <row r="2653" spans="1:2" x14ac:dyDescent="0.45">
      <c r="A2653" t="s">
        <v>4075</v>
      </c>
      <c r="B2653" t="s">
        <v>4076</v>
      </c>
    </row>
    <row r="2654" spans="1:2" x14ac:dyDescent="0.45">
      <c r="A2654" t="s">
        <v>4078</v>
      </c>
      <c r="B2654" t="s">
        <v>4079</v>
      </c>
    </row>
    <row r="2655" spans="1:2" x14ac:dyDescent="0.45">
      <c r="A2655" t="s">
        <v>4080</v>
      </c>
      <c r="B2655" t="s">
        <v>4081</v>
      </c>
    </row>
    <row r="2656" spans="1:2" x14ac:dyDescent="0.45">
      <c r="A2656" t="s">
        <v>4085</v>
      </c>
      <c r="B2656" t="s">
        <v>4086</v>
      </c>
    </row>
    <row r="2657" spans="1:2" x14ac:dyDescent="0.45">
      <c r="A2657" t="s">
        <v>4088</v>
      </c>
      <c r="B2657" t="s">
        <v>4089</v>
      </c>
    </row>
    <row r="2658" spans="1:2" x14ac:dyDescent="0.45">
      <c r="A2658" t="s">
        <v>4090</v>
      </c>
      <c r="B2658" t="s">
        <v>4091</v>
      </c>
    </row>
    <row r="2659" spans="1:2" x14ac:dyDescent="0.45">
      <c r="A2659" t="s">
        <v>4093</v>
      </c>
      <c r="B2659" t="s">
        <v>4094</v>
      </c>
    </row>
    <row r="2660" spans="1:2" x14ac:dyDescent="0.45">
      <c r="A2660" t="s">
        <v>4095</v>
      </c>
      <c r="B2660" t="s">
        <v>4096</v>
      </c>
    </row>
    <row r="2661" spans="1:2" x14ac:dyDescent="0.45">
      <c r="A2661" t="s">
        <v>4097</v>
      </c>
      <c r="B2661" t="s">
        <v>4098</v>
      </c>
    </row>
    <row r="2662" spans="1:2" x14ac:dyDescent="0.45">
      <c r="A2662" t="s">
        <v>4106</v>
      </c>
      <c r="B2662" t="s">
        <v>4107</v>
      </c>
    </row>
    <row r="2663" spans="1:2" x14ac:dyDescent="0.45">
      <c r="A2663" t="s">
        <v>4113</v>
      </c>
      <c r="B2663" t="s">
        <v>4114</v>
      </c>
    </row>
    <row r="2664" spans="1:2" x14ac:dyDescent="0.45">
      <c r="A2664" t="s">
        <v>4120</v>
      </c>
      <c r="B2664" t="s">
        <v>4121</v>
      </c>
    </row>
    <row r="2665" spans="1:2" x14ac:dyDescent="0.45">
      <c r="A2665" t="s">
        <v>4123</v>
      </c>
      <c r="B2665" t="s">
        <v>4124</v>
      </c>
    </row>
    <row r="2666" spans="1:2" x14ac:dyDescent="0.45">
      <c r="A2666" t="s">
        <v>4125</v>
      </c>
      <c r="B2666" t="s">
        <v>4126</v>
      </c>
    </row>
    <row r="2667" spans="1:2" x14ac:dyDescent="0.45">
      <c r="A2667" t="s">
        <v>4129</v>
      </c>
      <c r="B2667" t="s">
        <v>4130</v>
      </c>
    </row>
    <row r="2668" spans="1:2" x14ac:dyDescent="0.45">
      <c r="A2668" t="s">
        <v>4135</v>
      </c>
      <c r="B2668" t="s">
        <v>4136</v>
      </c>
    </row>
    <row r="2669" spans="1:2" x14ac:dyDescent="0.45">
      <c r="A2669" t="s">
        <v>4137</v>
      </c>
      <c r="B2669" t="s">
        <v>4138</v>
      </c>
    </row>
    <row r="2670" spans="1:2" x14ac:dyDescent="0.45">
      <c r="A2670" t="s">
        <v>4139</v>
      </c>
      <c r="B2670" t="s">
        <v>4140</v>
      </c>
    </row>
    <row r="2671" spans="1:2" x14ac:dyDescent="0.45">
      <c r="A2671" t="s">
        <v>4143</v>
      </c>
      <c r="B2671" t="s">
        <v>4144</v>
      </c>
    </row>
    <row r="2672" spans="1:2" x14ac:dyDescent="0.45">
      <c r="A2672" t="s">
        <v>4146</v>
      </c>
      <c r="B2672" t="s">
        <v>4147</v>
      </c>
    </row>
    <row r="2673" spans="1:2" x14ac:dyDescent="0.45">
      <c r="A2673" t="s">
        <v>4149</v>
      </c>
      <c r="B2673" t="s">
        <v>4150</v>
      </c>
    </row>
    <row r="2674" spans="1:2" x14ac:dyDescent="0.45">
      <c r="A2674" t="s">
        <v>4151</v>
      </c>
      <c r="B2674" t="s">
        <v>4152</v>
      </c>
    </row>
    <row r="2675" spans="1:2" x14ac:dyDescent="0.45">
      <c r="A2675" t="s">
        <v>4153</v>
      </c>
      <c r="B2675" t="s">
        <v>4154</v>
      </c>
    </row>
    <row r="2676" spans="1:2" x14ac:dyDescent="0.45">
      <c r="A2676" t="s">
        <v>4156</v>
      </c>
      <c r="B2676" t="s">
        <v>4157</v>
      </c>
    </row>
    <row r="2677" spans="1:2" x14ac:dyDescent="0.45">
      <c r="A2677" t="s">
        <v>4159</v>
      </c>
      <c r="B2677" t="s">
        <v>4160</v>
      </c>
    </row>
    <row r="2678" spans="1:2" x14ac:dyDescent="0.45">
      <c r="A2678" t="s">
        <v>4161</v>
      </c>
      <c r="B2678" t="s">
        <v>4162</v>
      </c>
    </row>
    <row r="2679" spans="1:2" x14ac:dyDescent="0.45">
      <c r="A2679" t="s">
        <v>4172</v>
      </c>
      <c r="B2679" t="s">
        <v>4173</v>
      </c>
    </row>
    <row r="2680" spans="1:2" x14ac:dyDescent="0.45">
      <c r="A2680" t="s">
        <v>4176</v>
      </c>
      <c r="B2680" t="s">
        <v>4177</v>
      </c>
    </row>
    <row r="2681" spans="1:2" x14ac:dyDescent="0.45">
      <c r="A2681" t="s">
        <v>4178</v>
      </c>
      <c r="B2681" t="s">
        <v>4179</v>
      </c>
    </row>
    <row r="2682" spans="1:2" x14ac:dyDescent="0.45">
      <c r="A2682" t="s">
        <v>4180</v>
      </c>
      <c r="B2682" t="s">
        <v>4181</v>
      </c>
    </row>
    <row r="2683" spans="1:2" x14ac:dyDescent="0.45">
      <c r="A2683" t="s">
        <v>4182</v>
      </c>
      <c r="B2683" t="s">
        <v>4183</v>
      </c>
    </row>
    <row r="2684" spans="1:2" x14ac:dyDescent="0.45">
      <c r="A2684" t="s">
        <v>4184</v>
      </c>
      <c r="B2684" t="s">
        <v>4185</v>
      </c>
    </row>
    <row r="2685" spans="1:2" x14ac:dyDescent="0.45">
      <c r="A2685" t="s">
        <v>4189</v>
      </c>
      <c r="B2685" t="s">
        <v>4190</v>
      </c>
    </row>
    <row r="2686" spans="1:2" x14ac:dyDescent="0.45">
      <c r="A2686" t="s">
        <v>4197</v>
      </c>
      <c r="B2686" t="s">
        <v>4198</v>
      </c>
    </row>
    <row r="2687" spans="1:2" x14ac:dyDescent="0.45">
      <c r="A2687" t="s">
        <v>4201</v>
      </c>
      <c r="B2687" t="s">
        <v>4202</v>
      </c>
    </row>
    <row r="2688" spans="1:2" x14ac:dyDescent="0.45">
      <c r="A2688" t="s">
        <v>4206</v>
      </c>
      <c r="B2688" t="s">
        <v>4207</v>
      </c>
    </row>
    <row r="2689" spans="1:2" x14ac:dyDescent="0.45">
      <c r="A2689" t="s">
        <v>4211</v>
      </c>
      <c r="B2689" t="s">
        <v>4212</v>
      </c>
    </row>
    <row r="2690" spans="1:2" x14ac:dyDescent="0.45">
      <c r="A2690" t="s">
        <v>4213</v>
      </c>
      <c r="B2690" t="s">
        <v>4214</v>
      </c>
    </row>
    <row r="2691" spans="1:2" x14ac:dyDescent="0.45">
      <c r="A2691" t="s">
        <v>4215</v>
      </c>
      <c r="B2691" t="s">
        <v>4216</v>
      </c>
    </row>
    <row r="2692" spans="1:2" x14ac:dyDescent="0.45">
      <c r="A2692" t="s">
        <v>4219</v>
      </c>
      <c r="B2692" t="s">
        <v>4220</v>
      </c>
    </row>
    <row r="2693" spans="1:2" x14ac:dyDescent="0.45">
      <c r="A2693" t="s">
        <v>4229</v>
      </c>
      <c r="B2693" t="s">
        <v>4230</v>
      </c>
    </row>
    <row r="2694" spans="1:2" x14ac:dyDescent="0.45">
      <c r="A2694" t="s">
        <v>4239</v>
      </c>
      <c r="B2694" t="s">
        <v>4240</v>
      </c>
    </row>
    <row r="2695" spans="1:2" x14ac:dyDescent="0.45">
      <c r="A2695" t="s">
        <v>4241</v>
      </c>
      <c r="B2695" t="s">
        <v>4242</v>
      </c>
    </row>
    <row r="2696" spans="1:2" x14ac:dyDescent="0.45">
      <c r="A2696" t="s">
        <v>4243</v>
      </c>
      <c r="B2696" t="s">
        <v>4244</v>
      </c>
    </row>
    <row r="2697" spans="1:2" x14ac:dyDescent="0.45">
      <c r="A2697" t="s">
        <v>4248</v>
      </c>
      <c r="B2697" t="s">
        <v>4249</v>
      </c>
    </row>
    <row r="2698" spans="1:2" x14ac:dyDescent="0.45">
      <c r="A2698" t="s">
        <v>4251</v>
      </c>
      <c r="B2698" t="s">
        <v>4252</v>
      </c>
    </row>
    <row r="2699" spans="1:2" x14ac:dyDescent="0.45">
      <c r="A2699" t="s">
        <v>4255</v>
      </c>
      <c r="B2699" t="s">
        <v>4256</v>
      </c>
    </row>
    <row r="2700" spans="1:2" x14ac:dyDescent="0.45">
      <c r="A2700" t="s">
        <v>4257</v>
      </c>
      <c r="B2700" t="s">
        <v>4258</v>
      </c>
    </row>
    <row r="2701" spans="1:2" x14ac:dyDescent="0.45">
      <c r="A2701" t="s">
        <v>4260</v>
      </c>
      <c r="B2701" t="s">
        <v>4261</v>
      </c>
    </row>
    <row r="2702" spans="1:2" x14ac:dyDescent="0.45">
      <c r="A2702" t="s">
        <v>4290</v>
      </c>
      <c r="B2702" t="s">
        <v>4291</v>
      </c>
    </row>
    <row r="2703" spans="1:2" x14ac:dyDescent="0.45">
      <c r="A2703" t="s">
        <v>4296</v>
      </c>
      <c r="B2703" t="s">
        <v>4297</v>
      </c>
    </row>
    <row r="2704" spans="1:2" x14ac:dyDescent="0.45">
      <c r="A2704" t="s">
        <v>4299</v>
      </c>
      <c r="B2704" t="s">
        <v>4300</v>
      </c>
    </row>
    <row r="2705" spans="1:2" x14ac:dyDescent="0.45">
      <c r="A2705" t="s">
        <v>4301</v>
      </c>
      <c r="B2705" t="s">
        <v>4302</v>
      </c>
    </row>
    <row r="2706" spans="1:2" x14ac:dyDescent="0.45">
      <c r="A2706" t="s">
        <v>4304</v>
      </c>
      <c r="B2706" t="s">
        <v>4305</v>
      </c>
    </row>
    <row r="2707" spans="1:2" x14ac:dyDescent="0.45">
      <c r="A2707" t="s">
        <v>4310</v>
      </c>
      <c r="B2707" t="s">
        <v>4311</v>
      </c>
    </row>
    <row r="2708" spans="1:2" x14ac:dyDescent="0.45">
      <c r="A2708" t="s">
        <v>4320</v>
      </c>
      <c r="B2708" t="s">
        <v>4321</v>
      </c>
    </row>
    <row r="2709" spans="1:2" x14ac:dyDescent="0.45">
      <c r="A2709" t="s">
        <v>4323</v>
      </c>
      <c r="B2709" t="s">
        <v>4324</v>
      </c>
    </row>
    <row r="2710" spans="1:2" x14ac:dyDescent="0.45">
      <c r="A2710" t="s">
        <v>4326</v>
      </c>
      <c r="B2710" t="s">
        <v>4327</v>
      </c>
    </row>
    <row r="2711" spans="1:2" x14ac:dyDescent="0.45">
      <c r="A2711" t="s">
        <v>4328</v>
      </c>
      <c r="B2711" t="s">
        <v>4329</v>
      </c>
    </row>
    <row r="2712" spans="1:2" x14ac:dyDescent="0.45">
      <c r="A2712" t="s">
        <v>4330</v>
      </c>
      <c r="B2712" t="s">
        <v>4331</v>
      </c>
    </row>
    <row r="2713" spans="1:2" x14ac:dyDescent="0.45">
      <c r="A2713" t="s">
        <v>4332</v>
      </c>
      <c r="B2713" t="s">
        <v>4333</v>
      </c>
    </row>
    <row r="2714" spans="1:2" x14ac:dyDescent="0.45">
      <c r="A2714" t="s">
        <v>4334</v>
      </c>
      <c r="B2714" t="s">
        <v>4335</v>
      </c>
    </row>
    <row r="2715" spans="1:2" x14ac:dyDescent="0.45">
      <c r="A2715" t="s">
        <v>4337</v>
      </c>
      <c r="B2715" t="s">
        <v>4338</v>
      </c>
    </row>
    <row r="2716" spans="1:2" x14ac:dyDescent="0.45">
      <c r="A2716" t="s">
        <v>4339</v>
      </c>
      <c r="B2716" t="s">
        <v>4340</v>
      </c>
    </row>
    <row r="2717" spans="1:2" x14ac:dyDescent="0.45">
      <c r="A2717" t="s">
        <v>4342</v>
      </c>
      <c r="B2717" t="s">
        <v>4343</v>
      </c>
    </row>
    <row r="2718" spans="1:2" x14ac:dyDescent="0.45">
      <c r="A2718" t="s">
        <v>4344</v>
      </c>
      <c r="B2718" t="s">
        <v>4345</v>
      </c>
    </row>
    <row r="2719" spans="1:2" x14ac:dyDescent="0.45">
      <c r="A2719" t="s">
        <v>4346</v>
      </c>
      <c r="B2719" t="s">
        <v>4347</v>
      </c>
    </row>
    <row r="2720" spans="1:2" x14ac:dyDescent="0.45">
      <c r="A2720" t="s">
        <v>4348</v>
      </c>
      <c r="B2720" t="s">
        <v>4349</v>
      </c>
    </row>
    <row r="2721" spans="1:2" x14ac:dyDescent="0.45">
      <c r="A2721" t="s">
        <v>4350</v>
      </c>
      <c r="B2721" t="s">
        <v>4351</v>
      </c>
    </row>
    <row r="2722" spans="1:2" x14ac:dyDescent="0.45">
      <c r="A2722" t="s">
        <v>4353</v>
      </c>
      <c r="B2722" t="s">
        <v>4354</v>
      </c>
    </row>
    <row r="2723" spans="1:2" x14ac:dyDescent="0.45">
      <c r="A2723" t="s">
        <v>4355</v>
      </c>
      <c r="B2723" t="s">
        <v>4356</v>
      </c>
    </row>
    <row r="2724" spans="1:2" x14ac:dyDescent="0.45">
      <c r="A2724" t="s">
        <v>4358</v>
      </c>
      <c r="B2724" t="s">
        <v>4359</v>
      </c>
    </row>
    <row r="2725" spans="1:2" x14ac:dyDescent="0.45">
      <c r="A2725" t="s">
        <v>4361</v>
      </c>
      <c r="B2725" t="s">
        <v>4362</v>
      </c>
    </row>
    <row r="2726" spans="1:2" x14ac:dyDescent="0.45">
      <c r="A2726" t="s">
        <v>4364</v>
      </c>
      <c r="B2726" t="s">
        <v>4365</v>
      </c>
    </row>
    <row r="2727" spans="1:2" x14ac:dyDescent="0.45">
      <c r="A2727" t="s">
        <v>4367</v>
      </c>
      <c r="B2727" t="s">
        <v>4368</v>
      </c>
    </row>
    <row r="2728" spans="1:2" x14ac:dyDescent="0.45">
      <c r="A2728" t="s">
        <v>4374</v>
      </c>
      <c r="B2728" t="s">
        <v>4375</v>
      </c>
    </row>
    <row r="2729" spans="1:2" x14ac:dyDescent="0.45">
      <c r="A2729" t="s">
        <v>4377</v>
      </c>
      <c r="B2729" t="s">
        <v>4378</v>
      </c>
    </row>
    <row r="2730" spans="1:2" x14ac:dyDescent="0.45">
      <c r="A2730" t="s">
        <v>4379</v>
      </c>
      <c r="B2730" t="s">
        <v>4380</v>
      </c>
    </row>
    <row r="2731" spans="1:2" x14ac:dyDescent="0.45">
      <c r="A2731" t="s">
        <v>4381</v>
      </c>
      <c r="B2731" t="s">
        <v>4382</v>
      </c>
    </row>
    <row r="2732" spans="1:2" x14ac:dyDescent="0.45">
      <c r="A2732" t="s">
        <v>4383</v>
      </c>
      <c r="B2732" t="s">
        <v>4384</v>
      </c>
    </row>
    <row r="2733" spans="1:2" x14ac:dyDescent="0.45">
      <c r="A2733" t="s">
        <v>4387</v>
      </c>
      <c r="B2733" t="s">
        <v>4388</v>
      </c>
    </row>
    <row r="2734" spans="1:2" x14ac:dyDescent="0.45">
      <c r="A2734" t="s">
        <v>4390</v>
      </c>
      <c r="B2734" t="s">
        <v>4391</v>
      </c>
    </row>
    <row r="2735" spans="1:2" x14ac:dyDescent="0.45">
      <c r="A2735" t="s">
        <v>4393</v>
      </c>
      <c r="B2735" t="s">
        <v>4394</v>
      </c>
    </row>
    <row r="2736" spans="1:2" x14ac:dyDescent="0.45">
      <c r="A2736" t="s">
        <v>4396</v>
      </c>
      <c r="B2736" t="s">
        <v>4397</v>
      </c>
    </row>
    <row r="2737" spans="1:2" x14ac:dyDescent="0.45">
      <c r="A2737" t="s">
        <v>4398</v>
      </c>
      <c r="B2737" t="s">
        <v>4399</v>
      </c>
    </row>
    <row r="2738" spans="1:2" x14ac:dyDescent="0.45">
      <c r="A2738" t="s">
        <v>4401</v>
      </c>
      <c r="B2738" t="s">
        <v>4402</v>
      </c>
    </row>
    <row r="2739" spans="1:2" x14ac:dyDescent="0.45">
      <c r="A2739" t="s">
        <v>4403</v>
      </c>
      <c r="B2739" t="s">
        <v>4404</v>
      </c>
    </row>
    <row r="2740" spans="1:2" x14ac:dyDescent="0.45">
      <c r="A2740" t="s">
        <v>4405</v>
      </c>
      <c r="B2740" t="s">
        <v>4406</v>
      </c>
    </row>
    <row r="2741" spans="1:2" x14ac:dyDescent="0.45">
      <c r="A2741" t="s">
        <v>4407</v>
      </c>
      <c r="B2741" t="s">
        <v>4408</v>
      </c>
    </row>
    <row r="2742" spans="1:2" x14ac:dyDescent="0.45">
      <c r="A2742" t="s">
        <v>4409</v>
      </c>
      <c r="B2742" t="s">
        <v>4410</v>
      </c>
    </row>
    <row r="2743" spans="1:2" x14ac:dyDescent="0.45">
      <c r="A2743" t="s">
        <v>4412</v>
      </c>
      <c r="B2743" t="s">
        <v>4413</v>
      </c>
    </row>
    <row r="2744" spans="1:2" x14ac:dyDescent="0.45">
      <c r="A2744" t="s">
        <v>4414</v>
      </c>
      <c r="B2744" t="s">
        <v>4415</v>
      </c>
    </row>
    <row r="2745" spans="1:2" x14ac:dyDescent="0.45">
      <c r="A2745" t="s">
        <v>4416</v>
      </c>
      <c r="B2745" t="s">
        <v>4417</v>
      </c>
    </row>
    <row r="2746" spans="1:2" x14ac:dyDescent="0.45">
      <c r="A2746" t="s">
        <v>4418</v>
      </c>
      <c r="B2746" t="s">
        <v>4419</v>
      </c>
    </row>
    <row r="2747" spans="1:2" x14ac:dyDescent="0.45">
      <c r="A2747" t="s">
        <v>4421</v>
      </c>
      <c r="B2747" t="s">
        <v>4422</v>
      </c>
    </row>
    <row r="2748" spans="1:2" x14ac:dyDescent="0.45">
      <c r="A2748" t="s">
        <v>4423</v>
      </c>
      <c r="B2748" t="s">
        <v>4424</v>
      </c>
    </row>
    <row r="2749" spans="1:2" x14ac:dyDescent="0.45">
      <c r="A2749" t="s">
        <v>4425</v>
      </c>
      <c r="B2749" t="s">
        <v>4426</v>
      </c>
    </row>
    <row r="2750" spans="1:2" x14ac:dyDescent="0.45">
      <c r="A2750" t="s">
        <v>4427</v>
      </c>
      <c r="B2750" t="s">
        <v>4428</v>
      </c>
    </row>
    <row r="2751" spans="1:2" x14ac:dyDescent="0.45">
      <c r="A2751" t="s">
        <v>4430</v>
      </c>
      <c r="B2751" t="s">
        <v>4431</v>
      </c>
    </row>
    <row r="2752" spans="1:2" x14ac:dyDescent="0.45">
      <c r="A2752" t="s">
        <v>4432</v>
      </c>
      <c r="B2752" t="s">
        <v>4433</v>
      </c>
    </row>
    <row r="2753" spans="1:2" x14ac:dyDescent="0.45">
      <c r="A2753" t="s">
        <v>4435</v>
      </c>
      <c r="B2753" t="s">
        <v>4436</v>
      </c>
    </row>
    <row r="2754" spans="1:2" x14ac:dyDescent="0.45">
      <c r="A2754" t="s">
        <v>4437</v>
      </c>
      <c r="B2754" t="s">
        <v>4438</v>
      </c>
    </row>
    <row r="2755" spans="1:2" x14ac:dyDescent="0.45">
      <c r="A2755" t="s">
        <v>4440</v>
      </c>
      <c r="B2755" t="s">
        <v>4441</v>
      </c>
    </row>
    <row r="2756" spans="1:2" x14ac:dyDescent="0.45">
      <c r="A2756" t="s">
        <v>4443</v>
      </c>
      <c r="B2756" t="s">
        <v>4444</v>
      </c>
    </row>
    <row r="2757" spans="1:2" x14ac:dyDescent="0.45">
      <c r="A2757" t="s">
        <v>4446</v>
      </c>
      <c r="B2757" t="s">
        <v>4447</v>
      </c>
    </row>
    <row r="2758" spans="1:2" x14ac:dyDescent="0.45">
      <c r="A2758" t="s">
        <v>4449</v>
      </c>
      <c r="B2758" t="s">
        <v>4450</v>
      </c>
    </row>
    <row r="2759" spans="1:2" x14ac:dyDescent="0.45">
      <c r="A2759" t="s">
        <v>4452</v>
      </c>
      <c r="B2759" t="s">
        <v>4453</v>
      </c>
    </row>
    <row r="2760" spans="1:2" x14ac:dyDescent="0.45">
      <c r="A2760" t="s">
        <v>4454</v>
      </c>
      <c r="B2760" t="s">
        <v>4455</v>
      </c>
    </row>
    <row r="2761" spans="1:2" x14ac:dyDescent="0.45">
      <c r="A2761" t="s">
        <v>4456</v>
      </c>
      <c r="B2761" t="s">
        <v>4457</v>
      </c>
    </row>
    <row r="2762" spans="1:2" x14ac:dyDescent="0.45">
      <c r="A2762" t="s">
        <v>4458</v>
      </c>
      <c r="B2762" t="s">
        <v>4459</v>
      </c>
    </row>
    <row r="2763" spans="1:2" x14ac:dyDescent="0.45">
      <c r="A2763" t="s">
        <v>4461</v>
      </c>
      <c r="B2763" t="s">
        <v>4462</v>
      </c>
    </row>
    <row r="2764" spans="1:2" x14ac:dyDescent="0.45">
      <c r="A2764" t="s">
        <v>4463</v>
      </c>
      <c r="B2764" t="s">
        <v>4464</v>
      </c>
    </row>
    <row r="2765" spans="1:2" x14ac:dyDescent="0.45">
      <c r="A2765" t="s">
        <v>4465</v>
      </c>
      <c r="B2765" t="s">
        <v>4466</v>
      </c>
    </row>
    <row r="2766" spans="1:2" x14ac:dyDescent="0.45">
      <c r="A2766" t="s">
        <v>4467</v>
      </c>
      <c r="B2766" t="s">
        <v>4468</v>
      </c>
    </row>
    <row r="2767" spans="1:2" x14ac:dyDescent="0.45">
      <c r="A2767" t="s">
        <v>4469</v>
      </c>
      <c r="B2767" t="s">
        <v>4470</v>
      </c>
    </row>
    <row r="2768" spans="1:2" x14ac:dyDescent="0.45">
      <c r="A2768" t="s">
        <v>4471</v>
      </c>
      <c r="B2768" t="s">
        <v>4472</v>
      </c>
    </row>
    <row r="2769" spans="1:2" x14ac:dyDescent="0.45">
      <c r="A2769" t="s">
        <v>4473</v>
      </c>
      <c r="B2769" t="s">
        <v>4474</v>
      </c>
    </row>
    <row r="2770" spans="1:2" x14ac:dyDescent="0.45">
      <c r="A2770" t="s">
        <v>4476</v>
      </c>
      <c r="B2770" t="s">
        <v>4477</v>
      </c>
    </row>
    <row r="2771" spans="1:2" x14ac:dyDescent="0.45">
      <c r="A2771" t="s">
        <v>4479</v>
      </c>
      <c r="B2771" t="s">
        <v>4480</v>
      </c>
    </row>
    <row r="2772" spans="1:2" x14ac:dyDescent="0.45">
      <c r="A2772" t="s">
        <v>4484</v>
      </c>
      <c r="B2772" t="s">
        <v>4485</v>
      </c>
    </row>
    <row r="2773" spans="1:2" x14ac:dyDescent="0.45">
      <c r="A2773" t="s">
        <v>4486</v>
      </c>
      <c r="B2773" t="s">
        <v>4487</v>
      </c>
    </row>
    <row r="2774" spans="1:2" x14ac:dyDescent="0.45">
      <c r="A2774" t="s">
        <v>4488</v>
      </c>
      <c r="B2774" t="s">
        <v>4489</v>
      </c>
    </row>
    <row r="2775" spans="1:2" x14ac:dyDescent="0.45">
      <c r="A2775" t="s">
        <v>4493</v>
      </c>
      <c r="B2775" t="s">
        <v>4494</v>
      </c>
    </row>
    <row r="2776" spans="1:2" x14ac:dyDescent="0.45">
      <c r="A2776" t="s">
        <v>4495</v>
      </c>
      <c r="B2776" t="s">
        <v>4496</v>
      </c>
    </row>
    <row r="2777" spans="1:2" x14ac:dyDescent="0.45">
      <c r="A2777" t="s">
        <v>4497</v>
      </c>
      <c r="B2777" t="s">
        <v>4498</v>
      </c>
    </row>
    <row r="2778" spans="1:2" x14ac:dyDescent="0.45">
      <c r="A2778" t="s">
        <v>4502</v>
      </c>
      <c r="B2778" t="s">
        <v>4503</v>
      </c>
    </row>
    <row r="2779" spans="1:2" x14ac:dyDescent="0.45">
      <c r="A2779" t="s">
        <v>4507</v>
      </c>
      <c r="B2779" t="s">
        <v>4508</v>
      </c>
    </row>
    <row r="2780" spans="1:2" x14ac:dyDescent="0.45">
      <c r="A2780" t="s">
        <v>4516</v>
      </c>
      <c r="B2780" t="s">
        <v>4517</v>
      </c>
    </row>
    <row r="2781" spans="1:2" x14ac:dyDescent="0.45">
      <c r="A2781" t="s">
        <v>4525</v>
      </c>
      <c r="B2781" t="s">
        <v>4526</v>
      </c>
    </row>
    <row r="2782" spans="1:2" x14ac:dyDescent="0.45">
      <c r="A2782" t="s">
        <v>4531</v>
      </c>
      <c r="B2782" t="s">
        <v>4532</v>
      </c>
    </row>
    <row r="2783" spans="1:2" x14ac:dyDescent="0.45">
      <c r="A2783" t="s">
        <v>4534</v>
      </c>
      <c r="B2783" t="s">
        <v>4535</v>
      </c>
    </row>
    <row r="2784" spans="1:2" x14ac:dyDescent="0.45">
      <c r="A2784" t="s">
        <v>4537</v>
      </c>
      <c r="B2784" t="s">
        <v>4538</v>
      </c>
    </row>
    <row r="2785" spans="1:2" x14ac:dyDescent="0.45">
      <c r="A2785" t="s">
        <v>4542</v>
      </c>
      <c r="B2785" t="s">
        <v>4543</v>
      </c>
    </row>
    <row r="2786" spans="1:2" x14ac:dyDescent="0.45">
      <c r="A2786" t="s">
        <v>4546</v>
      </c>
      <c r="B2786" t="s">
        <v>4547</v>
      </c>
    </row>
    <row r="2787" spans="1:2" x14ac:dyDescent="0.45">
      <c r="A2787" t="s">
        <v>4549</v>
      </c>
      <c r="B2787" t="s">
        <v>4550</v>
      </c>
    </row>
    <row r="2788" spans="1:2" x14ac:dyDescent="0.45">
      <c r="A2788" t="s">
        <v>4551</v>
      </c>
      <c r="B2788" t="s">
        <v>4552</v>
      </c>
    </row>
    <row r="2789" spans="1:2" x14ac:dyDescent="0.45">
      <c r="A2789" t="s">
        <v>4574</v>
      </c>
      <c r="B2789" t="s">
        <v>4575</v>
      </c>
    </row>
    <row r="2790" spans="1:2" x14ac:dyDescent="0.45">
      <c r="A2790" t="s">
        <v>4577</v>
      </c>
      <c r="B2790" t="s">
        <v>4578</v>
      </c>
    </row>
    <row r="2791" spans="1:2" x14ac:dyDescent="0.45">
      <c r="A2791" t="s">
        <v>4585</v>
      </c>
      <c r="B2791" t="s">
        <v>4586</v>
      </c>
    </row>
    <row r="2792" spans="1:2" x14ac:dyDescent="0.45">
      <c r="A2792" t="s">
        <v>4601</v>
      </c>
      <c r="B2792" t="s">
        <v>4602</v>
      </c>
    </row>
    <row r="2793" spans="1:2" x14ac:dyDescent="0.45">
      <c r="A2793" t="s">
        <v>4603</v>
      </c>
      <c r="B2793" t="s">
        <v>4604</v>
      </c>
    </row>
    <row r="2794" spans="1:2" x14ac:dyDescent="0.45">
      <c r="A2794" t="s">
        <v>4605</v>
      </c>
      <c r="B2794" t="s">
        <v>4606</v>
      </c>
    </row>
    <row r="2795" spans="1:2" x14ac:dyDescent="0.45">
      <c r="A2795" t="s">
        <v>4607</v>
      </c>
      <c r="B2795" t="s">
        <v>4608</v>
      </c>
    </row>
    <row r="2796" spans="1:2" x14ac:dyDescent="0.45">
      <c r="A2796" t="s">
        <v>4609</v>
      </c>
      <c r="B2796" t="s">
        <v>4610</v>
      </c>
    </row>
    <row r="2797" spans="1:2" x14ac:dyDescent="0.45">
      <c r="A2797" t="s">
        <v>4611</v>
      </c>
      <c r="B2797" t="s">
        <v>4612</v>
      </c>
    </row>
    <row r="2798" spans="1:2" x14ac:dyDescent="0.45">
      <c r="A2798" t="s">
        <v>4613</v>
      </c>
      <c r="B2798" t="s">
        <v>4614</v>
      </c>
    </row>
    <row r="2799" spans="1:2" x14ac:dyDescent="0.45">
      <c r="A2799" t="s">
        <v>4615</v>
      </c>
      <c r="B2799" t="s">
        <v>4616</v>
      </c>
    </row>
    <row r="2800" spans="1:2" x14ac:dyDescent="0.45">
      <c r="A2800" t="s">
        <v>4617</v>
      </c>
      <c r="B2800" t="s">
        <v>4618</v>
      </c>
    </row>
    <row r="2801" spans="1:2" x14ac:dyDescent="0.45">
      <c r="A2801" t="s">
        <v>4623</v>
      </c>
      <c r="B2801" t="s">
        <v>4624</v>
      </c>
    </row>
    <row r="2802" spans="1:2" x14ac:dyDescent="0.45">
      <c r="A2802" t="s">
        <v>4625</v>
      </c>
      <c r="B2802" t="s">
        <v>4626</v>
      </c>
    </row>
    <row r="2803" spans="1:2" x14ac:dyDescent="0.45">
      <c r="A2803" t="s">
        <v>4628</v>
      </c>
      <c r="B2803" t="s">
        <v>4629</v>
      </c>
    </row>
    <row r="2804" spans="1:2" x14ac:dyDescent="0.45">
      <c r="A2804" t="s">
        <v>4633</v>
      </c>
      <c r="B2804" t="s">
        <v>4634</v>
      </c>
    </row>
    <row r="2805" spans="1:2" x14ac:dyDescent="0.45">
      <c r="A2805" t="s">
        <v>4635</v>
      </c>
      <c r="B2805" t="s">
        <v>4636</v>
      </c>
    </row>
    <row r="2806" spans="1:2" x14ac:dyDescent="0.45">
      <c r="A2806" t="s">
        <v>4637</v>
      </c>
      <c r="B2806" t="s">
        <v>4638</v>
      </c>
    </row>
    <row r="2807" spans="1:2" x14ac:dyDescent="0.45">
      <c r="A2807" t="s">
        <v>4639</v>
      </c>
      <c r="B2807" t="s">
        <v>4640</v>
      </c>
    </row>
    <row r="2808" spans="1:2" x14ac:dyDescent="0.45">
      <c r="A2808" t="s">
        <v>4641</v>
      </c>
      <c r="B2808" t="s">
        <v>4642</v>
      </c>
    </row>
    <row r="2809" spans="1:2" x14ac:dyDescent="0.45">
      <c r="A2809" t="s">
        <v>4644</v>
      </c>
      <c r="B2809" t="s">
        <v>4645</v>
      </c>
    </row>
    <row r="2810" spans="1:2" x14ac:dyDescent="0.45">
      <c r="A2810" t="s">
        <v>4647</v>
      </c>
      <c r="B2810" t="s">
        <v>4648</v>
      </c>
    </row>
    <row r="2811" spans="1:2" x14ac:dyDescent="0.45">
      <c r="A2811" t="s">
        <v>4651</v>
      </c>
      <c r="B2811" t="s">
        <v>4652</v>
      </c>
    </row>
    <row r="2812" spans="1:2" x14ac:dyDescent="0.45">
      <c r="A2812" t="s">
        <v>4655</v>
      </c>
      <c r="B2812" t="s">
        <v>4656</v>
      </c>
    </row>
    <row r="2813" spans="1:2" x14ac:dyDescent="0.45">
      <c r="A2813" t="s">
        <v>4661</v>
      </c>
      <c r="B2813" t="s">
        <v>4662</v>
      </c>
    </row>
    <row r="2814" spans="1:2" x14ac:dyDescent="0.45">
      <c r="A2814" t="s">
        <v>4665</v>
      </c>
      <c r="B2814" t="s">
        <v>4666</v>
      </c>
    </row>
    <row r="2815" spans="1:2" x14ac:dyDescent="0.45">
      <c r="A2815" t="s">
        <v>4668</v>
      </c>
      <c r="B2815" t="s">
        <v>4669</v>
      </c>
    </row>
    <row r="2816" spans="1:2" x14ac:dyDescent="0.45">
      <c r="A2816" t="s">
        <v>4670</v>
      </c>
      <c r="B2816" t="s">
        <v>4671</v>
      </c>
    </row>
    <row r="2817" spans="1:2" x14ac:dyDescent="0.45">
      <c r="A2817" t="s">
        <v>4678</v>
      </c>
      <c r="B2817" t="s">
        <v>4679</v>
      </c>
    </row>
    <row r="2818" spans="1:2" x14ac:dyDescent="0.45">
      <c r="A2818" t="s">
        <v>4681</v>
      </c>
      <c r="B2818" t="s">
        <v>4682</v>
      </c>
    </row>
    <row r="2819" spans="1:2" x14ac:dyDescent="0.45">
      <c r="A2819" t="s">
        <v>4683</v>
      </c>
      <c r="B2819" t="s">
        <v>4684</v>
      </c>
    </row>
    <row r="2820" spans="1:2" x14ac:dyDescent="0.45">
      <c r="A2820" t="s">
        <v>4685</v>
      </c>
      <c r="B2820" t="s">
        <v>4686</v>
      </c>
    </row>
    <row r="2821" spans="1:2" x14ac:dyDescent="0.45">
      <c r="A2821" t="s">
        <v>4691</v>
      </c>
      <c r="B2821" t="s">
        <v>4692</v>
      </c>
    </row>
    <row r="2822" spans="1:2" x14ac:dyDescent="0.45">
      <c r="A2822" t="s">
        <v>4694</v>
      </c>
      <c r="B2822" t="s">
        <v>4695</v>
      </c>
    </row>
    <row r="2823" spans="1:2" x14ac:dyDescent="0.45">
      <c r="A2823" t="s">
        <v>4697</v>
      </c>
      <c r="B2823" t="s">
        <v>4698</v>
      </c>
    </row>
    <row r="2824" spans="1:2" x14ac:dyDescent="0.45">
      <c r="A2824" t="s">
        <v>4700</v>
      </c>
      <c r="B2824" t="s">
        <v>4701</v>
      </c>
    </row>
    <row r="2825" spans="1:2" x14ac:dyDescent="0.45">
      <c r="A2825" t="s">
        <v>4708</v>
      </c>
      <c r="B2825" t="s">
        <v>4709</v>
      </c>
    </row>
    <row r="2826" spans="1:2" x14ac:dyDescent="0.45">
      <c r="A2826" t="s">
        <v>4710</v>
      </c>
      <c r="B2826" t="s">
        <v>4711</v>
      </c>
    </row>
    <row r="2827" spans="1:2" x14ac:dyDescent="0.45">
      <c r="A2827" t="s">
        <v>4715</v>
      </c>
      <c r="B2827" t="s">
        <v>4716</v>
      </c>
    </row>
    <row r="2828" spans="1:2" x14ac:dyDescent="0.45">
      <c r="A2828" t="s">
        <v>4718</v>
      </c>
      <c r="B2828" t="s">
        <v>4719</v>
      </c>
    </row>
    <row r="2829" spans="1:2" x14ac:dyDescent="0.45">
      <c r="A2829" t="s">
        <v>4723</v>
      </c>
      <c r="B2829" t="s">
        <v>4724</v>
      </c>
    </row>
    <row r="2830" spans="1:2" x14ac:dyDescent="0.45">
      <c r="A2830" t="s">
        <v>4727</v>
      </c>
      <c r="B2830" t="s">
        <v>4728</v>
      </c>
    </row>
    <row r="2831" spans="1:2" x14ac:dyDescent="0.45">
      <c r="A2831" t="s">
        <v>4729</v>
      </c>
      <c r="B2831" t="s">
        <v>4730</v>
      </c>
    </row>
    <row r="2832" spans="1:2" x14ac:dyDescent="0.45">
      <c r="A2832" t="s">
        <v>4732</v>
      </c>
      <c r="B2832" t="s">
        <v>4733</v>
      </c>
    </row>
    <row r="2833" spans="1:2" x14ac:dyDescent="0.45">
      <c r="A2833" t="s">
        <v>4735</v>
      </c>
      <c r="B2833" t="s">
        <v>4736</v>
      </c>
    </row>
    <row r="2834" spans="1:2" x14ac:dyDescent="0.45">
      <c r="A2834" t="s">
        <v>4747</v>
      </c>
      <c r="B2834" t="s">
        <v>4748</v>
      </c>
    </row>
    <row r="2835" spans="1:2" x14ac:dyDescent="0.45">
      <c r="A2835" t="s">
        <v>4753</v>
      </c>
      <c r="B2835" t="s">
        <v>4754</v>
      </c>
    </row>
    <row r="2836" spans="1:2" x14ac:dyDescent="0.45">
      <c r="A2836" t="s">
        <v>4756</v>
      </c>
      <c r="B2836" t="s">
        <v>4757</v>
      </c>
    </row>
    <row r="2837" spans="1:2" x14ac:dyDescent="0.45">
      <c r="A2837" t="s">
        <v>4758</v>
      </c>
      <c r="B2837" t="s">
        <v>4759</v>
      </c>
    </row>
    <row r="2838" spans="1:2" x14ac:dyDescent="0.45">
      <c r="A2838" t="s">
        <v>4760</v>
      </c>
      <c r="B2838" t="s">
        <v>4761</v>
      </c>
    </row>
    <row r="2839" spans="1:2" x14ac:dyDescent="0.45">
      <c r="A2839" t="s">
        <v>4762</v>
      </c>
      <c r="B2839" t="s">
        <v>4763</v>
      </c>
    </row>
    <row r="2840" spans="1:2" x14ac:dyDescent="0.45">
      <c r="A2840" t="s">
        <v>4765</v>
      </c>
      <c r="B2840" t="s">
        <v>4766</v>
      </c>
    </row>
    <row r="2841" spans="1:2" x14ac:dyDescent="0.45">
      <c r="A2841" t="s">
        <v>4767</v>
      </c>
      <c r="B2841" t="s">
        <v>4768</v>
      </c>
    </row>
    <row r="2842" spans="1:2" x14ac:dyDescent="0.45">
      <c r="A2842" t="s">
        <v>4771</v>
      </c>
      <c r="B2842" t="s">
        <v>4772</v>
      </c>
    </row>
    <row r="2843" spans="1:2" x14ac:dyDescent="0.45">
      <c r="A2843" t="s">
        <v>4773</v>
      </c>
      <c r="B2843" t="s">
        <v>4774</v>
      </c>
    </row>
    <row r="2844" spans="1:2" x14ac:dyDescent="0.45">
      <c r="A2844" t="s">
        <v>4777</v>
      </c>
      <c r="B2844" t="s">
        <v>4778</v>
      </c>
    </row>
    <row r="2845" spans="1:2" x14ac:dyDescent="0.45">
      <c r="A2845" t="s">
        <v>4779</v>
      </c>
      <c r="B2845" t="s">
        <v>4780</v>
      </c>
    </row>
    <row r="2846" spans="1:2" x14ac:dyDescent="0.45">
      <c r="A2846" t="s">
        <v>4785</v>
      </c>
      <c r="B2846" t="s">
        <v>4786</v>
      </c>
    </row>
    <row r="2847" spans="1:2" x14ac:dyDescent="0.45">
      <c r="A2847" t="s">
        <v>4787</v>
      </c>
      <c r="B2847" t="s">
        <v>4788</v>
      </c>
    </row>
    <row r="2848" spans="1:2" x14ac:dyDescent="0.45">
      <c r="A2848" t="s">
        <v>4789</v>
      </c>
      <c r="B2848" t="s">
        <v>4790</v>
      </c>
    </row>
    <row r="2849" spans="1:2" x14ac:dyDescent="0.45">
      <c r="A2849" t="s">
        <v>4796</v>
      </c>
      <c r="B2849" t="s">
        <v>4797</v>
      </c>
    </row>
    <row r="2850" spans="1:2" x14ac:dyDescent="0.45">
      <c r="A2850" t="s">
        <v>4799</v>
      </c>
      <c r="B2850" t="s">
        <v>4800</v>
      </c>
    </row>
    <row r="2851" spans="1:2" x14ac:dyDescent="0.45">
      <c r="A2851" t="s">
        <v>4802</v>
      </c>
      <c r="B2851" t="s">
        <v>4803</v>
      </c>
    </row>
    <row r="2852" spans="1:2" x14ac:dyDescent="0.45">
      <c r="A2852" t="s">
        <v>4805</v>
      </c>
      <c r="B2852" t="s">
        <v>4806</v>
      </c>
    </row>
    <row r="2853" spans="1:2" x14ac:dyDescent="0.45">
      <c r="A2853" t="s">
        <v>4807</v>
      </c>
      <c r="B2853" t="s">
        <v>4808</v>
      </c>
    </row>
    <row r="2854" spans="1:2" x14ac:dyDescent="0.45">
      <c r="A2854" t="s">
        <v>4810</v>
      </c>
      <c r="B2854" t="s">
        <v>4811</v>
      </c>
    </row>
    <row r="2855" spans="1:2" x14ac:dyDescent="0.45">
      <c r="A2855" t="s">
        <v>4812</v>
      </c>
      <c r="B2855" t="s">
        <v>4813</v>
      </c>
    </row>
    <row r="2856" spans="1:2" x14ac:dyDescent="0.45">
      <c r="A2856" t="s">
        <v>4814</v>
      </c>
      <c r="B2856" t="s">
        <v>4815</v>
      </c>
    </row>
    <row r="2857" spans="1:2" x14ac:dyDescent="0.45">
      <c r="A2857" t="s">
        <v>4816</v>
      </c>
      <c r="B2857" t="s">
        <v>4817</v>
      </c>
    </row>
    <row r="2858" spans="1:2" x14ac:dyDescent="0.45">
      <c r="A2858" t="s">
        <v>4819</v>
      </c>
      <c r="B2858" t="s">
        <v>4820</v>
      </c>
    </row>
    <row r="2859" spans="1:2" x14ac:dyDescent="0.45">
      <c r="A2859" t="s">
        <v>4821</v>
      </c>
      <c r="B2859" t="s">
        <v>4822</v>
      </c>
    </row>
    <row r="2860" spans="1:2" x14ac:dyDescent="0.45">
      <c r="A2860" t="s">
        <v>4823</v>
      </c>
      <c r="B2860" t="s">
        <v>4824</v>
      </c>
    </row>
    <row r="2861" spans="1:2" x14ac:dyDescent="0.45">
      <c r="A2861" t="s">
        <v>4829</v>
      </c>
      <c r="B2861" t="s">
        <v>4830</v>
      </c>
    </row>
    <row r="2862" spans="1:2" x14ac:dyDescent="0.45">
      <c r="A2862" t="s">
        <v>4833</v>
      </c>
      <c r="B2862" t="s">
        <v>4834</v>
      </c>
    </row>
    <row r="2863" spans="1:2" x14ac:dyDescent="0.45">
      <c r="A2863" t="s">
        <v>4836</v>
      </c>
      <c r="B2863" t="s">
        <v>4837</v>
      </c>
    </row>
    <row r="2864" spans="1:2" x14ac:dyDescent="0.45">
      <c r="A2864" t="s">
        <v>4838</v>
      </c>
      <c r="B2864" t="s">
        <v>4839</v>
      </c>
    </row>
    <row r="2865" spans="1:2" x14ac:dyDescent="0.45">
      <c r="A2865" t="s">
        <v>4841</v>
      </c>
      <c r="B2865" t="s">
        <v>4842</v>
      </c>
    </row>
    <row r="2866" spans="1:2" x14ac:dyDescent="0.45">
      <c r="A2866" t="s">
        <v>4844</v>
      </c>
      <c r="B2866" t="s">
        <v>4845</v>
      </c>
    </row>
    <row r="2867" spans="1:2" x14ac:dyDescent="0.45">
      <c r="A2867" t="s">
        <v>4869</v>
      </c>
      <c r="B2867" t="s">
        <v>4870</v>
      </c>
    </row>
    <row r="2868" spans="1:2" x14ac:dyDescent="0.45">
      <c r="A2868" t="s">
        <v>4873</v>
      </c>
      <c r="B2868" t="s">
        <v>4874</v>
      </c>
    </row>
    <row r="2869" spans="1:2" x14ac:dyDescent="0.45">
      <c r="A2869" t="s">
        <v>4880</v>
      </c>
      <c r="B2869" t="s">
        <v>4881</v>
      </c>
    </row>
    <row r="2870" spans="1:2" x14ac:dyDescent="0.45">
      <c r="A2870" t="s">
        <v>4885</v>
      </c>
      <c r="B2870" t="s">
        <v>4886</v>
      </c>
    </row>
    <row r="2871" spans="1:2" x14ac:dyDescent="0.45">
      <c r="A2871" t="s">
        <v>4893</v>
      </c>
      <c r="B2871" t="s">
        <v>4894</v>
      </c>
    </row>
    <row r="2872" spans="1:2" x14ac:dyDescent="0.45">
      <c r="A2872" t="s">
        <v>4896</v>
      </c>
      <c r="B2872" t="s">
        <v>4897</v>
      </c>
    </row>
    <row r="2873" spans="1:2" x14ac:dyDescent="0.45">
      <c r="A2873" t="s">
        <v>4899</v>
      </c>
      <c r="B2873" t="s">
        <v>4900</v>
      </c>
    </row>
    <row r="2874" spans="1:2" x14ac:dyDescent="0.45">
      <c r="A2874" t="s">
        <v>4910</v>
      </c>
      <c r="B2874" t="s">
        <v>4911</v>
      </c>
    </row>
    <row r="2875" spans="1:2" x14ac:dyDescent="0.45">
      <c r="A2875" t="s">
        <v>4913</v>
      </c>
      <c r="B2875" t="s">
        <v>4914</v>
      </c>
    </row>
    <row r="2876" spans="1:2" x14ac:dyDescent="0.45">
      <c r="A2876" t="s">
        <v>4916</v>
      </c>
      <c r="B2876" t="s">
        <v>4917</v>
      </c>
    </row>
    <row r="2877" spans="1:2" x14ac:dyDescent="0.45">
      <c r="A2877" t="s">
        <v>4919</v>
      </c>
      <c r="B2877" t="s">
        <v>4920</v>
      </c>
    </row>
    <row r="2878" spans="1:2" x14ac:dyDescent="0.45">
      <c r="A2878" t="s">
        <v>4922</v>
      </c>
      <c r="B2878" t="s">
        <v>4923</v>
      </c>
    </row>
    <row r="2879" spans="1:2" x14ac:dyDescent="0.45">
      <c r="A2879" t="s">
        <v>4924</v>
      </c>
      <c r="B2879" t="s">
        <v>4925</v>
      </c>
    </row>
    <row r="2880" spans="1:2" x14ac:dyDescent="0.45">
      <c r="A2880" t="s">
        <v>4929</v>
      </c>
      <c r="B2880" t="s">
        <v>4930</v>
      </c>
    </row>
    <row r="2881" spans="1:2" x14ac:dyDescent="0.45">
      <c r="A2881" t="s">
        <v>4931</v>
      </c>
      <c r="B2881" t="s">
        <v>4932</v>
      </c>
    </row>
    <row r="2882" spans="1:2" x14ac:dyDescent="0.45">
      <c r="A2882" t="s">
        <v>4933</v>
      </c>
      <c r="B2882" t="s">
        <v>4934</v>
      </c>
    </row>
    <row r="2883" spans="1:2" x14ac:dyDescent="0.45">
      <c r="A2883" t="s">
        <v>4935</v>
      </c>
      <c r="B2883" t="s">
        <v>4936</v>
      </c>
    </row>
    <row r="2884" spans="1:2" x14ac:dyDescent="0.45">
      <c r="A2884" t="s">
        <v>4938</v>
      </c>
      <c r="B2884" t="s">
        <v>4939</v>
      </c>
    </row>
    <row r="2885" spans="1:2" x14ac:dyDescent="0.45">
      <c r="A2885" t="s">
        <v>4940</v>
      </c>
      <c r="B2885" t="s">
        <v>4941</v>
      </c>
    </row>
    <row r="2886" spans="1:2" x14ac:dyDescent="0.45">
      <c r="A2886" t="s">
        <v>4943</v>
      </c>
      <c r="B2886" t="s">
        <v>4944</v>
      </c>
    </row>
    <row r="2887" spans="1:2" x14ac:dyDescent="0.45">
      <c r="A2887" t="s">
        <v>4945</v>
      </c>
      <c r="B2887" t="s">
        <v>4946</v>
      </c>
    </row>
    <row r="2888" spans="1:2" x14ac:dyDescent="0.45">
      <c r="A2888" t="s">
        <v>4947</v>
      </c>
      <c r="B2888" t="s">
        <v>4948</v>
      </c>
    </row>
    <row r="2889" spans="1:2" x14ac:dyDescent="0.45">
      <c r="A2889" t="s">
        <v>4950</v>
      </c>
      <c r="B2889" t="s">
        <v>4951</v>
      </c>
    </row>
    <row r="2890" spans="1:2" x14ac:dyDescent="0.45">
      <c r="A2890" t="s">
        <v>4955</v>
      </c>
      <c r="B2890" t="s">
        <v>4956</v>
      </c>
    </row>
    <row r="2891" spans="1:2" x14ac:dyDescent="0.45">
      <c r="A2891" t="s">
        <v>4958</v>
      </c>
      <c r="B2891" t="s">
        <v>4959</v>
      </c>
    </row>
    <row r="2892" spans="1:2" x14ac:dyDescent="0.45">
      <c r="A2892" t="s">
        <v>4960</v>
      </c>
      <c r="B2892" t="s">
        <v>4961</v>
      </c>
    </row>
    <row r="2893" spans="1:2" x14ac:dyDescent="0.45">
      <c r="A2893" t="s">
        <v>4965</v>
      </c>
      <c r="B2893" t="s">
        <v>4966</v>
      </c>
    </row>
    <row r="2894" spans="1:2" x14ac:dyDescent="0.45">
      <c r="A2894" t="s">
        <v>4967</v>
      </c>
      <c r="B2894" t="s">
        <v>4968</v>
      </c>
    </row>
    <row r="2895" spans="1:2" x14ac:dyDescent="0.45">
      <c r="A2895" t="s">
        <v>4969</v>
      </c>
      <c r="B2895" t="s">
        <v>4970</v>
      </c>
    </row>
    <row r="2896" spans="1:2" x14ac:dyDescent="0.45">
      <c r="A2896" t="s">
        <v>4971</v>
      </c>
      <c r="B2896" t="s">
        <v>4972</v>
      </c>
    </row>
    <row r="2897" spans="1:2" x14ac:dyDescent="0.45">
      <c r="A2897" t="s">
        <v>4979</v>
      </c>
      <c r="B2897" t="s">
        <v>4980</v>
      </c>
    </row>
    <row r="2898" spans="1:2" x14ac:dyDescent="0.45">
      <c r="A2898" t="s">
        <v>4981</v>
      </c>
      <c r="B2898" t="s">
        <v>4982</v>
      </c>
    </row>
    <row r="2899" spans="1:2" x14ac:dyDescent="0.45">
      <c r="A2899" t="s">
        <v>4984</v>
      </c>
      <c r="B2899" t="s">
        <v>4985</v>
      </c>
    </row>
    <row r="2900" spans="1:2" x14ac:dyDescent="0.45">
      <c r="A2900" t="s">
        <v>4991</v>
      </c>
      <c r="B2900" t="s">
        <v>4992</v>
      </c>
    </row>
    <row r="2901" spans="1:2" x14ac:dyDescent="0.45">
      <c r="A2901" t="s">
        <v>4994</v>
      </c>
      <c r="B2901" t="s">
        <v>4995</v>
      </c>
    </row>
    <row r="2902" spans="1:2" x14ac:dyDescent="0.45">
      <c r="A2902" t="s">
        <v>4997</v>
      </c>
      <c r="B2902" t="s">
        <v>4998</v>
      </c>
    </row>
    <row r="2903" spans="1:2" x14ac:dyDescent="0.45">
      <c r="A2903" t="s">
        <v>5000</v>
      </c>
      <c r="B2903" t="s">
        <v>5001</v>
      </c>
    </row>
    <row r="2904" spans="1:2" x14ac:dyDescent="0.45">
      <c r="A2904" t="s">
        <v>5002</v>
      </c>
      <c r="B2904" t="s">
        <v>5003</v>
      </c>
    </row>
    <row r="2905" spans="1:2" x14ac:dyDescent="0.45">
      <c r="A2905" t="s">
        <v>5004</v>
      </c>
      <c r="B2905" t="s">
        <v>5005</v>
      </c>
    </row>
    <row r="2906" spans="1:2" x14ac:dyDescent="0.45">
      <c r="A2906" t="s">
        <v>5006</v>
      </c>
      <c r="B2906" t="s">
        <v>5007</v>
      </c>
    </row>
    <row r="2907" spans="1:2" x14ac:dyDescent="0.45">
      <c r="A2907" t="s">
        <v>5008</v>
      </c>
      <c r="B2907" t="s">
        <v>5009</v>
      </c>
    </row>
    <row r="2908" spans="1:2" x14ac:dyDescent="0.45">
      <c r="A2908" t="s">
        <v>5010</v>
      </c>
      <c r="B2908" t="s">
        <v>5011</v>
      </c>
    </row>
    <row r="2909" spans="1:2" x14ac:dyDescent="0.45">
      <c r="A2909" t="s">
        <v>5012</v>
      </c>
      <c r="B2909" t="s">
        <v>5013</v>
      </c>
    </row>
    <row r="2910" spans="1:2" x14ac:dyDescent="0.45">
      <c r="A2910" t="s">
        <v>5019</v>
      </c>
      <c r="B2910" t="s">
        <v>5020</v>
      </c>
    </row>
    <row r="2911" spans="1:2" x14ac:dyDescent="0.45">
      <c r="A2911" t="s">
        <v>5021</v>
      </c>
      <c r="B2911" t="s">
        <v>5022</v>
      </c>
    </row>
    <row r="2912" spans="1:2" x14ac:dyDescent="0.45">
      <c r="A2912" t="s">
        <v>5025</v>
      </c>
      <c r="B2912" t="s">
        <v>5026</v>
      </c>
    </row>
    <row r="2913" spans="1:2" x14ac:dyDescent="0.45">
      <c r="A2913" t="s">
        <v>5027</v>
      </c>
      <c r="B2913" t="s">
        <v>5028</v>
      </c>
    </row>
    <row r="2914" spans="1:2" x14ac:dyDescent="0.45">
      <c r="A2914" t="s">
        <v>5031</v>
      </c>
      <c r="B2914" t="s">
        <v>5032</v>
      </c>
    </row>
    <row r="2915" spans="1:2" x14ac:dyDescent="0.45">
      <c r="A2915" t="s">
        <v>5034</v>
      </c>
      <c r="B2915" t="s">
        <v>5035</v>
      </c>
    </row>
    <row r="2916" spans="1:2" x14ac:dyDescent="0.45">
      <c r="A2916" t="s">
        <v>5037</v>
      </c>
      <c r="B2916" t="s">
        <v>5038</v>
      </c>
    </row>
    <row r="2917" spans="1:2" x14ac:dyDescent="0.45">
      <c r="A2917" t="s">
        <v>5042</v>
      </c>
      <c r="B2917" t="s">
        <v>5043</v>
      </c>
    </row>
    <row r="2918" spans="1:2" x14ac:dyDescent="0.45">
      <c r="A2918" t="s">
        <v>5046</v>
      </c>
      <c r="B2918" t="s">
        <v>5047</v>
      </c>
    </row>
    <row r="2919" spans="1:2" x14ac:dyDescent="0.45">
      <c r="A2919" t="s">
        <v>5048</v>
      </c>
      <c r="B2919" t="s">
        <v>5049</v>
      </c>
    </row>
    <row r="2920" spans="1:2" x14ac:dyDescent="0.45">
      <c r="A2920" t="s">
        <v>5051</v>
      </c>
      <c r="B2920" t="s">
        <v>5052</v>
      </c>
    </row>
    <row r="2921" spans="1:2" x14ac:dyDescent="0.45">
      <c r="A2921" t="s">
        <v>5056</v>
      </c>
      <c r="B2921" t="s">
        <v>5057</v>
      </c>
    </row>
    <row r="2922" spans="1:2" x14ac:dyDescent="0.45">
      <c r="A2922" t="s">
        <v>5058</v>
      </c>
      <c r="B2922" t="s">
        <v>5059</v>
      </c>
    </row>
    <row r="2923" spans="1:2" x14ac:dyDescent="0.45">
      <c r="A2923" t="s">
        <v>5060</v>
      </c>
      <c r="B2923" t="s">
        <v>5061</v>
      </c>
    </row>
    <row r="2924" spans="1:2" x14ac:dyDescent="0.45">
      <c r="A2924" t="s">
        <v>5063</v>
      </c>
      <c r="B2924" t="s">
        <v>5064</v>
      </c>
    </row>
    <row r="2925" spans="1:2" x14ac:dyDescent="0.45">
      <c r="A2925" t="s">
        <v>5065</v>
      </c>
      <c r="B2925" t="s">
        <v>5066</v>
      </c>
    </row>
    <row r="2926" spans="1:2" x14ac:dyDescent="0.45">
      <c r="A2926" t="s">
        <v>5067</v>
      </c>
      <c r="B2926" t="s">
        <v>5068</v>
      </c>
    </row>
    <row r="2927" spans="1:2" x14ac:dyDescent="0.45">
      <c r="A2927" t="s">
        <v>5070</v>
      </c>
      <c r="B2927" t="s">
        <v>5071</v>
      </c>
    </row>
    <row r="2928" spans="1:2" x14ac:dyDescent="0.45">
      <c r="A2928" t="s">
        <v>5073</v>
      </c>
      <c r="B2928" t="s">
        <v>5074</v>
      </c>
    </row>
    <row r="2929" spans="1:2" x14ac:dyDescent="0.45">
      <c r="A2929" t="s">
        <v>5077</v>
      </c>
      <c r="B2929" t="s">
        <v>5078</v>
      </c>
    </row>
    <row r="2930" spans="1:2" x14ac:dyDescent="0.45">
      <c r="A2930" t="s">
        <v>5082</v>
      </c>
      <c r="B2930" t="s">
        <v>5083</v>
      </c>
    </row>
    <row r="2931" spans="1:2" x14ac:dyDescent="0.45">
      <c r="A2931" t="s">
        <v>5086</v>
      </c>
      <c r="B2931" t="s">
        <v>5087</v>
      </c>
    </row>
    <row r="2932" spans="1:2" x14ac:dyDescent="0.45">
      <c r="A2932" t="s">
        <v>5090</v>
      </c>
      <c r="B2932" t="s">
        <v>5091</v>
      </c>
    </row>
    <row r="2933" spans="1:2" x14ac:dyDescent="0.45">
      <c r="A2933" t="s">
        <v>5098</v>
      </c>
      <c r="B2933" t="s">
        <v>5099</v>
      </c>
    </row>
    <row r="2934" spans="1:2" x14ac:dyDescent="0.45">
      <c r="A2934" t="s">
        <v>5100</v>
      </c>
      <c r="B2934" t="s">
        <v>5101</v>
      </c>
    </row>
    <row r="2935" spans="1:2" x14ac:dyDescent="0.45">
      <c r="A2935" t="s">
        <v>5103</v>
      </c>
      <c r="B2935" t="s">
        <v>5104</v>
      </c>
    </row>
    <row r="2936" spans="1:2" x14ac:dyDescent="0.45">
      <c r="A2936" t="s">
        <v>5106</v>
      </c>
      <c r="B2936" t="s">
        <v>5107</v>
      </c>
    </row>
    <row r="2937" spans="1:2" x14ac:dyDescent="0.45">
      <c r="A2937" t="s">
        <v>5110</v>
      </c>
      <c r="B2937" t="s">
        <v>5111</v>
      </c>
    </row>
    <row r="2938" spans="1:2" x14ac:dyDescent="0.45">
      <c r="A2938" t="s">
        <v>5113</v>
      </c>
      <c r="B2938" t="s">
        <v>5114</v>
      </c>
    </row>
    <row r="2939" spans="1:2" x14ac:dyDescent="0.45">
      <c r="A2939" t="s">
        <v>5115</v>
      </c>
      <c r="B2939" t="s">
        <v>5116</v>
      </c>
    </row>
    <row r="2940" spans="1:2" x14ac:dyDescent="0.45">
      <c r="A2940" t="s">
        <v>5117</v>
      </c>
      <c r="B2940" t="s">
        <v>5118</v>
      </c>
    </row>
    <row r="2941" spans="1:2" x14ac:dyDescent="0.45">
      <c r="A2941" t="s">
        <v>5120</v>
      </c>
      <c r="B2941" t="s">
        <v>5121</v>
      </c>
    </row>
    <row r="2942" spans="1:2" x14ac:dyDescent="0.45">
      <c r="A2942" t="s">
        <v>5122</v>
      </c>
      <c r="B2942" t="s">
        <v>5123</v>
      </c>
    </row>
    <row r="2943" spans="1:2" x14ac:dyDescent="0.45">
      <c r="A2943" t="s">
        <v>5124</v>
      </c>
      <c r="B2943" t="s">
        <v>5125</v>
      </c>
    </row>
    <row r="2944" spans="1:2" x14ac:dyDescent="0.45">
      <c r="A2944" t="s">
        <v>5126</v>
      </c>
      <c r="B2944" t="s">
        <v>5127</v>
      </c>
    </row>
    <row r="2945" spans="1:2" x14ac:dyDescent="0.45">
      <c r="A2945" t="s">
        <v>5128</v>
      </c>
      <c r="B2945" t="s">
        <v>5129</v>
      </c>
    </row>
    <row r="2946" spans="1:2" x14ac:dyDescent="0.45">
      <c r="A2946" t="s">
        <v>5130</v>
      </c>
      <c r="B2946" t="s">
        <v>5131</v>
      </c>
    </row>
    <row r="2947" spans="1:2" x14ac:dyDescent="0.45">
      <c r="A2947" t="s">
        <v>5132</v>
      </c>
      <c r="B2947" t="s">
        <v>5133</v>
      </c>
    </row>
    <row r="2948" spans="1:2" x14ac:dyDescent="0.45">
      <c r="A2948" t="s">
        <v>5137</v>
      </c>
      <c r="B2948" t="s">
        <v>5138</v>
      </c>
    </row>
    <row r="2949" spans="1:2" x14ac:dyDescent="0.45">
      <c r="A2949" t="s">
        <v>5139</v>
      </c>
      <c r="B2949" t="s">
        <v>5140</v>
      </c>
    </row>
    <row r="2950" spans="1:2" x14ac:dyDescent="0.45">
      <c r="A2950" t="s">
        <v>5142</v>
      </c>
      <c r="B2950" t="s">
        <v>5143</v>
      </c>
    </row>
    <row r="2951" spans="1:2" x14ac:dyDescent="0.45">
      <c r="A2951" t="s">
        <v>5147</v>
      </c>
      <c r="B2951" t="s">
        <v>5148</v>
      </c>
    </row>
    <row r="2952" spans="1:2" x14ac:dyDescent="0.45">
      <c r="A2952" t="s">
        <v>5152</v>
      </c>
      <c r="B2952" t="s">
        <v>5153</v>
      </c>
    </row>
    <row r="2953" spans="1:2" x14ac:dyDescent="0.45">
      <c r="A2953" t="s">
        <v>5154</v>
      </c>
      <c r="B2953" t="s">
        <v>5155</v>
      </c>
    </row>
    <row r="2954" spans="1:2" x14ac:dyDescent="0.45">
      <c r="A2954" t="s">
        <v>5156</v>
      </c>
      <c r="B2954" t="s">
        <v>5157</v>
      </c>
    </row>
    <row r="2955" spans="1:2" x14ac:dyDescent="0.45">
      <c r="A2955" t="s">
        <v>5158</v>
      </c>
      <c r="B2955" t="s">
        <v>5159</v>
      </c>
    </row>
    <row r="2956" spans="1:2" x14ac:dyDescent="0.45">
      <c r="A2956" t="s">
        <v>5160</v>
      </c>
      <c r="B2956" t="s">
        <v>5161</v>
      </c>
    </row>
    <row r="2957" spans="1:2" x14ac:dyDescent="0.45">
      <c r="A2957" t="s">
        <v>5163</v>
      </c>
      <c r="B2957" t="s">
        <v>5164</v>
      </c>
    </row>
    <row r="2958" spans="1:2" x14ac:dyDescent="0.45">
      <c r="A2958" t="s">
        <v>5166</v>
      </c>
      <c r="B2958" t="s">
        <v>5167</v>
      </c>
    </row>
    <row r="2959" spans="1:2" x14ac:dyDescent="0.45">
      <c r="A2959" t="s">
        <v>5180</v>
      </c>
      <c r="B2959" t="s">
        <v>5181</v>
      </c>
    </row>
    <row r="2960" spans="1:2" x14ac:dyDescent="0.45">
      <c r="A2960" t="s">
        <v>5191</v>
      </c>
      <c r="B2960" t="s">
        <v>5192</v>
      </c>
    </row>
    <row r="2961" spans="1:2" x14ac:dyDescent="0.45">
      <c r="A2961" t="s">
        <v>5194</v>
      </c>
      <c r="B2961" t="s">
        <v>5195</v>
      </c>
    </row>
    <row r="2962" spans="1:2" x14ac:dyDescent="0.45">
      <c r="A2962" t="s">
        <v>5197</v>
      </c>
      <c r="B2962" t="s">
        <v>5198</v>
      </c>
    </row>
    <row r="2963" spans="1:2" x14ac:dyDescent="0.45">
      <c r="A2963" t="s">
        <v>5202</v>
      </c>
      <c r="B2963" t="s">
        <v>5203</v>
      </c>
    </row>
    <row r="2964" spans="1:2" x14ac:dyDescent="0.45">
      <c r="A2964" t="s">
        <v>5206</v>
      </c>
      <c r="B2964" t="s">
        <v>5207</v>
      </c>
    </row>
    <row r="2965" spans="1:2" x14ac:dyDescent="0.45">
      <c r="A2965" t="s">
        <v>5210</v>
      </c>
      <c r="B2965" t="s">
        <v>5211</v>
      </c>
    </row>
    <row r="2966" spans="1:2" x14ac:dyDescent="0.45">
      <c r="A2966" t="s">
        <v>5213</v>
      </c>
      <c r="B2966" t="s">
        <v>5214</v>
      </c>
    </row>
    <row r="2967" spans="1:2" x14ac:dyDescent="0.45">
      <c r="A2967" t="s">
        <v>5215</v>
      </c>
      <c r="B2967" t="s">
        <v>5216</v>
      </c>
    </row>
    <row r="2968" spans="1:2" x14ac:dyDescent="0.45">
      <c r="A2968" t="s">
        <v>5250</v>
      </c>
      <c r="B2968" t="s">
        <v>5251</v>
      </c>
    </row>
    <row r="2969" spans="1:2" x14ac:dyDescent="0.45">
      <c r="A2969" t="s">
        <v>5252</v>
      </c>
      <c r="B2969" t="s">
        <v>5253</v>
      </c>
    </row>
    <row r="2970" spans="1:2" x14ac:dyDescent="0.45">
      <c r="A2970" t="s">
        <v>5255</v>
      </c>
      <c r="B2970" t="s">
        <v>5256</v>
      </c>
    </row>
    <row r="2971" spans="1:2" x14ac:dyDescent="0.45">
      <c r="A2971" t="s">
        <v>5258</v>
      </c>
      <c r="B2971" t="s">
        <v>5259</v>
      </c>
    </row>
    <row r="2972" spans="1:2" x14ac:dyDescent="0.45">
      <c r="A2972" t="s">
        <v>5261</v>
      </c>
      <c r="B2972" t="s">
        <v>5262</v>
      </c>
    </row>
    <row r="2973" spans="1:2" x14ac:dyDescent="0.45">
      <c r="A2973" t="s">
        <v>5264</v>
      </c>
      <c r="B2973" t="s">
        <v>5265</v>
      </c>
    </row>
    <row r="2974" spans="1:2" x14ac:dyDescent="0.45">
      <c r="A2974" t="s">
        <v>5267</v>
      </c>
      <c r="B2974" t="s">
        <v>5268</v>
      </c>
    </row>
    <row r="2975" spans="1:2" x14ac:dyDescent="0.45">
      <c r="A2975" t="s">
        <v>5270</v>
      </c>
      <c r="B2975" t="s">
        <v>5271</v>
      </c>
    </row>
    <row r="2976" spans="1:2" x14ac:dyDescent="0.45">
      <c r="A2976" t="s">
        <v>5272</v>
      </c>
      <c r="B2976" t="s">
        <v>5273</v>
      </c>
    </row>
    <row r="2977" spans="1:2" x14ac:dyDescent="0.45">
      <c r="A2977" t="s">
        <v>5274</v>
      </c>
      <c r="B2977" t="s">
        <v>5275</v>
      </c>
    </row>
    <row r="2978" spans="1:2" x14ac:dyDescent="0.45">
      <c r="A2978" t="s">
        <v>5276</v>
      </c>
      <c r="B2978" t="s">
        <v>5277</v>
      </c>
    </row>
    <row r="2979" spans="1:2" x14ac:dyDescent="0.45">
      <c r="A2979" t="s">
        <v>5278</v>
      </c>
      <c r="B2979" t="s">
        <v>5279</v>
      </c>
    </row>
    <row r="2980" spans="1:2" x14ac:dyDescent="0.45">
      <c r="A2980" t="s">
        <v>5282</v>
      </c>
      <c r="B2980" t="s">
        <v>5283</v>
      </c>
    </row>
    <row r="2981" spans="1:2" x14ac:dyDescent="0.45">
      <c r="A2981" t="s">
        <v>5284</v>
      </c>
      <c r="B2981" t="s">
        <v>5285</v>
      </c>
    </row>
    <row r="2982" spans="1:2" x14ac:dyDescent="0.45">
      <c r="A2982" t="s">
        <v>5286</v>
      </c>
      <c r="B2982" t="s">
        <v>5287</v>
      </c>
    </row>
    <row r="2983" spans="1:2" x14ac:dyDescent="0.45">
      <c r="A2983" t="s">
        <v>5288</v>
      </c>
      <c r="B2983" t="s">
        <v>5289</v>
      </c>
    </row>
    <row r="2984" spans="1:2" x14ac:dyDescent="0.45">
      <c r="A2984" t="s">
        <v>5290</v>
      </c>
      <c r="B2984" t="s">
        <v>5291</v>
      </c>
    </row>
    <row r="2985" spans="1:2" x14ac:dyDescent="0.45">
      <c r="A2985" t="s">
        <v>5293</v>
      </c>
      <c r="B2985" t="s">
        <v>5294</v>
      </c>
    </row>
    <row r="2986" spans="1:2" x14ac:dyDescent="0.45">
      <c r="A2986" t="s">
        <v>5295</v>
      </c>
      <c r="B2986" t="s">
        <v>5296</v>
      </c>
    </row>
    <row r="2987" spans="1:2" x14ac:dyDescent="0.45">
      <c r="A2987" t="s">
        <v>5298</v>
      </c>
      <c r="B2987" t="s">
        <v>5299</v>
      </c>
    </row>
    <row r="2988" spans="1:2" x14ac:dyDescent="0.45">
      <c r="A2988" t="s">
        <v>5302</v>
      </c>
      <c r="B2988" t="s">
        <v>5303</v>
      </c>
    </row>
    <row r="2989" spans="1:2" x14ac:dyDescent="0.45">
      <c r="A2989" t="s">
        <v>5305</v>
      </c>
      <c r="B2989" t="s">
        <v>5306</v>
      </c>
    </row>
    <row r="2990" spans="1:2" x14ac:dyDescent="0.45">
      <c r="A2990" t="s">
        <v>5308</v>
      </c>
      <c r="B2990" t="s">
        <v>5309</v>
      </c>
    </row>
    <row r="2991" spans="1:2" x14ac:dyDescent="0.45">
      <c r="A2991" t="s">
        <v>5311</v>
      </c>
      <c r="B2991" t="s">
        <v>5312</v>
      </c>
    </row>
    <row r="2992" spans="1:2" x14ac:dyDescent="0.45">
      <c r="A2992" t="s">
        <v>5314</v>
      </c>
      <c r="B2992" t="s">
        <v>5315</v>
      </c>
    </row>
    <row r="2993" spans="1:2" x14ac:dyDescent="0.45">
      <c r="A2993" t="s">
        <v>5316</v>
      </c>
      <c r="B2993" t="s">
        <v>5317</v>
      </c>
    </row>
    <row r="2994" spans="1:2" x14ac:dyDescent="0.45">
      <c r="A2994" t="s">
        <v>5319</v>
      </c>
      <c r="B2994" t="s">
        <v>5320</v>
      </c>
    </row>
    <row r="2995" spans="1:2" x14ac:dyDescent="0.45">
      <c r="A2995" t="s">
        <v>5321</v>
      </c>
      <c r="B2995" t="s">
        <v>5322</v>
      </c>
    </row>
    <row r="2996" spans="1:2" x14ac:dyDescent="0.45">
      <c r="A2996" t="s">
        <v>5324</v>
      </c>
      <c r="B2996" t="s">
        <v>5325</v>
      </c>
    </row>
    <row r="2997" spans="1:2" x14ac:dyDescent="0.45">
      <c r="A2997" t="s">
        <v>5327</v>
      </c>
      <c r="B2997" t="s">
        <v>5328</v>
      </c>
    </row>
    <row r="2998" spans="1:2" x14ac:dyDescent="0.45">
      <c r="A2998" t="s">
        <v>5329</v>
      </c>
      <c r="B2998" t="s">
        <v>5330</v>
      </c>
    </row>
    <row r="2999" spans="1:2" x14ac:dyDescent="0.45">
      <c r="A2999" t="s">
        <v>5331</v>
      </c>
      <c r="B2999" t="s">
        <v>5332</v>
      </c>
    </row>
    <row r="3000" spans="1:2" x14ac:dyDescent="0.45">
      <c r="A3000" t="s">
        <v>5334</v>
      </c>
      <c r="B3000" t="s">
        <v>5335</v>
      </c>
    </row>
    <row r="3001" spans="1:2" x14ac:dyDescent="0.45">
      <c r="A3001" t="s">
        <v>5336</v>
      </c>
      <c r="B3001" t="s">
        <v>5337</v>
      </c>
    </row>
    <row r="3002" spans="1:2" x14ac:dyDescent="0.45">
      <c r="A3002" t="s">
        <v>5339</v>
      </c>
      <c r="B3002" t="s">
        <v>5340</v>
      </c>
    </row>
    <row r="3003" spans="1:2" x14ac:dyDescent="0.45">
      <c r="A3003" t="s">
        <v>5341</v>
      </c>
      <c r="B3003" t="s">
        <v>5342</v>
      </c>
    </row>
    <row r="3004" spans="1:2" x14ac:dyDescent="0.45">
      <c r="A3004" t="s">
        <v>5343</v>
      </c>
      <c r="B3004" t="s">
        <v>5344</v>
      </c>
    </row>
    <row r="3005" spans="1:2" x14ac:dyDescent="0.45">
      <c r="A3005" t="s">
        <v>5345</v>
      </c>
      <c r="B3005" t="s">
        <v>5346</v>
      </c>
    </row>
    <row r="3006" spans="1:2" x14ac:dyDescent="0.45">
      <c r="A3006" t="s">
        <v>5347</v>
      </c>
      <c r="B3006" t="s">
        <v>5348</v>
      </c>
    </row>
    <row r="3007" spans="1:2" x14ac:dyDescent="0.45">
      <c r="A3007" t="s">
        <v>5349</v>
      </c>
      <c r="B3007" t="s">
        <v>5350</v>
      </c>
    </row>
    <row r="3008" spans="1:2" x14ac:dyDescent="0.45">
      <c r="A3008" t="s">
        <v>5351</v>
      </c>
      <c r="B3008" t="s">
        <v>5352</v>
      </c>
    </row>
    <row r="3009" spans="1:2" x14ac:dyDescent="0.45">
      <c r="A3009" t="s">
        <v>5353</v>
      </c>
      <c r="B3009" t="s">
        <v>5354</v>
      </c>
    </row>
    <row r="3010" spans="1:2" x14ac:dyDescent="0.45">
      <c r="A3010" t="s">
        <v>5355</v>
      </c>
      <c r="B3010" t="s">
        <v>5356</v>
      </c>
    </row>
    <row r="3011" spans="1:2" x14ac:dyDescent="0.45">
      <c r="A3011" t="s">
        <v>5362</v>
      </c>
      <c r="B3011" t="s">
        <v>5363</v>
      </c>
    </row>
    <row r="3012" spans="1:2" x14ac:dyDescent="0.45">
      <c r="A3012" t="s">
        <v>5365</v>
      </c>
      <c r="B3012" t="s">
        <v>5366</v>
      </c>
    </row>
    <row r="3013" spans="1:2" x14ac:dyDescent="0.45">
      <c r="A3013" t="s">
        <v>5367</v>
      </c>
      <c r="B3013" t="s">
        <v>5368</v>
      </c>
    </row>
    <row r="3014" spans="1:2" x14ac:dyDescent="0.45">
      <c r="A3014" t="s">
        <v>5371</v>
      </c>
      <c r="B3014" t="s">
        <v>5372</v>
      </c>
    </row>
    <row r="3015" spans="1:2" x14ac:dyDescent="0.45">
      <c r="A3015" t="s">
        <v>5374</v>
      </c>
      <c r="B3015" t="s">
        <v>5375</v>
      </c>
    </row>
    <row r="3016" spans="1:2" x14ac:dyDescent="0.45">
      <c r="A3016" t="s">
        <v>5376</v>
      </c>
      <c r="B3016" t="s">
        <v>5377</v>
      </c>
    </row>
    <row r="3017" spans="1:2" x14ac:dyDescent="0.45">
      <c r="A3017" t="s">
        <v>5378</v>
      </c>
      <c r="B3017" t="s">
        <v>5379</v>
      </c>
    </row>
    <row r="3018" spans="1:2" x14ac:dyDescent="0.45">
      <c r="A3018" t="s">
        <v>5380</v>
      </c>
      <c r="B3018" t="s">
        <v>5381</v>
      </c>
    </row>
    <row r="3019" spans="1:2" x14ac:dyDescent="0.45">
      <c r="A3019" t="s">
        <v>5382</v>
      </c>
      <c r="B3019" t="s">
        <v>5383</v>
      </c>
    </row>
    <row r="3020" spans="1:2" x14ac:dyDescent="0.45">
      <c r="A3020" t="s">
        <v>5384</v>
      </c>
      <c r="B3020" t="s">
        <v>5385</v>
      </c>
    </row>
    <row r="3021" spans="1:2" x14ac:dyDescent="0.45">
      <c r="A3021" t="s">
        <v>5387</v>
      </c>
      <c r="B3021" t="s">
        <v>5388</v>
      </c>
    </row>
    <row r="3022" spans="1:2" x14ac:dyDescent="0.45">
      <c r="A3022" t="s">
        <v>5389</v>
      </c>
      <c r="B3022" t="s">
        <v>5390</v>
      </c>
    </row>
    <row r="3023" spans="1:2" x14ac:dyDescent="0.45">
      <c r="A3023" t="s">
        <v>5391</v>
      </c>
      <c r="B3023" t="s">
        <v>5392</v>
      </c>
    </row>
    <row r="3024" spans="1:2" x14ac:dyDescent="0.45">
      <c r="A3024" t="s">
        <v>5393</v>
      </c>
      <c r="B3024" t="s">
        <v>5394</v>
      </c>
    </row>
    <row r="3025" spans="1:2" x14ac:dyDescent="0.45">
      <c r="A3025" t="s">
        <v>5395</v>
      </c>
      <c r="B3025" t="s">
        <v>5396</v>
      </c>
    </row>
    <row r="3026" spans="1:2" x14ac:dyDescent="0.45">
      <c r="A3026" t="s">
        <v>5397</v>
      </c>
      <c r="B3026" t="s">
        <v>5398</v>
      </c>
    </row>
    <row r="3027" spans="1:2" x14ac:dyDescent="0.45">
      <c r="A3027" t="s">
        <v>5399</v>
      </c>
      <c r="B3027" t="s">
        <v>5400</v>
      </c>
    </row>
    <row r="3028" spans="1:2" x14ac:dyDescent="0.45">
      <c r="A3028" t="s">
        <v>5401</v>
      </c>
      <c r="B3028" t="s">
        <v>5402</v>
      </c>
    </row>
    <row r="3029" spans="1:2" x14ac:dyDescent="0.45">
      <c r="A3029" t="s">
        <v>5405</v>
      </c>
      <c r="B3029" t="s">
        <v>5406</v>
      </c>
    </row>
    <row r="3030" spans="1:2" x14ac:dyDescent="0.45">
      <c r="A3030" t="s">
        <v>5407</v>
      </c>
      <c r="B3030" t="s">
        <v>5408</v>
      </c>
    </row>
    <row r="3031" spans="1:2" x14ac:dyDescent="0.45">
      <c r="A3031" t="s">
        <v>5410</v>
      </c>
      <c r="B3031" t="s">
        <v>5411</v>
      </c>
    </row>
    <row r="3032" spans="1:2" x14ac:dyDescent="0.45">
      <c r="A3032" t="s">
        <v>5413</v>
      </c>
      <c r="B3032" t="s">
        <v>5414</v>
      </c>
    </row>
    <row r="3033" spans="1:2" x14ac:dyDescent="0.45">
      <c r="A3033" t="s">
        <v>5416</v>
      </c>
      <c r="B3033" t="s">
        <v>5417</v>
      </c>
    </row>
    <row r="3034" spans="1:2" x14ac:dyDescent="0.45">
      <c r="A3034" t="s">
        <v>5418</v>
      </c>
      <c r="B3034" t="s">
        <v>5419</v>
      </c>
    </row>
    <row r="3035" spans="1:2" x14ac:dyDescent="0.45">
      <c r="A3035" t="s">
        <v>5421</v>
      </c>
      <c r="B3035" t="s">
        <v>5422</v>
      </c>
    </row>
    <row r="3036" spans="1:2" x14ac:dyDescent="0.45">
      <c r="A3036" t="s">
        <v>5424</v>
      </c>
      <c r="B3036" t="s">
        <v>5425</v>
      </c>
    </row>
    <row r="3037" spans="1:2" x14ac:dyDescent="0.45">
      <c r="A3037" t="s">
        <v>5427</v>
      </c>
      <c r="B3037" t="s">
        <v>5428</v>
      </c>
    </row>
    <row r="3038" spans="1:2" x14ac:dyDescent="0.45">
      <c r="A3038" t="s">
        <v>5430</v>
      </c>
      <c r="B3038" t="s">
        <v>5431</v>
      </c>
    </row>
    <row r="3039" spans="1:2" x14ac:dyDescent="0.45">
      <c r="A3039" t="s">
        <v>5432</v>
      </c>
      <c r="B3039" t="s">
        <v>5433</v>
      </c>
    </row>
    <row r="3040" spans="1:2" x14ac:dyDescent="0.45">
      <c r="A3040" t="s">
        <v>5434</v>
      </c>
      <c r="B3040" t="s">
        <v>5435</v>
      </c>
    </row>
    <row r="3041" spans="1:2" x14ac:dyDescent="0.45">
      <c r="A3041" t="s">
        <v>5439</v>
      </c>
      <c r="B3041" t="s">
        <v>5440</v>
      </c>
    </row>
    <row r="3042" spans="1:2" x14ac:dyDescent="0.45">
      <c r="A3042" t="s">
        <v>5441</v>
      </c>
      <c r="B3042" t="s">
        <v>5442</v>
      </c>
    </row>
    <row r="3043" spans="1:2" x14ac:dyDescent="0.45">
      <c r="A3043" t="s">
        <v>5444</v>
      </c>
      <c r="B3043" t="s">
        <v>5445</v>
      </c>
    </row>
    <row r="3044" spans="1:2" x14ac:dyDescent="0.45">
      <c r="A3044" t="s">
        <v>5447</v>
      </c>
      <c r="B3044" t="s">
        <v>5448</v>
      </c>
    </row>
    <row r="3045" spans="1:2" x14ac:dyDescent="0.45">
      <c r="A3045" t="s">
        <v>5450</v>
      </c>
      <c r="B3045" t="s">
        <v>5451</v>
      </c>
    </row>
    <row r="3046" spans="1:2" x14ac:dyDescent="0.45">
      <c r="A3046" t="s">
        <v>5452</v>
      </c>
      <c r="B3046" t="s">
        <v>5453</v>
      </c>
    </row>
    <row r="3047" spans="1:2" x14ac:dyDescent="0.45">
      <c r="A3047" t="s">
        <v>5454</v>
      </c>
      <c r="B3047" t="s">
        <v>5455</v>
      </c>
    </row>
    <row r="3048" spans="1:2" x14ac:dyDescent="0.45">
      <c r="A3048" t="s">
        <v>5456</v>
      </c>
      <c r="B3048" t="s">
        <v>5457</v>
      </c>
    </row>
    <row r="3049" spans="1:2" x14ac:dyDescent="0.45">
      <c r="A3049" t="s">
        <v>5458</v>
      </c>
      <c r="B3049" t="s">
        <v>5459</v>
      </c>
    </row>
    <row r="3050" spans="1:2" x14ac:dyDescent="0.45">
      <c r="A3050" t="s">
        <v>5462</v>
      </c>
      <c r="B3050" t="s">
        <v>5463</v>
      </c>
    </row>
    <row r="3051" spans="1:2" x14ac:dyDescent="0.45">
      <c r="A3051" t="s">
        <v>5464</v>
      </c>
      <c r="B3051" t="s">
        <v>5465</v>
      </c>
    </row>
    <row r="3052" spans="1:2" x14ac:dyDescent="0.45">
      <c r="A3052" t="s">
        <v>5468</v>
      </c>
      <c r="B3052" t="s">
        <v>5469</v>
      </c>
    </row>
    <row r="3053" spans="1:2" x14ac:dyDescent="0.45">
      <c r="A3053" t="s">
        <v>5470</v>
      </c>
      <c r="B3053" t="s">
        <v>5471</v>
      </c>
    </row>
    <row r="3054" spans="1:2" x14ac:dyDescent="0.45">
      <c r="A3054" t="s">
        <v>5472</v>
      </c>
      <c r="B3054" t="s">
        <v>5473</v>
      </c>
    </row>
    <row r="3055" spans="1:2" x14ac:dyDescent="0.45">
      <c r="A3055" t="s">
        <v>5474</v>
      </c>
      <c r="B3055" t="s">
        <v>5475</v>
      </c>
    </row>
    <row r="3056" spans="1:2" x14ac:dyDescent="0.45">
      <c r="A3056" t="s">
        <v>5476</v>
      </c>
      <c r="B3056" t="s">
        <v>5477</v>
      </c>
    </row>
    <row r="3057" spans="1:2" x14ac:dyDescent="0.45">
      <c r="A3057" t="s">
        <v>5481</v>
      </c>
      <c r="B3057" t="s">
        <v>5482</v>
      </c>
    </row>
    <row r="3058" spans="1:2" x14ac:dyDescent="0.45">
      <c r="A3058" t="s">
        <v>5484</v>
      </c>
      <c r="B3058" t="s">
        <v>5485</v>
      </c>
    </row>
    <row r="3059" spans="1:2" x14ac:dyDescent="0.45">
      <c r="A3059" t="s">
        <v>5486</v>
      </c>
      <c r="B3059" t="s">
        <v>5487</v>
      </c>
    </row>
    <row r="3060" spans="1:2" x14ac:dyDescent="0.45">
      <c r="A3060" t="s">
        <v>5488</v>
      </c>
      <c r="B3060" t="s">
        <v>5489</v>
      </c>
    </row>
    <row r="3061" spans="1:2" x14ac:dyDescent="0.45">
      <c r="A3061" t="s">
        <v>5490</v>
      </c>
      <c r="B3061" t="s">
        <v>5491</v>
      </c>
    </row>
    <row r="3062" spans="1:2" x14ac:dyDescent="0.45">
      <c r="A3062" t="s">
        <v>5492</v>
      </c>
      <c r="B3062" t="s">
        <v>5493</v>
      </c>
    </row>
    <row r="3063" spans="1:2" x14ac:dyDescent="0.45">
      <c r="A3063" t="s">
        <v>5497</v>
      </c>
      <c r="B3063" t="s">
        <v>5498</v>
      </c>
    </row>
    <row r="3064" spans="1:2" x14ac:dyDescent="0.45">
      <c r="A3064" t="s">
        <v>5499</v>
      </c>
      <c r="B3064" t="s">
        <v>5500</v>
      </c>
    </row>
    <row r="3065" spans="1:2" x14ac:dyDescent="0.45">
      <c r="A3065" t="s">
        <v>5502</v>
      </c>
      <c r="B3065" t="s">
        <v>5503</v>
      </c>
    </row>
    <row r="3066" spans="1:2" x14ac:dyDescent="0.45">
      <c r="A3066" t="s">
        <v>5504</v>
      </c>
      <c r="B3066" t="s">
        <v>5505</v>
      </c>
    </row>
    <row r="3067" spans="1:2" x14ac:dyDescent="0.45">
      <c r="A3067" t="s">
        <v>5506</v>
      </c>
      <c r="B3067" t="s">
        <v>5507</v>
      </c>
    </row>
    <row r="3068" spans="1:2" x14ac:dyDescent="0.45">
      <c r="A3068" t="s">
        <v>5513</v>
      </c>
      <c r="B3068" t="s">
        <v>5514</v>
      </c>
    </row>
    <row r="3069" spans="1:2" x14ac:dyDescent="0.45">
      <c r="A3069" t="s">
        <v>5516</v>
      </c>
      <c r="B3069" t="s">
        <v>5517</v>
      </c>
    </row>
    <row r="3070" spans="1:2" x14ac:dyDescent="0.45">
      <c r="A3070" t="s">
        <v>5519</v>
      </c>
      <c r="B3070" t="s">
        <v>5520</v>
      </c>
    </row>
    <row r="3071" spans="1:2" x14ac:dyDescent="0.45">
      <c r="A3071" t="s">
        <v>5522</v>
      </c>
      <c r="B3071" t="s">
        <v>5523</v>
      </c>
    </row>
    <row r="3072" spans="1:2" x14ac:dyDescent="0.45">
      <c r="A3072" t="s">
        <v>5526</v>
      </c>
      <c r="B3072" t="s">
        <v>5527</v>
      </c>
    </row>
    <row r="3073" spans="1:2" x14ac:dyDescent="0.45">
      <c r="A3073" t="s">
        <v>5529</v>
      </c>
      <c r="B3073" t="s">
        <v>5530</v>
      </c>
    </row>
    <row r="3074" spans="1:2" x14ac:dyDescent="0.45">
      <c r="A3074" t="s">
        <v>5537</v>
      </c>
      <c r="B3074" t="s">
        <v>5538</v>
      </c>
    </row>
    <row r="3075" spans="1:2" x14ac:dyDescent="0.45">
      <c r="A3075" t="s">
        <v>5540</v>
      </c>
      <c r="B3075" t="s">
        <v>5541</v>
      </c>
    </row>
    <row r="3076" spans="1:2" x14ac:dyDescent="0.45">
      <c r="A3076" t="s">
        <v>5547</v>
      </c>
      <c r="B3076" t="s">
        <v>5548</v>
      </c>
    </row>
    <row r="3077" spans="1:2" x14ac:dyDescent="0.45">
      <c r="A3077" t="s">
        <v>5550</v>
      </c>
      <c r="B3077" t="s">
        <v>5551</v>
      </c>
    </row>
    <row r="3078" spans="1:2" x14ac:dyDescent="0.45">
      <c r="A3078" t="s">
        <v>5557</v>
      </c>
      <c r="B3078" t="s">
        <v>5558</v>
      </c>
    </row>
    <row r="3079" spans="1:2" x14ac:dyDescent="0.45">
      <c r="A3079" t="s">
        <v>5560</v>
      </c>
      <c r="B3079" t="s">
        <v>5561</v>
      </c>
    </row>
    <row r="3080" spans="1:2" x14ac:dyDescent="0.45">
      <c r="A3080" t="s">
        <v>5562</v>
      </c>
      <c r="B3080" t="s">
        <v>5563</v>
      </c>
    </row>
    <row r="3081" spans="1:2" x14ac:dyDescent="0.45">
      <c r="A3081" t="s">
        <v>5565</v>
      </c>
      <c r="B3081" t="s">
        <v>5566</v>
      </c>
    </row>
    <row r="3082" spans="1:2" x14ac:dyDescent="0.45">
      <c r="A3082" t="s">
        <v>5567</v>
      </c>
      <c r="B3082" t="s">
        <v>5568</v>
      </c>
    </row>
    <row r="3083" spans="1:2" x14ac:dyDescent="0.45">
      <c r="A3083" t="s">
        <v>5569</v>
      </c>
      <c r="B3083" t="s">
        <v>5570</v>
      </c>
    </row>
    <row r="3084" spans="1:2" x14ac:dyDescent="0.45">
      <c r="A3084" t="s">
        <v>5572</v>
      </c>
      <c r="B3084" t="s">
        <v>5573</v>
      </c>
    </row>
    <row r="3085" spans="1:2" x14ac:dyDescent="0.45">
      <c r="A3085" t="s">
        <v>5576</v>
      </c>
      <c r="B3085" t="s">
        <v>5577</v>
      </c>
    </row>
    <row r="3086" spans="1:2" x14ac:dyDescent="0.45">
      <c r="A3086" t="s">
        <v>5583</v>
      </c>
      <c r="B3086" t="s">
        <v>5584</v>
      </c>
    </row>
    <row r="3087" spans="1:2" x14ac:dyDescent="0.45">
      <c r="A3087" t="s">
        <v>5585</v>
      </c>
      <c r="B3087" t="s">
        <v>5586</v>
      </c>
    </row>
    <row r="3088" spans="1:2" x14ac:dyDescent="0.45">
      <c r="A3088" t="s">
        <v>5588</v>
      </c>
      <c r="B3088" t="s">
        <v>5589</v>
      </c>
    </row>
    <row r="3089" spans="1:2" x14ac:dyDescent="0.45">
      <c r="A3089" t="s">
        <v>5594</v>
      </c>
      <c r="B3089" t="s">
        <v>5595</v>
      </c>
    </row>
    <row r="3090" spans="1:2" x14ac:dyDescent="0.45">
      <c r="A3090" t="s">
        <v>5596</v>
      </c>
      <c r="B3090" t="s">
        <v>5597</v>
      </c>
    </row>
    <row r="3091" spans="1:2" x14ac:dyDescent="0.45">
      <c r="A3091" t="s">
        <v>5598</v>
      </c>
      <c r="B3091" t="s">
        <v>5599</v>
      </c>
    </row>
    <row r="3092" spans="1:2" x14ac:dyDescent="0.45">
      <c r="A3092" t="s">
        <v>5601</v>
      </c>
      <c r="B3092" t="s">
        <v>5602</v>
      </c>
    </row>
    <row r="3093" spans="1:2" x14ac:dyDescent="0.45">
      <c r="A3093" t="s">
        <v>5618</v>
      </c>
      <c r="B3093" t="s">
        <v>5619</v>
      </c>
    </row>
    <row r="3094" spans="1:2" x14ac:dyDescent="0.45">
      <c r="A3094" t="s">
        <v>5620</v>
      </c>
      <c r="B3094" t="s">
        <v>5621</v>
      </c>
    </row>
    <row r="3095" spans="1:2" x14ac:dyDescent="0.45">
      <c r="A3095" t="s">
        <v>5622</v>
      </c>
      <c r="B3095" t="s">
        <v>5623</v>
      </c>
    </row>
    <row r="3096" spans="1:2" x14ac:dyDescent="0.45">
      <c r="A3096" t="s">
        <v>5628</v>
      </c>
      <c r="B3096" t="s">
        <v>5629</v>
      </c>
    </row>
    <row r="3097" spans="1:2" x14ac:dyDescent="0.45">
      <c r="A3097" t="s">
        <v>5630</v>
      </c>
      <c r="B3097" t="s">
        <v>5631</v>
      </c>
    </row>
    <row r="3098" spans="1:2" x14ac:dyDescent="0.45">
      <c r="A3098" t="s">
        <v>5632</v>
      </c>
      <c r="B3098" t="s">
        <v>5633</v>
      </c>
    </row>
    <row r="3099" spans="1:2" x14ac:dyDescent="0.45">
      <c r="A3099" t="s">
        <v>5634</v>
      </c>
      <c r="B3099" t="s">
        <v>5635</v>
      </c>
    </row>
    <row r="3100" spans="1:2" x14ac:dyDescent="0.45">
      <c r="A3100" t="s">
        <v>5638</v>
      </c>
      <c r="B3100" t="s">
        <v>5639</v>
      </c>
    </row>
    <row r="3101" spans="1:2" x14ac:dyDescent="0.45">
      <c r="A3101" t="s">
        <v>5642</v>
      </c>
      <c r="B3101" t="s">
        <v>5643</v>
      </c>
    </row>
    <row r="3102" spans="1:2" x14ac:dyDescent="0.45">
      <c r="A3102" t="s">
        <v>5646</v>
      </c>
      <c r="B3102" t="s">
        <v>5647</v>
      </c>
    </row>
    <row r="3103" spans="1:2" x14ac:dyDescent="0.45">
      <c r="A3103" t="s">
        <v>5649</v>
      </c>
      <c r="B3103" t="s">
        <v>5650</v>
      </c>
    </row>
    <row r="3104" spans="1:2" x14ac:dyDescent="0.45">
      <c r="A3104" t="s">
        <v>5651</v>
      </c>
      <c r="B3104" t="s">
        <v>5652</v>
      </c>
    </row>
    <row r="3105" spans="1:2" x14ac:dyDescent="0.45">
      <c r="A3105" t="s">
        <v>5657</v>
      </c>
      <c r="B3105" t="s">
        <v>5658</v>
      </c>
    </row>
    <row r="3106" spans="1:2" x14ac:dyDescent="0.45">
      <c r="A3106" t="s">
        <v>5659</v>
      </c>
      <c r="B3106" t="s">
        <v>5660</v>
      </c>
    </row>
    <row r="3107" spans="1:2" x14ac:dyDescent="0.45">
      <c r="A3107" t="s">
        <v>5661</v>
      </c>
      <c r="B3107" t="s">
        <v>5662</v>
      </c>
    </row>
    <row r="3108" spans="1:2" x14ac:dyDescent="0.45">
      <c r="A3108" t="s">
        <v>5667</v>
      </c>
      <c r="B3108" t="s">
        <v>5668</v>
      </c>
    </row>
    <row r="3109" spans="1:2" x14ac:dyDescent="0.45">
      <c r="A3109" t="s">
        <v>5671</v>
      </c>
      <c r="B3109" t="s">
        <v>5672</v>
      </c>
    </row>
    <row r="3110" spans="1:2" x14ac:dyDescent="0.45">
      <c r="A3110" t="s">
        <v>5674</v>
      </c>
      <c r="B3110" t="s">
        <v>5675</v>
      </c>
    </row>
    <row r="3111" spans="1:2" x14ac:dyDescent="0.45">
      <c r="A3111" t="s">
        <v>5679</v>
      </c>
      <c r="B3111" t="s">
        <v>5680</v>
      </c>
    </row>
    <row r="3112" spans="1:2" x14ac:dyDescent="0.45">
      <c r="A3112" t="s">
        <v>5682</v>
      </c>
      <c r="B3112" t="s">
        <v>5683</v>
      </c>
    </row>
    <row r="3113" spans="1:2" x14ac:dyDescent="0.45">
      <c r="A3113" t="s">
        <v>5684</v>
      </c>
      <c r="B3113" t="s">
        <v>5685</v>
      </c>
    </row>
    <row r="3114" spans="1:2" x14ac:dyDescent="0.45">
      <c r="A3114" t="s">
        <v>5689</v>
      </c>
      <c r="B3114" t="s">
        <v>5690</v>
      </c>
    </row>
    <row r="3115" spans="1:2" x14ac:dyDescent="0.45">
      <c r="A3115" t="s">
        <v>5699</v>
      </c>
      <c r="B3115" t="s">
        <v>5700</v>
      </c>
    </row>
    <row r="3116" spans="1:2" x14ac:dyDescent="0.45">
      <c r="A3116" t="s">
        <v>5707</v>
      </c>
      <c r="B3116" t="s">
        <v>5708</v>
      </c>
    </row>
    <row r="3117" spans="1:2" x14ac:dyDescent="0.45">
      <c r="A3117" t="s">
        <v>5711</v>
      </c>
      <c r="B3117" t="s">
        <v>5712</v>
      </c>
    </row>
    <row r="3118" spans="1:2" x14ac:dyDescent="0.45">
      <c r="A3118" t="s">
        <v>5715</v>
      </c>
      <c r="B3118" t="s">
        <v>5716</v>
      </c>
    </row>
    <row r="3119" spans="1:2" x14ac:dyDescent="0.45">
      <c r="A3119" t="s">
        <v>5717</v>
      </c>
      <c r="B3119" t="s">
        <v>5718</v>
      </c>
    </row>
    <row r="3120" spans="1:2" x14ac:dyDescent="0.45">
      <c r="A3120" t="s">
        <v>5720</v>
      </c>
      <c r="B3120" t="s">
        <v>5721</v>
      </c>
    </row>
    <row r="3121" spans="1:2" x14ac:dyDescent="0.45">
      <c r="A3121" t="s">
        <v>5722</v>
      </c>
      <c r="B3121" t="s">
        <v>5723</v>
      </c>
    </row>
    <row r="3122" spans="1:2" x14ac:dyDescent="0.45">
      <c r="A3122" t="s">
        <v>5724</v>
      </c>
      <c r="B3122" t="s">
        <v>5725</v>
      </c>
    </row>
    <row r="3123" spans="1:2" x14ac:dyDescent="0.45">
      <c r="A3123" t="s">
        <v>5726</v>
      </c>
      <c r="B3123" t="s">
        <v>5727</v>
      </c>
    </row>
    <row r="3124" spans="1:2" x14ac:dyDescent="0.45">
      <c r="A3124" t="s">
        <v>5732</v>
      </c>
      <c r="B3124" t="s">
        <v>5733</v>
      </c>
    </row>
    <row r="3125" spans="1:2" x14ac:dyDescent="0.45">
      <c r="A3125" t="s">
        <v>5739</v>
      </c>
      <c r="B3125" t="s">
        <v>5740</v>
      </c>
    </row>
    <row r="3126" spans="1:2" x14ac:dyDescent="0.45">
      <c r="A3126" t="s">
        <v>5742</v>
      </c>
      <c r="B3126" t="s">
        <v>5743</v>
      </c>
    </row>
    <row r="3127" spans="1:2" x14ac:dyDescent="0.45">
      <c r="A3127" t="s">
        <v>5744</v>
      </c>
      <c r="B3127" t="s">
        <v>5745</v>
      </c>
    </row>
    <row r="3128" spans="1:2" x14ac:dyDescent="0.45">
      <c r="A3128" t="s">
        <v>5747</v>
      </c>
      <c r="B3128" t="s">
        <v>5748</v>
      </c>
    </row>
    <row r="3129" spans="1:2" x14ac:dyDescent="0.45">
      <c r="A3129" t="s">
        <v>5749</v>
      </c>
      <c r="B3129" t="s">
        <v>5750</v>
      </c>
    </row>
    <row r="3130" spans="1:2" x14ac:dyDescent="0.45">
      <c r="A3130" t="s">
        <v>5751</v>
      </c>
      <c r="B3130" t="s">
        <v>5752</v>
      </c>
    </row>
    <row r="3131" spans="1:2" x14ac:dyDescent="0.45">
      <c r="A3131" t="s">
        <v>5753</v>
      </c>
      <c r="B3131" t="s">
        <v>5754</v>
      </c>
    </row>
    <row r="3132" spans="1:2" x14ac:dyDescent="0.45">
      <c r="A3132" t="s">
        <v>5755</v>
      </c>
      <c r="B3132" t="s">
        <v>5756</v>
      </c>
    </row>
    <row r="3133" spans="1:2" x14ac:dyDescent="0.45">
      <c r="A3133" t="s">
        <v>5758</v>
      </c>
      <c r="B3133" t="s">
        <v>5759</v>
      </c>
    </row>
    <row r="3134" spans="1:2" x14ac:dyDescent="0.45">
      <c r="A3134" t="s">
        <v>5761</v>
      </c>
      <c r="B3134" t="s">
        <v>5762</v>
      </c>
    </row>
    <row r="3135" spans="1:2" x14ac:dyDescent="0.45">
      <c r="A3135" t="s">
        <v>5763</v>
      </c>
      <c r="B3135" t="s">
        <v>5764</v>
      </c>
    </row>
    <row r="3136" spans="1:2" x14ac:dyDescent="0.45">
      <c r="A3136" t="s">
        <v>5769</v>
      </c>
      <c r="B3136" t="s">
        <v>5770</v>
      </c>
    </row>
    <row r="3137" spans="1:2" x14ac:dyDescent="0.45">
      <c r="A3137" t="s">
        <v>5772</v>
      </c>
      <c r="B3137" t="s">
        <v>5773</v>
      </c>
    </row>
    <row r="3138" spans="1:2" x14ac:dyDescent="0.45">
      <c r="A3138" t="s">
        <v>5774</v>
      </c>
      <c r="B3138" t="s">
        <v>5775</v>
      </c>
    </row>
    <row r="3139" spans="1:2" x14ac:dyDescent="0.45">
      <c r="A3139" t="s">
        <v>5776</v>
      </c>
      <c r="B3139" t="s">
        <v>5777</v>
      </c>
    </row>
    <row r="3140" spans="1:2" x14ac:dyDescent="0.45">
      <c r="A3140" t="s">
        <v>5778</v>
      </c>
      <c r="B3140" t="s">
        <v>5779</v>
      </c>
    </row>
    <row r="3141" spans="1:2" x14ac:dyDescent="0.45">
      <c r="A3141" t="s">
        <v>5780</v>
      </c>
      <c r="B3141" t="s">
        <v>5781</v>
      </c>
    </row>
    <row r="3142" spans="1:2" x14ac:dyDescent="0.45">
      <c r="A3142" t="s">
        <v>5782</v>
      </c>
      <c r="B3142" t="s">
        <v>5783</v>
      </c>
    </row>
    <row r="3143" spans="1:2" x14ac:dyDescent="0.45">
      <c r="A3143" t="s">
        <v>5784</v>
      </c>
      <c r="B3143" t="s">
        <v>5785</v>
      </c>
    </row>
    <row r="3144" spans="1:2" x14ac:dyDescent="0.45">
      <c r="A3144" t="s">
        <v>5790</v>
      </c>
      <c r="B3144" t="s">
        <v>5791</v>
      </c>
    </row>
    <row r="3145" spans="1:2" x14ac:dyDescent="0.45">
      <c r="A3145" t="s">
        <v>5799</v>
      </c>
      <c r="B3145" t="s">
        <v>5800</v>
      </c>
    </row>
    <row r="3146" spans="1:2" x14ac:dyDescent="0.45">
      <c r="A3146" t="s">
        <v>5802</v>
      </c>
      <c r="B3146" t="s">
        <v>5803</v>
      </c>
    </row>
    <row r="3147" spans="1:2" x14ac:dyDescent="0.45">
      <c r="A3147" t="s">
        <v>5804</v>
      </c>
      <c r="B3147" t="s">
        <v>5805</v>
      </c>
    </row>
    <row r="3148" spans="1:2" x14ac:dyDescent="0.45">
      <c r="A3148" t="s">
        <v>5806</v>
      </c>
      <c r="B3148" t="s">
        <v>5807</v>
      </c>
    </row>
    <row r="3149" spans="1:2" x14ac:dyDescent="0.45">
      <c r="A3149" t="s">
        <v>5808</v>
      </c>
      <c r="B3149" t="s">
        <v>5809</v>
      </c>
    </row>
    <row r="3150" spans="1:2" x14ac:dyDescent="0.45">
      <c r="A3150" t="s">
        <v>5810</v>
      </c>
      <c r="B3150" t="s">
        <v>5811</v>
      </c>
    </row>
    <row r="3151" spans="1:2" x14ac:dyDescent="0.45">
      <c r="A3151" t="s">
        <v>5812</v>
      </c>
      <c r="B3151" t="s">
        <v>5813</v>
      </c>
    </row>
    <row r="3152" spans="1:2" x14ac:dyDescent="0.45">
      <c r="A3152" t="s">
        <v>5816</v>
      </c>
      <c r="B3152" t="s">
        <v>5817</v>
      </c>
    </row>
    <row r="3153" spans="1:2" x14ac:dyDescent="0.45">
      <c r="A3153" t="s">
        <v>5818</v>
      </c>
      <c r="B3153" t="s">
        <v>5819</v>
      </c>
    </row>
    <row r="3154" spans="1:2" x14ac:dyDescent="0.45">
      <c r="A3154" t="s">
        <v>5821</v>
      </c>
      <c r="B3154" t="s">
        <v>5822</v>
      </c>
    </row>
    <row r="3155" spans="1:2" x14ac:dyDescent="0.45">
      <c r="A3155" t="s">
        <v>5823</v>
      </c>
      <c r="B3155" t="s">
        <v>5824</v>
      </c>
    </row>
    <row r="3156" spans="1:2" x14ac:dyDescent="0.45">
      <c r="A3156" t="s">
        <v>5825</v>
      </c>
      <c r="B3156" t="s">
        <v>5826</v>
      </c>
    </row>
    <row r="3157" spans="1:2" x14ac:dyDescent="0.45">
      <c r="A3157" t="s">
        <v>5827</v>
      </c>
      <c r="B3157" t="s">
        <v>5828</v>
      </c>
    </row>
    <row r="3158" spans="1:2" x14ac:dyDescent="0.45">
      <c r="A3158" t="s">
        <v>5832</v>
      </c>
      <c r="B3158" t="s">
        <v>5833</v>
      </c>
    </row>
    <row r="3159" spans="1:2" x14ac:dyDescent="0.45">
      <c r="A3159" t="s">
        <v>5838</v>
      </c>
      <c r="B3159" t="s">
        <v>5839</v>
      </c>
    </row>
    <row r="3160" spans="1:2" x14ac:dyDescent="0.45">
      <c r="A3160" t="s">
        <v>5845</v>
      </c>
      <c r="B3160" t="s">
        <v>5846</v>
      </c>
    </row>
    <row r="3161" spans="1:2" x14ac:dyDescent="0.45">
      <c r="A3161" t="s">
        <v>5860</v>
      </c>
      <c r="B3161" t="s">
        <v>5861</v>
      </c>
    </row>
    <row r="3162" spans="1:2" x14ac:dyDescent="0.45">
      <c r="A3162" t="s">
        <v>5864</v>
      </c>
      <c r="B3162" t="s">
        <v>5865</v>
      </c>
    </row>
    <row r="3163" spans="1:2" x14ac:dyDescent="0.45">
      <c r="A3163" t="s">
        <v>5868</v>
      </c>
      <c r="B3163" t="s">
        <v>5869</v>
      </c>
    </row>
    <row r="3164" spans="1:2" x14ac:dyDescent="0.45">
      <c r="A3164" t="s">
        <v>5871</v>
      </c>
      <c r="B3164" t="s">
        <v>5872</v>
      </c>
    </row>
    <row r="3165" spans="1:2" x14ac:dyDescent="0.45">
      <c r="A3165" t="s">
        <v>5873</v>
      </c>
      <c r="B3165" t="s">
        <v>5874</v>
      </c>
    </row>
    <row r="3166" spans="1:2" x14ac:dyDescent="0.45">
      <c r="A3166" t="s">
        <v>5875</v>
      </c>
      <c r="B3166" t="s">
        <v>5876</v>
      </c>
    </row>
    <row r="3167" spans="1:2" x14ac:dyDescent="0.45">
      <c r="A3167" t="s">
        <v>5877</v>
      </c>
      <c r="B3167" t="s">
        <v>5878</v>
      </c>
    </row>
    <row r="3168" spans="1:2" x14ac:dyDescent="0.45">
      <c r="A3168" t="s">
        <v>5879</v>
      </c>
      <c r="B3168" t="s">
        <v>5880</v>
      </c>
    </row>
    <row r="3169" spans="1:2" x14ac:dyDescent="0.45">
      <c r="A3169" t="s">
        <v>5887</v>
      </c>
      <c r="B3169" t="s">
        <v>5888</v>
      </c>
    </row>
    <row r="3170" spans="1:2" x14ac:dyDescent="0.45">
      <c r="A3170" t="s">
        <v>5889</v>
      </c>
      <c r="B3170" t="s">
        <v>5890</v>
      </c>
    </row>
    <row r="3171" spans="1:2" x14ac:dyDescent="0.45">
      <c r="A3171" t="s">
        <v>5897</v>
      </c>
      <c r="B3171" t="s">
        <v>5898</v>
      </c>
    </row>
    <row r="3172" spans="1:2" x14ac:dyDescent="0.45">
      <c r="A3172" t="s">
        <v>5899</v>
      </c>
      <c r="B3172" t="s">
        <v>5900</v>
      </c>
    </row>
    <row r="3173" spans="1:2" x14ac:dyDescent="0.45">
      <c r="A3173" t="s">
        <v>5901</v>
      </c>
      <c r="B3173" t="s">
        <v>5902</v>
      </c>
    </row>
    <row r="3174" spans="1:2" x14ac:dyDescent="0.45">
      <c r="A3174" t="s">
        <v>5903</v>
      </c>
      <c r="B3174" t="s">
        <v>5904</v>
      </c>
    </row>
    <row r="3175" spans="1:2" x14ac:dyDescent="0.45">
      <c r="A3175" t="s">
        <v>5906</v>
      </c>
      <c r="B3175" t="s">
        <v>5907</v>
      </c>
    </row>
    <row r="3176" spans="1:2" x14ac:dyDescent="0.45">
      <c r="A3176" t="s">
        <v>5909</v>
      </c>
      <c r="B3176" t="s">
        <v>5910</v>
      </c>
    </row>
    <row r="3177" spans="1:2" x14ac:dyDescent="0.45">
      <c r="A3177" t="s">
        <v>5911</v>
      </c>
      <c r="B3177" t="s">
        <v>5912</v>
      </c>
    </row>
    <row r="3178" spans="1:2" x14ac:dyDescent="0.45">
      <c r="A3178" t="s">
        <v>5914</v>
      </c>
      <c r="B3178" t="s">
        <v>5915</v>
      </c>
    </row>
    <row r="3179" spans="1:2" x14ac:dyDescent="0.45">
      <c r="A3179" t="s">
        <v>5916</v>
      </c>
      <c r="B3179" t="s">
        <v>5917</v>
      </c>
    </row>
    <row r="3180" spans="1:2" x14ac:dyDescent="0.45">
      <c r="A3180" t="s">
        <v>5918</v>
      </c>
      <c r="B3180" t="s">
        <v>5919</v>
      </c>
    </row>
    <row r="3181" spans="1:2" x14ac:dyDescent="0.45">
      <c r="A3181" t="s">
        <v>5920</v>
      </c>
      <c r="B3181" t="s">
        <v>5921</v>
      </c>
    </row>
    <row r="3182" spans="1:2" x14ac:dyDescent="0.45">
      <c r="A3182" t="s">
        <v>5922</v>
      </c>
      <c r="B3182" t="s">
        <v>5923</v>
      </c>
    </row>
    <row r="3183" spans="1:2" x14ac:dyDescent="0.45">
      <c r="A3183" t="s">
        <v>5924</v>
      </c>
      <c r="B3183" t="s">
        <v>5925</v>
      </c>
    </row>
    <row r="3184" spans="1:2" x14ac:dyDescent="0.45">
      <c r="A3184" t="s">
        <v>5926</v>
      </c>
      <c r="B3184" t="s">
        <v>5927</v>
      </c>
    </row>
    <row r="3185" spans="1:2" x14ac:dyDescent="0.45">
      <c r="A3185" t="s">
        <v>5929</v>
      </c>
      <c r="B3185" t="s">
        <v>5930</v>
      </c>
    </row>
    <row r="3186" spans="1:2" x14ac:dyDescent="0.45">
      <c r="A3186" t="s">
        <v>5937</v>
      </c>
      <c r="B3186" t="s">
        <v>5938</v>
      </c>
    </row>
    <row r="3187" spans="1:2" x14ac:dyDescent="0.45">
      <c r="A3187" t="s">
        <v>5946</v>
      </c>
      <c r="B3187" t="s">
        <v>5947</v>
      </c>
    </row>
    <row r="3188" spans="1:2" x14ac:dyDescent="0.45">
      <c r="A3188" t="s">
        <v>5949</v>
      </c>
      <c r="B3188" t="s">
        <v>5950</v>
      </c>
    </row>
    <row r="3189" spans="1:2" x14ac:dyDescent="0.45">
      <c r="A3189" t="s">
        <v>5951</v>
      </c>
      <c r="B3189" t="s">
        <v>5952</v>
      </c>
    </row>
    <row r="3190" spans="1:2" x14ac:dyDescent="0.45">
      <c r="A3190" t="s">
        <v>5953</v>
      </c>
      <c r="B3190" t="s">
        <v>5954</v>
      </c>
    </row>
    <row r="3191" spans="1:2" x14ac:dyDescent="0.45">
      <c r="A3191" t="s">
        <v>5955</v>
      </c>
      <c r="B3191" t="s">
        <v>5956</v>
      </c>
    </row>
    <row r="3192" spans="1:2" x14ac:dyDescent="0.45">
      <c r="A3192" t="s">
        <v>5962</v>
      </c>
      <c r="B3192" t="s">
        <v>5963</v>
      </c>
    </row>
    <row r="3193" spans="1:2" x14ac:dyDescent="0.45">
      <c r="A3193" t="s">
        <v>5964</v>
      </c>
      <c r="B3193" t="s">
        <v>5965</v>
      </c>
    </row>
    <row r="3194" spans="1:2" x14ac:dyDescent="0.45">
      <c r="A3194" t="s">
        <v>5971</v>
      </c>
      <c r="B3194" t="s">
        <v>5972</v>
      </c>
    </row>
    <row r="3195" spans="1:2" x14ac:dyDescent="0.45">
      <c r="A3195" t="s">
        <v>5977</v>
      </c>
      <c r="B3195" t="s">
        <v>5978</v>
      </c>
    </row>
    <row r="3196" spans="1:2" x14ac:dyDescent="0.45">
      <c r="A3196" t="s">
        <v>5981</v>
      </c>
      <c r="B3196" t="s">
        <v>5982</v>
      </c>
    </row>
    <row r="3197" spans="1:2" x14ac:dyDescent="0.45">
      <c r="A3197" t="s">
        <v>5983</v>
      </c>
      <c r="B3197" t="s">
        <v>5984</v>
      </c>
    </row>
    <row r="3198" spans="1:2" x14ac:dyDescent="0.45">
      <c r="A3198" t="s">
        <v>5985</v>
      </c>
      <c r="B3198" t="s">
        <v>5986</v>
      </c>
    </row>
    <row r="3199" spans="1:2" x14ac:dyDescent="0.45">
      <c r="A3199" t="s">
        <v>5987</v>
      </c>
      <c r="B3199" t="s">
        <v>5988</v>
      </c>
    </row>
    <row r="3200" spans="1:2" x14ac:dyDescent="0.45">
      <c r="A3200" t="s">
        <v>5989</v>
      </c>
      <c r="B3200" t="s">
        <v>5990</v>
      </c>
    </row>
    <row r="3201" spans="1:2" x14ac:dyDescent="0.45">
      <c r="A3201" t="s">
        <v>5992</v>
      </c>
      <c r="B3201" t="s">
        <v>5993</v>
      </c>
    </row>
    <row r="3202" spans="1:2" x14ac:dyDescent="0.45">
      <c r="A3202" t="s">
        <v>5995</v>
      </c>
      <c r="B3202" t="s">
        <v>5996</v>
      </c>
    </row>
    <row r="3203" spans="1:2" x14ac:dyDescent="0.45">
      <c r="A3203" t="s">
        <v>5998</v>
      </c>
      <c r="B3203" t="s">
        <v>5999</v>
      </c>
    </row>
    <row r="3204" spans="1:2" x14ac:dyDescent="0.45">
      <c r="A3204" t="s">
        <v>6000</v>
      </c>
      <c r="B3204" t="s">
        <v>6001</v>
      </c>
    </row>
    <row r="3205" spans="1:2" x14ac:dyDescent="0.45">
      <c r="A3205" t="s">
        <v>6003</v>
      </c>
      <c r="B3205" t="s">
        <v>6004</v>
      </c>
    </row>
    <row r="3206" spans="1:2" x14ac:dyDescent="0.45">
      <c r="A3206" t="s">
        <v>6005</v>
      </c>
      <c r="B3206" t="s">
        <v>6006</v>
      </c>
    </row>
    <row r="3207" spans="1:2" x14ac:dyDescent="0.45">
      <c r="A3207" t="s">
        <v>6009</v>
      </c>
      <c r="B3207" t="s">
        <v>6010</v>
      </c>
    </row>
    <row r="3208" spans="1:2" x14ac:dyDescent="0.45">
      <c r="A3208" t="s">
        <v>6013</v>
      </c>
      <c r="B3208" t="s">
        <v>6014</v>
      </c>
    </row>
    <row r="3209" spans="1:2" x14ac:dyDescent="0.45">
      <c r="A3209" t="s">
        <v>6015</v>
      </c>
      <c r="B3209" t="s">
        <v>6016</v>
      </c>
    </row>
    <row r="3210" spans="1:2" x14ac:dyDescent="0.45">
      <c r="A3210" t="s">
        <v>6021</v>
      </c>
      <c r="B3210" t="s">
        <v>6022</v>
      </c>
    </row>
    <row r="3211" spans="1:2" x14ac:dyDescent="0.45">
      <c r="A3211" t="s">
        <v>6023</v>
      </c>
      <c r="B3211" t="s">
        <v>6024</v>
      </c>
    </row>
    <row r="3212" spans="1:2" x14ac:dyDescent="0.45">
      <c r="A3212" t="s">
        <v>6028</v>
      </c>
      <c r="B3212" t="s">
        <v>6029</v>
      </c>
    </row>
    <row r="3213" spans="1:2" x14ac:dyDescent="0.45">
      <c r="A3213" t="s">
        <v>6030</v>
      </c>
      <c r="B3213" t="s">
        <v>6031</v>
      </c>
    </row>
    <row r="3214" spans="1:2" x14ac:dyDescent="0.45">
      <c r="A3214" t="s">
        <v>6032</v>
      </c>
      <c r="B3214" t="s">
        <v>6033</v>
      </c>
    </row>
    <row r="3215" spans="1:2" x14ac:dyDescent="0.45">
      <c r="A3215" t="s">
        <v>6036</v>
      </c>
      <c r="B3215" t="s">
        <v>6037</v>
      </c>
    </row>
    <row r="3216" spans="1:2" x14ac:dyDescent="0.45">
      <c r="A3216" t="s">
        <v>6038</v>
      </c>
      <c r="B3216" t="s">
        <v>6039</v>
      </c>
    </row>
    <row r="3217" spans="1:2" x14ac:dyDescent="0.45">
      <c r="A3217" t="s">
        <v>6040</v>
      </c>
      <c r="B3217" t="s">
        <v>6041</v>
      </c>
    </row>
    <row r="3218" spans="1:2" x14ac:dyDescent="0.45">
      <c r="A3218" t="s">
        <v>6044</v>
      </c>
      <c r="B3218" t="s">
        <v>6045</v>
      </c>
    </row>
    <row r="3219" spans="1:2" x14ac:dyDescent="0.45">
      <c r="A3219" t="s">
        <v>6048</v>
      </c>
      <c r="B3219" t="s">
        <v>6049</v>
      </c>
    </row>
    <row r="3220" spans="1:2" x14ac:dyDescent="0.45">
      <c r="A3220" t="s">
        <v>6050</v>
      </c>
      <c r="B3220" t="s">
        <v>6051</v>
      </c>
    </row>
    <row r="3221" spans="1:2" x14ac:dyDescent="0.45">
      <c r="A3221" t="s">
        <v>6054</v>
      </c>
      <c r="B3221" t="s">
        <v>6055</v>
      </c>
    </row>
    <row r="3222" spans="1:2" x14ac:dyDescent="0.45">
      <c r="A3222" t="s">
        <v>6072</v>
      </c>
      <c r="B3222" t="s">
        <v>6073</v>
      </c>
    </row>
    <row r="3223" spans="1:2" x14ac:dyDescent="0.45">
      <c r="A3223" t="s">
        <v>6075</v>
      </c>
      <c r="B3223" t="s">
        <v>6076</v>
      </c>
    </row>
    <row r="3224" spans="1:2" x14ac:dyDescent="0.45">
      <c r="A3224" t="s">
        <v>6077</v>
      </c>
      <c r="B3224" t="s">
        <v>6078</v>
      </c>
    </row>
    <row r="3225" spans="1:2" x14ac:dyDescent="0.45">
      <c r="A3225" t="s">
        <v>6080</v>
      </c>
      <c r="B3225" t="s">
        <v>6081</v>
      </c>
    </row>
    <row r="3226" spans="1:2" x14ac:dyDescent="0.45">
      <c r="A3226" t="s">
        <v>6082</v>
      </c>
      <c r="B3226" t="s">
        <v>6083</v>
      </c>
    </row>
    <row r="3227" spans="1:2" x14ac:dyDescent="0.45">
      <c r="A3227" t="s">
        <v>6086</v>
      </c>
      <c r="B3227" t="s">
        <v>6087</v>
      </c>
    </row>
    <row r="3228" spans="1:2" x14ac:dyDescent="0.45">
      <c r="A3228" t="s">
        <v>6089</v>
      </c>
      <c r="B3228" t="s">
        <v>6090</v>
      </c>
    </row>
    <row r="3229" spans="1:2" x14ac:dyDescent="0.45">
      <c r="A3229" t="s">
        <v>6092</v>
      </c>
      <c r="B3229" t="s">
        <v>6093</v>
      </c>
    </row>
    <row r="3230" spans="1:2" x14ac:dyDescent="0.45">
      <c r="A3230" t="s">
        <v>6095</v>
      </c>
      <c r="B3230" t="s">
        <v>6096</v>
      </c>
    </row>
    <row r="3231" spans="1:2" x14ac:dyDescent="0.45">
      <c r="A3231" t="s">
        <v>6103</v>
      </c>
      <c r="B3231" t="s">
        <v>6104</v>
      </c>
    </row>
    <row r="3232" spans="1:2" x14ac:dyDescent="0.45">
      <c r="A3232" t="s">
        <v>6108</v>
      </c>
      <c r="B3232" t="s">
        <v>6109</v>
      </c>
    </row>
    <row r="3233" spans="1:2" x14ac:dyDescent="0.45">
      <c r="A3233" t="s">
        <v>6110</v>
      </c>
      <c r="B3233" t="s">
        <v>6111</v>
      </c>
    </row>
    <row r="3234" spans="1:2" x14ac:dyDescent="0.45">
      <c r="A3234" t="s">
        <v>6118</v>
      </c>
      <c r="B3234" t="s">
        <v>6119</v>
      </c>
    </row>
    <row r="3235" spans="1:2" x14ac:dyDescent="0.45">
      <c r="A3235" t="s">
        <v>6120</v>
      </c>
      <c r="B3235" t="s">
        <v>6121</v>
      </c>
    </row>
    <row r="3236" spans="1:2" x14ac:dyDescent="0.45">
      <c r="A3236" t="s">
        <v>6124</v>
      </c>
      <c r="B3236" t="s">
        <v>6125</v>
      </c>
    </row>
    <row r="3237" spans="1:2" x14ac:dyDescent="0.45">
      <c r="A3237" t="s">
        <v>6132</v>
      </c>
      <c r="B3237" t="s">
        <v>6133</v>
      </c>
    </row>
    <row r="3238" spans="1:2" x14ac:dyDescent="0.45">
      <c r="A3238" t="s">
        <v>6136</v>
      </c>
      <c r="B3238" t="s">
        <v>6137</v>
      </c>
    </row>
    <row r="3239" spans="1:2" x14ac:dyDescent="0.45">
      <c r="A3239" t="s">
        <v>6140</v>
      </c>
      <c r="B3239" t="s">
        <v>6141</v>
      </c>
    </row>
    <row r="3240" spans="1:2" x14ac:dyDescent="0.45">
      <c r="A3240" t="s">
        <v>6142</v>
      </c>
      <c r="B3240" t="s">
        <v>6143</v>
      </c>
    </row>
    <row r="3241" spans="1:2" x14ac:dyDescent="0.45">
      <c r="A3241" t="s">
        <v>6146</v>
      </c>
      <c r="B3241" t="s">
        <v>6147</v>
      </c>
    </row>
    <row r="3242" spans="1:2" x14ac:dyDescent="0.45">
      <c r="A3242" t="s">
        <v>6148</v>
      </c>
      <c r="B3242" t="s">
        <v>6149</v>
      </c>
    </row>
    <row r="3243" spans="1:2" x14ac:dyDescent="0.45">
      <c r="A3243" t="s">
        <v>6151</v>
      </c>
      <c r="B3243" t="s">
        <v>6152</v>
      </c>
    </row>
    <row r="3244" spans="1:2" x14ac:dyDescent="0.45">
      <c r="A3244" t="s">
        <v>6154</v>
      </c>
      <c r="B3244" t="s">
        <v>6155</v>
      </c>
    </row>
    <row r="3245" spans="1:2" x14ac:dyDescent="0.45">
      <c r="A3245" t="s">
        <v>6156</v>
      </c>
      <c r="B3245" t="s">
        <v>6157</v>
      </c>
    </row>
    <row r="3246" spans="1:2" x14ac:dyDescent="0.45">
      <c r="A3246" t="s">
        <v>6159</v>
      </c>
      <c r="B3246" t="s">
        <v>6160</v>
      </c>
    </row>
    <row r="3247" spans="1:2" x14ac:dyDescent="0.45">
      <c r="A3247" t="s">
        <v>6161</v>
      </c>
      <c r="B3247" t="s">
        <v>6162</v>
      </c>
    </row>
    <row r="3248" spans="1:2" x14ac:dyDescent="0.45">
      <c r="A3248" t="s">
        <v>6163</v>
      </c>
      <c r="B3248" t="s">
        <v>6164</v>
      </c>
    </row>
    <row r="3249" spans="1:2" x14ac:dyDescent="0.45">
      <c r="A3249" t="s">
        <v>6166</v>
      </c>
      <c r="B3249" t="s">
        <v>6167</v>
      </c>
    </row>
    <row r="3250" spans="1:2" x14ac:dyDescent="0.45">
      <c r="A3250" t="s">
        <v>6169</v>
      </c>
      <c r="B3250" t="s">
        <v>6170</v>
      </c>
    </row>
    <row r="3251" spans="1:2" x14ac:dyDescent="0.45">
      <c r="A3251" t="s">
        <v>6173</v>
      </c>
      <c r="B3251" t="s">
        <v>6174</v>
      </c>
    </row>
    <row r="3252" spans="1:2" x14ac:dyDescent="0.45">
      <c r="A3252" t="s">
        <v>6177</v>
      </c>
      <c r="B3252" t="s">
        <v>6178</v>
      </c>
    </row>
    <row r="3253" spans="1:2" x14ac:dyDescent="0.45">
      <c r="A3253" t="s">
        <v>6181</v>
      </c>
      <c r="B3253" t="s">
        <v>6182</v>
      </c>
    </row>
    <row r="3254" spans="1:2" x14ac:dyDescent="0.45">
      <c r="A3254" t="s">
        <v>6183</v>
      </c>
      <c r="B3254" t="s">
        <v>6184</v>
      </c>
    </row>
    <row r="3255" spans="1:2" x14ac:dyDescent="0.45">
      <c r="A3255" t="s">
        <v>6186</v>
      </c>
      <c r="B3255" t="s">
        <v>6187</v>
      </c>
    </row>
    <row r="3256" spans="1:2" x14ac:dyDescent="0.45">
      <c r="A3256" t="s">
        <v>6189</v>
      </c>
      <c r="B3256" t="s">
        <v>6190</v>
      </c>
    </row>
    <row r="3257" spans="1:2" x14ac:dyDescent="0.45">
      <c r="A3257" t="s">
        <v>6191</v>
      </c>
      <c r="B3257" t="s">
        <v>6192</v>
      </c>
    </row>
    <row r="3258" spans="1:2" x14ac:dyDescent="0.45">
      <c r="A3258" t="s">
        <v>6193</v>
      </c>
      <c r="B3258" t="s">
        <v>6194</v>
      </c>
    </row>
    <row r="3259" spans="1:2" x14ac:dyDescent="0.45">
      <c r="A3259" t="s">
        <v>6198</v>
      </c>
      <c r="B3259" t="s">
        <v>6199</v>
      </c>
    </row>
    <row r="3260" spans="1:2" x14ac:dyDescent="0.45">
      <c r="A3260" t="s">
        <v>6200</v>
      </c>
      <c r="B3260" t="s">
        <v>6201</v>
      </c>
    </row>
    <row r="3261" spans="1:2" x14ac:dyDescent="0.45">
      <c r="A3261" t="s">
        <v>6205</v>
      </c>
      <c r="B3261" t="s">
        <v>6206</v>
      </c>
    </row>
    <row r="3262" spans="1:2" x14ac:dyDescent="0.45">
      <c r="A3262" t="s">
        <v>6211</v>
      </c>
      <c r="B3262" t="s">
        <v>6212</v>
      </c>
    </row>
    <row r="3263" spans="1:2" x14ac:dyDescent="0.45">
      <c r="A3263" t="s">
        <v>6217</v>
      </c>
      <c r="B3263" t="s">
        <v>6218</v>
      </c>
    </row>
    <row r="3264" spans="1:2" x14ac:dyDescent="0.45">
      <c r="A3264" t="s">
        <v>6219</v>
      </c>
      <c r="B3264" t="s">
        <v>6220</v>
      </c>
    </row>
    <row r="3265" spans="1:2" x14ac:dyDescent="0.45">
      <c r="A3265" t="s">
        <v>6222</v>
      </c>
      <c r="B3265" t="s">
        <v>6223</v>
      </c>
    </row>
    <row r="3266" spans="1:2" x14ac:dyDescent="0.45">
      <c r="A3266" t="s">
        <v>6226</v>
      </c>
      <c r="B3266" t="s">
        <v>6227</v>
      </c>
    </row>
    <row r="3267" spans="1:2" x14ac:dyDescent="0.45">
      <c r="A3267" t="s">
        <v>6228</v>
      </c>
      <c r="B3267" t="s">
        <v>6229</v>
      </c>
    </row>
    <row r="3268" spans="1:2" x14ac:dyDescent="0.45">
      <c r="A3268" t="s">
        <v>6230</v>
      </c>
      <c r="B3268" t="s">
        <v>6231</v>
      </c>
    </row>
    <row r="3269" spans="1:2" x14ac:dyDescent="0.45">
      <c r="A3269" t="s">
        <v>6232</v>
      </c>
      <c r="B3269" t="s">
        <v>6233</v>
      </c>
    </row>
    <row r="3270" spans="1:2" x14ac:dyDescent="0.45">
      <c r="A3270" t="s">
        <v>6234</v>
      </c>
      <c r="B3270" t="s">
        <v>6235</v>
      </c>
    </row>
    <row r="3271" spans="1:2" x14ac:dyDescent="0.45">
      <c r="A3271" t="s">
        <v>6241</v>
      </c>
      <c r="B3271" t="s">
        <v>6242</v>
      </c>
    </row>
    <row r="3272" spans="1:2" x14ac:dyDescent="0.45">
      <c r="A3272" t="s">
        <v>6243</v>
      </c>
      <c r="B3272" t="s">
        <v>6244</v>
      </c>
    </row>
    <row r="3273" spans="1:2" x14ac:dyDescent="0.45">
      <c r="A3273" t="s">
        <v>6247</v>
      </c>
      <c r="B3273" t="s">
        <v>6248</v>
      </c>
    </row>
    <row r="3274" spans="1:2" x14ac:dyDescent="0.45">
      <c r="A3274" t="s">
        <v>6250</v>
      </c>
      <c r="B3274" t="s">
        <v>6251</v>
      </c>
    </row>
    <row r="3275" spans="1:2" x14ac:dyDescent="0.45">
      <c r="A3275" t="s">
        <v>6253</v>
      </c>
      <c r="B3275" t="s">
        <v>6254</v>
      </c>
    </row>
    <row r="3276" spans="1:2" x14ac:dyDescent="0.45">
      <c r="A3276" t="s">
        <v>6258</v>
      </c>
      <c r="B3276" t="s">
        <v>6259</v>
      </c>
    </row>
    <row r="3277" spans="1:2" x14ac:dyDescent="0.45">
      <c r="A3277" t="s">
        <v>6266</v>
      </c>
      <c r="B3277" t="s">
        <v>6267</v>
      </c>
    </row>
    <row r="3278" spans="1:2" x14ac:dyDescent="0.45">
      <c r="A3278" t="s">
        <v>6268</v>
      </c>
      <c r="B3278" t="s">
        <v>6269</v>
      </c>
    </row>
    <row r="3279" spans="1:2" x14ac:dyDescent="0.45">
      <c r="A3279" t="s">
        <v>6270</v>
      </c>
      <c r="B3279" t="s">
        <v>6271</v>
      </c>
    </row>
    <row r="3280" spans="1:2" x14ac:dyDescent="0.45">
      <c r="A3280" t="s">
        <v>6273</v>
      </c>
      <c r="B3280" t="s">
        <v>6274</v>
      </c>
    </row>
    <row r="3281" spans="1:2" x14ac:dyDescent="0.45">
      <c r="A3281" t="s">
        <v>6281</v>
      </c>
      <c r="B3281" t="s">
        <v>6282</v>
      </c>
    </row>
    <row r="3282" spans="1:2" x14ac:dyDescent="0.45">
      <c r="A3282" t="s">
        <v>6283</v>
      </c>
      <c r="B3282" t="s">
        <v>6284</v>
      </c>
    </row>
    <row r="3283" spans="1:2" x14ac:dyDescent="0.45">
      <c r="A3283" t="s">
        <v>6286</v>
      </c>
      <c r="B3283" t="s">
        <v>6287</v>
      </c>
    </row>
    <row r="3284" spans="1:2" x14ac:dyDescent="0.45">
      <c r="A3284" t="s">
        <v>6288</v>
      </c>
      <c r="B3284" t="s">
        <v>6289</v>
      </c>
    </row>
    <row r="3285" spans="1:2" x14ac:dyDescent="0.45">
      <c r="A3285" t="s">
        <v>6292</v>
      </c>
      <c r="B3285" t="s">
        <v>6293</v>
      </c>
    </row>
    <row r="3286" spans="1:2" x14ac:dyDescent="0.45">
      <c r="A3286" t="s">
        <v>6295</v>
      </c>
      <c r="B3286" t="s">
        <v>6296</v>
      </c>
    </row>
    <row r="3287" spans="1:2" x14ac:dyDescent="0.45">
      <c r="A3287" t="s">
        <v>6297</v>
      </c>
      <c r="B3287" t="s">
        <v>6298</v>
      </c>
    </row>
    <row r="3288" spans="1:2" x14ac:dyDescent="0.45">
      <c r="A3288" t="s">
        <v>6301</v>
      </c>
      <c r="B3288" t="s">
        <v>6302</v>
      </c>
    </row>
    <row r="3289" spans="1:2" x14ac:dyDescent="0.45">
      <c r="A3289" t="s">
        <v>6304</v>
      </c>
      <c r="B3289" t="s">
        <v>6305</v>
      </c>
    </row>
    <row r="3290" spans="1:2" x14ac:dyDescent="0.45">
      <c r="A3290" t="s">
        <v>6306</v>
      </c>
      <c r="B3290" t="s">
        <v>6307</v>
      </c>
    </row>
    <row r="3291" spans="1:2" x14ac:dyDescent="0.45">
      <c r="A3291" t="s">
        <v>6308</v>
      </c>
      <c r="B3291" t="s">
        <v>6309</v>
      </c>
    </row>
    <row r="3292" spans="1:2" x14ac:dyDescent="0.45">
      <c r="A3292" t="s">
        <v>6310</v>
      </c>
      <c r="B3292" t="s">
        <v>6311</v>
      </c>
    </row>
    <row r="3293" spans="1:2" x14ac:dyDescent="0.45">
      <c r="A3293" t="s">
        <v>6316</v>
      </c>
      <c r="B3293" t="s">
        <v>6317</v>
      </c>
    </row>
    <row r="3294" spans="1:2" x14ac:dyDescent="0.45">
      <c r="A3294" t="s">
        <v>6319</v>
      </c>
      <c r="B3294" t="s">
        <v>6320</v>
      </c>
    </row>
    <row r="3295" spans="1:2" x14ac:dyDescent="0.45">
      <c r="A3295" t="s">
        <v>6321</v>
      </c>
      <c r="B3295" t="s">
        <v>6322</v>
      </c>
    </row>
    <row r="3296" spans="1:2" x14ac:dyDescent="0.45">
      <c r="A3296" t="s">
        <v>6323</v>
      </c>
      <c r="B3296" t="s">
        <v>6324</v>
      </c>
    </row>
    <row r="3297" spans="1:2" x14ac:dyDescent="0.45">
      <c r="A3297" t="s">
        <v>6325</v>
      </c>
      <c r="B3297" t="s">
        <v>6326</v>
      </c>
    </row>
    <row r="3298" spans="1:2" x14ac:dyDescent="0.45">
      <c r="A3298" t="s">
        <v>6334</v>
      </c>
      <c r="B3298" t="s">
        <v>6335</v>
      </c>
    </row>
    <row r="3299" spans="1:2" x14ac:dyDescent="0.45">
      <c r="A3299" t="s">
        <v>6339</v>
      </c>
      <c r="B3299" t="s">
        <v>6340</v>
      </c>
    </row>
    <row r="3300" spans="1:2" x14ac:dyDescent="0.45">
      <c r="A3300" t="s">
        <v>6342</v>
      </c>
      <c r="B3300" t="s">
        <v>6343</v>
      </c>
    </row>
    <row r="3301" spans="1:2" x14ac:dyDescent="0.45">
      <c r="A3301" t="s">
        <v>6346</v>
      </c>
      <c r="B3301" t="s">
        <v>6347</v>
      </c>
    </row>
    <row r="3302" spans="1:2" x14ac:dyDescent="0.45">
      <c r="A3302" t="s">
        <v>6350</v>
      </c>
      <c r="B3302" t="s">
        <v>6351</v>
      </c>
    </row>
    <row r="3303" spans="1:2" x14ac:dyDescent="0.45">
      <c r="A3303" t="s">
        <v>6354</v>
      </c>
      <c r="B3303" t="s">
        <v>6355</v>
      </c>
    </row>
    <row r="3304" spans="1:2" x14ac:dyDescent="0.45">
      <c r="A3304" t="s">
        <v>6356</v>
      </c>
      <c r="B3304" t="s">
        <v>6357</v>
      </c>
    </row>
    <row r="3305" spans="1:2" x14ac:dyDescent="0.45">
      <c r="A3305" t="s">
        <v>6358</v>
      </c>
      <c r="B3305" t="s">
        <v>6359</v>
      </c>
    </row>
    <row r="3306" spans="1:2" x14ac:dyDescent="0.45">
      <c r="A3306" t="s">
        <v>6360</v>
      </c>
      <c r="B3306" t="s">
        <v>6361</v>
      </c>
    </row>
    <row r="3307" spans="1:2" x14ac:dyDescent="0.45">
      <c r="A3307" t="s">
        <v>6363</v>
      </c>
      <c r="B3307" t="s">
        <v>6364</v>
      </c>
    </row>
    <row r="3308" spans="1:2" x14ac:dyDescent="0.45">
      <c r="A3308" t="s">
        <v>6366</v>
      </c>
      <c r="B3308" t="s">
        <v>6367</v>
      </c>
    </row>
    <row r="3309" spans="1:2" x14ac:dyDescent="0.45">
      <c r="A3309" t="s">
        <v>6369</v>
      </c>
      <c r="B3309" t="s">
        <v>6370</v>
      </c>
    </row>
    <row r="3310" spans="1:2" x14ac:dyDescent="0.45">
      <c r="A3310" t="s">
        <v>6377</v>
      </c>
      <c r="B3310" t="s">
        <v>6378</v>
      </c>
    </row>
    <row r="3311" spans="1:2" x14ac:dyDescent="0.45">
      <c r="A3311" t="s">
        <v>6379</v>
      </c>
      <c r="B3311" t="s">
        <v>6380</v>
      </c>
    </row>
    <row r="3312" spans="1:2" x14ac:dyDescent="0.45">
      <c r="A3312" t="s">
        <v>6388</v>
      </c>
      <c r="B3312" t="s">
        <v>6389</v>
      </c>
    </row>
    <row r="3313" spans="1:2" x14ac:dyDescent="0.45">
      <c r="A3313" t="s">
        <v>6392</v>
      </c>
      <c r="B3313" t="s">
        <v>6393</v>
      </c>
    </row>
    <row r="3314" spans="1:2" x14ac:dyDescent="0.45">
      <c r="A3314" t="s">
        <v>6399</v>
      </c>
      <c r="B3314" t="s">
        <v>6400</v>
      </c>
    </row>
    <row r="3315" spans="1:2" x14ac:dyDescent="0.45">
      <c r="A3315" t="s">
        <v>6401</v>
      </c>
      <c r="B3315" t="s">
        <v>6402</v>
      </c>
    </row>
    <row r="3316" spans="1:2" x14ac:dyDescent="0.45">
      <c r="A3316" t="s">
        <v>6403</v>
      </c>
      <c r="B3316" t="s">
        <v>6404</v>
      </c>
    </row>
    <row r="3317" spans="1:2" x14ac:dyDescent="0.45">
      <c r="A3317" t="s">
        <v>6405</v>
      </c>
      <c r="B3317" t="s">
        <v>6406</v>
      </c>
    </row>
    <row r="3318" spans="1:2" x14ac:dyDescent="0.45">
      <c r="A3318" t="s">
        <v>6411</v>
      </c>
      <c r="B3318" t="s">
        <v>6412</v>
      </c>
    </row>
    <row r="3319" spans="1:2" x14ac:dyDescent="0.45">
      <c r="A3319" t="s">
        <v>6415</v>
      </c>
      <c r="B3319" t="s">
        <v>6416</v>
      </c>
    </row>
    <row r="3320" spans="1:2" x14ac:dyDescent="0.45">
      <c r="A3320" t="s">
        <v>6418</v>
      </c>
      <c r="B3320" t="s">
        <v>6419</v>
      </c>
    </row>
    <row r="3321" spans="1:2" x14ac:dyDescent="0.45">
      <c r="A3321" t="s">
        <v>6421</v>
      </c>
      <c r="B3321" t="s">
        <v>6422</v>
      </c>
    </row>
    <row r="3322" spans="1:2" x14ac:dyDescent="0.45">
      <c r="A3322" t="s">
        <v>6423</v>
      </c>
      <c r="B3322" t="s">
        <v>6424</v>
      </c>
    </row>
    <row r="3323" spans="1:2" x14ac:dyDescent="0.45">
      <c r="A3323" t="s">
        <v>6426</v>
      </c>
      <c r="B3323" t="s">
        <v>6427</v>
      </c>
    </row>
    <row r="3324" spans="1:2" x14ac:dyDescent="0.45">
      <c r="A3324" t="s">
        <v>6431</v>
      </c>
      <c r="B3324" t="s">
        <v>6432</v>
      </c>
    </row>
    <row r="3325" spans="1:2" x14ac:dyDescent="0.45">
      <c r="A3325" t="s">
        <v>6435</v>
      </c>
      <c r="B3325" t="s">
        <v>6436</v>
      </c>
    </row>
    <row r="3326" spans="1:2" x14ac:dyDescent="0.45">
      <c r="A3326" t="s">
        <v>6437</v>
      </c>
      <c r="B3326" t="s">
        <v>6438</v>
      </c>
    </row>
    <row r="3327" spans="1:2" x14ac:dyDescent="0.45">
      <c r="A3327" t="s">
        <v>6450</v>
      </c>
      <c r="B3327" t="s">
        <v>6451</v>
      </c>
    </row>
    <row r="3328" spans="1:2" x14ac:dyDescent="0.45">
      <c r="A3328" t="s">
        <v>6457</v>
      </c>
      <c r="B3328" t="s">
        <v>6458</v>
      </c>
    </row>
    <row r="3329" spans="1:2" x14ac:dyDescent="0.45">
      <c r="A3329" t="s">
        <v>6459</v>
      </c>
      <c r="B3329" t="s">
        <v>6460</v>
      </c>
    </row>
    <row r="3330" spans="1:2" x14ac:dyDescent="0.45">
      <c r="A3330" t="s">
        <v>6464</v>
      </c>
      <c r="B3330" t="s">
        <v>6465</v>
      </c>
    </row>
    <row r="3331" spans="1:2" x14ac:dyDescent="0.45">
      <c r="A3331" t="s">
        <v>6466</v>
      </c>
      <c r="B3331" t="s">
        <v>6467</v>
      </c>
    </row>
    <row r="3332" spans="1:2" x14ac:dyDescent="0.45">
      <c r="A3332" t="s">
        <v>6472</v>
      </c>
      <c r="B3332" t="s">
        <v>6473</v>
      </c>
    </row>
    <row r="3333" spans="1:2" x14ac:dyDescent="0.45">
      <c r="A3333" t="s">
        <v>6474</v>
      </c>
      <c r="B3333" t="s">
        <v>6475</v>
      </c>
    </row>
    <row r="3334" spans="1:2" x14ac:dyDescent="0.45">
      <c r="A3334" t="s">
        <v>6478</v>
      </c>
      <c r="B3334" t="s">
        <v>6479</v>
      </c>
    </row>
    <row r="3335" spans="1:2" x14ac:dyDescent="0.45">
      <c r="A3335" t="s">
        <v>6480</v>
      </c>
      <c r="B3335" t="s">
        <v>6481</v>
      </c>
    </row>
    <row r="3336" spans="1:2" x14ac:dyDescent="0.45">
      <c r="A3336" t="s">
        <v>6483</v>
      </c>
      <c r="B3336" t="s">
        <v>6484</v>
      </c>
    </row>
    <row r="3337" spans="1:2" x14ac:dyDescent="0.45">
      <c r="A3337" t="s">
        <v>6485</v>
      </c>
      <c r="B3337" t="s">
        <v>6486</v>
      </c>
    </row>
    <row r="3338" spans="1:2" x14ac:dyDescent="0.45">
      <c r="A3338" t="s">
        <v>6489</v>
      </c>
      <c r="B3338" t="s">
        <v>6490</v>
      </c>
    </row>
    <row r="3339" spans="1:2" x14ac:dyDescent="0.45">
      <c r="A3339" t="s">
        <v>6492</v>
      </c>
      <c r="B3339" t="s">
        <v>6493</v>
      </c>
    </row>
    <row r="3340" spans="1:2" x14ac:dyDescent="0.45">
      <c r="A3340" t="s">
        <v>6495</v>
      </c>
      <c r="B3340" t="s">
        <v>6496</v>
      </c>
    </row>
    <row r="3341" spans="1:2" x14ac:dyDescent="0.45">
      <c r="A3341" t="s">
        <v>6499</v>
      </c>
      <c r="B3341" t="s">
        <v>6500</v>
      </c>
    </row>
    <row r="3342" spans="1:2" x14ac:dyDescent="0.45">
      <c r="A3342" t="s">
        <v>6502</v>
      </c>
      <c r="B3342" t="s">
        <v>6503</v>
      </c>
    </row>
    <row r="3343" spans="1:2" x14ac:dyDescent="0.45">
      <c r="A3343" t="s">
        <v>6504</v>
      </c>
      <c r="B3343" t="s">
        <v>6505</v>
      </c>
    </row>
    <row r="3344" spans="1:2" x14ac:dyDescent="0.45">
      <c r="A3344" t="s">
        <v>6508</v>
      </c>
      <c r="B3344" t="s">
        <v>6509</v>
      </c>
    </row>
    <row r="3345" spans="1:2" x14ac:dyDescent="0.45">
      <c r="A3345" t="s">
        <v>6511</v>
      </c>
      <c r="B3345" t="s">
        <v>6512</v>
      </c>
    </row>
    <row r="3346" spans="1:2" x14ac:dyDescent="0.45">
      <c r="A3346" t="s">
        <v>6513</v>
      </c>
      <c r="B3346" t="s">
        <v>6514</v>
      </c>
    </row>
    <row r="3347" spans="1:2" x14ac:dyDescent="0.45">
      <c r="A3347" t="s">
        <v>6515</v>
      </c>
      <c r="B3347" t="s">
        <v>6516</v>
      </c>
    </row>
    <row r="3348" spans="1:2" x14ac:dyDescent="0.45">
      <c r="A3348" t="s">
        <v>6517</v>
      </c>
      <c r="B3348" t="s">
        <v>6518</v>
      </c>
    </row>
    <row r="3349" spans="1:2" x14ac:dyDescent="0.45">
      <c r="A3349" t="s">
        <v>6519</v>
      </c>
      <c r="B3349" t="s">
        <v>6520</v>
      </c>
    </row>
    <row r="3350" spans="1:2" x14ac:dyDescent="0.45">
      <c r="A3350" t="s">
        <v>6521</v>
      </c>
      <c r="B3350" t="s">
        <v>6522</v>
      </c>
    </row>
    <row r="3351" spans="1:2" x14ac:dyDescent="0.45">
      <c r="A3351" t="s">
        <v>6523</v>
      </c>
      <c r="B3351" t="s">
        <v>6524</v>
      </c>
    </row>
    <row r="3352" spans="1:2" x14ac:dyDescent="0.45">
      <c r="A3352" t="s">
        <v>6525</v>
      </c>
      <c r="B3352" t="s">
        <v>6526</v>
      </c>
    </row>
    <row r="3353" spans="1:2" x14ac:dyDescent="0.45">
      <c r="A3353" t="s">
        <v>6527</v>
      </c>
      <c r="B3353" t="s">
        <v>6528</v>
      </c>
    </row>
    <row r="3354" spans="1:2" x14ac:dyDescent="0.45">
      <c r="A3354" t="s">
        <v>6530</v>
      </c>
      <c r="B3354" t="s">
        <v>6531</v>
      </c>
    </row>
    <row r="3355" spans="1:2" x14ac:dyDescent="0.45">
      <c r="A3355" t="s">
        <v>6533</v>
      </c>
      <c r="B3355" t="s">
        <v>6534</v>
      </c>
    </row>
    <row r="3356" spans="1:2" x14ac:dyDescent="0.45">
      <c r="A3356" t="s">
        <v>6535</v>
      </c>
      <c r="B3356" t="s">
        <v>6536</v>
      </c>
    </row>
    <row r="3357" spans="1:2" x14ac:dyDescent="0.45">
      <c r="A3357" t="s">
        <v>6540</v>
      </c>
      <c r="B3357" t="s">
        <v>6541</v>
      </c>
    </row>
    <row r="3358" spans="1:2" x14ac:dyDescent="0.45">
      <c r="A3358" t="s">
        <v>6543</v>
      </c>
      <c r="B3358" t="s">
        <v>6544</v>
      </c>
    </row>
    <row r="3359" spans="1:2" x14ac:dyDescent="0.45">
      <c r="A3359" t="s">
        <v>6556</v>
      </c>
      <c r="B3359" t="s">
        <v>6557</v>
      </c>
    </row>
    <row r="3360" spans="1:2" x14ac:dyDescent="0.45">
      <c r="A3360" t="s">
        <v>6558</v>
      </c>
      <c r="B3360" t="s">
        <v>6559</v>
      </c>
    </row>
    <row r="3361" spans="1:2" x14ac:dyDescent="0.45">
      <c r="A3361" t="s">
        <v>6560</v>
      </c>
      <c r="B3361" t="s">
        <v>6561</v>
      </c>
    </row>
    <row r="3362" spans="1:2" x14ac:dyDescent="0.45">
      <c r="A3362" t="s">
        <v>6564</v>
      </c>
      <c r="B3362" t="s">
        <v>6565</v>
      </c>
    </row>
    <row r="3363" spans="1:2" x14ac:dyDescent="0.45">
      <c r="A3363" t="s">
        <v>6566</v>
      </c>
      <c r="B3363" t="s">
        <v>6567</v>
      </c>
    </row>
    <row r="3364" spans="1:2" x14ac:dyDescent="0.45">
      <c r="A3364" t="s">
        <v>6568</v>
      </c>
      <c r="B3364" t="s">
        <v>6569</v>
      </c>
    </row>
    <row r="3365" spans="1:2" x14ac:dyDescent="0.45">
      <c r="A3365" t="s">
        <v>6576</v>
      </c>
      <c r="B3365" t="s">
        <v>6577</v>
      </c>
    </row>
    <row r="3366" spans="1:2" x14ac:dyDescent="0.45">
      <c r="A3366" t="s">
        <v>6578</v>
      </c>
      <c r="B3366" t="s">
        <v>6579</v>
      </c>
    </row>
    <row r="3367" spans="1:2" x14ac:dyDescent="0.45">
      <c r="A3367" t="s">
        <v>6581</v>
      </c>
      <c r="B3367" t="s">
        <v>6582</v>
      </c>
    </row>
    <row r="3368" spans="1:2" x14ac:dyDescent="0.45">
      <c r="A3368" t="s">
        <v>6586</v>
      </c>
      <c r="B3368" t="s">
        <v>6587</v>
      </c>
    </row>
    <row r="3369" spans="1:2" x14ac:dyDescent="0.45">
      <c r="A3369" t="s">
        <v>6589</v>
      </c>
      <c r="B3369" t="s">
        <v>6590</v>
      </c>
    </row>
    <row r="3370" spans="1:2" x14ac:dyDescent="0.45">
      <c r="A3370" t="s">
        <v>6592</v>
      </c>
      <c r="B3370" t="s">
        <v>6593</v>
      </c>
    </row>
    <row r="3371" spans="1:2" x14ac:dyDescent="0.45">
      <c r="A3371" t="s">
        <v>6595</v>
      </c>
      <c r="B3371" t="s">
        <v>6596</v>
      </c>
    </row>
    <row r="3372" spans="1:2" x14ac:dyDescent="0.45">
      <c r="A3372" t="s">
        <v>6597</v>
      </c>
      <c r="B3372" t="s">
        <v>6598</v>
      </c>
    </row>
    <row r="3373" spans="1:2" x14ac:dyDescent="0.45">
      <c r="A3373" t="s">
        <v>6601</v>
      </c>
      <c r="B3373" t="s">
        <v>6602</v>
      </c>
    </row>
    <row r="3374" spans="1:2" x14ac:dyDescent="0.45">
      <c r="A3374" t="s">
        <v>6604</v>
      </c>
      <c r="B3374" t="s">
        <v>6605</v>
      </c>
    </row>
    <row r="3375" spans="1:2" x14ac:dyDescent="0.45">
      <c r="A3375" t="s">
        <v>6608</v>
      </c>
      <c r="B3375" t="s">
        <v>6609</v>
      </c>
    </row>
    <row r="3376" spans="1:2" x14ac:dyDescent="0.45">
      <c r="A3376" t="s">
        <v>6610</v>
      </c>
      <c r="B3376" t="s">
        <v>6611</v>
      </c>
    </row>
    <row r="3377" spans="1:2" x14ac:dyDescent="0.45">
      <c r="A3377" t="s">
        <v>6612</v>
      </c>
      <c r="B3377" t="s">
        <v>6613</v>
      </c>
    </row>
    <row r="3378" spans="1:2" x14ac:dyDescent="0.45">
      <c r="A3378" t="s">
        <v>6631</v>
      </c>
      <c r="B3378" t="s">
        <v>6632</v>
      </c>
    </row>
    <row r="3379" spans="1:2" x14ac:dyDescent="0.45">
      <c r="A3379" t="s">
        <v>6634</v>
      </c>
      <c r="B3379" t="s">
        <v>6635</v>
      </c>
    </row>
    <row r="3380" spans="1:2" x14ac:dyDescent="0.45">
      <c r="A3380" t="s">
        <v>6637</v>
      </c>
      <c r="B3380" t="s">
        <v>6638</v>
      </c>
    </row>
    <row r="3381" spans="1:2" x14ac:dyDescent="0.45">
      <c r="A3381" t="s">
        <v>6642</v>
      </c>
      <c r="B3381" t="s">
        <v>6643</v>
      </c>
    </row>
    <row r="3382" spans="1:2" x14ac:dyDescent="0.45">
      <c r="A3382" t="s">
        <v>6653</v>
      </c>
      <c r="B3382" t="s">
        <v>6654</v>
      </c>
    </row>
    <row r="3383" spans="1:2" x14ac:dyDescent="0.45">
      <c r="A3383" t="s">
        <v>6657</v>
      </c>
      <c r="B3383" t="s">
        <v>6658</v>
      </c>
    </row>
    <row r="3384" spans="1:2" x14ac:dyDescent="0.45">
      <c r="A3384" t="s">
        <v>6661</v>
      </c>
      <c r="B3384" t="s">
        <v>6662</v>
      </c>
    </row>
    <row r="3385" spans="1:2" x14ac:dyDescent="0.45">
      <c r="A3385" t="s">
        <v>6665</v>
      </c>
      <c r="B3385" t="s">
        <v>6666</v>
      </c>
    </row>
    <row r="3386" spans="1:2" x14ac:dyDescent="0.45">
      <c r="A3386" t="s">
        <v>6669</v>
      </c>
      <c r="B3386" t="s">
        <v>6670</v>
      </c>
    </row>
    <row r="3387" spans="1:2" x14ac:dyDescent="0.45">
      <c r="A3387" t="s">
        <v>6673</v>
      </c>
      <c r="B3387" t="s">
        <v>6674</v>
      </c>
    </row>
    <row r="3388" spans="1:2" x14ac:dyDescent="0.45">
      <c r="A3388" t="s">
        <v>6677</v>
      </c>
      <c r="B3388" t="s">
        <v>6678</v>
      </c>
    </row>
    <row r="3389" spans="1:2" x14ac:dyDescent="0.45">
      <c r="A3389" t="s">
        <v>6681</v>
      </c>
      <c r="B3389" t="s">
        <v>6682</v>
      </c>
    </row>
    <row r="3390" spans="1:2" x14ac:dyDescent="0.45">
      <c r="A3390" t="s">
        <v>6685</v>
      </c>
      <c r="B3390" t="s">
        <v>6686</v>
      </c>
    </row>
    <row r="3391" spans="1:2" x14ac:dyDescent="0.45">
      <c r="A3391" t="s">
        <v>6699</v>
      </c>
      <c r="B3391" t="s">
        <v>6700</v>
      </c>
    </row>
    <row r="3392" spans="1:2" x14ac:dyDescent="0.45">
      <c r="A3392" t="s">
        <v>6701</v>
      </c>
      <c r="B3392" t="s">
        <v>6702</v>
      </c>
    </row>
    <row r="3393" spans="1:2" x14ac:dyDescent="0.45">
      <c r="A3393" t="s">
        <v>6704</v>
      </c>
      <c r="B3393" t="s">
        <v>6705</v>
      </c>
    </row>
    <row r="3394" spans="1:2" x14ac:dyDescent="0.45">
      <c r="A3394" t="s">
        <v>6706</v>
      </c>
      <c r="B3394" t="s">
        <v>6707</v>
      </c>
    </row>
    <row r="3395" spans="1:2" x14ac:dyDescent="0.45">
      <c r="A3395" t="s">
        <v>6710</v>
      </c>
      <c r="B3395" t="s">
        <v>6711</v>
      </c>
    </row>
    <row r="3396" spans="1:2" x14ac:dyDescent="0.45">
      <c r="A3396" t="s">
        <v>6715</v>
      </c>
      <c r="B3396" t="s">
        <v>6716</v>
      </c>
    </row>
    <row r="3397" spans="1:2" x14ac:dyDescent="0.45">
      <c r="A3397" t="s">
        <v>6723</v>
      </c>
      <c r="B3397" t="s">
        <v>6724</v>
      </c>
    </row>
    <row r="3398" spans="1:2" x14ac:dyDescent="0.45">
      <c r="A3398" t="s">
        <v>6727</v>
      </c>
      <c r="B3398" t="s">
        <v>6728</v>
      </c>
    </row>
    <row r="3399" spans="1:2" x14ac:dyDescent="0.45">
      <c r="A3399" t="s">
        <v>6730</v>
      </c>
      <c r="B3399" t="s">
        <v>6731</v>
      </c>
    </row>
    <row r="3400" spans="1:2" x14ac:dyDescent="0.45">
      <c r="A3400" t="s">
        <v>6732</v>
      </c>
      <c r="B3400" t="s">
        <v>6733</v>
      </c>
    </row>
    <row r="3401" spans="1:2" x14ac:dyDescent="0.45">
      <c r="A3401" t="s">
        <v>6737</v>
      </c>
      <c r="B3401" t="s">
        <v>6738</v>
      </c>
    </row>
    <row r="3402" spans="1:2" x14ac:dyDescent="0.45">
      <c r="A3402" t="s">
        <v>6739</v>
      </c>
      <c r="B3402" t="s">
        <v>6740</v>
      </c>
    </row>
    <row r="3403" spans="1:2" x14ac:dyDescent="0.45">
      <c r="A3403" t="s">
        <v>6743</v>
      </c>
      <c r="B3403" t="s">
        <v>6744</v>
      </c>
    </row>
    <row r="3404" spans="1:2" x14ac:dyDescent="0.45">
      <c r="A3404" t="s">
        <v>6746</v>
      </c>
      <c r="B3404" t="s">
        <v>6747</v>
      </c>
    </row>
    <row r="3405" spans="1:2" x14ac:dyDescent="0.45">
      <c r="A3405" t="s">
        <v>6750</v>
      </c>
      <c r="B3405" t="s">
        <v>6751</v>
      </c>
    </row>
    <row r="3406" spans="1:2" x14ac:dyDescent="0.45">
      <c r="A3406" t="s">
        <v>6752</v>
      </c>
      <c r="B3406" t="s">
        <v>6753</v>
      </c>
    </row>
    <row r="3407" spans="1:2" x14ac:dyDescent="0.45">
      <c r="A3407" t="s">
        <v>6754</v>
      </c>
      <c r="B3407" t="s">
        <v>6755</v>
      </c>
    </row>
    <row r="3408" spans="1:2" x14ac:dyDescent="0.45">
      <c r="A3408" t="s">
        <v>6757</v>
      </c>
      <c r="B3408" t="s">
        <v>6758</v>
      </c>
    </row>
    <row r="3409" spans="1:2" x14ac:dyDescent="0.45">
      <c r="A3409" t="s">
        <v>6761</v>
      </c>
      <c r="B3409" t="s">
        <v>6762</v>
      </c>
    </row>
    <row r="3410" spans="1:2" x14ac:dyDescent="0.45">
      <c r="A3410" t="s">
        <v>6764</v>
      </c>
      <c r="B3410" t="s">
        <v>6765</v>
      </c>
    </row>
    <row r="3411" spans="1:2" x14ac:dyDescent="0.45">
      <c r="A3411" t="s">
        <v>6769</v>
      </c>
      <c r="B3411" t="s">
        <v>6770</v>
      </c>
    </row>
    <row r="3412" spans="1:2" x14ac:dyDescent="0.45">
      <c r="A3412" t="s">
        <v>6771</v>
      </c>
      <c r="B3412" t="s">
        <v>6772</v>
      </c>
    </row>
    <row r="3413" spans="1:2" x14ac:dyDescent="0.45">
      <c r="A3413" t="s">
        <v>6773</v>
      </c>
      <c r="B3413" t="s">
        <v>6774</v>
      </c>
    </row>
    <row r="3414" spans="1:2" x14ac:dyDescent="0.45">
      <c r="A3414" t="s">
        <v>6786</v>
      </c>
      <c r="B3414" t="s">
        <v>6787</v>
      </c>
    </row>
    <row r="3415" spans="1:2" x14ac:dyDescent="0.45">
      <c r="A3415" t="s">
        <v>6788</v>
      </c>
      <c r="B3415" t="s">
        <v>6789</v>
      </c>
    </row>
    <row r="3416" spans="1:2" x14ac:dyDescent="0.45">
      <c r="A3416" t="s">
        <v>6791</v>
      </c>
      <c r="B3416" t="s">
        <v>6792</v>
      </c>
    </row>
    <row r="3417" spans="1:2" x14ac:dyDescent="0.45">
      <c r="A3417" t="s">
        <v>6794</v>
      </c>
      <c r="B3417" t="s">
        <v>6795</v>
      </c>
    </row>
    <row r="3418" spans="1:2" x14ac:dyDescent="0.45">
      <c r="A3418" t="s">
        <v>6796</v>
      </c>
      <c r="B3418" t="s">
        <v>6797</v>
      </c>
    </row>
    <row r="3419" spans="1:2" x14ac:dyDescent="0.45">
      <c r="A3419" t="s">
        <v>6798</v>
      </c>
      <c r="B3419" t="s">
        <v>6799</v>
      </c>
    </row>
    <row r="3420" spans="1:2" x14ac:dyDescent="0.45">
      <c r="A3420" t="s">
        <v>6800</v>
      </c>
      <c r="B3420" t="s">
        <v>6801</v>
      </c>
    </row>
    <row r="3421" spans="1:2" x14ac:dyDescent="0.45">
      <c r="A3421" t="s">
        <v>6809</v>
      </c>
      <c r="B3421" t="s">
        <v>6810</v>
      </c>
    </row>
    <row r="3422" spans="1:2" x14ac:dyDescent="0.45">
      <c r="A3422" t="s">
        <v>6812</v>
      </c>
      <c r="B3422" t="s">
        <v>6813</v>
      </c>
    </row>
    <row r="3423" spans="1:2" x14ac:dyDescent="0.45">
      <c r="A3423" t="s">
        <v>6814</v>
      </c>
      <c r="B3423" t="s">
        <v>6815</v>
      </c>
    </row>
    <row r="3424" spans="1:2" x14ac:dyDescent="0.45">
      <c r="A3424" t="s">
        <v>6816</v>
      </c>
      <c r="B3424" t="s">
        <v>6817</v>
      </c>
    </row>
    <row r="3425" spans="1:2" x14ac:dyDescent="0.45">
      <c r="A3425" t="s">
        <v>6818</v>
      </c>
      <c r="B3425" t="s">
        <v>6819</v>
      </c>
    </row>
    <row r="3426" spans="1:2" x14ac:dyDescent="0.45">
      <c r="A3426" t="s">
        <v>6821</v>
      </c>
      <c r="B3426" t="s">
        <v>6822</v>
      </c>
    </row>
    <row r="3427" spans="1:2" x14ac:dyDescent="0.45">
      <c r="A3427" t="s">
        <v>6823</v>
      </c>
      <c r="B3427" t="s">
        <v>6824</v>
      </c>
    </row>
    <row r="3428" spans="1:2" x14ac:dyDescent="0.45">
      <c r="A3428" t="s">
        <v>6825</v>
      </c>
      <c r="B3428" t="s">
        <v>6826</v>
      </c>
    </row>
    <row r="3429" spans="1:2" x14ac:dyDescent="0.45">
      <c r="A3429" t="s">
        <v>6828</v>
      </c>
      <c r="B3429" t="s">
        <v>6829</v>
      </c>
    </row>
    <row r="3430" spans="1:2" x14ac:dyDescent="0.45">
      <c r="A3430" t="s">
        <v>6830</v>
      </c>
      <c r="B3430" t="s">
        <v>6831</v>
      </c>
    </row>
    <row r="3431" spans="1:2" x14ac:dyDescent="0.45">
      <c r="A3431" t="s">
        <v>6832</v>
      </c>
      <c r="B3431" t="s">
        <v>6833</v>
      </c>
    </row>
    <row r="3432" spans="1:2" x14ac:dyDescent="0.45">
      <c r="A3432" t="s">
        <v>6834</v>
      </c>
      <c r="B3432" t="s">
        <v>6835</v>
      </c>
    </row>
    <row r="3433" spans="1:2" x14ac:dyDescent="0.45">
      <c r="A3433" t="s">
        <v>6836</v>
      </c>
      <c r="B3433" t="s">
        <v>6837</v>
      </c>
    </row>
    <row r="3434" spans="1:2" x14ac:dyDescent="0.45">
      <c r="A3434" t="s">
        <v>6838</v>
      </c>
      <c r="B3434" t="s">
        <v>6839</v>
      </c>
    </row>
    <row r="3435" spans="1:2" x14ac:dyDescent="0.45">
      <c r="A3435" t="s">
        <v>6842</v>
      </c>
      <c r="B3435" t="s">
        <v>6843</v>
      </c>
    </row>
    <row r="3436" spans="1:2" x14ac:dyDescent="0.45">
      <c r="A3436" t="s">
        <v>6844</v>
      </c>
      <c r="B3436" t="s">
        <v>6845</v>
      </c>
    </row>
    <row r="3437" spans="1:2" x14ac:dyDescent="0.45">
      <c r="A3437" t="s">
        <v>6846</v>
      </c>
      <c r="B3437" t="s">
        <v>6847</v>
      </c>
    </row>
    <row r="3438" spans="1:2" x14ac:dyDescent="0.45">
      <c r="A3438" t="s">
        <v>6848</v>
      </c>
      <c r="B3438" t="s">
        <v>6849</v>
      </c>
    </row>
    <row r="3439" spans="1:2" x14ac:dyDescent="0.45">
      <c r="A3439" t="s">
        <v>6851</v>
      </c>
      <c r="B3439" t="s">
        <v>6852</v>
      </c>
    </row>
    <row r="3440" spans="1:2" x14ac:dyDescent="0.45">
      <c r="A3440" t="s">
        <v>6865</v>
      </c>
      <c r="B3440" t="s">
        <v>6866</v>
      </c>
    </row>
    <row r="3441" spans="1:2" x14ac:dyDescent="0.45">
      <c r="A3441" t="s">
        <v>6869</v>
      </c>
      <c r="B3441" t="s">
        <v>6870</v>
      </c>
    </row>
    <row r="3442" spans="1:2" x14ac:dyDescent="0.45">
      <c r="A3442" t="s">
        <v>6872</v>
      </c>
      <c r="B3442" t="s">
        <v>6873</v>
      </c>
    </row>
    <row r="3443" spans="1:2" x14ac:dyDescent="0.45">
      <c r="A3443" t="s">
        <v>6876</v>
      </c>
      <c r="B3443" t="s">
        <v>6877</v>
      </c>
    </row>
    <row r="3444" spans="1:2" x14ac:dyDescent="0.45">
      <c r="A3444" t="s">
        <v>6880</v>
      </c>
      <c r="B3444" t="s">
        <v>6881</v>
      </c>
    </row>
    <row r="3445" spans="1:2" x14ac:dyDescent="0.45">
      <c r="A3445" t="s">
        <v>6889</v>
      </c>
      <c r="B3445" t="s">
        <v>6890</v>
      </c>
    </row>
    <row r="3446" spans="1:2" x14ac:dyDescent="0.45">
      <c r="A3446" t="s">
        <v>6892</v>
      </c>
      <c r="B3446" t="s">
        <v>6893</v>
      </c>
    </row>
    <row r="3447" spans="1:2" x14ac:dyDescent="0.45">
      <c r="A3447" t="s">
        <v>6896</v>
      </c>
      <c r="B3447" t="s">
        <v>6897</v>
      </c>
    </row>
    <row r="3448" spans="1:2" x14ac:dyDescent="0.45">
      <c r="A3448" t="s">
        <v>6899</v>
      </c>
      <c r="B3448" t="s">
        <v>6900</v>
      </c>
    </row>
    <row r="3449" spans="1:2" x14ac:dyDescent="0.45">
      <c r="A3449" t="s">
        <v>6901</v>
      </c>
      <c r="B3449" t="s">
        <v>6902</v>
      </c>
    </row>
    <row r="3450" spans="1:2" x14ac:dyDescent="0.45">
      <c r="A3450" t="s">
        <v>6904</v>
      </c>
      <c r="B3450" t="s">
        <v>6905</v>
      </c>
    </row>
    <row r="3451" spans="1:2" x14ac:dyDescent="0.45">
      <c r="A3451" t="s">
        <v>6907</v>
      </c>
      <c r="B3451" t="s">
        <v>6908</v>
      </c>
    </row>
    <row r="3452" spans="1:2" x14ac:dyDescent="0.45">
      <c r="A3452" t="s">
        <v>6911</v>
      </c>
      <c r="B3452" t="s">
        <v>6912</v>
      </c>
    </row>
    <row r="3453" spans="1:2" x14ac:dyDescent="0.45">
      <c r="A3453" t="s">
        <v>6914</v>
      </c>
      <c r="B3453" t="s">
        <v>6915</v>
      </c>
    </row>
    <row r="3454" spans="1:2" x14ac:dyDescent="0.45">
      <c r="A3454" t="s">
        <v>6918</v>
      </c>
      <c r="B3454" t="s">
        <v>6919</v>
      </c>
    </row>
    <row r="3455" spans="1:2" x14ac:dyDescent="0.45">
      <c r="A3455" t="s">
        <v>6925</v>
      </c>
      <c r="B3455" t="s">
        <v>6926</v>
      </c>
    </row>
    <row r="3456" spans="1:2" x14ac:dyDescent="0.45">
      <c r="A3456" t="s">
        <v>6928</v>
      </c>
      <c r="B3456" t="s">
        <v>6929</v>
      </c>
    </row>
    <row r="3457" spans="1:2" x14ac:dyDescent="0.45">
      <c r="A3457" t="s">
        <v>6932</v>
      </c>
      <c r="B3457" t="s">
        <v>6933</v>
      </c>
    </row>
    <row r="3458" spans="1:2" x14ac:dyDescent="0.45">
      <c r="A3458" t="s">
        <v>6935</v>
      </c>
      <c r="B3458" t="s">
        <v>6936</v>
      </c>
    </row>
    <row r="3459" spans="1:2" x14ac:dyDescent="0.45">
      <c r="A3459" t="s">
        <v>6937</v>
      </c>
      <c r="B3459" t="s">
        <v>6938</v>
      </c>
    </row>
    <row r="3460" spans="1:2" x14ac:dyDescent="0.45">
      <c r="A3460" t="s">
        <v>6941</v>
      </c>
      <c r="B3460" t="s">
        <v>6942</v>
      </c>
    </row>
    <row r="3461" spans="1:2" x14ac:dyDescent="0.45">
      <c r="A3461" t="s">
        <v>6943</v>
      </c>
      <c r="B3461" t="s">
        <v>6944</v>
      </c>
    </row>
    <row r="3462" spans="1:2" x14ac:dyDescent="0.45">
      <c r="A3462" t="s">
        <v>6946</v>
      </c>
      <c r="B3462" t="s">
        <v>6947</v>
      </c>
    </row>
    <row r="3463" spans="1:2" x14ac:dyDescent="0.45">
      <c r="A3463" t="s">
        <v>6948</v>
      </c>
      <c r="B3463" t="s">
        <v>6949</v>
      </c>
    </row>
    <row r="3464" spans="1:2" x14ac:dyDescent="0.45">
      <c r="A3464" t="s">
        <v>6950</v>
      </c>
      <c r="B3464" t="s">
        <v>6951</v>
      </c>
    </row>
    <row r="3465" spans="1:2" x14ac:dyDescent="0.45">
      <c r="A3465" t="s">
        <v>6958</v>
      </c>
      <c r="B3465" t="s">
        <v>6959</v>
      </c>
    </row>
    <row r="3466" spans="1:2" x14ac:dyDescent="0.45">
      <c r="A3466" t="s">
        <v>6962</v>
      </c>
      <c r="B3466" t="s">
        <v>6963</v>
      </c>
    </row>
    <row r="3467" spans="1:2" x14ac:dyDescent="0.45">
      <c r="A3467" t="s">
        <v>6966</v>
      </c>
      <c r="B3467" t="s">
        <v>6967</v>
      </c>
    </row>
    <row r="3468" spans="1:2" x14ac:dyDescent="0.45">
      <c r="A3468" t="s">
        <v>6970</v>
      </c>
      <c r="B3468" t="s">
        <v>6971</v>
      </c>
    </row>
    <row r="3469" spans="1:2" x14ac:dyDescent="0.45">
      <c r="A3469" t="s">
        <v>6972</v>
      </c>
      <c r="B3469" t="s">
        <v>6973</v>
      </c>
    </row>
    <row r="3470" spans="1:2" x14ac:dyDescent="0.45">
      <c r="A3470" t="s">
        <v>6981</v>
      </c>
      <c r="B3470" t="s">
        <v>6982</v>
      </c>
    </row>
    <row r="3471" spans="1:2" x14ac:dyDescent="0.45">
      <c r="A3471" t="s">
        <v>6985</v>
      </c>
      <c r="B3471" t="s">
        <v>6986</v>
      </c>
    </row>
    <row r="3472" spans="1:2" x14ac:dyDescent="0.45">
      <c r="A3472" t="s">
        <v>6993</v>
      </c>
      <c r="B3472" t="s">
        <v>6994</v>
      </c>
    </row>
    <row r="3473" spans="1:2" x14ac:dyDescent="0.45">
      <c r="A3473" t="s">
        <v>6997</v>
      </c>
      <c r="B3473" t="s">
        <v>6998</v>
      </c>
    </row>
    <row r="3474" spans="1:2" x14ac:dyDescent="0.45">
      <c r="A3474" t="s">
        <v>7007</v>
      </c>
      <c r="B3474" t="s">
        <v>7008</v>
      </c>
    </row>
    <row r="3475" spans="1:2" x14ac:dyDescent="0.45">
      <c r="A3475" t="s">
        <v>7009</v>
      </c>
      <c r="B3475" t="s">
        <v>7010</v>
      </c>
    </row>
    <row r="3476" spans="1:2" x14ac:dyDescent="0.45">
      <c r="A3476" t="s">
        <v>7017</v>
      </c>
      <c r="B3476" t="s">
        <v>7018</v>
      </c>
    </row>
    <row r="3477" spans="1:2" x14ac:dyDescent="0.45">
      <c r="A3477" t="s">
        <v>7023</v>
      </c>
      <c r="B3477" t="s">
        <v>7024</v>
      </c>
    </row>
    <row r="3478" spans="1:2" x14ac:dyDescent="0.45">
      <c r="A3478" t="s">
        <v>7033</v>
      </c>
      <c r="B3478" t="s">
        <v>7034</v>
      </c>
    </row>
    <row r="3479" spans="1:2" x14ac:dyDescent="0.45">
      <c r="A3479" t="s">
        <v>7038</v>
      </c>
      <c r="B3479" t="s">
        <v>7039</v>
      </c>
    </row>
    <row r="3480" spans="1:2" x14ac:dyDescent="0.45">
      <c r="A3480" t="s">
        <v>7040</v>
      </c>
      <c r="B3480" t="s">
        <v>7041</v>
      </c>
    </row>
    <row r="3481" spans="1:2" x14ac:dyDescent="0.45">
      <c r="A3481" t="s">
        <v>7042</v>
      </c>
      <c r="B3481" t="s">
        <v>7043</v>
      </c>
    </row>
    <row r="3482" spans="1:2" x14ac:dyDescent="0.45">
      <c r="A3482" t="s">
        <v>7049</v>
      </c>
      <c r="B3482" t="s">
        <v>7050</v>
      </c>
    </row>
    <row r="3483" spans="1:2" x14ac:dyDescent="0.45">
      <c r="A3483" t="s">
        <v>7053</v>
      </c>
      <c r="B3483" t="s">
        <v>7054</v>
      </c>
    </row>
    <row r="3484" spans="1:2" x14ac:dyDescent="0.45">
      <c r="A3484" t="s">
        <v>7064</v>
      </c>
      <c r="B3484" t="s">
        <v>7065</v>
      </c>
    </row>
    <row r="3485" spans="1:2" x14ac:dyDescent="0.45">
      <c r="A3485" t="s">
        <v>7069</v>
      </c>
      <c r="B3485" t="s">
        <v>7070</v>
      </c>
    </row>
    <row r="3486" spans="1:2" x14ac:dyDescent="0.45">
      <c r="A3486" t="s">
        <v>7079</v>
      </c>
      <c r="B3486" t="s">
        <v>7080</v>
      </c>
    </row>
    <row r="3487" spans="1:2" x14ac:dyDescent="0.45">
      <c r="A3487" t="s">
        <v>7083</v>
      </c>
      <c r="B3487" t="s">
        <v>7084</v>
      </c>
    </row>
    <row r="3488" spans="1:2" x14ac:dyDescent="0.45">
      <c r="A3488" t="s">
        <v>7085</v>
      </c>
      <c r="B3488" t="s">
        <v>7086</v>
      </c>
    </row>
    <row r="3489" spans="1:2" x14ac:dyDescent="0.45">
      <c r="A3489" t="s">
        <v>7087</v>
      </c>
      <c r="B3489" t="s">
        <v>7088</v>
      </c>
    </row>
    <row r="3490" spans="1:2" x14ac:dyDescent="0.45">
      <c r="A3490" t="s">
        <v>7089</v>
      </c>
      <c r="B3490" t="s">
        <v>7090</v>
      </c>
    </row>
    <row r="3491" spans="1:2" x14ac:dyDescent="0.45">
      <c r="A3491" t="s">
        <v>7091</v>
      </c>
      <c r="B3491" t="s">
        <v>7092</v>
      </c>
    </row>
    <row r="3492" spans="1:2" x14ac:dyDescent="0.45">
      <c r="A3492" t="s">
        <v>7093</v>
      </c>
      <c r="B3492" t="s">
        <v>7094</v>
      </c>
    </row>
    <row r="3493" spans="1:2" x14ac:dyDescent="0.45">
      <c r="A3493" t="s">
        <v>7095</v>
      </c>
      <c r="B3493" t="s">
        <v>7096</v>
      </c>
    </row>
    <row r="3494" spans="1:2" x14ac:dyDescent="0.45">
      <c r="A3494" t="s">
        <v>7097</v>
      </c>
      <c r="B3494" t="s">
        <v>7098</v>
      </c>
    </row>
    <row r="3495" spans="1:2" x14ac:dyDescent="0.45">
      <c r="A3495" t="s">
        <v>7099</v>
      </c>
      <c r="B3495" t="s">
        <v>7100</v>
      </c>
    </row>
    <row r="3496" spans="1:2" x14ac:dyDescent="0.45">
      <c r="A3496" t="s">
        <v>7112</v>
      </c>
      <c r="B3496" t="s">
        <v>7113</v>
      </c>
    </row>
    <row r="3497" spans="1:2" x14ac:dyDescent="0.45">
      <c r="A3497" t="s">
        <v>7114</v>
      </c>
      <c r="B3497" t="s">
        <v>7115</v>
      </c>
    </row>
    <row r="3498" spans="1:2" x14ac:dyDescent="0.45">
      <c r="A3498" t="s">
        <v>7122</v>
      </c>
      <c r="B3498" t="s">
        <v>7123</v>
      </c>
    </row>
    <row r="3499" spans="1:2" x14ac:dyDescent="0.45">
      <c r="A3499" t="s">
        <v>7134</v>
      </c>
      <c r="B3499" t="s">
        <v>7135</v>
      </c>
    </row>
    <row r="3500" spans="1:2" x14ac:dyDescent="0.45">
      <c r="A3500" t="s">
        <v>7137</v>
      </c>
      <c r="B3500" t="s">
        <v>7138</v>
      </c>
    </row>
    <row r="3501" spans="1:2" x14ac:dyDescent="0.45">
      <c r="A3501" t="s">
        <v>7140</v>
      </c>
      <c r="B3501" t="s">
        <v>7141</v>
      </c>
    </row>
    <row r="3502" spans="1:2" x14ac:dyDescent="0.45">
      <c r="A3502" t="s">
        <v>7142</v>
      </c>
      <c r="B3502" t="s">
        <v>7143</v>
      </c>
    </row>
    <row r="3503" spans="1:2" x14ac:dyDescent="0.45">
      <c r="A3503" t="s">
        <v>7144</v>
      </c>
      <c r="B3503" t="s">
        <v>7145</v>
      </c>
    </row>
    <row r="3504" spans="1:2" x14ac:dyDescent="0.45">
      <c r="A3504" t="s">
        <v>7148</v>
      </c>
      <c r="B3504" t="s">
        <v>7149</v>
      </c>
    </row>
    <row r="3505" spans="1:2" x14ac:dyDescent="0.45">
      <c r="A3505" t="s">
        <v>7154</v>
      </c>
      <c r="B3505" t="s">
        <v>7155</v>
      </c>
    </row>
    <row r="3506" spans="1:2" x14ac:dyDescent="0.45">
      <c r="A3506" t="s">
        <v>7160</v>
      </c>
      <c r="B3506" t="s">
        <v>7161</v>
      </c>
    </row>
    <row r="3507" spans="1:2" x14ac:dyDescent="0.45">
      <c r="A3507" t="s">
        <v>7169</v>
      </c>
      <c r="B3507" t="s">
        <v>7170</v>
      </c>
    </row>
    <row r="3508" spans="1:2" x14ac:dyDescent="0.45">
      <c r="A3508" t="s">
        <v>7172</v>
      </c>
      <c r="B3508" t="s">
        <v>7173</v>
      </c>
    </row>
    <row r="3509" spans="1:2" x14ac:dyDescent="0.45">
      <c r="A3509" t="s">
        <v>7177</v>
      </c>
      <c r="B3509" t="s">
        <v>7178</v>
      </c>
    </row>
    <row r="3510" spans="1:2" x14ac:dyDescent="0.45">
      <c r="A3510" t="s">
        <v>7184</v>
      </c>
      <c r="B3510" t="s">
        <v>7185</v>
      </c>
    </row>
    <row r="3511" spans="1:2" x14ac:dyDescent="0.45">
      <c r="A3511" t="s">
        <v>7187</v>
      </c>
      <c r="B3511" t="s">
        <v>7188</v>
      </c>
    </row>
    <row r="3512" spans="1:2" x14ac:dyDescent="0.45">
      <c r="A3512" t="s">
        <v>7189</v>
      </c>
      <c r="B3512" t="s">
        <v>7190</v>
      </c>
    </row>
    <row r="3513" spans="1:2" x14ac:dyDescent="0.45">
      <c r="A3513" t="s">
        <v>7191</v>
      </c>
      <c r="B3513" t="s">
        <v>7192</v>
      </c>
    </row>
    <row r="3514" spans="1:2" x14ac:dyDescent="0.45">
      <c r="A3514" t="s">
        <v>7194</v>
      </c>
      <c r="B3514" t="s">
        <v>7195</v>
      </c>
    </row>
    <row r="3515" spans="1:2" x14ac:dyDescent="0.45">
      <c r="A3515" t="s">
        <v>7197</v>
      </c>
      <c r="B3515" t="s">
        <v>7198</v>
      </c>
    </row>
    <row r="3516" spans="1:2" x14ac:dyDescent="0.45">
      <c r="A3516" t="s">
        <v>7201</v>
      </c>
      <c r="B3516" t="s">
        <v>7202</v>
      </c>
    </row>
    <row r="3517" spans="1:2" x14ac:dyDescent="0.45">
      <c r="A3517" t="s">
        <v>7203</v>
      </c>
      <c r="B3517" t="s">
        <v>7204</v>
      </c>
    </row>
    <row r="3518" spans="1:2" x14ac:dyDescent="0.45">
      <c r="A3518" t="s">
        <v>7218</v>
      </c>
      <c r="B3518" t="s">
        <v>7219</v>
      </c>
    </row>
    <row r="3519" spans="1:2" x14ac:dyDescent="0.45">
      <c r="A3519" t="s">
        <v>7220</v>
      </c>
      <c r="B3519" t="s">
        <v>7221</v>
      </c>
    </row>
    <row r="3520" spans="1:2" x14ac:dyDescent="0.45">
      <c r="A3520" t="s">
        <v>7224</v>
      </c>
      <c r="B3520" t="s">
        <v>7225</v>
      </c>
    </row>
    <row r="3521" spans="1:2" x14ac:dyDescent="0.45">
      <c r="A3521" t="s">
        <v>7226</v>
      </c>
      <c r="B3521" t="s">
        <v>7227</v>
      </c>
    </row>
    <row r="3522" spans="1:2" x14ac:dyDescent="0.45">
      <c r="A3522" t="s">
        <v>7228</v>
      </c>
      <c r="B3522" t="s">
        <v>7229</v>
      </c>
    </row>
    <row r="3523" spans="1:2" x14ac:dyDescent="0.45">
      <c r="A3523" t="s">
        <v>7230</v>
      </c>
      <c r="B3523" t="s">
        <v>7231</v>
      </c>
    </row>
    <row r="3524" spans="1:2" x14ac:dyDescent="0.45">
      <c r="A3524" t="s">
        <v>7232</v>
      </c>
      <c r="B3524" t="s">
        <v>7233</v>
      </c>
    </row>
    <row r="3525" spans="1:2" x14ac:dyDescent="0.45">
      <c r="A3525" t="s">
        <v>7234</v>
      </c>
      <c r="B3525" t="s">
        <v>7235</v>
      </c>
    </row>
    <row r="3526" spans="1:2" x14ac:dyDescent="0.45">
      <c r="A3526" t="s">
        <v>7238</v>
      </c>
      <c r="B3526" t="s">
        <v>7239</v>
      </c>
    </row>
    <row r="3527" spans="1:2" x14ac:dyDescent="0.45">
      <c r="A3527" t="s">
        <v>7246</v>
      </c>
      <c r="B3527" t="s">
        <v>7247</v>
      </c>
    </row>
    <row r="3528" spans="1:2" x14ac:dyDescent="0.45">
      <c r="A3528" t="s">
        <v>7248</v>
      </c>
      <c r="B3528" t="s">
        <v>7249</v>
      </c>
    </row>
    <row r="3529" spans="1:2" x14ac:dyDescent="0.45">
      <c r="A3529" t="s">
        <v>7260</v>
      </c>
      <c r="B3529" t="s">
        <v>7261</v>
      </c>
    </row>
    <row r="3530" spans="1:2" x14ac:dyDescent="0.45">
      <c r="A3530" t="s">
        <v>7264</v>
      </c>
      <c r="B3530" t="s">
        <v>7265</v>
      </c>
    </row>
    <row r="3531" spans="1:2" x14ac:dyDescent="0.45">
      <c r="A3531" t="s">
        <v>7268</v>
      </c>
      <c r="B3531" t="s">
        <v>7269</v>
      </c>
    </row>
    <row r="3532" spans="1:2" x14ac:dyDescent="0.45">
      <c r="A3532" t="s">
        <v>7271</v>
      </c>
      <c r="B3532" t="s">
        <v>7272</v>
      </c>
    </row>
    <row r="3533" spans="1:2" x14ac:dyDescent="0.45">
      <c r="A3533" t="s">
        <v>7280</v>
      </c>
      <c r="B3533" t="s">
        <v>7281</v>
      </c>
    </row>
    <row r="3534" spans="1:2" x14ac:dyDescent="0.45">
      <c r="A3534" t="s">
        <v>7283</v>
      </c>
      <c r="B3534" t="s">
        <v>7284</v>
      </c>
    </row>
    <row r="3535" spans="1:2" x14ac:dyDescent="0.45">
      <c r="A3535" t="s">
        <v>7319</v>
      </c>
      <c r="B3535" t="s">
        <v>7320</v>
      </c>
    </row>
    <row r="3536" spans="1:2" x14ac:dyDescent="0.45">
      <c r="A3536" t="s">
        <v>7323</v>
      </c>
      <c r="B3536" t="s">
        <v>7324</v>
      </c>
    </row>
    <row r="3537" spans="1:2" x14ac:dyDescent="0.45">
      <c r="A3537" t="s">
        <v>7325</v>
      </c>
      <c r="B3537" t="s">
        <v>7326</v>
      </c>
    </row>
    <row r="3538" spans="1:2" x14ac:dyDescent="0.45">
      <c r="A3538" t="s">
        <v>7340</v>
      </c>
      <c r="B3538" t="s">
        <v>7341</v>
      </c>
    </row>
    <row r="3539" spans="1:2" x14ac:dyDescent="0.45">
      <c r="A3539" t="s">
        <v>7342</v>
      </c>
      <c r="B3539" t="s">
        <v>7343</v>
      </c>
    </row>
    <row r="3540" spans="1:2" x14ac:dyDescent="0.45">
      <c r="A3540" t="s">
        <v>7344</v>
      </c>
      <c r="B3540" t="s">
        <v>7345</v>
      </c>
    </row>
    <row r="3541" spans="1:2" x14ac:dyDescent="0.45">
      <c r="A3541" t="s">
        <v>7350</v>
      </c>
      <c r="B3541" t="s">
        <v>7351</v>
      </c>
    </row>
    <row r="3542" spans="1:2" x14ac:dyDescent="0.45">
      <c r="A3542" t="s">
        <v>7354</v>
      </c>
      <c r="B3542" t="s">
        <v>7355</v>
      </c>
    </row>
    <row r="3543" spans="1:2" x14ac:dyDescent="0.45">
      <c r="A3543" t="s">
        <v>7358</v>
      </c>
      <c r="B3543" t="s">
        <v>7359</v>
      </c>
    </row>
    <row r="3544" spans="1:2" x14ac:dyDescent="0.45">
      <c r="A3544" t="s">
        <v>7367</v>
      </c>
      <c r="B3544" t="s">
        <v>7368</v>
      </c>
    </row>
    <row r="3545" spans="1:2" x14ac:dyDescent="0.45">
      <c r="A3545" t="s">
        <v>7371</v>
      </c>
      <c r="B3545" t="s">
        <v>7372</v>
      </c>
    </row>
    <row r="3546" spans="1:2" x14ac:dyDescent="0.45">
      <c r="A3546" t="s">
        <v>7373</v>
      </c>
      <c r="B3546" t="s">
        <v>7374</v>
      </c>
    </row>
    <row r="3547" spans="1:2" x14ac:dyDescent="0.45">
      <c r="A3547" t="s">
        <v>7375</v>
      </c>
      <c r="B3547" t="s">
        <v>7376</v>
      </c>
    </row>
    <row r="3548" spans="1:2" x14ac:dyDescent="0.45">
      <c r="A3548" t="s">
        <v>7377</v>
      </c>
      <c r="B3548" t="s">
        <v>7378</v>
      </c>
    </row>
    <row r="3549" spans="1:2" x14ac:dyDescent="0.45">
      <c r="A3549" t="s">
        <v>7379</v>
      </c>
      <c r="B3549" t="s">
        <v>7380</v>
      </c>
    </row>
    <row r="3550" spans="1:2" x14ac:dyDescent="0.45">
      <c r="A3550" t="s">
        <v>7386</v>
      </c>
      <c r="B3550" t="s">
        <v>7387</v>
      </c>
    </row>
    <row r="3551" spans="1:2" x14ac:dyDescent="0.45">
      <c r="A3551" t="s">
        <v>7389</v>
      </c>
      <c r="B3551" t="s">
        <v>7390</v>
      </c>
    </row>
    <row r="3552" spans="1:2" x14ac:dyDescent="0.45">
      <c r="A3552" t="s">
        <v>7392</v>
      </c>
      <c r="B3552" t="s">
        <v>7393</v>
      </c>
    </row>
    <row r="3553" spans="1:2" x14ac:dyDescent="0.45">
      <c r="A3553" t="s">
        <v>7395</v>
      </c>
      <c r="B3553" t="s">
        <v>7396</v>
      </c>
    </row>
    <row r="3554" spans="1:2" x14ac:dyDescent="0.45">
      <c r="A3554" t="s">
        <v>7398</v>
      </c>
      <c r="B3554" t="s">
        <v>7399</v>
      </c>
    </row>
    <row r="3555" spans="1:2" x14ac:dyDescent="0.45">
      <c r="A3555" t="s">
        <v>7401</v>
      </c>
      <c r="B3555" t="s">
        <v>7402</v>
      </c>
    </row>
    <row r="3556" spans="1:2" x14ac:dyDescent="0.45">
      <c r="A3556" t="s">
        <v>7403</v>
      </c>
      <c r="B3556" t="s">
        <v>7404</v>
      </c>
    </row>
    <row r="3557" spans="1:2" x14ac:dyDescent="0.45">
      <c r="A3557" t="s">
        <v>7406</v>
      </c>
      <c r="B3557" t="s">
        <v>7407</v>
      </c>
    </row>
    <row r="3558" spans="1:2" x14ac:dyDescent="0.45">
      <c r="A3558" t="s">
        <v>7408</v>
      </c>
      <c r="B3558" t="s">
        <v>7409</v>
      </c>
    </row>
    <row r="3559" spans="1:2" x14ac:dyDescent="0.45">
      <c r="A3559" t="s">
        <v>7410</v>
      </c>
      <c r="B3559" t="s">
        <v>7411</v>
      </c>
    </row>
    <row r="3560" spans="1:2" x14ac:dyDescent="0.45">
      <c r="A3560" t="s">
        <v>7414</v>
      </c>
      <c r="B3560" t="s">
        <v>7415</v>
      </c>
    </row>
    <row r="3561" spans="1:2" x14ac:dyDescent="0.45">
      <c r="A3561" t="s">
        <v>7416</v>
      </c>
      <c r="B3561" t="s">
        <v>7417</v>
      </c>
    </row>
    <row r="3562" spans="1:2" x14ac:dyDescent="0.45">
      <c r="A3562" t="s">
        <v>7418</v>
      </c>
      <c r="B3562" t="s">
        <v>7419</v>
      </c>
    </row>
    <row r="3563" spans="1:2" x14ac:dyDescent="0.45">
      <c r="A3563" t="s">
        <v>7422</v>
      </c>
      <c r="B3563" t="s">
        <v>7423</v>
      </c>
    </row>
    <row r="3564" spans="1:2" x14ac:dyDescent="0.45">
      <c r="A3564" t="s">
        <v>7436</v>
      </c>
      <c r="B3564" t="s">
        <v>7437</v>
      </c>
    </row>
    <row r="3565" spans="1:2" x14ac:dyDescent="0.45">
      <c r="A3565" t="s">
        <v>7439</v>
      </c>
      <c r="B3565" t="s">
        <v>7440</v>
      </c>
    </row>
    <row r="3566" spans="1:2" x14ac:dyDescent="0.45">
      <c r="A3566" t="s">
        <v>7442</v>
      </c>
      <c r="B3566" t="s">
        <v>7443</v>
      </c>
    </row>
    <row r="3567" spans="1:2" x14ac:dyDescent="0.45">
      <c r="A3567" t="s">
        <v>7444</v>
      </c>
      <c r="B3567" t="s">
        <v>7445</v>
      </c>
    </row>
    <row r="3568" spans="1:2" x14ac:dyDescent="0.45">
      <c r="A3568" t="s">
        <v>7449</v>
      </c>
      <c r="B3568" t="s">
        <v>7450</v>
      </c>
    </row>
    <row r="3569" spans="1:2" x14ac:dyDescent="0.45">
      <c r="A3569" t="s">
        <v>7453</v>
      </c>
      <c r="B3569" t="s">
        <v>7454</v>
      </c>
    </row>
    <row r="3570" spans="1:2" x14ac:dyDescent="0.45">
      <c r="A3570" t="s">
        <v>7457</v>
      </c>
      <c r="B3570" t="s">
        <v>7458</v>
      </c>
    </row>
    <row r="3571" spans="1:2" x14ac:dyDescent="0.45">
      <c r="A3571" t="s">
        <v>7459</v>
      </c>
      <c r="B3571" t="s">
        <v>7460</v>
      </c>
    </row>
    <row r="3572" spans="1:2" x14ac:dyDescent="0.45">
      <c r="A3572" t="s">
        <v>7463</v>
      </c>
      <c r="B3572" t="s">
        <v>7464</v>
      </c>
    </row>
    <row r="3573" spans="1:2" x14ac:dyDescent="0.45">
      <c r="A3573" t="s">
        <v>7467</v>
      </c>
      <c r="B3573" t="s">
        <v>7468</v>
      </c>
    </row>
    <row r="3574" spans="1:2" x14ac:dyDescent="0.45">
      <c r="A3574" t="s">
        <v>7470</v>
      </c>
      <c r="B3574" t="s">
        <v>7471</v>
      </c>
    </row>
    <row r="3575" spans="1:2" x14ac:dyDescent="0.45">
      <c r="A3575" t="s">
        <v>7472</v>
      </c>
      <c r="B3575" t="s">
        <v>7473</v>
      </c>
    </row>
    <row r="3576" spans="1:2" x14ac:dyDescent="0.45">
      <c r="A3576" t="s">
        <v>7476</v>
      </c>
      <c r="B3576" t="s">
        <v>7477</v>
      </c>
    </row>
    <row r="3577" spans="1:2" x14ac:dyDescent="0.45">
      <c r="A3577" t="s">
        <v>7479</v>
      </c>
      <c r="B3577" t="s">
        <v>7480</v>
      </c>
    </row>
    <row r="3578" spans="1:2" x14ac:dyDescent="0.45">
      <c r="A3578" t="s">
        <v>7482</v>
      </c>
      <c r="B3578" t="s">
        <v>7483</v>
      </c>
    </row>
    <row r="3579" spans="1:2" x14ac:dyDescent="0.45">
      <c r="A3579" t="s">
        <v>7484</v>
      </c>
      <c r="B3579" t="s">
        <v>7485</v>
      </c>
    </row>
    <row r="3580" spans="1:2" x14ac:dyDescent="0.45">
      <c r="A3580" t="s">
        <v>7487</v>
      </c>
      <c r="B3580" t="s">
        <v>7488</v>
      </c>
    </row>
    <row r="3581" spans="1:2" x14ac:dyDescent="0.45">
      <c r="A3581" t="s">
        <v>7495</v>
      </c>
      <c r="B3581" t="s">
        <v>7496</v>
      </c>
    </row>
    <row r="3582" spans="1:2" x14ac:dyDescent="0.45">
      <c r="A3582" t="s">
        <v>7509</v>
      </c>
      <c r="B3582" t="s">
        <v>7510</v>
      </c>
    </row>
    <row r="3583" spans="1:2" x14ac:dyDescent="0.45">
      <c r="A3583" t="s">
        <v>7511</v>
      </c>
      <c r="B3583" t="s">
        <v>7512</v>
      </c>
    </row>
    <row r="3584" spans="1:2" x14ac:dyDescent="0.45">
      <c r="A3584" t="s">
        <v>7523</v>
      </c>
      <c r="B3584" t="s">
        <v>7524</v>
      </c>
    </row>
    <row r="3585" spans="1:2" x14ac:dyDescent="0.45">
      <c r="A3585" t="s">
        <v>7527</v>
      </c>
      <c r="B3585" t="s">
        <v>7528</v>
      </c>
    </row>
    <row r="3586" spans="1:2" x14ac:dyDescent="0.45">
      <c r="A3586" t="s">
        <v>7531</v>
      </c>
      <c r="B3586" t="s">
        <v>7532</v>
      </c>
    </row>
    <row r="3587" spans="1:2" x14ac:dyDescent="0.45">
      <c r="A3587" t="s">
        <v>7538</v>
      </c>
      <c r="B3587" t="s">
        <v>7539</v>
      </c>
    </row>
    <row r="3588" spans="1:2" x14ac:dyDescent="0.45">
      <c r="A3588" t="s">
        <v>7546</v>
      </c>
      <c r="B3588" t="s">
        <v>7547</v>
      </c>
    </row>
    <row r="3589" spans="1:2" x14ac:dyDescent="0.45">
      <c r="A3589" t="s">
        <v>7548</v>
      </c>
      <c r="B3589" t="s">
        <v>7549</v>
      </c>
    </row>
    <row r="3590" spans="1:2" x14ac:dyDescent="0.45">
      <c r="A3590" t="s">
        <v>7550</v>
      </c>
      <c r="B3590" t="s">
        <v>7551</v>
      </c>
    </row>
    <row r="3591" spans="1:2" x14ac:dyDescent="0.45">
      <c r="A3591" t="s">
        <v>7552</v>
      </c>
      <c r="B3591" t="s">
        <v>7553</v>
      </c>
    </row>
    <row r="3592" spans="1:2" x14ac:dyDescent="0.45">
      <c r="A3592" t="s">
        <v>7554</v>
      </c>
      <c r="B3592" t="s">
        <v>7555</v>
      </c>
    </row>
    <row r="3593" spans="1:2" x14ac:dyDescent="0.45">
      <c r="A3593" t="s">
        <v>7556</v>
      </c>
      <c r="B3593" t="s">
        <v>7557</v>
      </c>
    </row>
    <row r="3594" spans="1:2" x14ac:dyDescent="0.45">
      <c r="A3594" t="s">
        <v>7558</v>
      </c>
      <c r="B3594" t="s">
        <v>7559</v>
      </c>
    </row>
    <row r="3595" spans="1:2" x14ac:dyDescent="0.45">
      <c r="A3595" t="s">
        <v>7560</v>
      </c>
      <c r="B3595" t="s">
        <v>7561</v>
      </c>
    </row>
    <row r="3596" spans="1:2" x14ac:dyDescent="0.45">
      <c r="A3596" t="s">
        <v>7565</v>
      </c>
      <c r="B3596" t="s">
        <v>7566</v>
      </c>
    </row>
    <row r="3597" spans="1:2" x14ac:dyDescent="0.45">
      <c r="A3597" t="s">
        <v>7568</v>
      </c>
      <c r="B3597" t="s">
        <v>7569</v>
      </c>
    </row>
    <row r="3598" spans="1:2" x14ac:dyDescent="0.45">
      <c r="A3598" t="s">
        <v>7573</v>
      </c>
      <c r="B3598" t="s">
        <v>7574</v>
      </c>
    </row>
    <row r="3599" spans="1:2" x14ac:dyDescent="0.45">
      <c r="A3599" t="s">
        <v>7575</v>
      </c>
      <c r="B3599" t="s">
        <v>7576</v>
      </c>
    </row>
    <row r="3600" spans="1:2" x14ac:dyDescent="0.45">
      <c r="A3600" t="s">
        <v>7579</v>
      </c>
      <c r="B3600" t="s">
        <v>7580</v>
      </c>
    </row>
    <row r="3601" spans="1:2" x14ac:dyDescent="0.45">
      <c r="A3601" t="s">
        <v>7585</v>
      </c>
      <c r="B3601" t="s">
        <v>7586</v>
      </c>
    </row>
    <row r="3602" spans="1:2" x14ac:dyDescent="0.45">
      <c r="A3602" t="s">
        <v>7590</v>
      </c>
      <c r="B3602" t="s">
        <v>7591</v>
      </c>
    </row>
    <row r="3603" spans="1:2" x14ac:dyDescent="0.45">
      <c r="A3603" t="s">
        <v>7592</v>
      </c>
      <c r="B3603" t="s">
        <v>7593</v>
      </c>
    </row>
    <row r="3604" spans="1:2" x14ac:dyDescent="0.45">
      <c r="A3604" t="s">
        <v>7594</v>
      </c>
      <c r="B3604" t="s">
        <v>7595</v>
      </c>
    </row>
    <row r="3605" spans="1:2" x14ac:dyDescent="0.45">
      <c r="A3605" t="s">
        <v>7597</v>
      </c>
      <c r="B3605" t="s">
        <v>7598</v>
      </c>
    </row>
    <row r="3606" spans="1:2" x14ac:dyDescent="0.45">
      <c r="A3606" t="s">
        <v>7602</v>
      </c>
      <c r="B3606" t="s">
        <v>7603</v>
      </c>
    </row>
    <row r="3607" spans="1:2" x14ac:dyDescent="0.45">
      <c r="A3607" t="s">
        <v>7611</v>
      </c>
      <c r="B3607" t="s">
        <v>7612</v>
      </c>
    </row>
    <row r="3608" spans="1:2" x14ac:dyDescent="0.45">
      <c r="A3608" t="s">
        <v>7614</v>
      </c>
      <c r="B3608" t="s">
        <v>7615</v>
      </c>
    </row>
    <row r="3609" spans="1:2" x14ac:dyDescent="0.45">
      <c r="A3609" t="s">
        <v>7623</v>
      </c>
      <c r="B3609" t="s">
        <v>7624</v>
      </c>
    </row>
    <row r="3610" spans="1:2" x14ac:dyDescent="0.45">
      <c r="A3610" t="s">
        <v>7626</v>
      </c>
      <c r="B3610" t="s">
        <v>7627</v>
      </c>
    </row>
    <row r="3611" spans="1:2" x14ac:dyDescent="0.45">
      <c r="A3611" t="s">
        <v>7629</v>
      </c>
      <c r="B3611" t="s">
        <v>7630</v>
      </c>
    </row>
    <row r="3612" spans="1:2" x14ac:dyDescent="0.45">
      <c r="A3612" t="s">
        <v>7631</v>
      </c>
      <c r="B3612" t="s">
        <v>7632</v>
      </c>
    </row>
    <row r="3613" spans="1:2" x14ac:dyDescent="0.45">
      <c r="A3613" t="s">
        <v>7634</v>
      </c>
      <c r="B3613" t="s">
        <v>7635</v>
      </c>
    </row>
    <row r="3614" spans="1:2" x14ac:dyDescent="0.45">
      <c r="A3614" t="s">
        <v>7636</v>
      </c>
      <c r="B3614" t="s">
        <v>7637</v>
      </c>
    </row>
    <row r="3615" spans="1:2" x14ac:dyDescent="0.45">
      <c r="A3615" t="s">
        <v>7639</v>
      </c>
      <c r="B3615" t="s">
        <v>7640</v>
      </c>
    </row>
    <row r="3616" spans="1:2" x14ac:dyDescent="0.45">
      <c r="A3616" t="s">
        <v>7641</v>
      </c>
      <c r="B3616" t="s">
        <v>7642</v>
      </c>
    </row>
    <row r="3617" spans="1:2" x14ac:dyDescent="0.45">
      <c r="A3617" t="s">
        <v>7645</v>
      </c>
      <c r="B3617" t="s">
        <v>7646</v>
      </c>
    </row>
    <row r="3618" spans="1:2" x14ac:dyDescent="0.45">
      <c r="A3618" t="s">
        <v>7647</v>
      </c>
      <c r="B3618" t="s">
        <v>7648</v>
      </c>
    </row>
    <row r="3619" spans="1:2" x14ac:dyDescent="0.45">
      <c r="A3619" t="s">
        <v>7651</v>
      </c>
      <c r="B3619" t="s">
        <v>7652</v>
      </c>
    </row>
    <row r="3620" spans="1:2" x14ac:dyDescent="0.45">
      <c r="A3620" t="s">
        <v>7653</v>
      </c>
      <c r="B3620" t="s">
        <v>7654</v>
      </c>
    </row>
    <row r="3621" spans="1:2" x14ac:dyDescent="0.45">
      <c r="A3621" t="s">
        <v>7655</v>
      </c>
      <c r="B3621" t="s">
        <v>7656</v>
      </c>
    </row>
    <row r="3622" spans="1:2" x14ac:dyDescent="0.45">
      <c r="A3622" t="s">
        <v>7658</v>
      </c>
      <c r="B3622" t="s">
        <v>7659</v>
      </c>
    </row>
    <row r="3623" spans="1:2" x14ac:dyDescent="0.45">
      <c r="A3623" t="s">
        <v>7661</v>
      </c>
      <c r="B3623" t="s">
        <v>7662</v>
      </c>
    </row>
    <row r="3624" spans="1:2" x14ac:dyDescent="0.45">
      <c r="A3624" t="s">
        <v>7671</v>
      </c>
      <c r="B3624" t="s">
        <v>7672</v>
      </c>
    </row>
    <row r="3625" spans="1:2" x14ac:dyDescent="0.45">
      <c r="A3625" t="s">
        <v>7673</v>
      </c>
      <c r="B3625" t="s">
        <v>7674</v>
      </c>
    </row>
    <row r="3626" spans="1:2" x14ac:dyDescent="0.45">
      <c r="A3626" t="s">
        <v>7676</v>
      </c>
      <c r="B3626" t="s">
        <v>7677</v>
      </c>
    </row>
    <row r="3627" spans="1:2" x14ac:dyDescent="0.45">
      <c r="A3627" t="s">
        <v>7684</v>
      </c>
      <c r="B3627" t="s">
        <v>7685</v>
      </c>
    </row>
    <row r="3628" spans="1:2" x14ac:dyDescent="0.45">
      <c r="A3628" t="s">
        <v>7689</v>
      </c>
      <c r="B3628" t="s">
        <v>7690</v>
      </c>
    </row>
    <row r="3629" spans="1:2" x14ac:dyDescent="0.45">
      <c r="A3629" t="s">
        <v>7691</v>
      </c>
      <c r="B3629" t="s">
        <v>7692</v>
      </c>
    </row>
    <row r="3630" spans="1:2" x14ac:dyDescent="0.45">
      <c r="A3630" t="s">
        <v>7693</v>
      </c>
      <c r="B3630" t="s">
        <v>7694</v>
      </c>
    </row>
    <row r="3631" spans="1:2" x14ac:dyDescent="0.45">
      <c r="A3631" t="s">
        <v>7695</v>
      </c>
      <c r="B3631" t="s">
        <v>7696</v>
      </c>
    </row>
    <row r="3632" spans="1:2" x14ac:dyDescent="0.45">
      <c r="A3632" t="s">
        <v>7697</v>
      </c>
      <c r="B3632" t="s">
        <v>7698</v>
      </c>
    </row>
    <row r="3633" spans="1:2" x14ac:dyDescent="0.45">
      <c r="A3633" t="s">
        <v>7699</v>
      </c>
      <c r="B3633" t="s">
        <v>7700</v>
      </c>
    </row>
    <row r="3634" spans="1:2" x14ac:dyDescent="0.45">
      <c r="A3634" t="s">
        <v>7701</v>
      </c>
      <c r="B3634" t="s">
        <v>7702</v>
      </c>
    </row>
    <row r="3635" spans="1:2" x14ac:dyDescent="0.45">
      <c r="A3635" t="s">
        <v>7707</v>
      </c>
      <c r="B3635" t="s">
        <v>7708</v>
      </c>
    </row>
    <row r="3636" spans="1:2" x14ac:dyDescent="0.45">
      <c r="A3636" t="s">
        <v>7709</v>
      </c>
      <c r="B3636" t="s">
        <v>7710</v>
      </c>
    </row>
    <row r="3637" spans="1:2" x14ac:dyDescent="0.45">
      <c r="A3637" t="s">
        <v>7712</v>
      </c>
      <c r="B3637" t="s">
        <v>7713</v>
      </c>
    </row>
    <row r="3638" spans="1:2" x14ac:dyDescent="0.45">
      <c r="A3638" t="s">
        <v>7715</v>
      </c>
      <c r="B3638" t="s">
        <v>7716</v>
      </c>
    </row>
    <row r="3639" spans="1:2" x14ac:dyDescent="0.45">
      <c r="A3639" t="s">
        <v>7717</v>
      </c>
      <c r="B3639" t="s">
        <v>7718</v>
      </c>
    </row>
    <row r="3640" spans="1:2" x14ac:dyDescent="0.45">
      <c r="A3640" t="s">
        <v>7719</v>
      </c>
      <c r="B3640" t="s">
        <v>7720</v>
      </c>
    </row>
    <row r="3641" spans="1:2" x14ac:dyDescent="0.45">
      <c r="A3641" t="s">
        <v>7723</v>
      </c>
      <c r="B3641" t="s">
        <v>7724</v>
      </c>
    </row>
    <row r="3642" spans="1:2" x14ac:dyDescent="0.45">
      <c r="A3642" t="s">
        <v>7725</v>
      </c>
      <c r="B3642" t="s">
        <v>7726</v>
      </c>
    </row>
    <row r="3643" spans="1:2" x14ac:dyDescent="0.45">
      <c r="A3643" t="s">
        <v>7728</v>
      </c>
      <c r="B3643" t="s">
        <v>7729</v>
      </c>
    </row>
    <row r="3644" spans="1:2" x14ac:dyDescent="0.45">
      <c r="A3644" t="s">
        <v>7730</v>
      </c>
      <c r="B3644" t="s">
        <v>7731</v>
      </c>
    </row>
    <row r="3645" spans="1:2" x14ac:dyDescent="0.45">
      <c r="A3645" t="s">
        <v>7733</v>
      </c>
      <c r="B3645" t="s">
        <v>7734</v>
      </c>
    </row>
    <row r="3646" spans="1:2" x14ac:dyDescent="0.45">
      <c r="A3646" t="s">
        <v>7735</v>
      </c>
      <c r="B3646" t="s">
        <v>7736</v>
      </c>
    </row>
    <row r="3647" spans="1:2" x14ac:dyDescent="0.45">
      <c r="A3647" t="s">
        <v>7746</v>
      </c>
      <c r="B3647" t="s">
        <v>7747</v>
      </c>
    </row>
    <row r="3648" spans="1:2" x14ac:dyDescent="0.45">
      <c r="A3648" t="s">
        <v>7748</v>
      </c>
      <c r="B3648" t="s">
        <v>7749</v>
      </c>
    </row>
    <row r="3649" spans="1:2" x14ac:dyDescent="0.45">
      <c r="A3649" t="s">
        <v>7761</v>
      </c>
      <c r="B3649" t="s">
        <v>7762</v>
      </c>
    </row>
    <row r="3650" spans="1:2" x14ac:dyDescent="0.45">
      <c r="A3650" t="s">
        <v>7771</v>
      </c>
      <c r="B3650" t="s">
        <v>7772</v>
      </c>
    </row>
    <row r="3651" spans="1:2" x14ac:dyDescent="0.45">
      <c r="A3651" t="s">
        <v>7774</v>
      </c>
      <c r="B3651" t="s">
        <v>7775</v>
      </c>
    </row>
    <row r="3652" spans="1:2" x14ac:dyDescent="0.45">
      <c r="A3652" t="s">
        <v>7777</v>
      </c>
      <c r="B3652" t="s">
        <v>7778</v>
      </c>
    </row>
    <row r="3653" spans="1:2" x14ac:dyDescent="0.45">
      <c r="A3653" t="s">
        <v>7779</v>
      </c>
      <c r="B3653" t="s">
        <v>7780</v>
      </c>
    </row>
    <row r="3654" spans="1:2" x14ac:dyDescent="0.45">
      <c r="A3654" t="s">
        <v>7781</v>
      </c>
      <c r="B3654" t="s">
        <v>7782</v>
      </c>
    </row>
    <row r="3655" spans="1:2" x14ac:dyDescent="0.45">
      <c r="A3655" t="s">
        <v>7788</v>
      </c>
      <c r="B3655" t="s">
        <v>7789</v>
      </c>
    </row>
    <row r="3656" spans="1:2" x14ac:dyDescent="0.45">
      <c r="A3656" t="s">
        <v>7790</v>
      </c>
      <c r="B3656" t="s">
        <v>7791</v>
      </c>
    </row>
    <row r="3657" spans="1:2" x14ac:dyDescent="0.45">
      <c r="A3657" t="s">
        <v>7793</v>
      </c>
      <c r="B3657" t="s">
        <v>7794</v>
      </c>
    </row>
    <row r="3658" spans="1:2" x14ac:dyDescent="0.45">
      <c r="A3658" t="s">
        <v>7795</v>
      </c>
      <c r="B3658" t="s">
        <v>7796</v>
      </c>
    </row>
    <row r="3659" spans="1:2" x14ac:dyDescent="0.45">
      <c r="A3659" t="s">
        <v>7807</v>
      </c>
      <c r="B3659" t="s">
        <v>7808</v>
      </c>
    </row>
    <row r="3660" spans="1:2" x14ac:dyDescent="0.45">
      <c r="A3660" t="s">
        <v>7812</v>
      </c>
      <c r="B3660" t="s">
        <v>7813</v>
      </c>
    </row>
    <row r="3661" spans="1:2" x14ac:dyDescent="0.45">
      <c r="A3661" t="s">
        <v>7814</v>
      </c>
      <c r="B3661" t="s">
        <v>7815</v>
      </c>
    </row>
    <row r="3662" spans="1:2" x14ac:dyDescent="0.45">
      <c r="A3662" t="s">
        <v>7817</v>
      </c>
      <c r="B3662" t="s">
        <v>7818</v>
      </c>
    </row>
    <row r="3663" spans="1:2" x14ac:dyDescent="0.45">
      <c r="A3663" t="s">
        <v>7821</v>
      </c>
      <c r="B3663" t="s">
        <v>7822</v>
      </c>
    </row>
    <row r="3664" spans="1:2" x14ac:dyDescent="0.45">
      <c r="A3664" t="s">
        <v>7840</v>
      </c>
      <c r="B3664" t="s">
        <v>7841</v>
      </c>
    </row>
    <row r="3665" spans="1:2" x14ac:dyDescent="0.45">
      <c r="A3665" t="s">
        <v>7842</v>
      </c>
      <c r="B3665" t="s">
        <v>7843</v>
      </c>
    </row>
    <row r="3666" spans="1:2" x14ac:dyDescent="0.45">
      <c r="A3666" t="s">
        <v>7849</v>
      </c>
      <c r="B3666" t="s">
        <v>7850</v>
      </c>
    </row>
    <row r="3667" spans="1:2" x14ac:dyDescent="0.45">
      <c r="A3667" t="s">
        <v>7852</v>
      </c>
      <c r="B3667" t="s">
        <v>7853</v>
      </c>
    </row>
    <row r="3668" spans="1:2" x14ac:dyDescent="0.45">
      <c r="A3668" t="s">
        <v>7863</v>
      </c>
      <c r="B3668" t="s">
        <v>7864</v>
      </c>
    </row>
    <row r="3669" spans="1:2" x14ac:dyDescent="0.45">
      <c r="A3669" t="s">
        <v>7866</v>
      </c>
      <c r="B3669" t="s">
        <v>7867</v>
      </c>
    </row>
    <row r="3670" spans="1:2" x14ac:dyDescent="0.45">
      <c r="A3670" t="s">
        <v>7869</v>
      </c>
      <c r="B3670" t="s">
        <v>7870</v>
      </c>
    </row>
    <row r="3671" spans="1:2" x14ac:dyDescent="0.45">
      <c r="A3671" t="s">
        <v>7871</v>
      </c>
      <c r="B3671" t="s">
        <v>7872</v>
      </c>
    </row>
    <row r="3672" spans="1:2" x14ac:dyDescent="0.45">
      <c r="A3672" t="s">
        <v>7876</v>
      </c>
      <c r="B3672" t="s">
        <v>7877</v>
      </c>
    </row>
    <row r="3673" spans="1:2" x14ac:dyDescent="0.45">
      <c r="A3673" t="s">
        <v>7878</v>
      </c>
      <c r="B3673" t="s">
        <v>7879</v>
      </c>
    </row>
    <row r="3674" spans="1:2" x14ac:dyDescent="0.45">
      <c r="A3674" t="s">
        <v>7882</v>
      </c>
      <c r="B3674" t="s">
        <v>7883</v>
      </c>
    </row>
    <row r="3675" spans="1:2" x14ac:dyDescent="0.45">
      <c r="A3675" t="s">
        <v>7885</v>
      </c>
      <c r="B3675" t="s">
        <v>7886</v>
      </c>
    </row>
    <row r="3676" spans="1:2" x14ac:dyDescent="0.45">
      <c r="A3676" t="s">
        <v>7888</v>
      </c>
      <c r="B3676" t="s">
        <v>7889</v>
      </c>
    </row>
    <row r="3677" spans="1:2" x14ac:dyDescent="0.45">
      <c r="A3677" t="s">
        <v>7891</v>
      </c>
      <c r="B3677" t="s">
        <v>7892</v>
      </c>
    </row>
    <row r="3678" spans="1:2" x14ac:dyDescent="0.45">
      <c r="A3678" t="s">
        <v>7894</v>
      </c>
      <c r="B3678" t="s">
        <v>7895</v>
      </c>
    </row>
    <row r="3679" spans="1:2" x14ac:dyDescent="0.45">
      <c r="A3679" t="s">
        <v>7897</v>
      </c>
      <c r="B3679" t="s">
        <v>7898</v>
      </c>
    </row>
    <row r="3680" spans="1:2" x14ac:dyDescent="0.45">
      <c r="A3680" t="s">
        <v>7900</v>
      </c>
      <c r="B3680" t="s">
        <v>7901</v>
      </c>
    </row>
    <row r="3681" spans="1:2" x14ac:dyDescent="0.45">
      <c r="A3681" t="s">
        <v>7904</v>
      </c>
      <c r="B3681" t="s">
        <v>7905</v>
      </c>
    </row>
    <row r="3682" spans="1:2" x14ac:dyDescent="0.45">
      <c r="A3682" t="s">
        <v>7907</v>
      </c>
      <c r="B3682" t="s">
        <v>7908</v>
      </c>
    </row>
    <row r="3683" spans="1:2" x14ac:dyDescent="0.45">
      <c r="A3683" t="s">
        <v>7911</v>
      </c>
      <c r="B3683" t="s">
        <v>7912</v>
      </c>
    </row>
    <row r="3684" spans="1:2" x14ac:dyDescent="0.45">
      <c r="A3684" t="s">
        <v>7918</v>
      </c>
      <c r="B3684" t="s">
        <v>7919</v>
      </c>
    </row>
    <row r="3685" spans="1:2" x14ac:dyDescent="0.45">
      <c r="A3685" t="s">
        <v>7936</v>
      </c>
      <c r="B3685" t="s">
        <v>7937</v>
      </c>
    </row>
    <row r="3686" spans="1:2" x14ac:dyDescent="0.45">
      <c r="A3686" t="s">
        <v>7938</v>
      </c>
      <c r="B3686" t="s">
        <v>7939</v>
      </c>
    </row>
    <row r="3687" spans="1:2" x14ac:dyDescent="0.45">
      <c r="A3687" t="s">
        <v>7940</v>
      </c>
      <c r="B3687" t="s">
        <v>7941</v>
      </c>
    </row>
    <row r="3688" spans="1:2" x14ac:dyDescent="0.45">
      <c r="A3688" t="s">
        <v>7943</v>
      </c>
      <c r="B3688" t="s">
        <v>7944</v>
      </c>
    </row>
    <row r="3689" spans="1:2" x14ac:dyDescent="0.45">
      <c r="A3689" t="s">
        <v>7945</v>
      </c>
      <c r="B3689" t="s">
        <v>7946</v>
      </c>
    </row>
    <row r="3690" spans="1:2" x14ac:dyDescent="0.45">
      <c r="A3690" t="s">
        <v>7951</v>
      </c>
      <c r="B3690" t="s">
        <v>7952</v>
      </c>
    </row>
    <row r="3691" spans="1:2" x14ac:dyDescent="0.45">
      <c r="A3691" t="s">
        <v>7953</v>
      </c>
      <c r="B3691" t="s">
        <v>7954</v>
      </c>
    </row>
    <row r="3692" spans="1:2" x14ac:dyDescent="0.45">
      <c r="A3692" t="s">
        <v>7955</v>
      </c>
      <c r="B3692" t="s">
        <v>7956</v>
      </c>
    </row>
    <row r="3693" spans="1:2" x14ac:dyDescent="0.45">
      <c r="A3693" t="s">
        <v>7969</v>
      </c>
      <c r="B3693" t="s">
        <v>7970</v>
      </c>
    </row>
    <row r="3694" spans="1:2" x14ac:dyDescent="0.45">
      <c r="A3694" t="s">
        <v>7971</v>
      </c>
      <c r="B3694" t="s">
        <v>7972</v>
      </c>
    </row>
    <row r="3695" spans="1:2" x14ac:dyDescent="0.45">
      <c r="A3695" t="s">
        <v>7973</v>
      </c>
      <c r="B3695" t="s">
        <v>7974</v>
      </c>
    </row>
    <row r="3696" spans="1:2" x14ac:dyDescent="0.45">
      <c r="A3696" t="s">
        <v>7975</v>
      </c>
      <c r="B3696" t="s">
        <v>7976</v>
      </c>
    </row>
    <row r="3697" spans="1:2" x14ac:dyDescent="0.45">
      <c r="A3697" t="s">
        <v>7977</v>
      </c>
      <c r="B3697" t="s">
        <v>7978</v>
      </c>
    </row>
    <row r="3698" spans="1:2" x14ac:dyDescent="0.45">
      <c r="A3698" t="s">
        <v>7979</v>
      </c>
      <c r="B3698" t="s">
        <v>7980</v>
      </c>
    </row>
    <row r="3699" spans="1:2" x14ac:dyDescent="0.45">
      <c r="A3699" t="s">
        <v>7981</v>
      </c>
      <c r="B3699" t="s">
        <v>7982</v>
      </c>
    </row>
    <row r="3700" spans="1:2" x14ac:dyDescent="0.45">
      <c r="A3700" t="s">
        <v>7983</v>
      </c>
      <c r="B3700" t="s">
        <v>7984</v>
      </c>
    </row>
    <row r="3701" spans="1:2" x14ac:dyDescent="0.45">
      <c r="A3701" t="s">
        <v>7985</v>
      </c>
      <c r="B3701" t="s">
        <v>7986</v>
      </c>
    </row>
    <row r="3702" spans="1:2" x14ac:dyDescent="0.45">
      <c r="A3702" t="s">
        <v>7987</v>
      </c>
      <c r="B3702" t="s">
        <v>7988</v>
      </c>
    </row>
    <row r="3703" spans="1:2" x14ac:dyDescent="0.45">
      <c r="A3703" t="s">
        <v>7991</v>
      </c>
      <c r="B3703" t="s">
        <v>7992</v>
      </c>
    </row>
    <row r="3704" spans="1:2" x14ac:dyDescent="0.45">
      <c r="A3704" t="s">
        <v>7995</v>
      </c>
      <c r="B3704" t="s">
        <v>7996</v>
      </c>
    </row>
    <row r="3705" spans="1:2" x14ac:dyDescent="0.45">
      <c r="A3705" t="s">
        <v>7999</v>
      </c>
      <c r="B3705" t="s">
        <v>8000</v>
      </c>
    </row>
    <row r="3706" spans="1:2" x14ac:dyDescent="0.45">
      <c r="A3706" t="s">
        <v>8003</v>
      </c>
      <c r="B3706" t="s">
        <v>8004</v>
      </c>
    </row>
    <row r="3707" spans="1:2" x14ac:dyDescent="0.45">
      <c r="A3707" t="s">
        <v>8006</v>
      </c>
      <c r="B3707" t="s">
        <v>8007</v>
      </c>
    </row>
    <row r="3708" spans="1:2" x14ac:dyDescent="0.45">
      <c r="A3708" t="s">
        <v>8008</v>
      </c>
      <c r="B3708" t="s">
        <v>8009</v>
      </c>
    </row>
    <row r="3709" spans="1:2" x14ac:dyDescent="0.45">
      <c r="A3709" t="s">
        <v>8010</v>
      </c>
      <c r="B3709" t="s">
        <v>8011</v>
      </c>
    </row>
    <row r="3710" spans="1:2" x14ac:dyDescent="0.45">
      <c r="A3710" t="s">
        <v>8016</v>
      </c>
      <c r="B3710" t="s">
        <v>8017</v>
      </c>
    </row>
    <row r="3711" spans="1:2" x14ac:dyDescent="0.45">
      <c r="A3711" t="s">
        <v>8018</v>
      </c>
      <c r="B3711" t="s">
        <v>8019</v>
      </c>
    </row>
    <row r="3712" spans="1:2" x14ac:dyDescent="0.45">
      <c r="A3712" t="s">
        <v>8020</v>
      </c>
      <c r="B3712" t="s">
        <v>8021</v>
      </c>
    </row>
    <row r="3713" spans="1:2" x14ac:dyDescent="0.45">
      <c r="A3713" t="s">
        <v>8022</v>
      </c>
      <c r="B3713" t="s">
        <v>8023</v>
      </c>
    </row>
    <row r="3714" spans="1:2" x14ac:dyDescent="0.45">
      <c r="A3714" t="s">
        <v>8025</v>
      </c>
      <c r="B3714" t="s">
        <v>8026</v>
      </c>
    </row>
    <row r="3715" spans="1:2" x14ac:dyDescent="0.45">
      <c r="A3715" t="s">
        <v>8031</v>
      </c>
      <c r="B3715" t="s">
        <v>8032</v>
      </c>
    </row>
    <row r="3716" spans="1:2" x14ac:dyDescent="0.45">
      <c r="A3716" t="s">
        <v>8034</v>
      </c>
      <c r="B3716" t="s">
        <v>8035</v>
      </c>
    </row>
    <row r="3717" spans="1:2" x14ac:dyDescent="0.45">
      <c r="A3717" t="s">
        <v>8036</v>
      </c>
      <c r="B3717" t="s">
        <v>8037</v>
      </c>
    </row>
    <row r="3718" spans="1:2" x14ac:dyDescent="0.45">
      <c r="A3718" t="s">
        <v>8041</v>
      </c>
      <c r="B3718" t="s">
        <v>8042</v>
      </c>
    </row>
    <row r="3719" spans="1:2" x14ac:dyDescent="0.45">
      <c r="A3719" t="s">
        <v>8044</v>
      </c>
      <c r="B3719" t="s">
        <v>8045</v>
      </c>
    </row>
    <row r="3720" spans="1:2" x14ac:dyDescent="0.45">
      <c r="A3720" t="s">
        <v>8046</v>
      </c>
      <c r="B3720" t="s">
        <v>8047</v>
      </c>
    </row>
    <row r="3721" spans="1:2" x14ac:dyDescent="0.45">
      <c r="A3721" t="s">
        <v>8052</v>
      </c>
      <c r="B3721" t="s">
        <v>8053</v>
      </c>
    </row>
    <row r="3722" spans="1:2" x14ac:dyDescent="0.45">
      <c r="A3722" t="s">
        <v>8060</v>
      </c>
      <c r="B3722" t="s">
        <v>8061</v>
      </c>
    </row>
    <row r="3723" spans="1:2" x14ac:dyDescent="0.45">
      <c r="A3723" t="s">
        <v>8063</v>
      </c>
      <c r="B3723" t="s">
        <v>8064</v>
      </c>
    </row>
    <row r="3724" spans="1:2" x14ac:dyDescent="0.45">
      <c r="A3724" t="s">
        <v>8067</v>
      </c>
      <c r="B3724" t="s">
        <v>8068</v>
      </c>
    </row>
    <row r="3725" spans="1:2" x14ac:dyDescent="0.45">
      <c r="A3725" t="s">
        <v>8069</v>
      </c>
      <c r="B3725" t="s">
        <v>8070</v>
      </c>
    </row>
    <row r="3726" spans="1:2" x14ac:dyDescent="0.45">
      <c r="A3726" t="s">
        <v>8071</v>
      </c>
      <c r="B3726" t="s">
        <v>8072</v>
      </c>
    </row>
    <row r="3727" spans="1:2" x14ac:dyDescent="0.45">
      <c r="A3727" t="s">
        <v>8076</v>
      </c>
      <c r="B3727" t="s">
        <v>8077</v>
      </c>
    </row>
    <row r="3728" spans="1:2" x14ac:dyDescent="0.45">
      <c r="A3728" t="s">
        <v>8080</v>
      </c>
      <c r="B3728" t="s">
        <v>8081</v>
      </c>
    </row>
    <row r="3729" spans="1:2" x14ac:dyDescent="0.45">
      <c r="A3729" t="s">
        <v>8082</v>
      </c>
      <c r="B3729" t="s">
        <v>8083</v>
      </c>
    </row>
    <row r="3730" spans="1:2" x14ac:dyDescent="0.45">
      <c r="A3730" t="s">
        <v>8086</v>
      </c>
      <c r="B3730" t="s">
        <v>8087</v>
      </c>
    </row>
    <row r="3731" spans="1:2" x14ac:dyDescent="0.45">
      <c r="A3731" t="s">
        <v>8088</v>
      </c>
      <c r="B3731" t="s">
        <v>8089</v>
      </c>
    </row>
    <row r="3732" spans="1:2" x14ac:dyDescent="0.45">
      <c r="A3732" t="s">
        <v>8091</v>
      </c>
      <c r="B3732" t="s">
        <v>8092</v>
      </c>
    </row>
    <row r="3733" spans="1:2" x14ac:dyDescent="0.45">
      <c r="A3733" t="s">
        <v>8093</v>
      </c>
      <c r="B3733" t="s">
        <v>8094</v>
      </c>
    </row>
    <row r="3734" spans="1:2" x14ac:dyDescent="0.45">
      <c r="A3734" t="s">
        <v>8097</v>
      </c>
      <c r="B3734" t="s">
        <v>8098</v>
      </c>
    </row>
    <row r="3735" spans="1:2" x14ac:dyDescent="0.45">
      <c r="A3735" t="s">
        <v>8101</v>
      </c>
      <c r="B3735" t="s">
        <v>8102</v>
      </c>
    </row>
    <row r="3736" spans="1:2" x14ac:dyDescent="0.45">
      <c r="A3736" t="s">
        <v>8110</v>
      </c>
      <c r="B3736" t="s">
        <v>8111</v>
      </c>
    </row>
    <row r="3737" spans="1:2" x14ac:dyDescent="0.45">
      <c r="A3737" t="s">
        <v>8113</v>
      </c>
      <c r="B3737" t="s">
        <v>8114</v>
      </c>
    </row>
    <row r="3738" spans="1:2" x14ac:dyDescent="0.45">
      <c r="A3738" t="s">
        <v>8116</v>
      </c>
      <c r="B3738" t="s">
        <v>8117</v>
      </c>
    </row>
    <row r="3739" spans="1:2" x14ac:dyDescent="0.45">
      <c r="A3739" t="s">
        <v>8118</v>
      </c>
      <c r="B3739" t="s">
        <v>8119</v>
      </c>
    </row>
    <row r="3740" spans="1:2" x14ac:dyDescent="0.45">
      <c r="A3740" t="s">
        <v>8120</v>
      </c>
      <c r="B3740" t="s">
        <v>8121</v>
      </c>
    </row>
    <row r="3741" spans="1:2" x14ac:dyDescent="0.45">
      <c r="A3741" t="s">
        <v>8122</v>
      </c>
      <c r="B3741" t="s">
        <v>8123</v>
      </c>
    </row>
    <row r="3742" spans="1:2" x14ac:dyDescent="0.45">
      <c r="A3742" t="s">
        <v>8124</v>
      </c>
      <c r="B3742" t="s">
        <v>8125</v>
      </c>
    </row>
    <row r="3743" spans="1:2" x14ac:dyDescent="0.45">
      <c r="A3743" t="s">
        <v>8126</v>
      </c>
      <c r="B3743" t="s">
        <v>8127</v>
      </c>
    </row>
    <row r="3744" spans="1:2" x14ac:dyDescent="0.45">
      <c r="A3744" t="s">
        <v>8129</v>
      </c>
      <c r="B3744" t="s">
        <v>8130</v>
      </c>
    </row>
    <row r="3745" spans="1:2" x14ac:dyDescent="0.45">
      <c r="A3745" t="s">
        <v>8131</v>
      </c>
      <c r="B3745" t="s">
        <v>8132</v>
      </c>
    </row>
    <row r="3746" spans="1:2" x14ac:dyDescent="0.45">
      <c r="A3746" t="s">
        <v>8133</v>
      </c>
      <c r="B3746" t="s">
        <v>8134</v>
      </c>
    </row>
    <row r="3747" spans="1:2" x14ac:dyDescent="0.45">
      <c r="A3747" t="s">
        <v>8135</v>
      </c>
      <c r="B3747" t="s">
        <v>8136</v>
      </c>
    </row>
    <row r="3748" spans="1:2" x14ac:dyDescent="0.45">
      <c r="A3748" t="s">
        <v>8137</v>
      </c>
      <c r="B3748" t="s">
        <v>8138</v>
      </c>
    </row>
    <row r="3749" spans="1:2" x14ac:dyDescent="0.45">
      <c r="A3749" t="s">
        <v>8146</v>
      </c>
      <c r="B3749" t="s">
        <v>8147</v>
      </c>
    </row>
    <row r="3750" spans="1:2" x14ac:dyDescent="0.45">
      <c r="A3750" t="s">
        <v>8150</v>
      </c>
      <c r="B3750" t="s">
        <v>8151</v>
      </c>
    </row>
    <row r="3751" spans="1:2" x14ac:dyDescent="0.45">
      <c r="A3751" t="s">
        <v>8152</v>
      </c>
      <c r="B3751" t="s">
        <v>8153</v>
      </c>
    </row>
    <row r="3752" spans="1:2" x14ac:dyDescent="0.45">
      <c r="A3752" t="s">
        <v>8154</v>
      </c>
      <c r="B3752" t="s">
        <v>8155</v>
      </c>
    </row>
    <row r="3753" spans="1:2" x14ac:dyDescent="0.45">
      <c r="A3753" t="s">
        <v>8157</v>
      </c>
      <c r="B3753" t="s">
        <v>8158</v>
      </c>
    </row>
    <row r="3754" spans="1:2" x14ac:dyDescent="0.45">
      <c r="A3754" t="s">
        <v>8162</v>
      </c>
      <c r="B3754" t="s">
        <v>8163</v>
      </c>
    </row>
    <row r="3755" spans="1:2" x14ac:dyDescent="0.45">
      <c r="A3755" t="s">
        <v>8168</v>
      </c>
      <c r="B3755" t="s">
        <v>8169</v>
      </c>
    </row>
    <row r="3756" spans="1:2" x14ac:dyDescent="0.45">
      <c r="A3756" t="s">
        <v>8180</v>
      </c>
      <c r="B3756" t="s">
        <v>8181</v>
      </c>
    </row>
    <row r="3757" spans="1:2" x14ac:dyDescent="0.45">
      <c r="A3757" t="s">
        <v>8186</v>
      </c>
      <c r="B3757" t="s">
        <v>8187</v>
      </c>
    </row>
    <row r="3758" spans="1:2" x14ac:dyDescent="0.45">
      <c r="A3758" t="s">
        <v>8188</v>
      </c>
      <c r="B3758" t="s">
        <v>8189</v>
      </c>
    </row>
    <row r="3759" spans="1:2" x14ac:dyDescent="0.45">
      <c r="A3759" t="s">
        <v>8191</v>
      </c>
      <c r="B3759" t="s">
        <v>8192</v>
      </c>
    </row>
    <row r="3760" spans="1:2" x14ac:dyDescent="0.45">
      <c r="A3760" t="s">
        <v>8196</v>
      </c>
      <c r="B3760" t="s">
        <v>8197</v>
      </c>
    </row>
    <row r="3761" spans="1:2" x14ac:dyDescent="0.45">
      <c r="A3761" t="s">
        <v>8202</v>
      </c>
      <c r="B3761" t="s">
        <v>8203</v>
      </c>
    </row>
    <row r="3762" spans="1:2" x14ac:dyDescent="0.45">
      <c r="A3762" t="s">
        <v>8205</v>
      </c>
      <c r="B3762" t="s">
        <v>8206</v>
      </c>
    </row>
    <row r="3763" spans="1:2" x14ac:dyDescent="0.45">
      <c r="A3763" t="s">
        <v>8209</v>
      </c>
      <c r="B3763" t="s">
        <v>8210</v>
      </c>
    </row>
    <row r="3764" spans="1:2" x14ac:dyDescent="0.45">
      <c r="A3764" t="s">
        <v>8212</v>
      </c>
      <c r="B3764" t="s">
        <v>8213</v>
      </c>
    </row>
    <row r="3765" spans="1:2" x14ac:dyDescent="0.45">
      <c r="A3765" t="s">
        <v>8218</v>
      </c>
      <c r="B3765" t="s">
        <v>8219</v>
      </c>
    </row>
    <row r="3766" spans="1:2" x14ac:dyDescent="0.45">
      <c r="A3766" t="s">
        <v>8220</v>
      </c>
      <c r="B3766" t="s">
        <v>8221</v>
      </c>
    </row>
    <row r="3767" spans="1:2" x14ac:dyDescent="0.45">
      <c r="A3767" t="s">
        <v>8226</v>
      </c>
      <c r="B3767" t="s">
        <v>8227</v>
      </c>
    </row>
    <row r="3768" spans="1:2" x14ac:dyDescent="0.45">
      <c r="A3768" t="s">
        <v>8230</v>
      </c>
      <c r="B3768" t="s">
        <v>8231</v>
      </c>
    </row>
    <row r="3769" spans="1:2" x14ac:dyDescent="0.45">
      <c r="A3769" t="s">
        <v>8236</v>
      </c>
      <c r="B3769" t="s">
        <v>8237</v>
      </c>
    </row>
    <row r="3770" spans="1:2" x14ac:dyDescent="0.45">
      <c r="A3770" t="s">
        <v>8240</v>
      </c>
      <c r="B3770" t="s">
        <v>8241</v>
      </c>
    </row>
    <row r="3771" spans="1:2" x14ac:dyDescent="0.45">
      <c r="A3771" t="s">
        <v>8244</v>
      </c>
      <c r="B3771" t="s">
        <v>8245</v>
      </c>
    </row>
    <row r="3772" spans="1:2" x14ac:dyDescent="0.45">
      <c r="A3772" t="s">
        <v>8248</v>
      </c>
      <c r="B3772" t="s">
        <v>8249</v>
      </c>
    </row>
    <row r="3773" spans="1:2" x14ac:dyDescent="0.45">
      <c r="A3773" t="s">
        <v>8250</v>
      </c>
      <c r="B3773" t="s">
        <v>8251</v>
      </c>
    </row>
    <row r="3774" spans="1:2" x14ac:dyDescent="0.45">
      <c r="A3774" t="s">
        <v>8252</v>
      </c>
      <c r="B3774" t="s">
        <v>8253</v>
      </c>
    </row>
    <row r="3775" spans="1:2" x14ac:dyDescent="0.45">
      <c r="A3775" t="s">
        <v>8254</v>
      </c>
      <c r="B3775" t="s">
        <v>8255</v>
      </c>
    </row>
    <row r="3776" spans="1:2" x14ac:dyDescent="0.45">
      <c r="A3776" t="s">
        <v>8260</v>
      </c>
      <c r="B3776" t="s">
        <v>8261</v>
      </c>
    </row>
    <row r="3777" spans="1:2" x14ac:dyDescent="0.45">
      <c r="A3777" t="s">
        <v>8262</v>
      </c>
      <c r="B3777" t="s">
        <v>8263</v>
      </c>
    </row>
    <row r="3778" spans="1:2" x14ac:dyDescent="0.45">
      <c r="A3778" t="s">
        <v>8264</v>
      </c>
      <c r="B3778" t="s">
        <v>8265</v>
      </c>
    </row>
    <row r="3779" spans="1:2" x14ac:dyDescent="0.45">
      <c r="A3779" t="s">
        <v>8268</v>
      </c>
      <c r="B3779" t="s">
        <v>8269</v>
      </c>
    </row>
    <row r="3780" spans="1:2" x14ac:dyDescent="0.45">
      <c r="A3780" t="s">
        <v>8270</v>
      </c>
      <c r="B3780" t="s">
        <v>8271</v>
      </c>
    </row>
    <row r="3781" spans="1:2" x14ac:dyDescent="0.45">
      <c r="A3781" t="s">
        <v>8272</v>
      </c>
      <c r="B3781" t="s">
        <v>8273</v>
      </c>
    </row>
    <row r="3782" spans="1:2" x14ac:dyDescent="0.45">
      <c r="A3782" t="s">
        <v>8282</v>
      </c>
      <c r="B3782" t="s">
        <v>8283</v>
      </c>
    </row>
    <row r="3783" spans="1:2" x14ac:dyDescent="0.45">
      <c r="A3783" t="s">
        <v>8284</v>
      </c>
      <c r="B3783" t="s">
        <v>8285</v>
      </c>
    </row>
    <row r="3784" spans="1:2" x14ac:dyDescent="0.45">
      <c r="A3784" t="s">
        <v>8286</v>
      </c>
      <c r="B3784" t="s">
        <v>8287</v>
      </c>
    </row>
    <row r="3785" spans="1:2" x14ac:dyDescent="0.45">
      <c r="A3785" t="s">
        <v>8288</v>
      </c>
      <c r="B3785" t="s">
        <v>8289</v>
      </c>
    </row>
    <row r="3786" spans="1:2" x14ac:dyDescent="0.45">
      <c r="A3786" t="s">
        <v>8291</v>
      </c>
      <c r="B3786" t="s">
        <v>8292</v>
      </c>
    </row>
    <row r="3787" spans="1:2" x14ac:dyDescent="0.45">
      <c r="A3787" t="s">
        <v>8293</v>
      </c>
      <c r="B3787" t="s">
        <v>8294</v>
      </c>
    </row>
    <row r="3788" spans="1:2" x14ac:dyDescent="0.45">
      <c r="A3788" t="s">
        <v>8298</v>
      </c>
      <c r="B3788" t="s">
        <v>8299</v>
      </c>
    </row>
    <row r="3789" spans="1:2" x14ac:dyDescent="0.45">
      <c r="A3789" t="s">
        <v>8300</v>
      </c>
      <c r="B3789" t="s">
        <v>8301</v>
      </c>
    </row>
    <row r="3790" spans="1:2" x14ac:dyDescent="0.45">
      <c r="A3790" t="s">
        <v>8302</v>
      </c>
      <c r="B3790" t="s">
        <v>8303</v>
      </c>
    </row>
    <row r="3791" spans="1:2" x14ac:dyDescent="0.45">
      <c r="A3791" t="s">
        <v>8304</v>
      </c>
      <c r="B3791" t="s">
        <v>8305</v>
      </c>
    </row>
    <row r="3792" spans="1:2" x14ac:dyDescent="0.45">
      <c r="A3792" t="s">
        <v>8306</v>
      </c>
      <c r="B3792" t="s">
        <v>8307</v>
      </c>
    </row>
    <row r="3793" spans="1:2" x14ac:dyDescent="0.45">
      <c r="A3793" t="s">
        <v>8313</v>
      </c>
      <c r="B3793" t="s">
        <v>8314</v>
      </c>
    </row>
    <row r="3794" spans="1:2" x14ac:dyDescent="0.45">
      <c r="A3794" t="s">
        <v>8320</v>
      </c>
      <c r="B3794" t="s">
        <v>8321</v>
      </c>
    </row>
    <row r="3795" spans="1:2" x14ac:dyDescent="0.45">
      <c r="A3795" t="s">
        <v>8322</v>
      </c>
      <c r="B3795" t="s">
        <v>8323</v>
      </c>
    </row>
    <row r="3796" spans="1:2" x14ac:dyDescent="0.45">
      <c r="A3796" t="s">
        <v>8325</v>
      </c>
      <c r="B3796" t="s">
        <v>8326</v>
      </c>
    </row>
    <row r="3797" spans="1:2" x14ac:dyDescent="0.45">
      <c r="A3797" t="s">
        <v>8327</v>
      </c>
      <c r="B3797" t="s">
        <v>8328</v>
      </c>
    </row>
    <row r="3798" spans="1:2" x14ac:dyDescent="0.45">
      <c r="A3798" t="s">
        <v>8331</v>
      </c>
      <c r="B3798" t="s">
        <v>8332</v>
      </c>
    </row>
    <row r="3799" spans="1:2" x14ac:dyDescent="0.45">
      <c r="A3799" t="s">
        <v>8333</v>
      </c>
      <c r="B3799" t="s">
        <v>8334</v>
      </c>
    </row>
    <row r="3800" spans="1:2" x14ac:dyDescent="0.45">
      <c r="A3800" t="s">
        <v>8335</v>
      </c>
      <c r="B3800" t="s">
        <v>8336</v>
      </c>
    </row>
    <row r="3801" spans="1:2" x14ac:dyDescent="0.45">
      <c r="A3801" t="s">
        <v>8338</v>
      </c>
      <c r="B3801" t="s">
        <v>8339</v>
      </c>
    </row>
    <row r="3802" spans="1:2" x14ac:dyDescent="0.45">
      <c r="A3802" t="s">
        <v>8341</v>
      </c>
      <c r="B3802" t="s">
        <v>8342</v>
      </c>
    </row>
    <row r="3803" spans="1:2" x14ac:dyDescent="0.45">
      <c r="A3803" t="s">
        <v>8344</v>
      </c>
      <c r="B3803" t="s">
        <v>8345</v>
      </c>
    </row>
    <row r="3804" spans="1:2" x14ac:dyDescent="0.45">
      <c r="A3804" t="s">
        <v>8347</v>
      </c>
      <c r="B3804" t="s">
        <v>8348</v>
      </c>
    </row>
    <row r="3805" spans="1:2" x14ac:dyDescent="0.45">
      <c r="A3805" t="s">
        <v>8350</v>
      </c>
      <c r="B3805" t="s">
        <v>8351</v>
      </c>
    </row>
    <row r="3806" spans="1:2" x14ac:dyDescent="0.45">
      <c r="A3806" t="s">
        <v>8352</v>
      </c>
      <c r="B3806" t="s">
        <v>8353</v>
      </c>
    </row>
    <row r="3807" spans="1:2" x14ac:dyDescent="0.45">
      <c r="A3807" t="s">
        <v>8354</v>
      </c>
      <c r="B3807" t="s">
        <v>8355</v>
      </c>
    </row>
    <row r="3808" spans="1:2" x14ac:dyDescent="0.45">
      <c r="A3808" t="s">
        <v>8357</v>
      </c>
      <c r="B3808" t="s">
        <v>8358</v>
      </c>
    </row>
    <row r="3809" spans="1:2" x14ac:dyDescent="0.45">
      <c r="A3809" t="s">
        <v>8359</v>
      </c>
      <c r="B3809" t="s">
        <v>8360</v>
      </c>
    </row>
    <row r="3810" spans="1:2" x14ac:dyDescent="0.45">
      <c r="A3810" t="s">
        <v>8366</v>
      </c>
      <c r="B3810" t="s">
        <v>8367</v>
      </c>
    </row>
    <row r="3811" spans="1:2" x14ac:dyDescent="0.45">
      <c r="A3811" t="s">
        <v>8368</v>
      </c>
      <c r="B3811" t="s">
        <v>8369</v>
      </c>
    </row>
    <row r="3812" spans="1:2" x14ac:dyDescent="0.45">
      <c r="A3812" t="s">
        <v>8373</v>
      </c>
      <c r="B3812" t="s">
        <v>8374</v>
      </c>
    </row>
    <row r="3813" spans="1:2" x14ac:dyDescent="0.45">
      <c r="A3813" t="s">
        <v>8376</v>
      </c>
      <c r="B3813" t="s">
        <v>8377</v>
      </c>
    </row>
    <row r="3814" spans="1:2" x14ac:dyDescent="0.45">
      <c r="A3814" t="s">
        <v>8379</v>
      </c>
      <c r="B3814" t="s">
        <v>8380</v>
      </c>
    </row>
    <row r="3815" spans="1:2" x14ac:dyDescent="0.45">
      <c r="A3815" t="s">
        <v>8381</v>
      </c>
      <c r="B3815" t="s">
        <v>8382</v>
      </c>
    </row>
    <row r="3816" spans="1:2" x14ac:dyDescent="0.45">
      <c r="A3816" t="s">
        <v>8383</v>
      </c>
      <c r="B3816" t="s">
        <v>8384</v>
      </c>
    </row>
    <row r="3817" spans="1:2" x14ac:dyDescent="0.45">
      <c r="A3817" t="s">
        <v>8386</v>
      </c>
      <c r="B3817" t="s">
        <v>8387</v>
      </c>
    </row>
    <row r="3818" spans="1:2" x14ac:dyDescent="0.45">
      <c r="A3818" t="s">
        <v>8388</v>
      </c>
      <c r="B3818" t="s">
        <v>8389</v>
      </c>
    </row>
    <row r="3819" spans="1:2" x14ac:dyDescent="0.45">
      <c r="A3819" t="s">
        <v>8390</v>
      </c>
      <c r="B3819" t="s">
        <v>8391</v>
      </c>
    </row>
    <row r="3820" spans="1:2" x14ac:dyDescent="0.45">
      <c r="A3820" t="s">
        <v>8397</v>
      </c>
      <c r="B3820" t="s">
        <v>8398</v>
      </c>
    </row>
    <row r="3821" spans="1:2" x14ac:dyDescent="0.45">
      <c r="A3821" t="s">
        <v>8399</v>
      </c>
      <c r="B3821" t="s">
        <v>8400</v>
      </c>
    </row>
    <row r="3822" spans="1:2" x14ac:dyDescent="0.45">
      <c r="A3822" t="s">
        <v>8401</v>
      </c>
      <c r="B3822" t="s">
        <v>8402</v>
      </c>
    </row>
    <row r="3823" spans="1:2" x14ac:dyDescent="0.45">
      <c r="A3823" t="s">
        <v>8410</v>
      </c>
      <c r="B3823" t="s">
        <v>8411</v>
      </c>
    </row>
    <row r="3824" spans="1:2" x14ac:dyDescent="0.45">
      <c r="A3824" t="s">
        <v>8412</v>
      </c>
      <c r="B3824" t="s">
        <v>8413</v>
      </c>
    </row>
    <row r="3825" spans="1:2" x14ac:dyDescent="0.45">
      <c r="A3825" t="s">
        <v>8416</v>
      </c>
      <c r="B3825" t="s">
        <v>8417</v>
      </c>
    </row>
    <row r="3826" spans="1:2" x14ac:dyDescent="0.45">
      <c r="A3826" t="s">
        <v>8422</v>
      </c>
      <c r="B3826" t="s">
        <v>8423</v>
      </c>
    </row>
    <row r="3827" spans="1:2" x14ac:dyDescent="0.45">
      <c r="A3827" t="s">
        <v>8424</v>
      </c>
      <c r="B3827" t="s">
        <v>8425</v>
      </c>
    </row>
    <row r="3828" spans="1:2" x14ac:dyDescent="0.45">
      <c r="A3828" t="s">
        <v>8426</v>
      </c>
      <c r="B3828" t="s">
        <v>8427</v>
      </c>
    </row>
    <row r="3829" spans="1:2" x14ac:dyDescent="0.45">
      <c r="A3829" t="s">
        <v>8430</v>
      </c>
      <c r="B3829" t="s">
        <v>8431</v>
      </c>
    </row>
    <row r="3830" spans="1:2" x14ac:dyDescent="0.45">
      <c r="A3830" t="s">
        <v>8433</v>
      </c>
      <c r="B3830" t="s">
        <v>8434</v>
      </c>
    </row>
    <row r="3831" spans="1:2" x14ac:dyDescent="0.45">
      <c r="A3831" t="s">
        <v>8435</v>
      </c>
      <c r="B3831" t="s">
        <v>8436</v>
      </c>
    </row>
    <row r="3832" spans="1:2" x14ac:dyDescent="0.45">
      <c r="A3832" t="s">
        <v>8437</v>
      </c>
      <c r="B3832" t="s">
        <v>8438</v>
      </c>
    </row>
    <row r="3833" spans="1:2" x14ac:dyDescent="0.45">
      <c r="A3833" t="s">
        <v>8442</v>
      </c>
      <c r="B3833" t="s">
        <v>8443</v>
      </c>
    </row>
    <row r="3834" spans="1:2" x14ac:dyDescent="0.45">
      <c r="A3834" t="s">
        <v>8445</v>
      </c>
      <c r="B3834" t="s">
        <v>8446</v>
      </c>
    </row>
    <row r="3835" spans="1:2" x14ac:dyDescent="0.45">
      <c r="A3835" t="s">
        <v>8455</v>
      </c>
      <c r="B3835" t="s">
        <v>8456</v>
      </c>
    </row>
    <row r="3836" spans="1:2" x14ac:dyDescent="0.45">
      <c r="A3836" t="s">
        <v>8457</v>
      </c>
      <c r="B3836" t="s">
        <v>8458</v>
      </c>
    </row>
    <row r="3837" spans="1:2" x14ac:dyDescent="0.45">
      <c r="A3837" t="s">
        <v>8461</v>
      </c>
      <c r="B3837" t="s">
        <v>8462</v>
      </c>
    </row>
    <row r="3838" spans="1:2" x14ac:dyDescent="0.45">
      <c r="A3838" t="s">
        <v>8463</v>
      </c>
      <c r="B3838" t="s">
        <v>8464</v>
      </c>
    </row>
    <row r="3839" spans="1:2" x14ac:dyDescent="0.45">
      <c r="A3839" t="s">
        <v>8466</v>
      </c>
      <c r="B3839" t="s">
        <v>8467</v>
      </c>
    </row>
    <row r="3840" spans="1:2" x14ac:dyDescent="0.45">
      <c r="A3840" t="s">
        <v>8469</v>
      </c>
      <c r="B3840" t="s">
        <v>8470</v>
      </c>
    </row>
    <row r="3841" spans="1:2" x14ac:dyDescent="0.45">
      <c r="A3841" t="s">
        <v>8472</v>
      </c>
      <c r="B3841" t="s">
        <v>8473</v>
      </c>
    </row>
    <row r="3842" spans="1:2" x14ac:dyDescent="0.45">
      <c r="A3842" t="s">
        <v>8475</v>
      </c>
      <c r="B3842" t="s">
        <v>8476</v>
      </c>
    </row>
    <row r="3843" spans="1:2" x14ac:dyDescent="0.45">
      <c r="A3843" t="s">
        <v>8478</v>
      </c>
      <c r="B3843" t="s">
        <v>8479</v>
      </c>
    </row>
    <row r="3844" spans="1:2" x14ac:dyDescent="0.45">
      <c r="A3844" t="s">
        <v>8480</v>
      </c>
      <c r="B3844" t="s">
        <v>8481</v>
      </c>
    </row>
    <row r="3845" spans="1:2" x14ac:dyDescent="0.45">
      <c r="A3845" t="s">
        <v>8485</v>
      </c>
      <c r="B3845" t="s">
        <v>8486</v>
      </c>
    </row>
    <row r="3846" spans="1:2" x14ac:dyDescent="0.45">
      <c r="A3846" t="s">
        <v>8494</v>
      </c>
      <c r="B3846" t="s">
        <v>8495</v>
      </c>
    </row>
    <row r="3847" spans="1:2" x14ac:dyDescent="0.45">
      <c r="A3847" t="s">
        <v>8496</v>
      </c>
      <c r="B3847" t="s">
        <v>8497</v>
      </c>
    </row>
    <row r="3848" spans="1:2" x14ac:dyDescent="0.45">
      <c r="A3848" t="s">
        <v>8501</v>
      </c>
      <c r="B3848" t="s">
        <v>8502</v>
      </c>
    </row>
    <row r="3849" spans="1:2" x14ac:dyDescent="0.45">
      <c r="A3849" t="s">
        <v>8503</v>
      </c>
      <c r="B3849" t="s">
        <v>8504</v>
      </c>
    </row>
    <row r="3850" spans="1:2" x14ac:dyDescent="0.45">
      <c r="A3850" t="s">
        <v>8507</v>
      </c>
      <c r="B3850" t="s">
        <v>8508</v>
      </c>
    </row>
    <row r="3851" spans="1:2" x14ac:dyDescent="0.45">
      <c r="A3851" t="s">
        <v>8509</v>
      </c>
      <c r="B3851" t="s">
        <v>8510</v>
      </c>
    </row>
    <row r="3852" spans="1:2" x14ac:dyDescent="0.45">
      <c r="A3852" t="s">
        <v>8513</v>
      </c>
      <c r="B3852" t="s">
        <v>8514</v>
      </c>
    </row>
    <row r="3853" spans="1:2" x14ac:dyDescent="0.45">
      <c r="A3853" t="s">
        <v>8524</v>
      </c>
      <c r="B3853" t="s">
        <v>8525</v>
      </c>
    </row>
    <row r="3854" spans="1:2" x14ac:dyDescent="0.45">
      <c r="A3854" t="s">
        <v>8527</v>
      </c>
      <c r="B3854" t="s">
        <v>8528</v>
      </c>
    </row>
    <row r="3855" spans="1:2" x14ac:dyDescent="0.45">
      <c r="A3855" t="s">
        <v>8529</v>
      </c>
      <c r="B3855" t="s">
        <v>8530</v>
      </c>
    </row>
    <row r="3856" spans="1:2" x14ac:dyDescent="0.45">
      <c r="A3856" t="s">
        <v>8531</v>
      </c>
      <c r="B3856" t="s">
        <v>8532</v>
      </c>
    </row>
    <row r="3857" spans="1:2" x14ac:dyDescent="0.45">
      <c r="A3857" t="s">
        <v>8536</v>
      </c>
      <c r="B3857" t="s">
        <v>8537</v>
      </c>
    </row>
    <row r="3858" spans="1:2" x14ac:dyDescent="0.45">
      <c r="A3858" t="s">
        <v>8540</v>
      </c>
      <c r="B3858" t="s">
        <v>8541</v>
      </c>
    </row>
    <row r="3859" spans="1:2" x14ac:dyDescent="0.45">
      <c r="A3859" t="s">
        <v>8546</v>
      </c>
      <c r="B3859" t="s">
        <v>8547</v>
      </c>
    </row>
    <row r="3860" spans="1:2" x14ac:dyDescent="0.45">
      <c r="A3860" t="s">
        <v>8548</v>
      </c>
      <c r="B3860" t="s">
        <v>8549</v>
      </c>
    </row>
    <row r="3861" spans="1:2" x14ac:dyDescent="0.45">
      <c r="A3861" t="s">
        <v>8550</v>
      </c>
      <c r="B3861" t="s">
        <v>8551</v>
      </c>
    </row>
    <row r="3862" spans="1:2" x14ac:dyDescent="0.45">
      <c r="A3862" t="s">
        <v>8552</v>
      </c>
      <c r="B3862" t="s">
        <v>8553</v>
      </c>
    </row>
    <row r="3863" spans="1:2" x14ac:dyDescent="0.45">
      <c r="A3863" t="s">
        <v>8554</v>
      </c>
      <c r="B3863" t="s">
        <v>8555</v>
      </c>
    </row>
    <row r="3864" spans="1:2" x14ac:dyDescent="0.45">
      <c r="A3864" t="s">
        <v>8556</v>
      </c>
      <c r="B3864" t="s">
        <v>8557</v>
      </c>
    </row>
    <row r="3865" spans="1:2" x14ac:dyDescent="0.45">
      <c r="A3865" t="s">
        <v>8560</v>
      </c>
      <c r="B3865" t="s">
        <v>8561</v>
      </c>
    </row>
    <row r="3866" spans="1:2" x14ac:dyDescent="0.45">
      <c r="A3866" t="s">
        <v>8565</v>
      </c>
      <c r="B3866" t="s">
        <v>8566</v>
      </c>
    </row>
    <row r="3867" spans="1:2" x14ac:dyDescent="0.45">
      <c r="A3867" t="s">
        <v>8567</v>
      </c>
      <c r="B3867" t="s">
        <v>8568</v>
      </c>
    </row>
    <row r="3868" spans="1:2" x14ac:dyDescent="0.45">
      <c r="A3868" t="s">
        <v>8569</v>
      </c>
      <c r="B3868" t="s">
        <v>8570</v>
      </c>
    </row>
    <row r="3869" spans="1:2" x14ac:dyDescent="0.45">
      <c r="A3869" t="s">
        <v>8572</v>
      </c>
      <c r="B3869" t="s">
        <v>8573</v>
      </c>
    </row>
    <row r="3870" spans="1:2" x14ac:dyDescent="0.45">
      <c r="A3870" t="s">
        <v>8574</v>
      </c>
      <c r="B3870" t="s">
        <v>8575</v>
      </c>
    </row>
    <row r="3871" spans="1:2" x14ac:dyDescent="0.45">
      <c r="A3871" t="s">
        <v>8577</v>
      </c>
      <c r="B3871" t="s">
        <v>8578</v>
      </c>
    </row>
    <row r="3872" spans="1:2" x14ac:dyDescent="0.45">
      <c r="A3872" t="s">
        <v>8579</v>
      </c>
      <c r="B3872" t="s">
        <v>8580</v>
      </c>
    </row>
    <row r="3873" spans="1:2" x14ac:dyDescent="0.45">
      <c r="A3873" t="s">
        <v>8581</v>
      </c>
      <c r="B3873" t="s">
        <v>8582</v>
      </c>
    </row>
    <row r="3874" spans="1:2" x14ac:dyDescent="0.45">
      <c r="A3874" t="s">
        <v>8583</v>
      </c>
      <c r="B3874" t="s">
        <v>8584</v>
      </c>
    </row>
    <row r="3875" spans="1:2" x14ac:dyDescent="0.45">
      <c r="A3875" t="s">
        <v>8585</v>
      </c>
      <c r="B3875" t="s">
        <v>8586</v>
      </c>
    </row>
    <row r="3876" spans="1:2" x14ac:dyDescent="0.45">
      <c r="A3876" t="s">
        <v>8591</v>
      </c>
      <c r="B3876" t="s">
        <v>8592</v>
      </c>
    </row>
    <row r="3877" spans="1:2" x14ac:dyDescent="0.45">
      <c r="A3877" t="s">
        <v>8594</v>
      </c>
      <c r="B3877" t="s">
        <v>8595</v>
      </c>
    </row>
    <row r="3878" spans="1:2" x14ac:dyDescent="0.45">
      <c r="A3878" t="s">
        <v>8597</v>
      </c>
      <c r="B3878" t="s">
        <v>8598</v>
      </c>
    </row>
    <row r="3879" spans="1:2" x14ac:dyDescent="0.45">
      <c r="A3879" t="s">
        <v>8600</v>
      </c>
      <c r="B3879" t="s">
        <v>8601</v>
      </c>
    </row>
    <row r="3880" spans="1:2" x14ac:dyDescent="0.45">
      <c r="A3880" t="s">
        <v>8602</v>
      </c>
      <c r="B3880" t="s">
        <v>8603</v>
      </c>
    </row>
    <row r="3881" spans="1:2" x14ac:dyDescent="0.45">
      <c r="A3881" t="s">
        <v>8605</v>
      </c>
      <c r="B3881" t="s">
        <v>8606</v>
      </c>
    </row>
    <row r="3882" spans="1:2" x14ac:dyDescent="0.45">
      <c r="A3882" t="s">
        <v>8608</v>
      </c>
      <c r="B3882" t="s">
        <v>8609</v>
      </c>
    </row>
    <row r="3883" spans="1:2" x14ac:dyDescent="0.45">
      <c r="A3883" t="s">
        <v>8611</v>
      </c>
      <c r="B3883" t="s">
        <v>8612</v>
      </c>
    </row>
    <row r="3884" spans="1:2" x14ac:dyDescent="0.45">
      <c r="A3884" t="s">
        <v>8614</v>
      </c>
      <c r="B3884" t="s">
        <v>8615</v>
      </c>
    </row>
    <row r="3885" spans="1:2" x14ac:dyDescent="0.45">
      <c r="A3885" t="s">
        <v>8617</v>
      </c>
      <c r="B3885" t="s">
        <v>8618</v>
      </c>
    </row>
    <row r="3886" spans="1:2" x14ac:dyDescent="0.45">
      <c r="A3886" t="s">
        <v>8619</v>
      </c>
      <c r="B3886" t="s">
        <v>8620</v>
      </c>
    </row>
    <row r="3887" spans="1:2" x14ac:dyDescent="0.45">
      <c r="A3887" t="s">
        <v>8621</v>
      </c>
      <c r="B3887" t="s">
        <v>8622</v>
      </c>
    </row>
    <row r="3888" spans="1:2" x14ac:dyDescent="0.45">
      <c r="A3888" t="s">
        <v>8623</v>
      </c>
      <c r="B3888" t="s">
        <v>8624</v>
      </c>
    </row>
    <row r="3889" spans="1:2" x14ac:dyDescent="0.45">
      <c r="A3889" t="s">
        <v>8625</v>
      </c>
      <c r="B3889" t="s">
        <v>8626</v>
      </c>
    </row>
    <row r="3890" spans="1:2" x14ac:dyDescent="0.45">
      <c r="A3890" t="s">
        <v>8627</v>
      </c>
      <c r="B3890" t="s">
        <v>8628</v>
      </c>
    </row>
    <row r="3891" spans="1:2" x14ac:dyDescent="0.45">
      <c r="A3891" t="s">
        <v>8631</v>
      </c>
      <c r="B3891" t="s">
        <v>8632</v>
      </c>
    </row>
    <row r="3892" spans="1:2" x14ac:dyDescent="0.45">
      <c r="A3892" t="s">
        <v>8633</v>
      </c>
      <c r="B3892" t="s">
        <v>8634</v>
      </c>
    </row>
    <row r="3893" spans="1:2" x14ac:dyDescent="0.45">
      <c r="A3893" t="s">
        <v>8637</v>
      </c>
      <c r="B3893" t="s">
        <v>8638</v>
      </c>
    </row>
    <row r="3894" spans="1:2" x14ac:dyDescent="0.45">
      <c r="A3894" t="s">
        <v>8640</v>
      </c>
      <c r="B3894" t="s">
        <v>8641</v>
      </c>
    </row>
    <row r="3895" spans="1:2" x14ac:dyDescent="0.45">
      <c r="A3895" t="s">
        <v>8642</v>
      </c>
      <c r="B3895" t="s">
        <v>8643</v>
      </c>
    </row>
    <row r="3896" spans="1:2" x14ac:dyDescent="0.45">
      <c r="A3896" t="s">
        <v>8644</v>
      </c>
      <c r="B3896" t="s">
        <v>8645</v>
      </c>
    </row>
    <row r="3897" spans="1:2" x14ac:dyDescent="0.45">
      <c r="A3897" t="s">
        <v>8646</v>
      </c>
      <c r="B3897" t="s">
        <v>8647</v>
      </c>
    </row>
    <row r="3898" spans="1:2" x14ac:dyDescent="0.45">
      <c r="A3898" t="s">
        <v>8651</v>
      </c>
      <c r="B3898" t="s">
        <v>8652</v>
      </c>
    </row>
    <row r="3899" spans="1:2" x14ac:dyDescent="0.45">
      <c r="A3899" t="s">
        <v>8653</v>
      </c>
      <c r="B3899" t="s">
        <v>8654</v>
      </c>
    </row>
    <row r="3900" spans="1:2" x14ac:dyDescent="0.45">
      <c r="A3900" t="s">
        <v>8657</v>
      </c>
      <c r="B3900" t="s">
        <v>8658</v>
      </c>
    </row>
    <row r="3901" spans="1:2" x14ac:dyDescent="0.45">
      <c r="A3901" t="s">
        <v>8659</v>
      </c>
      <c r="B3901" t="s">
        <v>8660</v>
      </c>
    </row>
    <row r="3902" spans="1:2" x14ac:dyDescent="0.45">
      <c r="A3902" t="s">
        <v>8661</v>
      </c>
      <c r="B3902" t="s">
        <v>8662</v>
      </c>
    </row>
    <row r="3903" spans="1:2" x14ac:dyDescent="0.45">
      <c r="A3903" t="s">
        <v>8663</v>
      </c>
      <c r="B3903" t="s">
        <v>8664</v>
      </c>
    </row>
    <row r="3904" spans="1:2" x14ac:dyDescent="0.45">
      <c r="A3904" t="s">
        <v>8665</v>
      </c>
      <c r="B3904" t="s">
        <v>8666</v>
      </c>
    </row>
    <row r="3905" spans="1:2" x14ac:dyDescent="0.45">
      <c r="A3905" t="s">
        <v>8670</v>
      </c>
      <c r="B3905" t="s">
        <v>8671</v>
      </c>
    </row>
    <row r="3906" spans="1:2" x14ac:dyDescent="0.45">
      <c r="A3906" t="s">
        <v>8673</v>
      </c>
      <c r="B3906" t="s">
        <v>8674</v>
      </c>
    </row>
    <row r="3907" spans="1:2" x14ac:dyDescent="0.45">
      <c r="A3907" t="s">
        <v>8676</v>
      </c>
      <c r="B3907" t="s">
        <v>8677</v>
      </c>
    </row>
    <row r="3908" spans="1:2" x14ac:dyDescent="0.45">
      <c r="A3908" t="s">
        <v>8678</v>
      </c>
      <c r="B3908" t="s">
        <v>8679</v>
      </c>
    </row>
    <row r="3909" spans="1:2" x14ac:dyDescent="0.45">
      <c r="A3909" t="s">
        <v>8681</v>
      </c>
      <c r="B3909" t="s">
        <v>8682</v>
      </c>
    </row>
    <row r="3910" spans="1:2" x14ac:dyDescent="0.45">
      <c r="A3910" t="s">
        <v>8683</v>
      </c>
      <c r="B3910" t="s">
        <v>8684</v>
      </c>
    </row>
    <row r="3911" spans="1:2" x14ac:dyDescent="0.45">
      <c r="A3911" t="s">
        <v>8686</v>
      </c>
      <c r="B3911" t="s">
        <v>8687</v>
      </c>
    </row>
    <row r="3912" spans="1:2" x14ac:dyDescent="0.45">
      <c r="A3912" t="s">
        <v>8688</v>
      </c>
      <c r="B3912" t="s">
        <v>8689</v>
      </c>
    </row>
    <row r="3913" spans="1:2" x14ac:dyDescent="0.45">
      <c r="A3913" t="s">
        <v>8690</v>
      </c>
      <c r="B3913" t="s">
        <v>8691</v>
      </c>
    </row>
    <row r="3914" spans="1:2" x14ac:dyDescent="0.45">
      <c r="A3914" t="s">
        <v>8693</v>
      </c>
      <c r="B3914" t="s">
        <v>8694</v>
      </c>
    </row>
    <row r="3915" spans="1:2" x14ac:dyDescent="0.45">
      <c r="A3915" t="s">
        <v>8696</v>
      </c>
      <c r="B3915" t="s">
        <v>8697</v>
      </c>
    </row>
    <row r="3916" spans="1:2" x14ac:dyDescent="0.45">
      <c r="A3916" t="s">
        <v>8698</v>
      </c>
      <c r="B3916" t="s">
        <v>8699</v>
      </c>
    </row>
    <row r="3917" spans="1:2" x14ac:dyDescent="0.45">
      <c r="A3917" t="s">
        <v>8700</v>
      </c>
      <c r="B3917" t="s">
        <v>8701</v>
      </c>
    </row>
    <row r="3918" spans="1:2" x14ac:dyDescent="0.45">
      <c r="A3918" t="s">
        <v>8702</v>
      </c>
      <c r="B3918" t="s">
        <v>8703</v>
      </c>
    </row>
    <row r="3919" spans="1:2" x14ac:dyDescent="0.45">
      <c r="A3919" t="s">
        <v>8705</v>
      </c>
      <c r="B3919" t="s">
        <v>8706</v>
      </c>
    </row>
    <row r="3920" spans="1:2" x14ac:dyDescent="0.45">
      <c r="A3920" t="s">
        <v>8707</v>
      </c>
      <c r="B3920" t="s">
        <v>8708</v>
      </c>
    </row>
    <row r="3921" spans="1:2" x14ac:dyDescent="0.45">
      <c r="A3921" t="s">
        <v>8709</v>
      </c>
      <c r="B3921" t="s">
        <v>8710</v>
      </c>
    </row>
    <row r="3922" spans="1:2" x14ac:dyDescent="0.45">
      <c r="A3922" t="s">
        <v>8711</v>
      </c>
      <c r="B3922" t="s">
        <v>8712</v>
      </c>
    </row>
    <row r="3923" spans="1:2" x14ac:dyDescent="0.45">
      <c r="A3923" t="s">
        <v>8716</v>
      </c>
      <c r="B3923" t="s">
        <v>8717</v>
      </c>
    </row>
    <row r="3924" spans="1:2" x14ac:dyDescent="0.45">
      <c r="A3924" t="s">
        <v>8720</v>
      </c>
      <c r="B3924" t="s">
        <v>8721</v>
      </c>
    </row>
    <row r="3925" spans="1:2" x14ac:dyDescent="0.45">
      <c r="A3925" t="s">
        <v>8722</v>
      </c>
      <c r="B3925" t="s">
        <v>8723</v>
      </c>
    </row>
    <row r="3926" spans="1:2" x14ac:dyDescent="0.45">
      <c r="A3926" t="s">
        <v>8724</v>
      </c>
      <c r="B3926" t="s">
        <v>8725</v>
      </c>
    </row>
    <row r="3927" spans="1:2" x14ac:dyDescent="0.45">
      <c r="A3927" t="s">
        <v>8726</v>
      </c>
      <c r="B3927" t="s">
        <v>8727</v>
      </c>
    </row>
    <row r="3928" spans="1:2" x14ac:dyDescent="0.45">
      <c r="A3928" t="s">
        <v>8728</v>
      </c>
      <c r="B3928" t="s">
        <v>8729</v>
      </c>
    </row>
    <row r="3929" spans="1:2" x14ac:dyDescent="0.45">
      <c r="A3929" t="s">
        <v>8730</v>
      </c>
      <c r="B3929" t="s">
        <v>8731</v>
      </c>
    </row>
    <row r="3930" spans="1:2" x14ac:dyDescent="0.45">
      <c r="A3930" t="s">
        <v>8732</v>
      </c>
      <c r="B3930" t="s">
        <v>8733</v>
      </c>
    </row>
    <row r="3931" spans="1:2" x14ac:dyDescent="0.45">
      <c r="A3931" t="s">
        <v>8734</v>
      </c>
      <c r="B3931" t="s">
        <v>8735</v>
      </c>
    </row>
    <row r="3932" spans="1:2" x14ac:dyDescent="0.45">
      <c r="A3932" t="s">
        <v>8737</v>
      </c>
      <c r="B3932" t="s">
        <v>8738</v>
      </c>
    </row>
    <row r="3933" spans="1:2" x14ac:dyDescent="0.45">
      <c r="A3933" t="s">
        <v>8740</v>
      </c>
      <c r="B3933" t="s">
        <v>8741</v>
      </c>
    </row>
    <row r="3934" spans="1:2" x14ac:dyDescent="0.45">
      <c r="A3934" t="s">
        <v>8743</v>
      </c>
      <c r="B3934" t="s">
        <v>8744</v>
      </c>
    </row>
    <row r="3935" spans="1:2" x14ac:dyDescent="0.45">
      <c r="A3935" t="s">
        <v>8750</v>
      </c>
      <c r="B3935" t="s">
        <v>8751</v>
      </c>
    </row>
    <row r="3936" spans="1:2" x14ac:dyDescent="0.45">
      <c r="A3936" t="s">
        <v>8752</v>
      </c>
      <c r="B3936" t="s">
        <v>8753</v>
      </c>
    </row>
    <row r="3937" spans="1:2" x14ac:dyDescent="0.45">
      <c r="A3937" t="s">
        <v>8756</v>
      </c>
      <c r="B3937" t="s">
        <v>8757</v>
      </c>
    </row>
    <row r="3938" spans="1:2" x14ac:dyDescent="0.45">
      <c r="A3938" t="s">
        <v>8758</v>
      </c>
      <c r="B3938" t="s">
        <v>8759</v>
      </c>
    </row>
    <row r="3939" spans="1:2" x14ac:dyDescent="0.45">
      <c r="A3939" t="s">
        <v>8763</v>
      </c>
      <c r="B3939" t="s">
        <v>8764</v>
      </c>
    </row>
    <row r="3940" spans="1:2" x14ac:dyDescent="0.45">
      <c r="A3940" t="s">
        <v>8769</v>
      </c>
      <c r="B3940" t="s">
        <v>8770</v>
      </c>
    </row>
    <row r="3941" spans="1:2" x14ac:dyDescent="0.45">
      <c r="A3941" t="s">
        <v>8771</v>
      </c>
      <c r="B3941" t="s">
        <v>8772</v>
      </c>
    </row>
    <row r="3942" spans="1:2" x14ac:dyDescent="0.45">
      <c r="A3942" t="s">
        <v>8774</v>
      </c>
      <c r="B3942" t="s">
        <v>8775</v>
      </c>
    </row>
    <row r="3943" spans="1:2" x14ac:dyDescent="0.45">
      <c r="A3943" t="s">
        <v>8776</v>
      </c>
      <c r="B3943" t="s">
        <v>8777</v>
      </c>
    </row>
    <row r="3944" spans="1:2" x14ac:dyDescent="0.45">
      <c r="A3944" t="s">
        <v>8778</v>
      </c>
      <c r="B3944" t="s">
        <v>8779</v>
      </c>
    </row>
    <row r="3945" spans="1:2" x14ac:dyDescent="0.45">
      <c r="A3945" t="s">
        <v>8782</v>
      </c>
      <c r="B3945" t="s">
        <v>8783</v>
      </c>
    </row>
    <row r="3946" spans="1:2" x14ac:dyDescent="0.45">
      <c r="A3946" t="s">
        <v>8786</v>
      </c>
      <c r="B3946" t="s">
        <v>8787</v>
      </c>
    </row>
    <row r="3947" spans="1:2" x14ac:dyDescent="0.45">
      <c r="A3947" t="s">
        <v>8803</v>
      </c>
      <c r="B3947" t="s">
        <v>8804</v>
      </c>
    </row>
    <row r="3948" spans="1:2" x14ac:dyDescent="0.45">
      <c r="A3948" t="s">
        <v>8805</v>
      </c>
      <c r="B3948" t="s">
        <v>8806</v>
      </c>
    </row>
    <row r="3949" spans="1:2" x14ac:dyDescent="0.45">
      <c r="A3949" t="s">
        <v>8809</v>
      </c>
      <c r="B3949" t="s">
        <v>8810</v>
      </c>
    </row>
    <row r="3950" spans="1:2" x14ac:dyDescent="0.45">
      <c r="A3950" t="s">
        <v>8817</v>
      </c>
      <c r="B3950" t="s">
        <v>8818</v>
      </c>
    </row>
    <row r="3951" spans="1:2" x14ac:dyDescent="0.45">
      <c r="A3951" t="s">
        <v>8820</v>
      </c>
      <c r="B3951" t="s">
        <v>8821</v>
      </c>
    </row>
    <row r="3952" spans="1:2" x14ac:dyDescent="0.45">
      <c r="A3952" t="s">
        <v>8824</v>
      </c>
      <c r="B3952" t="s">
        <v>8825</v>
      </c>
    </row>
    <row r="3953" spans="1:2" x14ac:dyDescent="0.45">
      <c r="A3953" t="s">
        <v>8828</v>
      </c>
      <c r="B3953" t="s">
        <v>8829</v>
      </c>
    </row>
    <row r="3954" spans="1:2" x14ac:dyDescent="0.45">
      <c r="A3954" t="s">
        <v>8833</v>
      </c>
      <c r="B3954" t="s">
        <v>8834</v>
      </c>
    </row>
    <row r="3955" spans="1:2" x14ac:dyDescent="0.45">
      <c r="A3955" t="s">
        <v>8836</v>
      </c>
      <c r="B3955" t="s">
        <v>8837</v>
      </c>
    </row>
    <row r="3956" spans="1:2" x14ac:dyDescent="0.45">
      <c r="A3956" t="s">
        <v>8838</v>
      </c>
      <c r="B3956" t="s">
        <v>8839</v>
      </c>
    </row>
    <row r="3957" spans="1:2" x14ac:dyDescent="0.45">
      <c r="A3957" t="s">
        <v>8840</v>
      </c>
      <c r="B3957" t="s">
        <v>8841</v>
      </c>
    </row>
    <row r="3958" spans="1:2" x14ac:dyDescent="0.45">
      <c r="A3958" t="s">
        <v>8842</v>
      </c>
      <c r="B3958" t="s">
        <v>8843</v>
      </c>
    </row>
    <row r="3959" spans="1:2" x14ac:dyDescent="0.45">
      <c r="A3959" t="s">
        <v>8844</v>
      </c>
      <c r="B3959" t="s">
        <v>8845</v>
      </c>
    </row>
    <row r="3960" spans="1:2" x14ac:dyDescent="0.45">
      <c r="A3960" t="s">
        <v>8849</v>
      </c>
      <c r="B3960" t="s">
        <v>8850</v>
      </c>
    </row>
    <row r="3961" spans="1:2" x14ac:dyDescent="0.45">
      <c r="A3961" t="s">
        <v>8853</v>
      </c>
      <c r="B3961" t="s">
        <v>8854</v>
      </c>
    </row>
    <row r="3962" spans="1:2" x14ac:dyDescent="0.45">
      <c r="A3962" t="s">
        <v>8857</v>
      </c>
      <c r="B3962" t="s">
        <v>8858</v>
      </c>
    </row>
    <row r="3963" spans="1:2" x14ac:dyDescent="0.45">
      <c r="A3963" t="s">
        <v>8859</v>
      </c>
      <c r="B3963" t="s">
        <v>8860</v>
      </c>
    </row>
    <row r="3964" spans="1:2" x14ac:dyDescent="0.45">
      <c r="A3964" t="s">
        <v>8861</v>
      </c>
      <c r="B3964" t="s">
        <v>8862</v>
      </c>
    </row>
    <row r="3965" spans="1:2" x14ac:dyDescent="0.45">
      <c r="A3965" t="s">
        <v>8863</v>
      </c>
      <c r="B3965" t="s">
        <v>8864</v>
      </c>
    </row>
    <row r="3966" spans="1:2" x14ac:dyDescent="0.45">
      <c r="A3966" t="s">
        <v>8868</v>
      </c>
      <c r="B3966" t="s">
        <v>8869</v>
      </c>
    </row>
    <row r="3967" spans="1:2" x14ac:dyDescent="0.45">
      <c r="A3967" t="s">
        <v>8872</v>
      </c>
      <c r="B3967" t="s">
        <v>8873</v>
      </c>
    </row>
    <row r="3968" spans="1:2" x14ac:dyDescent="0.45">
      <c r="A3968" t="s">
        <v>8874</v>
      </c>
      <c r="B3968" t="s">
        <v>8875</v>
      </c>
    </row>
    <row r="3969" spans="1:2" x14ac:dyDescent="0.45">
      <c r="A3969" t="s">
        <v>8876</v>
      </c>
      <c r="B3969" t="s">
        <v>8877</v>
      </c>
    </row>
    <row r="3970" spans="1:2" x14ac:dyDescent="0.45">
      <c r="A3970" t="s">
        <v>8878</v>
      </c>
      <c r="B3970" t="s">
        <v>8879</v>
      </c>
    </row>
    <row r="3971" spans="1:2" x14ac:dyDescent="0.45">
      <c r="A3971" t="s">
        <v>8880</v>
      </c>
      <c r="B3971" t="s">
        <v>8881</v>
      </c>
    </row>
    <row r="3972" spans="1:2" x14ac:dyDescent="0.45">
      <c r="A3972" t="s">
        <v>8884</v>
      </c>
      <c r="B3972" t="s">
        <v>8885</v>
      </c>
    </row>
    <row r="3973" spans="1:2" x14ac:dyDescent="0.45">
      <c r="A3973" t="s">
        <v>8887</v>
      </c>
      <c r="B3973" t="s">
        <v>8888</v>
      </c>
    </row>
    <row r="3974" spans="1:2" x14ac:dyDescent="0.45">
      <c r="A3974" t="s">
        <v>8889</v>
      </c>
      <c r="B3974" t="s">
        <v>8890</v>
      </c>
    </row>
    <row r="3975" spans="1:2" x14ac:dyDescent="0.45">
      <c r="A3975" t="s">
        <v>8893</v>
      </c>
      <c r="B3975" t="s">
        <v>8894</v>
      </c>
    </row>
    <row r="3976" spans="1:2" x14ac:dyDescent="0.45">
      <c r="A3976" t="s">
        <v>8895</v>
      </c>
      <c r="B3976" t="s">
        <v>8896</v>
      </c>
    </row>
    <row r="3977" spans="1:2" x14ac:dyDescent="0.45">
      <c r="A3977" t="s">
        <v>8897</v>
      </c>
      <c r="B3977" t="s">
        <v>8898</v>
      </c>
    </row>
    <row r="3978" spans="1:2" x14ac:dyDescent="0.45">
      <c r="A3978" t="s">
        <v>8899</v>
      </c>
      <c r="B3978" t="s">
        <v>8900</v>
      </c>
    </row>
    <row r="3979" spans="1:2" x14ac:dyDescent="0.45">
      <c r="A3979" t="s">
        <v>8901</v>
      </c>
      <c r="B3979" t="s">
        <v>8902</v>
      </c>
    </row>
    <row r="3980" spans="1:2" x14ac:dyDescent="0.45">
      <c r="A3980" t="s">
        <v>8906</v>
      </c>
      <c r="B3980" t="s">
        <v>8907</v>
      </c>
    </row>
    <row r="3981" spans="1:2" x14ac:dyDescent="0.45">
      <c r="A3981" t="s">
        <v>8908</v>
      </c>
      <c r="B3981" t="s">
        <v>8909</v>
      </c>
    </row>
    <row r="3982" spans="1:2" x14ac:dyDescent="0.45">
      <c r="A3982" t="s">
        <v>8910</v>
      </c>
      <c r="B3982" t="s">
        <v>8911</v>
      </c>
    </row>
    <row r="3983" spans="1:2" x14ac:dyDescent="0.45">
      <c r="A3983" t="s">
        <v>8912</v>
      </c>
      <c r="B3983" t="s">
        <v>8913</v>
      </c>
    </row>
    <row r="3984" spans="1:2" x14ac:dyDescent="0.45">
      <c r="A3984" t="s">
        <v>8914</v>
      </c>
      <c r="B3984" t="s">
        <v>8915</v>
      </c>
    </row>
    <row r="3985" spans="1:2" x14ac:dyDescent="0.45">
      <c r="A3985" t="s">
        <v>8916</v>
      </c>
      <c r="B3985" t="s">
        <v>8917</v>
      </c>
    </row>
    <row r="3986" spans="1:2" x14ac:dyDescent="0.45">
      <c r="A3986" t="s">
        <v>8918</v>
      </c>
      <c r="B3986" t="s">
        <v>8919</v>
      </c>
    </row>
    <row r="3987" spans="1:2" x14ac:dyDescent="0.45">
      <c r="A3987" t="s">
        <v>8922</v>
      </c>
      <c r="B3987" t="s">
        <v>8923</v>
      </c>
    </row>
    <row r="3988" spans="1:2" x14ac:dyDescent="0.45">
      <c r="A3988" t="s">
        <v>8927</v>
      </c>
      <c r="B3988" t="s">
        <v>8928</v>
      </c>
    </row>
    <row r="3989" spans="1:2" x14ac:dyDescent="0.45">
      <c r="A3989" t="s">
        <v>8930</v>
      </c>
      <c r="B3989" t="s">
        <v>8931</v>
      </c>
    </row>
    <row r="3990" spans="1:2" x14ac:dyDescent="0.45">
      <c r="A3990" t="s">
        <v>8952</v>
      </c>
      <c r="B3990" t="s">
        <v>8953</v>
      </c>
    </row>
    <row r="3991" spans="1:2" x14ac:dyDescent="0.45">
      <c r="A3991" t="s">
        <v>8958</v>
      </c>
      <c r="B3991" t="s">
        <v>8959</v>
      </c>
    </row>
    <row r="3992" spans="1:2" x14ac:dyDescent="0.45">
      <c r="A3992" t="s">
        <v>8965</v>
      </c>
      <c r="B3992" t="s">
        <v>8966</v>
      </c>
    </row>
    <row r="3993" spans="1:2" x14ac:dyDescent="0.45">
      <c r="A3993" t="s">
        <v>8967</v>
      </c>
      <c r="B3993" t="s">
        <v>8968</v>
      </c>
    </row>
    <row r="3994" spans="1:2" x14ac:dyDescent="0.45">
      <c r="A3994" t="s">
        <v>8971</v>
      </c>
      <c r="B3994" t="s">
        <v>8972</v>
      </c>
    </row>
    <row r="3995" spans="1:2" x14ac:dyDescent="0.45">
      <c r="A3995" t="s">
        <v>8974</v>
      </c>
      <c r="B3995" t="s">
        <v>8975</v>
      </c>
    </row>
    <row r="3996" spans="1:2" x14ac:dyDescent="0.45">
      <c r="A3996" t="s">
        <v>8979</v>
      </c>
      <c r="B3996" t="s">
        <v>8980</v>
      </c>
    </row>
    <row r="3997" spans="1:2" x14ac:dyDescent="0.45">
      <c r="A3997" t="s">
        <v>8981</v>
      </c>
      <c r="B3997" t="s">
        <v>8982</v>
      </c>
    </row>
    <row r="3998" spans="1:2" x14ac:dyDescent="0.45">
      <c r="A3998" t="s">
        <v>8985</v>
      </c>
      <c r="B3998" t="s">
        <v>8986</v>
      </c>
    </row>
    <row r="3999" spans="1:2" x14ac:dyDescent="0.45">
      <c r="A3999" t="s">
        <v>8992</v>
      </c>
      <c r="B3999" t="s">
        <v>8993</v>
      </c>
    </row>
    <row r="4000" spans="1:2" x14ac:dyDescent="0.45">
      <c r="A4000" t="s">
        <v>9000</v>
      </c>
      <c r="B4000" t="s">
        <v>9001</v>
      </c>
    </row>
    <row r="4001" spans="1:2" x14ac:dyDescent="0.45">
      <c r="A4001" t="s">
        <v>9002</v>
      </c>
      <c r="B4001" t="s">
        <v>9003</v>
      </c>
    </row>
    <row r="4002" spans="1:2" x14ac:dyDescent="0.45">
      <c r="A4002" t="s">
        <v>9006</v>
      </c>
      <c r="B4002" t="s">
        <v>9007</v>
      </c>
    </row>
    <row r="4003" spans="1:2" x14ac:dyDescent="0.45">
      <c r="A4003" t="s">
        <v>9008</v>
      </c>
      <c r="B4003" t="s">
        <v>9009</v>
      </c>
    </row>
    <row r="4004" spans="1:2" x14ac:dyDescent="0.45">
      <c r="A4004" t="s">
        <v>9010</v>
      </c>
      <c r="B4004" t="s">
        <v>9011</v>
      </c>
    </row>
    <row r="4005" spans="1:2" x14ac:dyDescent="0.45">
      <c r="A4005" t="s">
        <v>9013</v>
      </c>
      <c r="B4005" t="s">
        <v>9014</v>
      </c>
    </row>
    <row r="4006" spans="1:2" x14ac:dyDescent="0.45">
      <c r="A4006" t="s">
        <v>9016</v>
      </c>
      <c r="B4006" t="s">
        <v>9017</v>
      </c>
    </row>
    <row r="4007" spans="1:2" x14ac:dyDescent="0.45">
      <c r="A4007" t="s">
        <v>9018</v>
      </c>
      <c r="B4007" t="s">
        <v>9019</v>
      </c>
    </row>
    <row r="4008" spans="1:2" x14ac:dyDescent="0.45">
      <c r="A4008" t="s">
        <v>9027</v>
      </c>
      <c r="B4008" t="s">
        <v>9028</v>
      </c>
    </row>
    <row r="4009" spans="1:2" x14ac:dyDescent="0.45">
      <c r="A4009" t="s">
        <v>9032</v>
      </c>
      <c r="B4009" t="s">
        <v>9033</v>
      </c>
    </row>
    <row r="4010" spans="1:2" x14ac:dyDescent="0.45">
      <c r="A4010" t="s">
        <v>9035</v>
      </c>
      <c r="B4010" t="s">
        <v>9036</v>
      </c>
    </row>
    <row r="4011" spans="1:2" x14ac:dyDescent="0.45">
      <c r="A4011" t="s">
        <v>9037</v>
      </c>
      <c r="B4011" t="s">
        <v>9038</v>
      </c>
    </row>
    <row r="4012" spans="1:2" x14ac:dyDescent="0.45">
      <c r="A4012" t="s">
        <v>9041</v>
      </c>
      <c r="B4012" t="s">
        <v>9042</v>
      </c>
    </row>
    <row r="4013" spans="1:2" x14ac:dyDescent="0.45">
      <c r="A4013" t="s">
        <v>9049</v>
      </c>
      <c r="B4013" t="s">
        <v>9050</v>
      </c>
    </row>
    <row r="4014" spans="1:2" x14ac:dyDescent="0.45">
      <c r="A4014" t="s">
        <v>9053</v>
      </c>
      <c r="B4014" t="s">
        <v>9054</v>
      </c>
    </row>
    <row r="4015" spans="1:2" x14ac:dyDescent="0.45">
      <c r="A4015" t="s">
        <v>9055</v>
      </c>
      <c r="B4015" t="s">
        <v>9056</v>
      </c>
    </row>
    <row r="4016" spans="1:2" x14ac:dyDescent="0.45">
      <c r="A4016" t="s">
        <v>9061</v>
      </c>
      <c r="B4016" t="s">
        <v>9062</v>
      </c>
    </row>
    <row r="4017" spans="1:2" x14ac:dyDescent="0.45">
      <c r="A4017" t="s">
        <v>9063</v>
      </c>
      <c r="B4017" t="s">
        <v>9064</v>
      </c>
    </row>
    <row r="4018" spans="1:2" x14ac:dyDescent="0.45">
      <c r="A4018" t="s">
        <v>9067</v>
      </c>
      <c r="B4018" t="s">
        <v>9068</v>
      </c>
    </row>
    <row r="4019" spans="1:2" x14ac:dyDescent="0.45">
      <c r="A4019" t="s">
        <v>9070</v>
      </c>
      <c r="B4019" t="s">
        <v>9071</v>
      </c>
    </row>
    <row r="4020" spans="1:2" x14ac:dyDescent="0.45">
      <c r="A4020" t="s">
        <v>9074</v>
      </c>
      <c r="B4020" t="s">
        <v>9075</v>
      </c>
    </row>
    <row r="4021" spans="1:2" x14ac:dyDescent="0.45">
      <c r="A4021" t="s">
        <v>9076</v>
      </c>
      <c r="B4021" t="s">
        <v>9077</v>
      </c>
    </row>
    <row r="4022" spans="1:2" x14ac:dyDescent="0.45">
      <c r="A4022" t="s">
        <v>9079</v>
      </c>
      <c r="B4022" t="s">
        <v>9080</v>
      </c>
    </row>
    <row r="4023" spans="1:2" x14ac:dyDescent="0.45">
      <c r="A4023" t="s">
        <v>9082</v>
      </c>
      <c r="B4023" t="s">
        <v>9083</v>
      </c>
    </row>
    <row r="4024" spans="1:2" x14ac:dyDescent="0.45">
      <c r="A4024" t="s">
        <v>9084</v>
      </c>
      <c r="B4024" t="s">
        <v>9085</v>
      </c>
    </row>
    <row r="4025" spans="1:2" x14ac:dyDescent="0.45">
      <c r="A4025" t="s">
        <v>9086</v>
      </c>
      <c r="B4025" t="s">
        <v>9087</v>
      </c>
    </row>
    <row r="4026" spans="1:2" x14ac:dyDescent="0.45">
      <c r="A4026" t="s">
        <v>9088</v>
      </c>
      <c r="B4026" t="s">
        <v>9089</v>
      </c>
    </row>
    <row r="4027" spans="1:2" x14ac:dyDescent="0.45">
      <c r="A4027" t="s">
        <v>9090</v>
      </c>
      <c r="B4027" t="s">
        <v>9091</v>
      </c>
    </row>
    <row r="4028" spans="1:2" x14ac:dyDescent="0.45">
      <c r="A4028" t="s">
        <v>9092</v>
      </c>
      <c r="B4028" t="s">
        <v>9093</v>
      </c>
    </row>
    <row r="4029" spans="1:2" x14ac:dyDescent="0.45">
      <c r="A4029" t="s">
        <v>9094</v>
      </c>
      <c r="B4029" t="s">
        <v>9095</v>
      </c>
    </row>
    <row r="4030" spans="1:2" x14ac:dyDescent="0.45">
      <c r="A4030" t="s">
        <v>9098</v>
      </c>
      <c r="B4030" t="s">
        <v>9099</v>
      </c>
    </row>
    <row r="4031" spans="1:2" x14ac:dyDescent="0.45">
      <c r="A4031" t="s">
        <v>9107</v>
      </c>
      <c r="B4031" t="s">
        <v>9108</v>
      </c>
    </row>
    <row r="4032" spans="1:2" x14ac:dyDescent="0.45">
      <c r="A4032" t="s">
        <v>9111</v>
      </c>
      <c r="B4032" t="s">
        <v>9112</v>
      </c>
    </row>
    <row r="4033" spans="1:2" x14ac:dyDescent="0.45">
      <c r="A4033" t="s">
        <v>9116</v>
      </c>
      <c r="B4033" t="s">
        <v>9117</v>
      </c>
    </row>
    <row r="4034" spans="1:2" x14ac:dyDescent="0.45">
      <c r="A4034" t="s">
        <v>9118</v>
      </c>
      <c r="B4034" t="s">
        <v>9119</v>
      </c>
    </row>
    <row r="4035" spans="1:2" x14ac:dyDescent="0.45">
      <c r="A4035" t="s">
        <v>9120</v>
      </c>
      <c r="B4035" t="s">
        <v>9121</v>
      </c>
    </row>
    <row r="4036" spans="1:2" x14ac:dyDescent="0.45">
      <c r="A4036" t="s">
        <v>9122</v>
      </c>
      <c r="B4036" t="s">
        <v>9123</v>
      </c>
    </row>
    <row r="4037" spans="1:2" x14ac:dyDescent="0.45">
      <c r="A4037" t="s">
        <v>9125</v>
      </c>
      <c r="B4037" t="s">
        <v>9126</v>
      </c>
    </row>
    <row r="4038" spans="1:2" x14ac:dyDescent="0.45">
      <c r="A4038" t="s">
        <v>9127</v>
      </c>
      <c r="B4038" t="s">
        <v>9128</v>
      </c>
    </row>
    <row r="4039" spans="1:2" x14ac:dyDescent="0.45">
      <c r="A4039" t="s">
        <v>9129</v>
      </c>
      <c r="B4039" t="s">
        <v>9130</v>
      </c>
    </row>
    <row r="4040" spans="1:2" x14ac:dyDescent="0.45">
      <c r="A4040" t="s">
        <v>9131</v>
      </c>
      <c r="B4040" t="s">
        <v>9132</v>
      </c>
    </row>
    <row r="4041" spans="1:2" x14ac:dyDescent="0.45">
      <c r="A4041" t="s">
        <v>9134</v>
      </c>
      <c r="B4041" t="s">
        <v>9135</v>
      </c>
    </row>
    <row r="4042" spans="1:2" x14ac:dyDescent="0.45">
      <c r="A4042" t="s">
        <v>9137</v>
      </c>
      <c r="B4042" t="s">
        <v>9138</v>
      </c>
    </row>
    <row r="4043" spans="1:2" x14ac:dyDescent="0.45">
      <c r="A4043" t="s">
        <v>9140</v>
      </c>
      <c r="B4043" t="s">
        <v>9141</v>
      </c>
    </row>
    <row r="4044" spans="1:2" x14ac:dyDescent="0.45">
      <c r="A4044" t="s">
        <v>9142</v>
      </c>
      <c r="B4044" t="s">
        <v>9143</v>
      </c>
    </row>
    <row r="4045" spans="1:2" x14ac:dyDescent="0.45">
      <c r="A4045" t="s">
        <v>9144</v>
      </c>
      <c r="B4045" t="s">
        <v>9145</v>
      </c>
    </row>
    <row r="4046" spans="1:2" x14ac:dyDescent="0.45">
      <c r="A4046" t="s">
        <v>9146</v>
      </c>
      <c r="B4046" t="s">
        <v>9147</v>
      </c>
    </row>
    <row r="4047" spans="1:2" x14ac:dyDescent="0.45">
      <c r="A4047" t="s">
        <v>9150</v>
      </c>
      <c r="B4047" t="s">
        <v>9151</v>
      </c>
    </row>
    <row r="4048" spans="1:2" x14ac:dyDescent="0.45">
      <c r="A4048" t="s">
        <v>9156</v>
      </c>
      <c r="B4048" t="s">
        <v>9157</v>
      </c>
    </row>
    <row r="4049" spans="1:2" x14ac:dyDescent="0.45">
      <c r="A4049" t="s">
        <v>9158</v>
      </c>
      <c r="B4049" t="s">
        <v>9159</v>
      </c>
    </row>
    <row r="4050" spans="1:2" x14ac:dyDescent="0.45">
      <c r="A4050" t="s">
        <v>9162</v>
      </c>
      <c r="B4050" t="s">
        <v>9163</v>
      </c>
    </row>
    <row r="4051" spans="1:2" x14ac:dyDescent="0.45">
      <c r="A4051" t="s">
        <v>9173</v>
      </c>
      <c r="B4051" t="s">
        <v>9174</v>
      </c>
    </row>
    <row r="4052" spans="1:2" x14ac:dyDescent="0.45">
      <c r="A4052" t="s">
        <v>9184</v>
      </c>
      <c r="B4052" t="s">
        <v>9185</v>
      </c>
    </row>
    <row r="4053" spans="1:2" x14ac:dyDescent="0.45">
      <c r="A4053" t="s">
        <v>9187</v>
      </c>
      <c r="B4053" t="s">
        <v>9188</v>
      </c>
    </row>
    <row r="4054" spans="1:2" x14ac:dyDescent="0.45">
      <c r="A4054" t="s">
        <v>9190</v>
      </c>
      <c r="B4054" t="s">
        <v>9191</v>
      </c>
    </row>
    <row r="4055" spans="1:2" x14ac:dyDescent="0.45">
      <c r="A4055" t="s">
        <v>9192</v>
      </c>
      <c r="B4055" t="s">
        <v>9193</v>
      </c>
    </row>
    <row r="4056" spans="1:2" x14ac:dyDescent="0.45">
      <c r="A4056" t="s">
        <v>9195</v>
      </c>
      <c r="B4056" t="s">
        <v>9196</v>
      </c>
    </row>
    <row r="4057" spans="1:2" x14ac:dyDescent="0.45">
      <c r="A4057" t="s">
        <v>9197</v>
      </c>
      <c r="B4057" t="s">
        <v>9198</v>
      </c>
    </row>
    <row r="4058" spans="1:2" x14ac:dyDescent="0.45">
      <c r="A4058" t="s">
        <v>9199</v>
      </c>
      <c r="B4058" t="s">
        <v>9200</v>
      </c>
    </row>
    <row r="4059" spans="1:2" x14ac:dyDescent="0.45">
      <c r="A4059" t="s">
        <v>9203</v>
      </c>
      <c r="B4059" t="s">
        <v>9204</v>
      </c>
    </row>
    <row r="4060" spans="1:2" x14ac:dyDescent="0.45">
      <c r="A4060" t="s">
        <v>9209</v>
      </c>
      <c r="B4060" t="s">
        <v>9210</v>
      </c>
    </row>
    <row r="4061" spans="1:2" x14ac:dyDescent="0.45">
      <c r="A4061" t="s">
        <v>9213</v>
      </c>
      <c r="B4061" t="s">
        <v>9214</v>
      </c>
    </row>
    <row r="4062" spans="1:2" x14ac:dyDescent="0.45">
      <c r="A4062" t="s">
        <v>9216</v>
      </c>
      <c r="B4062" t="s">
        <v>9217</v>
      </c>
    </row>
    <row r="4063" spans="1:2" x14ac:dyDescent="0.45">
      <c r="A4063" t="s">
        <v>9218</v>
      </c>
      <c r="B4063" t="s">
        <v>9219</v>
      </c>
    </row>
    <row r="4064" spans="1:2" x14ac:dyDescent="0.45">
      <c r="A4064" t="s">
        <v>9220</v>
      </c>
      <c r="B4064" t="s">
        <v>9221</v>
      </c>
    </row>
    <row r="4065" spans="1:2" x14ac:dyDescent="0.45">
      <c r="A4065" t="s">
        <v>9222</v>
      </c>
      <c r="B4065" t="s">
        <v>9223</v>
      </c>
    </row>
    <row r="4066" spans="1:2" x14ac:dyDescent="0.45">
      <c r="A4066" t="s">
        <v>9224</v>
      </c>
      <c r="B4066" t="s">
        <v>9225</v>
      </c>
    </row>
    <row r="4067" spans="1:2" x14ac:dyDescent="0.45">
      <c r="A4067" t="s">
        <v>9226</v>
      </c>
      <c r="B4067" t="s">
        <v>9227</v>
      </c>
    </row>
    <row r="4068" spans="1:2" x14ac:dyDescent="0.45">
      <c r="A4068" t="s">
        <v>9228</v>
      </c>
      <c r="B4068" t="s">
        <v>9229</v>
      </c>
    </row>
    <row r="4069" spans="1:2" x14ac:dyDescent="0.45">
      <c r="A4069" t="s">
        <v>9232</v>
      </c>
      <c r="B4069" t="s">
        <v>9233</v>
      </c>
    </row>
    <row r="4070" spans="1:2" x14ac:dyDescent="0.45">
      <c r="A4070" t="s">
        <v>9235</v>
      </c>
      <c r="B4070" t="s">
        <v>9236</v>
      </c>
    </row>
    <row r="4071" spans="1:2" x14ac:dyDescent="0.45">
      <c r="A4071" t="s">
        <v>9237</v>
      </c>
      <c r="B4071" t="s">
        <v>9238</v>
      </c>
    </row>
    <row r="4072" spans="1:2" x14ac:dyDescent="0.45">
      <c r="A4072" t="s">
        <v>9240</v>
      </c>
      <c r="B4072" t="s">
        <v>9241</v>
      </c>
    </row>
    <row r="4073" spans="1:2" x14ac:dyDescent="0.45">
      <c r="A4073" t="s">
        <v>9244</v>
      </c>
      <c r="B4073" t="s">
        <v>9245</v>
      </c>
    </row>
    <row r="4074" spans="1:2" x14ac:dyDescent="0.45">
      <c r="A4074" t="s">
        <v>9250</v>
      </c>
      <c r="B4074" t="s">
        <v>9251</v>
      </c>
    </row>
    <row r="4075" spans="1:2" x14ac:dyDescent="0.45">
      <c r="A4075" t="s">
        <v>9252</v>
      </c>
      <c r="B4075" t="s">
        <v>9253</v>
      </c>
    </row>
    <row r="4076" spans="1:2" x14ac:dyDescent="0.45">
      <c r="A4076" t="s">
        <v>9255</v>
      </c>
      <c r="B4076" t="s">
        <v>9256</v>
      </c>
    </row>
    <row r="4077" spans="1:2" x14ac:dyDescent="0.45">
      <c r="A4077" t="s">
        <v>9257</v>
      </c>
      <c r="B4077" t="s">
        <v>9258</v>
      </c>
    </row>
    <row r="4078" spans="1:2" x14ac:dyDescent="0.45">
      <c r="A4078" t="s">
        <v>9259</v>
      </c>
      <c r="B4078" t="s">
        <v>9260</v>
      </c>
    </row>
    <row r="4079" spans="1:2" x14ac:dyDescent="0.45">
      <c r="A4079" t="s">
        <v>9262</v>
      </c>
      <c r="B4079" t="s">
        <v>9263</v>
      </c>
    </row>
    <row r="4080" spans="1:2" x14ac:dyDescent="0.45">
      <c r="A4080" t="s">
        <v>9265</v>
      </c>
      <c r="B4080" t="s">
        <v>9266</v>
      </c>
    </row>
    <row r="4081" spans="1:2" x14ac:dyDescent="0.45">
      <c r="A4081" t="s">
        <v>9268</v>
      </c>
      <c r="B4081" t="s">
        <v>9269</v>
      </c>
    </row>
    <row r="4082" spans="1:2" x14ac:dyDescent="0.45">
      <c r="A4082" t="s">
        <v>9270</v>
      </c>
      <c r="B4082" t="s">
        <v>9271</v>
      </c>
    </row>
    <row r="4083" spans="1:2" x14ac:dyDescent="0.45">
      <c r="A4083" t="s">
        <v>9272</v>
      </c>
      <c r="B4083" t="s">
        <v>9273</v>
      </c>
    </row>
    <row r="4084" spans="1:2" x14ac:dyDescent="0.45">
      <c r="A4084" t="s">
        <v>9274</v>
      </c>
      <c r="B4084" t="s">
        <v>9275</v>
      </c>
    </row>
    <row r="4085" spans="1:2" x14ac:dyDescent="0.45">
      <c r="A4085" t="s">
        <v>9276</v>
      </c>
      <c r="B4085" t="s">
        <v>9277</v>
      </c>
    </row>
    <row r="4086" spans="1:2" x14ac:dyDescent="0.45">
      <c r="A4086" t="s">
        <v>9282</v>
      </c>
      <c r="B4086" t="s">
        <v>9283</v>
      </c>
    </row>
    <row r="4087" spans="1:2" x14ac:dyDescent="0.45">
      <c r="A4087" t="s">
        <v>9284</v>
      </c>
      <c r="B4087" t="s">
        <v>9285</v>
      </c>
    </row>
    <row r="4088" spans="1:2" x14ac:dyDescent="0.45">
      <c r="A4088" t="s">
        <v>9286</v>
      </c>
      <c r="B4088" t="s">
        <v>9287</v>
      </c>
    </row>
    <row r="4089" spans="1:2" x14ac:dyDescent="0.45">
      <c r="A4089" t="s">
        <v>9289</v>
      </c>
      <c r="B4089" t="s">
        <v>9290</v>
      </c>
    </row>
    <row r="4090" spans="1:2" x14ac:dyDescent="0.45">
      <c r="A4090" t="s">
        <v>9291</v>
      </c>
      <c r="B4090" t="s">
        <v>9292</v>
      </c>
    </row>
    <row r="4091" spans="1:2" x14ac:dyDescent="0.45">
      <c r="A4091" t="s">
        <v>9293</v>
      </c>
      <c r="B4091" t="s">
        <v>9294</v>
      </c>
    </row>
    <row r="4092" spans="1:2" x14ac:dyDescent="0.45">
      <c r="A4092" t="s">
        <v>9309</v>
      </c>
      <c r="B4092" t="s">
        <v>9310</v>
      </c>
    </row>
    <row r="4093" spans="1:2" x14ac:dyDescent="0.45">
      <c r="A4093" t="s">
        <v>9314</v>
      </c>
      <c r="B4093" t="s">
        <v>9315</v>
      </c>
    </row>
    <row r="4094" spans="1:2" x14ac:dyDescent="0.45">
      <c r="A4094" t="s">
        <v>9318</v>
      </c>
      <c r="B4094" t="s">
        <v>9319</v>
      </c>
    </row>
    <row r="4095" spans="1:2" x14ac:dyDescent="0.45">
      <c r="A4095" t="s">
        <v>9321</v>
      </c>
      <c r="B4095" t="s">
        <v>9322</v>
      </c>
    </row>
    <row r="4096" spans="1:2" x14ac:dyDescent="0.45">
      <c r="A4096" t="s">
        <v>9327</v>
      </c>
      <c r="B4096" t="s">
        <v>9328</v>
      </c>
    </row>
    <row r="4097" spans="1:2" x14ac:dyDescent="0.45">
      <c r="A4097" t="s">
        <v>9329</v>
      </c>
      <c r="B4097" t="s">
        <v>9330</v>
      </c>
    </row>
    <row r="4098" spans="1:2" x14ac:dyDescent="0.45">
      <c r="A4098" t="s">
        <v>9338</v>
      </c>
      <c r="B4098" t="s">
        <v>9339</v>
      </c>
    </row>
    <row r="4099" spans="1:2" x14ac:dyDescent="0.45">
      <c r="A4099" t="s">
        <v>9341</v>
      </c>
      <c r="B4099" t="s">
        <v>9342</v>
      </c>
    </row>
    <row r="4100" spans="1:2" x14ac:dyDescent="0.45">
      <c r="A4100" t="s">
        <v>9345</v>
      </c>
      <c r="B4100" t="s">
        <v>9346</v>
      </c>
    </row>
    <row r="4101" spans="1:2" x14ac:dyDescent="0.45">
      <c r="A4101" t="s">
        <v>9349</v>
      </c>
      <c r="B4101" t="s">
        <v>9350</v>
      </c>
    </row>
    <row r="4102" spans="1:2" x14ac:dyDescent="0.45">
      <c r="A4102" t="s">
        <v>9360</v>
      </c>
      <c r="B4102" t="s">
        <v>9361</v>
      </c>
    </row>
    <row r="4103" spans="1:2" x14ac:dyDescent="0.45">
      <c r="A4103" t="s">
        <v>9362</v>
      </c>
      <c r="B4103" t="s">
        <v>9363</v>
      </c>
    </row>
    <row r="4104" spans="1:2" x14ac:dyDescent="0.45">
      <c r="A4104" t="s">
        <v>9364</v>
      </c>
      <c r="B4104" t="s">
        <v>9365</v>
      </c>
    </row>
    <row r="4105" spans="1:2" x14ac:dyDescent="0.45">
      <c r="A4105" t="s">
        <v>9366</v>
      </c>
      <c r="B4105" t="s">
        <v>9367</v>
      </c>
    </row>
    <row r="4106" spans="1:2" x14ac:dyDescent="0.45">
      <c r="A4106" t="s">
        <v>9405</v>
      </c>
      <c r="B4106" t="s">
        <v>9406</v>
      </c>
    </row>
    <row r="4107" spans="1:2" x14ac:dyDescent="0.45">
      <c r="A4107" t="s">
        <v>9418</v>
      </c>
      <c r="B4107" t="s">
        <v>9419</v>
      </c>
    </row>
    <row r="4108" spans="1:2" x14ac:dyDescent="0.45">
      <c r="A4108" t="s">
        <v>9424</v>
      </c>
      <c r="B4108" t="s">
        <v>9425</v>
      </c>
    </row>
    <row r="4109" spans="1:2" x14ac:dyDescent="0.45">
      <c r="A4109" t="s">
        <v>9427</v>
      </c>
      <c r="B4109" t="s">
        <v>9428</v>
      </c>
    </row>
    <row r="4110" spans="1:2" x14ac:dyDescent="0.45">
      <c r="A4110" t="s">
        <v>9430</v>
      </c>
      <c r="B4110" t="s">
        <v>9431</v>
      </c>
    </row>
    <row r="4111" spans="1:2" x14ac:dyDescent="0.45">
      <c r="A4111" t="s">
        <v>9432</v>
      </c>
      <c r="B4111" t="s">
        <v>9433</v>
      </c>
    </row>
    <row r="4112" spans="1:2" x14ac:dyDescent="0.45">
      <c r="A4112" t="s">
        <v>9446</v>
      </c>
      <c r="B4112" t="s">
        <v>9447</v>
      </c>
    </row>
    <row r="4113" spans="1:2" x14ac:dyDescent="0.45">
      <c r="A4113" t="s">
        <v>9449</v>
      </c>
      <c r="B4113" t="s">
        <v>9450</v>
      </c>
    </row>
    <row r="4114" spans="1:2" x14ac:dyDescent="0.45">
      <c r="A4114" t="s">
        <v>9455</v>
      </c>
      <c r="B4114" t="s">
        <v>9456</v>
      </c>
    </row>
    <row r="4115" spans="1:2" x14ac:dyDescent="0.45">
      <c r="A4115" t="s">
        <v>9459</v>
      </c>
      <c r="B4115" t="s">
        <v>9460</v>
      </c>
    </row>
    <row r="4116" spans="1:2" x14ac:dyDescent="0.45">
      <c r="A4116" t="s">
        <v>9464</v>
      </c>
      <c r="B4116" t="s">
        <v>9465</v>
      </c>
    </row>
    <row r="4117" spans="1:2" x14ac:dyDescent="0.45">
      <c r="A4117" t="s">
        <v>9469</v>
      </c>
      <c r="B4117" t="s">
        <v>9470</v>
      </c>
    </row>
    <row r="4118" spans="1:2" x14ac:dyDescent="0.45">
      <c r="A4118" t="s">
        <v>9471</v>
      </c>
      <c r="B4118" t="s">
        <v>9472</v>
      </c>
    </row>
    <row r="4119" spans="1:2" x14ac:dyDescent="0.45">
      <c r="A4119" t="s">
        <v>9475</v>
      </c>
      <c r="B4119" t="s">
        <v>9476</v>
      </c>
    </row>
    <row r="4120" spans="1:2" x14ac:dyDescent="0.45">
      <c r="A4120" t="s">
        <v>9480</v>
      </c>
      <c r="B4120" t="s">
        <v>9481</v>
      </c>
    </row>
    <row r="4121" spans="1:2" x14ac:dyDescent="0.45">
      <c r="A4121" t="s">
        <v>9482</v>
      </c>
      <c r="B4121" t="s">
        <v>9483</v>
      </c>
    </row>
    <row r="4122" spans="1:2" x14ac:dyDescent="0.45">
      <c r="A4122" t="s">
        <v>9484</v>
      </c>
      <c r="B4122" t="s">
        <v>9485</v>
      </c>
    </row>
    <row r="4123" spans="1:2" x14ac:dyDescent="0.45">
      <c r="A4123" t="s">
        <v>9486</v>
      </c>
      <c r="B4123" t="s">
        <v>9487</v>
      </c>
    </row>
    <row r="4124" spans="1:2" x14ac:dyDescent="0.45">
      <c r="A4124" t="s">
        <v>9488</v>
      </c>
      <c r="B4124" t="s">
        <v>9489</v>
      </c>
    </row>
    <row r="4125" spans="1:2" x14ac:dyDescent="0.45">
      <c r="A4125" t="s">
        <v>9490</v>
      </c>
      <c r="B4125" t="s">
        <v>9491</v>
      </c>
    </row>
    <row r="4126" spans="1:2" x14ac:dyDescent="0.45">
      <c r="A4126" t="s">
        <v>9492</v>
      </c>
      <c r="B4126" t="s">
        <v>9493</v>
      </c>
    </row>
    <row r="4127" spans="1:2" x14ac:dyDescent="0.45">
      <c r="A4127" t="s">
        <v>9494</v>
      </c>
      <c r="B4127" t="s">
        <v>9495</v>
      </c>
    </row>
    <row r="4128" spans="1:2" x14ac:dyDescent="0.45">
      <c r="A4128" t="s">
        <v>9496</v>
      </c>
      <c r="B4128" t="s">
        <v>9497</v>
      </c>
    </row>
    <row r="4129" spans="1:2" x14ac:dyDescent="0.45">
      <c r="A4129" t="s">
        <v>9500</v>
      </c>
      <c r="B4129" t="s">
        <v>9501</v>
      </c>
    </row>
    <row r="4130" spans="1:2" x14ac:dyDescent="0.45">
      <c r="A4130" t="s">
        <v>9502</v>
      </c>
      <c r="B4130" t="s">
        <v>9503</v>
      </c>
    </row>
    <row r="4131" spans="1:2" x14ac:dyDescent="0.45">
      <c r="A4131" t="s">
        <v>9505</v>
      </c>
      <c r="B4131" t="s">
        <v>9506</v>
      </c>
    </row>
    <row r="4132" spans="1:2" x14ac:dyDescent="0.45">
      <c r="A4132" t="s">
        <v>9508</v>
      </c>
      <c r="B4132" t="s">
        <v>9509</v>
      </c>
    </row>
    <row r="4133" spans="1:2" x14ac:dyDescent="0.45">
      <c r="A4133" t="s">
        <v>9510</v>
      </c>
      <c r="B4133" t="s">
        <v>9511</v>
      </c>
    </row>
    <row r="4134" spans="1:2" x14ac:dyDescent="0.45">
      <c r="A4134" t="s">
        <v>9512</v>
      </c>
      <c r="B4134" t="s">
        <v>9513</v>
      </c>
    </row>
    <row r="4135" spans="1:2" x14ac:dyDescent="0.45">
      <c r="A4135" t="s">
        <v>9514</v>
      </c>
      <c r="B4135" t="s">
        <v>9515</v>
      </c>
    </row>
    <row r="4136" spans="1:2" x14ac:dyDescent="0.45">
      <c r="A4136" t="s">
        <v>9517</v>
      </c>
      <c r="B4136" t="s">
        <v>9518</v>
      </c>
    </row>
    <row r="4137" spans="1:2" x14ac:dyDescent="0.45">
      <c r="A4137" t="s">
        <v>9524</v>
      </c>
      <c r="B4137" t="s">
        <v>9525</v>
      </c>
    </row>
    <row r="4138" spans="1:2" x14ac:dyDescent="0.45">
      <c r="A4138" t="s">
        <v>9526</v>
      </c>
      <c r="B4138" t="s">
        <v>9527</v>
      </c>
    </row>
    <row r="4139" spans="1:2" x14ac:dyDescent="0.45">
      <c r="A4139" t="s">
        <v>9536</v>
      </c>
      <c r="B4139" t="s">
        <v>9537</v>
      </c>
    </row>
    <row r="4140" spans="1:2" x14ac:dyDescent="0.45">
      <c r="A4140" t="s">
        <v>9543</v>
      </c>
      <c r="B4140" t="s">
        <v>9544</v>
      </c>
    </row>
    <row r="4141" spans="1:2" x14ac:dyDescent="0.45">
      <c r="A4141" t="s">
        <v>9545</v>
      </c>
      <c r="B4141" t="s">
        <v>9546</v>
      </c>
    </row>
    <row r="4142" spans="1:2" x14ac:dyDescent="0.45">
      <c r="A4142" t="s">
        <v>9583</v>
      </c>
      <c r="B4142" t="s">
        <v>9584</v>
      </c>
    </row>
    <row r="4143" spans="1:2" x14ac:dyDescent="0.45">
      <c r="A4143" t="s">
        <v>9592</v>
      </c>
      <c r="B4143" t="s">
        <v>9593</v>
      </c>
    </row>
    <row r="4144" spans="1:2" x14ac:dyDescent="0.45">
      <c r="A4144" t="s">
        <v>9601</v>
      </c>
      <c r="B4144" t="s">
        <v>9602</v>
      </c>
    </row>
    <row r="4145" spans="1:2" x14ac:dyDescent="0.45">
      <c r="A4145" t="s">
        <v>9607</v>
      </c>
      <c r="B4145" t="s">
        <v>9608</v>
      </c>
    </row>
    <row r="4146" spans="1:2" x14ac:dyDescent="0.45">
      <c r="A4146" t="s">
        <v>9611</v>
      </c>
      <c r="B4146" t="s">
        <v>9612</v>
      </c>
    </row>
    <row r="4147" spans="1:2" x14ac:dyDescent="0.45">
      <c r="A4147" t="s">
        <v>9618</v>
      </c>
      <c r="B4147" t="s">
        <v>9619</v>
      </c>
    </row>
    <row r="4148" spans="1:2" x14ac:dyDescent="0.45">
      <c r="A4148" t="s">
        <v>9622</v>
      </c>
      <c r="B4148" t="s">
        <v>9623</v>
      </c>
    </row>
    <row r="4149" spans="1:2" x14ac:dyDescent="0.45">
      <c r="A4149" t="s">
        <v>9630</v>
      </c>
      <c r="B4149" t="s">
        <v>9631</v>
      </c>
    </row>
    <row r="4150" spans="1:2" x14ac:dyDescent="0.45">
      <c r="A4150" t="s">
        <v>9637</v>
      </c>
      <c r="B4150" t="s">
        <v>9638</v>
      </c>
    </row>
    <row r="4151" spans="1:2" x14ac:dyDescent="0.45">
      <c r="A4151" t="s">
        <v>9640</v>
      </c>
      <c r="B4151" t="s">
        <v>9641</v>
      </c>
    </row>
    <row r="4152" spans="1:2" x14ac:dyDescent="0.45">
      <c r="A4152" t="s">
        <v>9644</v>
      </c>
      <c r="B4152" t="s">
        <v>9645</v>
      </c>
    </row>
    <row r="4153" spans="1:2" x14ac:dyDescent="0.45">
      <c r="A4153" t="s">
        <v>9646</v>
      </c>
      <c r="B4153" t="s">
        <v>9647</v>
      </c>
    </row>
    <row r="4154" spans="1:2" x14ac:dyDescent="0.45">
      <c r="A4154" t="s">
        <v>9649</v>
      </c>
      <c r="B4154" t="s">
        <v>9650</v>
      </c>
    </row>
    <row r="4155" spans="1:2" x14ac:dyDescent="0.45">
      <c r="A4155" t="s">
        <v>9652</v>
      </c>
      <c r="B4155" t="s">
        <v>9653</v>
      </c>
    </row>
    <row r="4156" spans="1:2" x14ac:dyDescent="0.45">
      <c r="A4156" t="s">
        <v>9656</v>
      </c>
      <c r="B4156" t="s">
        <v>9657</v>
      </c>
    </row>
    <row r="4157" spans="1:2" x14ac:dyDescent="0.45">
      <c r="A4157" t="s">
        <v>9659</v>
      </c>
      <c r="B4157" t="s">
        <v>9660</v>
      </c>
    </row>
    <row r="4158" spans="1:2" x14ac:dyDescent="0.45">
      <c r="A4158" t="s">
        <v>9663</v>
      </c>
      <c r="B4158" t="s">
        <v>9664</v>
      </c>
    </row>
    <row r="4159" spans="1:2" x14ac:dyDescent="0.45">
      <c r="A4159" t="s">
        <v>9669</v>
      </c>
      <c r="B4159" t="s">
        <v>9670</v>
      </c>
    </row>
    <row r="4160" spans="1:2" x14ac:dyDescent="0.45">
      <c r="A4160" t="s">
        <v>9681</v>
      </c>
      <c r="B4160" t="s">
        <v>9682</v>
      </c>
    </row>
    <row r="4161" spans="1:2" x14ac:dyDescent="0.45">
      <c r="A4161" t="s">
        <v>9683</v>
      </c>
      <c r="B4161" t="s">
        <v>9684</v>
      </c>
    </row>
    <row r="4162" spans="1:2" x14ac:dyDescent="0.45">
      <c r="A4162" t="s">
        <v>9685</v>
      </c>
      <c r="B4162" t="s">
        <v>9686</v>
      </c>
    </row>
    <row r="4163" spans="1:2" x14ac:dyDescent="0.45">
      <c r="A4163" t="s">
        <v>9688</v>
      </c>
      <c r="B4163" t="s">
        <v>9689</v>
      </c>
    </row>
    <row r="4164" spans="1:2" x14ac:dyDescent="0.45">
      <c r="A4164" t="s">
        <v>9692</v>
      </c>
      <c r="B4164" t="s">
        <v>9693</v>
      </c>
    </row>
    <row r="4165" spans="1:2" x14ac:dyDescent="0.45">
      <c r="A4165" t="s">
        <v>9695</v>
      </c>
      <c r="B4165" t="s">
        <v>9696</v>
      </c>
    </row>
    <row r="4166" spans="1:2" x14ac:dyDescent="0.45">
      <c r="A4166" t="s">
        <v>9697</v>
      </c>
      <c r="B4166" t="s">
        <v>9698</v>
      </c>
    </row>
    <row r="4167" spans="1:2" x14ac:dyDescent="0.45">
      <c r="A4167" t="s">
        <v>9699</v>
      </c>
      <c r="B4167" t="s">
        <v>9700</v>
      </c>
    </row>
    <row r="4168" spans="1:2" x14ac:dyDescent="0.45">
      <c r="A4168" t="s">
        <v>9701</v>
      </c>
      <c r="B4168" t="s">
        <v>9702</v>
      </c>
    </row>
    <row r="4169" spans="1:2" x14ac:dyDescent="0.45">
      <c r="A4169" t="s">
        <v>9712</v>
      </c>
      <c r="B4169" t="s">
        <v>9713</v>
      </c>
    </row>
    <row r="4170" spans="1:2" x14ac:dyDescent="0.45">
      <c r="A4170" t="s">
        <v>9716</v>
      </c>
      <c r="B4170" t="s">
        <v>9717</v>
      </c>
    </row>
    <row r="4171" spans="1:2" x14ac:dyDescent="0.45">
      <c r="A4171" t="s">
        <v>9722</v>
      </c>
      <c r="B4171" t="s">
        <v>9723</v>
      </c>
    </row>
    <row r="4172" spans="1:2" x14ac:dyDescent="0.45">
      <c r="A4172" t="s">
        <v>9724</v>
      </c>
      <c r="B4172" t="s">
        <v>9725</v>
      </c>
    </row>
    <row r="4173" spans="1:2" x14ac:dyDescent="0.45">
      <c r="A4173" t="s">
        <v>9726</v>
      </c>
      <c r="B4173" t="s">
        <v>9727</v>
      </c>
    </row>
    <row r="4174" spans="1:2" x14ac:dyDescent="0.45">
      <c r="A4174" t="s">
        <v>9728</v>
      </c>
      <c r="B4174" t="s">
        <v>9729</v>
      </c>
    </row>
    <row r="4175" spans="1:2" x14ac:dyDescent="0.45">
      <c r="A4175" t="s">
        <v>9738</v>
      </c>
      <c r="B4175" t="s">
        <v>9739</v>
      </c>
    </row>
    <row r="4176" spans="1:2" x14ac:dyDescent="0.45">
      <c r="A4176" t="s">
        <v>9740</v>
      </c>
      <c r="B4176" t="s">
        <v>9741</v>
      </c>
    </row>
    <row r="4177" spans="1:2" x14ac:dyDescent="0.45">
      <c r="A4177" t="s">
        <v>9742</v>
      </c>
      <c r="B4177" t="s">
        <v>9743</v>
      </c>
    </row>
    <row r="4178" spans="1:2" x14ac:dyDescent="0.45">
      <c r="A4178" t="s">
        <v>9744</v>
      </c>
      <c r="B4178" t="s">
        <v>9745</v>
      </c>
    </row>
    <row r="4179" spans="1:2" x14ac:dyDescent="0.45">
      <c r="A4179" t="s">
        <v>9748</v>
      </c>
      <c r="B4179" t="s">
        <v>9749</v>
      </c>
    </row>
    <row r="4180" spans="1:2" x14ac:dyDescent="0.45">
      <c r="A4180" t="s">
        <v>9756</v>
      </c>
      <c r="B4180" t="s">
        <v>9757</v>
      </c>
    </row>
    <row r="4181" spans="1:2" x14ac:dyDescent="0.45">
      <c r="A4181" t="s">
        <v>9759</v>
      </c>
      <c r="B4181" t="s">
        <v>9760</v>
      </c>
    </row>
    <row r="4182" spans="1:2" x14ac:dyDescent="0.45">
      <c r="A4182" t="s">
        <v>9762</v>
      </c>
      <c r="B4182" t="s">
        <v>9763</v>
      </c>
    </row>
    <row r="4183" spans="1:2" x14ac:dyDescent="0.45">
      <c r="A4183" t="s">
        <v>9766</v>
      </c>
      <c r="B4183" t="s">
        <v>9767</v>
      </c>
    </row>
    <row r="4184" spans="1:2" x14ac:dyDescent="0.45">
      <c r="A4184" t="s">
        <v>9770</v>
      </c>
      <c r="B4184" t="s">
        <v>9771</v>
      </c>
    </row>
    <row r="4185" spans="1:2" x14ac:dyDescent="0.45">
      <c r="A4185" t="s">
        <v>9780</v>
      </c>
      <c r="B4185" t="s">
        <v>9781</v>
      </c>
    </row>
    <row r="4186" spans="1:2" x14ac:dyDescent="0.45">
      <c r="A4186" t="s">
        <v>9783</v>
      </c>
      <c r="B4186" t="s">
        <v>9784</v>
      </c>
    </row>
    <row r="4187" spans="1:2" x14ac:dyDescent="0.45">
      <c r="A4187" t="s">
        <v>9789</v>
      </c>
      <c r="B4187" t="s">
        <v>9790</v>
      </c>
    </row>
    <row r="4188" spans="1:2" x14ac:dyDescent="0.45">
      <c r="A4188" t="s">
        <v>9792</v>
      </c>
      <c r="B4188" t="s">
        <v>9793</v>
      </c>
    </row>
    <row r="4189" spans="1:2" x14ac:dyDescent="0.45">
      <c r="A4189" t="s">
        <v>9802</v>
      </c>
      <c r="B4189" t="s">
        <v>9803</v>
      </c>
    </row>
    <row r="4190" spans="1:2" x14ac:dyDescent="0.45">
      <c r="A4190" t="s">
        <v>9812</v>
      </c>
      <c r="B4190" t="s">
        <v>9813</v>
      </c>
    </row>
    <row r="4191" spans="1:2" x14ac:dyDescent="0.45">
      <c r="A4191" t="s">
        <v>9817</v>
      </c>
      <c r="B4191" t="s">
        <v>9818</v>
      </c>
    </row>
    <row r="4192" spans="1:2" x14ac:dyDescent="0.45">
      <c r="A4192" t="s">
        <v>9825</v>
      </c>
      <c r="B4192" t="s">
        <v>9826</v>
      </c>
    </row>
    <row r="4193" spans="1:2" x14ac:dyDescent="0.45">
      <c r="A4193" t="s">
        <v>9834</v>
      </c>
      <c r="B4193" t="s">
        <v>9835</v>
      </c>
    </row>
    <row r="4194" spans="1:2" x14ac:dyDescent="0.45">
      <c r="A4194" t="s">
        <v>9837</v>
      </c>
      <c r="B4194" t="s">
        <v>9838</v>
      </c>
    </row>
    <row r="4195" spans="1:2" x14ac:dyDescent="0.45">
      <c r="A4195" t="s">
        <v>9842</v>
      </c>
      <c r="B4195" t="s">
        <v>9843</v>
      </c>
    </row>
    <row r="4196" spans="1:2" x14ac:dyDescent="0.45">
      <c r="A4196" t="s">
        <v>9849</v>
      </c>
      <c r="B4196" t="s">
        <v>9850</v>
      </c>
    </row>
    <row r="4197" spans="1:2" x14ac:dyDescent="0.45">
      <c r="A4197" t="s">
        <v>9856</v>
      </c>
      <c r="B4197" t="s">
        <v>9857</v>
      </c>
    </row>
    <row r="4198" spans="1:2" x14ac:dyDescent="0.45">
      <c r="A4198" t="s">
        <v>9860</v>
      </c>
      <c r="B4198" t="s">
        <v>9861</v>
      </c>
    </row>
    <row r="4199" spans="1:2" x14ac:dyDescent="0.45">
      <c r="A4199" t="s">
        <v>9862</v>
      </c>
      <c r="B4199" t="s">
        <v>9863</v>
      </c>
    </row>
    <row r="4200" spans="1:2" x14ac:dyDescent="0.45">
      <c r="A4200" t="s">
        <v>9869</v>
      </c>
      <c r="B4200" t="s">
        <v>9870</v>
      </c>
    </row>
    <row r="4201" spans="1:2" x14ac:dyDescent="0.45">
      <c r="A4201" t="s">
        <v>9872</v>
      </c>
      <c r="B4201" t="s">
        <v>9873</v>
      </c>
    </row>
    <row r="4202" spans="1:2" x14ac:dyDescent="0.45">
      <c r="A4202" t="s">
        <v>9880</v>
      </c>
      <c r="B4202" t="s">
        <v>9881</v>
      </c>
    </row>
    <row r="4203" spans="1:2" x14ac:dyDescent="0.45">
      <c r="A4203" t="s">
        <v>9883</v>
      </c>
      <c r="B4203" t="s">
        <v>9884</v>
      </c>
    </row>
    <row r="4204" spans="1:2" x14ac:dyDescent="0.45">
      <c r="A4204" t="s">
        <v>9886</v>
      </c>
      <c r="B4204" t="s">
        <v>9887</v>
      </c>
    </row>
    <row r="4205" spans="1:2" x14ac:dyDescent="0.45">
      <c r="A4205" t="s">
        <v>9888</v>
      </c>
      <c r="B4205" t="s">
        <v>9889</v>
      </c>
    </row>
    <row r="4206" spans="1:2" x14ac:dyDescent="0.45">
      <c r="A4206" t="s">
        <v>9890</v>
      </c>
      <c r="B4206" t="s">
        <v>9891</v>
      </c>
    </row>
    <row r="4207" spans="1:2" x14ac:dyDescent="0.45">
      <c r="A4207" t="s">
        <v>9892</v>
      </c>
      <c r="B4207" t="s">
        <v>9893</v>
      </c>
    </row>
    <row r="4208" spans="1:2" x14ac:dyDescent="0.45">
      <c r="A4208" t="s">
        <v>9894</v>
      </c>
      <c r="B4208" t="s">
        <v>9895</v>
      </c>
    </row>
    <row r="4209" spans="1:2" x14ac:dyDescent="0.45">
      <c r="A4209" t="s">
        <v>9897</v>
      </c>
      <c r="B4209" t="s">
        <v>9898</v>
      </c>
    </row>
    <row r="4210" spans="1:2" x14ac:dyDescent="0.45">
      <c r="A4210" t="s">
        <v>9899</v>
      </c>
      <c r="B4210" t="s">
        <v>9900</v>
      </c>
    </row>
    <row r="4211" spans="1:2" x14ac:dyDescent="0.45">
      <c r="A4211" t="s">
        <v>9901</v>
      </c>
      <c r="B4211" t="s">
        <v>9902</v>
      </c>
    </row>
    <row r="4212" spans="1:2" x14ac:dyDescent="0.45">
      <c r="A4212" t="s">
        <v>9903</v>
      </c>
      <c r="B4212" t="s">
        <v>9904</v>
      </c>
    </row>
    <row r="4213" spans="1:2" x14ac:dyDescent="0.45">
      <c r="A4213" t="s">
        <v>9909</v>
      </c>
      <c r="B4213" t="s">
        <v>9910</v>
      </c>
    </row>
    <row r="4214" spans="1:2" x14ac:dyDescent="0.45">
      <c r="A4214" t="s">
        <v>9911</v>
      </c>
      <c r="B4214" t="s">
        <v>9912</v>
      </c>
    </row>
    <row r="4215" spans="1:2" x14ac:dyDescent="0.45">
      <c r="A4215" t="s">
        <v>9917</v>
      </c>
      <c r="B4215" t="s">
        <v>9918</v>
      </c>
    </row>
    <row r="4216" spans="1:2" x14ac:dyDescent="0.45">
      <c r="A4216" t="s">
        <v>9919</v>
      </c>
      <c r="B4216" t="s">
        <v>9920</v>
      </c>
    </row>
    <row r="4217" spans="1:2" x14ac:dyDescent="0.45">
      <c r="A4217" t="s">
        <v>9938</v>
      </c>
      <c r="B4217" t="s">
        <v>9939</v>
      </c>
    </row>
    <row r="4218" spans="1:2" x14ac:dyDescent="0.45">
      <c r="A4218" t="s">
        <v>9940</v>
      </c>
      <c r="B4218" t="s">
        <v>9941</v>
      </c>
    </row>
    <row r="4219" spans="1:2" x14ac:dyDescent="0.45">
      <c r="A4219" t="s">
        <v>9942</v>
      </c>
      <c r="B4219" t="s">
        <v>9943</v>
      </c>
    </row>
    <row r="4220" spans="1:2" x14ac:dyDescent="0.45">
      <c r="A4220" t="s">
        <v>9945</v>
      </c>
      <c r="B4220" t="s">
        <v>9946</v>
      </c>
    </row>
    <row r="4221" spans="1:2" x14ac:dyDescent="0.45">
      <c r="A4221" t="s">
        <v>9948</v>
      </c>
      <c r="B4221" t="s">
        <v>9949</v>
      </c>
    </row>
    <row r="4222" spans="1:2" x14ac:dyDescent="0.45">
      <c r="A4222" t="s">
        <v>9955</v>
      </c>
      <c r="B4222" t="s">
        <v>9956</v>
      </c>
    </row>
    <row r="4223" spans="1:2" x14ac:dyDescent="0.45">
      <c r="A4223" t="s">
        <v>9960</v>
      </c>
      <c r="B4223" t="s">
        <v>9961</v>
      </c>
    </row>
    <row r="4224" spans="1:2" x14ac:dyDescent="0.45">
      <c r="A4224" t="s">
        <v>9967</v>
      </c>
      <c r="B4224" t="s">
        <v>9968</v>
      </c>
    </row>
    <row r="4225" spans="1:2" x14ac:dyDescent="0.45">
      <c r="A4225" t="s">
        <v>9969</v>
      </c>
      <c r="B4225" t="s">
        <v>9970</v>
      </c>
    </row>
    <row r="4226" spans="1:2" x14ac:dyDescent="0.45">
      <c r="A4226" t="s">
        <v>9971</v>
      </c>
      <c r="B4226" t="s">
        <v>9972</v>
      </c>
    </row>
    <row r="4227" spans="1:2" x14ac:dyDescent="0.45">
      <c r="A4227" t="s">
        <v>9974</v>
      </c>
      <c r="B4227" t="s">
        <v>9975</v>
      </c>
    </row>
    <row r="4228" spans="1:2" x14ac:dyDescent="0.45">
      <c r="A4228" t="s">
        <v>9976</v>
      </c>
      <c r="B4228" t="s">
        <v>9977</v>
      </c>
    </row>
    <row r="4229" spans="1:2" x14ac:dyDescent="0.45">
      <c r="A4229" t="s">
        <v>9978</v>
      </c>
      <c r="B4229" t="s">
        <v>9979</v>
      </c>
    </row>
    <row r="4230" spans="1:2" x14ac:dyDescent="0.45">
      <c r="A4230" t="s">
        <v>9980</v>
      </c>
      <c r="B4230" t="s">
        <v>9981</v>
      </c>
    </row>
    <row r="4231" spans="1:2" x14ac:dyDescent="0.45">
      <c r="A4231" t="s">
        <v>9982</v>
      </c>
      <c r="B4231" t="s">
        <v>9983</v>
      </c>
    </row>
    <row r="4232" spans="1:2" x14ac:dyDescent="0.45">
      <c r="A4232" t="s">
        <v>9985</v>
      </c>
      <c r="B4232" t="s">
        <v>9986</v>
      </c>
    </row>
    <row r="4233" spans="1:2" x14ac:dyDescent="0.45">
      <c r="A4233" t="s">
        <v>9988</v>
      </c>
      <c r="B4233" t="s">
        <v>9989</v>
      </c>
    </row>
    <row r="4234" spans="1:2" x14ac:dyDescent="0.45">
      <c r="A4234" t="s">
        <v>9991</v>
      </c>
      <c r="B4234" t="s">
        <v>9992</v>
      </c>
    </row>
    <row r="4235" spans="1:2" x14ac:dyDescent="0.45">
      <c r="A4235" t="s">
        <v>9994</v>
      </c>
      <c r="B4235" t="s">
        <v>9995</v>
      </c>
    </row>
    <row r="4236" spans="1:2" x14ac:dyDescent="0.45">
      <c r="A4236" t="s">
        <v>9996</v>
      </c>
      <c r="B4236" t="s">
        <v>9997</v>
      </c>
    </row>
    <row r="4237" spans="1:2" x14ac:dyDescent="0.45">
      <c r="A4237" t="s">
        <v>9998</v>
      </c>
      <c r="B4237" t="s">
        <v>9999</v>
      </c>
    </row>
    <row r="4238" spans="1:2" x14ac:dyDescent="0.45">
      <c r="A4238" t="s">
        <v>10000</v>
      </c>
      <c r="B4238" t="s">
        <v>10001</v>
      </c>
    </row>
    <row r="4239" spans="1:2" x14ac:dyDescent="0.45">
      <c r="A4239" t="s">
        <v>10002</v>
      </c>
      <c r="B4239" t="s">
        <v>10003</v>
      </c>
    </row>
    <row r="4240" spans="1:2" x14ac:dyDescent="0.45">
      <c r="A4240" t="s">
        <v>10005</v>
      </c>
      <c r="B4240" t="s">
        <v>10006</v>
      </c>
    </row>
    <row r="4241" spans="1:2" x14ac:dyDescent="0.45">
      <c r="A4241" t="s">
        <v>10008</v>
      </c>
      <c r="B4241" t="s">
        <v>10009</v>
      </c>
    </row>
    <row r="4242" spans="1:2" x14ac:dyDescent="0.45">
      <c r="A4242" t="s">
        <v>10012</v>
      </c>
      <c r="B4242" t="s">
        <v>10013</v>
      </c>
    </row>
    <row r="4243" spans="1:2" x14ac:dyDescent="0.45">
      <c r="A4243" t="s">
        <v>10015</v>
      </c>
      <c r="B4243" t="s">
        <v>10016</v>
      </c>
    </row>
    <row r="4244" spans="1:2" x14ac:dyDescent="0.45">
      <c r="A4244" t="s">
        <v>10017</v>
      </c>
      <c r="B4244" t="s">
        <v>10018</v>
      </c>
    </row>
    <row r="4245" spans="1:2" x14ac:dyDescent="0.45">
      <c r="A4245" t="s">
        <v>10020</v>
      </c>
      <c r="B4245" t="s">
        <v>10021</v>
      </c>
    </row>
    <row r="4246" spans="1:2" x14ac:dyDescent="0.45">
      <c r="A4246" t="s">
        <v>10022</v>
      </c>
      <c r="B4246" t="s">
        <v>10023</v>
      </c>
    </row>
    <row r="4247" spans="1:2" x14ac:dyDescent="0.45">
      <c r="A4247" t="s">
        <v>10025</v>
      </c>
      <c r="B4247" t="s">
        <v>10026</v>
      </c>
    </row>
    <row r="4248" spans="1:2" x14ac:dyDescent="0.45">
      <c r="A4248" t="s">
        <v>10027</v>
      </c>
      <c r="B4248" t="s">
        <v>10028</v>
      </c>
    </row>
    <row r="4249" spans="1:2" x14ac:dyDescent="0.45">
      <c r="A4249" t="s">
        <v>10030</v>
      </c>
      <c r="B4249" t="s">
        <v>10031</v>
      </c>
    </row>
    <row r="4250" spans="1:2" x14ac:dyDescent="0.45">
      <c r="A4250" t="s">
        <v>10032</v>
      </c>
      <c r="B4250" t="s">
        <v>10033</v>
      </c>
    </row>
    <row r="4251" spans="1:2" x14ac:dyDescent="0.45">
      <c r="A4251" t="s">
        <v>10035</v>
      </c>
      <c r="B4251" t="s">
        <v>10036</v>
      </c>
    </row>
    <row r="4252" spans="1:2" x14ac:dyDescent="0.45">
      <c r="A4252" t="s">
        <v>10040</v>
      </c>
      <c r="B4252" t="s">
        <v>10041</v>
      </c>
    </row>
    <row r="4253" spans="1:2" x14ac:dyDescent="0.45">
      <c r="A4253" t="s">
        <v>10044</v>
      </c>
      <c r="B4253" t="s">
        <v>10045</v>
      </c>
    </row>
    <row r="4254" spans="1:2" x14ac:dyDescent="0.45">
      <c r="A4254" t="s">
        <v>10046</v>
      </c>
      <c r="B4254" t="s">
        <v>10047</v>
      </c>
    </row>
    <row r="4255" spans="1:2" x14ac:dyDescent="0.45">
      <c r="A4255" t="s">
        <v>10048</v>
      </c>
      <c r="B4255" t="s">
        <v>10049</v>
      </c>
    </row>
    <row r="4256" spans="1:2" x14ac:dyDescent="0.45">
      <c r="A4256" t="s">
        <v>10050</v>
      </c>
      <c r="B4256" t="s">
        <v>10051</v>
      </c>
    </row>
    <row r="4257" spans="1:2" x14ac:dyDescent="0.45">
      <c r="A4257" t="s">
        <v>10052</v>
      </c>
      <c r="B4257" t="s">
        <v>10053</v>
      </c>
    </row>
    <row r="4258" spans="1:2" x14ac:dyDescent="0.45">
      <c r="A4258" t="s">
        <v>10054</v>
      </c>
      <c r="B4258" t="s">
        <v>10055</v>
      </c>
    </row>
    <row r="4259" spans="1:2" x14ac:dyDescent="0.45">
      <c r="A4259" t="s">
        <v>10057</v>
      </c>
      <c r="B4259" t="s">
        <v>10058</v>
      </c>
    </row>
    <row r="4260" spans="1:2" x14ac:dyDescent="0.45">
      <c r="A4260" t="s">
        <v>10059</v>
      </c>
      <c r="B4260" t="s">
        <v>10060</v>
      </c>
    </row>
    <row r="4261" spans="1:2" x14ac:dyDescent="0.45">
      <c r="A4261" t="s">
        <v>10062</v>
      </c>
      <c r="B4261" t="s">
        <v>10063</v>
      </c>
    </row>
    <row r="4262" spans="1:2" x14ac:dyDescent="0.45">
      <c r="A4262" t="s">
        <v>10064</v>
      </c>
      <c r="B4262" t="s">
        <v>10065</v>
      </c>
    </row>
    <row r="4263" spans="1:2" x14ac:dyDescent="0.45">
      <c r="A4263" t="s">
        <v>10067</v>
      </c>
      <c r="B4263" t="s">
        <v>10068</v>
      </c>
    </row>
    <row r="4264" spans="1:2" x14ac:dyDescent="0.45">
      <c r="A4264" t="s">
        <v>10069</v>
      </c>
      <c r="B4264" t="s">
        <v>10070</v>
      </c>
    </row>
    <row r="4265" spans="1:2" x14ac:dyDescent="0.45">
      <c r="A4265" t="s">
        <v>10072</v>
      </c>
      <c r="B4265" t="s">
        <v>10073</v>
      </c>
    </row>
    <row r="4266" spans="1:2" x14ac:dyDescent="0.45">
      <c r="A4266" t="s">
        <v>10075</v>
      </c>
      <c r="B4266" t="s">
        <v>10076</v>
      </c>
    </row>
    <row r="4267" spans="1:2" x14ac:dyDescent="0.45">
      <c r="A4267" t="s">
        <v>10077</v>
      </c>
      <c r="B4267" t="s">
        <v>10078</v>
      </c>
    </row>
    <row r="4268" spans="1:2" x14ac:dyDescent="0.45">
      <c r="A4268" t="s">
        <v>10082</v>
      </c>
      <c r="B4268" t="s">
        <v>10083</v>
      </c>
    </row>
    <row r="4269" spans="1:2" x14ac:dyDescent="0.45">
      <c r="A4269" t="s">
        <v>10084</v>
      </c>
      <c r="B4269" t="s">
        <v>10085</v>
      </c>
    </row>
    <row r="4270" spans="1:2" x14ac:dyDescent="0.45">
      <c r="A4270" t="s">
        <v>10087</v>
      </c>
      <c r="B4270" t="s">
        <v>10088</v>
      </c>
    </row>
    <row r="4271" spans="1:2" x14ac:dyDescent="0.45">
      <c r="A4271" t="s">
        <v>10089</v>
      </c>
      <c r="B4271" t="s">
        <v>10090</v>
      </c>
    </row>
    <row r="4272" spans="1:2" x14ac:dyDescent="0.45">
      <c r="A4272" t="s">
        <v>10092</v>
      </c>
      <c r="B4272" t="s">
        <v>10093</v>
      </c>
    </row>
    <row r="4273" spans="1:2" x14ac:dyDescent="0.45">
      <c r="A4273" t="s">
        <v>10095</v>
      </c>
      <c r="B4273" t="s">
        <v>10096</v>
      </c>
    </row>
    <row r="4274" spans="1:2" x14ac:dyDescent="0.45">
      <c r="A4274" t="s">
        <v>10099</v>
      </c>
      <c r="B4274" t="s">
        <v>10100</v>
      </c>
    </row>
    <row r="4275" spans="1:2" x14ac:dyDescent="0.45">
      <c r="A4275" t="s">
        <v>10101</v>
      </c>
      <c r="B4275" t="s">
        <v>10102</v>
      </c>
    </row>
    <row r="4276" spans="1:2" x14ac:dyDescent="0.45">
      <c r="A4276" t="s">
        <v>10105</v>
      </c>
      <c r="B4276" t="s">
        <v>10106</v>
      </c>
    </row>
    <row r="4277" spans="1:2" x14ac:dyDescent="0.45">
      <c r="A4277" t="s">
        <v>10107</v>
      </c>
      <c r="B4277" t="s">
        <v>10108</v>
      </c>
    </row>
    <row r="4278" spans="1:2" x14ac:dyDescent="0.45">
      <c r="A4278" t="s">
        <v>10110</v>
      </c>
      <c r="B4278" t="s">
        <v>10111</v>
      </c>
    </row>
    <row r="4279" spans="1:2" x14ac:dyDescent="0.45">
      <c r="A4279" t="s">
        <v>10112</v>
      </c>
      <c r="B4279" t="s">
        <v>10113</v>
      </c>
    </row>
    <row r="4280" spans="1:2" x14ac:dyDescent="0.45">
      <c r="A4280" t="s">
        <v>10114</v>
      </c>
      <c r="B4280" t="s">
        <v>10115</v>
      </c>
    </row>
    <row r="4281" spans="1:2" x14ac:dyDescent="0.45">
      <c r="A4281" t="s">
        <v>10117</v>
      </c>
      <c r="B4281" t="s">
        <v>10118</v>
      </c>
    </row>
    <row r="4282" spans="1:2" x14ac:dyDescent="0.45">
      <c r="A4282" t="s">
        <v>10119</v>
      </c>
      <c r="B4282" t="s">
        <v>10120</v>
      </c>
    </row>
    <row r="4283" spans="1:2" x14ac:dyDescent="0.45">
      <c r="A4283" t="s">
        <v>10129</v>
      </c>
      <c r="B4283" t="s">
        <v>10130</v>
      </c>
    </row>
    <row r="4284" spans="1:2" x14ac:dyDescent="0.45">
      <c r="A4284" t="s">
        <v>10134</v>
      </c>
      <c r="B4284" t="s">
        <v>10135</v>
      </c>
    </row>
    <row r="4285" spans="1:2" x14ac:dyDescent="0.45">
      <c r="A4285" t="s">
        <v>10136</v>
      </c>
      <c r="B4285" t="s">
        <v>10137</v>
      </c>
    </row>
    <row r="4286" spans="1:2" x14ac:dyDescent="0.45">
      <c r="A4286" t="s">
        <v>10138</v>
      </c>
      <c r="B4286" t="s">
        <v>10139</v>
      </c>
    </row>
    <row r="4287" spans="1:2" x14ac:dyDescent="0.45">
      <c r="A4287" t="s">
        <v>10140</v>
      </c>
      <c r="B4287" t="s">
        <v>10141</v>
      </c>
    </row>
    <row r="4288" spans="1:2" x14ac:dyDescent="0.45">
      <c r="A4288" t="s">
        <v>10148</v>
      </c>
      <c r="B4288" t="s">
        <v>10149</v>
      </c>
    </row>
    <row r="4289" spans="1:2" x14ac:dyDescent="0.45">
      <c r="A4289" t="s">
        <v>10156</v>
      </c>
      <c r="B4289" t="s">
        <v>10157</v>
      </c>
    </row>
    <row r="4290" spans="1:2" x14ac:dyDescent="0.45">
      <c r="A4290" t="s">
        <v>10158</v>
      </c>
      <c r="B4290" t="s">
        <v>10159</v>
      </c>
    </row>
    <row r="4291" spans="1:2" x14ac:dyDescent="0.45">
      <c r="A4291" t="s">
        <v>10167</v>
      </c>
      <c r="B4291" t="s">
        <v>10168</v>
      </c>
    </row>
    <row r="4292" spans="1:2" x14ac:dyDescent="0.45">
      <c r="A4292" t="s">
        <v>10174</v>
      </c>
      <c r="B4292" t="s">
        <v>10175</v>
      </c>
    </row>
    <row r="4293" spans="1:2" x14ac:dyDescent="0.45">
      <c r="A4293" t="s">
        <v>10176</v>
      </c>
      <c r="B4293" t="s">
        <v>10177</v>
      </c>
    </row>
    <row r="4294" spans="1:2" x14ac:dyDescent="0.45">
      <c r="A4294" t="s">
        <v>10179</v>
      </c>
      <c r="B4294" t="s">
        <v>10180</v>
      </c>
    </row>
    <row r="4295" spans="1:2" x14ac:dyDescent="0.45">
      <c r="A4295" t="s">
        <v>10181</v>
      </c>
      <c r="B4295" t="s">
        <v>10182</v>
      </c>
    </row>
    <row r="4296" spans="1:2" x14ac:dyDescent="0.45">
      <c r="A4296" t="s">
        <v>10185</v>
      </c>
      <c r="B4296" t="s">
        <v>10186</v>
      </c>
    </row>
    <row r="4297" spans="1:2" x14ac:dyDescent="0.45">
      <c r="A4297" t="s">
        <v>10187</v>
      </c>
      <c r="B4297" t="s">
        <v>10188</v>
      </c>
    </row>
    <row r="4298" spans="1:2" x14ac:dyDescent="0.45">
      <c r="A4298" t="s">
        <v>10191</v>
      </c>
      <c r="B4298" t="s">
        <v>10192</v>
      </c>
    </row>
    <row r="4299" spans="1:2" x14ac:dyDescent="0.45">
      <c r="A4299" t="s">
        <v>10193</v>
      </c>
      <c r="B4299" t="s">
        <v>10194</v>
      </c>
    </row>
    <row r="4300" spans="1:2" x14ac:dyDescent="0.45">
      <c r="A4300" t="s">
        <v>10196</v>
      </c>
      <c r="B4300" t="s">
        <v>10197</v>
      </c>
    </row>
    <row r="4301" spans="1:2" x14ac:dyDescent="0.45">
      <c r="A4301" t="s">
        <v>10199</v>
      </c>
      <c r="B4301" t="s">
        <v>10200</v>
      </c>
    </row>
    <row r="4302" spans="1:2" x14ac:dyDescent="0.45">
      <c r="A4302" t="s">
        <v>10203</v>
      </c>
      <c r="B4302" t="s">
        <v>10204</v>
      </c>
    </row>
    <row r="4303" spans="1:2" x14ac:dyDescent="0.45">
      <c r="A4303" t="s">
        <v>10207</v>
      </c>
      <c r="B4303" t="s">
        <v>10208</v>
      </c>
    </row>
    <row r="4304" spans="1:2" x14ac:dyDescent="0.45">
      <c r="A4304" t="s">
        <v>10210</v>
      </c>
      <c r="B4304" t="s">
        <v>10211</v>
      </c>
    </row>
    <row r="4305" spans="1:2" x14ac:dyDescent="0.45">
      <c r="A4305" t="s">
        <v>10212</v>
      </c>
      <c r="B4305" t="s">
        <v>10213</v>
      </c>
    </row>
    <row r="4306" spans="1:2" x14ac:dyDescent="0.45">
      <c r="A4306" t="s">
        <v>10215</v>
      </c>
      <c r="B4306" t="s">
        <v>10216</v>
      </c>
    </row>
    <row r="4307" spans="1:2" x14ac:dyDescent="0.45">
      <c r="A4307" t="s">
        <v>10218</v>
      </c>
      <c r="B4307" t="s">
        <v>10219</v>
      </c>
    </row>
    <row r="4308" spans="1:2" x14ac:dyDescent="0.45">
      <c r="A4308" t="s">
        <v>10222</v>
      </c>
      <c r="B4308" t="s">
        <v>10223</v>
      </c>
    </row>
    <row r="4309" spans="1:2" x14ac:dyDescent="0.45">
      <c r="A4309" t="s">
        <v>10230</v>
      </c>
      <c r="B4309" t="s">
        <v>10231</v>
      </c>
    </row>
    <row r="4310" spans="1:2" x14ac:dyDescent="0.45">
      <c r="A4310" t="s">
        <v>10234</v>
      </c>
      <c r="B4310" t="s">
        <v>10235</v>
      </c>
    </row>
    <row r="4311" spans="1:2" x14ac:dyDescent="0.45">
      <c r="A4311" t="s">
        <v>10238</v>
      </c>
      <c r="B4311" t="s">
        <v>10239</v>
      </c>
    </row>
    <row r="4312" spans="1:2" x14ac:dyDescent="0.45">
      <c r="A4312" t="s">
        <v>10240</v>
      </c>
      <c r="B4312" t="s">
        <v>10241</v>
      </c>
    </row>
    <row r="4313" spans="1:2" x14ac:dyDescent="0.45">
      <c r="A4313" t="s">
        <v>10244</v>
      </c>
      <c r="B4313" t="s">
        <v>10245</v>
      </c>
    </row>
    <row r="4314" spans="1:2" x14ac:dyDescent="0.45">
      <c r="A4314" t="s">
        <v>10252</v>
      </c>
      <c r="B4314" t="s">
        <v>10253</v>
      </c>
    </row>
  </sheetData>
  <autoFilter ref="A1:H4314" xr:uid="{7EC8A2E0-20DA-4F7F-BCB6-19151296CDC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5960C-3461-4426-8057-9F444EBBA1CE}">
  <dimension ref="A1:G881"/>
  <sheetViews>
    <sheetView zoomScaleNormal="100" workbookViewId="0">
      <pane ySplit="1" topLeftCell="A2" activePane="bottomLeft" state="frozen"/>
      <selection activeCell="C9" sqref="C9"/>
      <selection pane="bottomLeft"/>
    </sheetView>
  </sheetViews>
  <sheetFormatPr defaultRowHeight="14.25" x14ac:dyDescent="0.45"/>
  <cols>
    <col min="1" max="1" width="11.265625" customWidth="1"/>
    <col min="2" max="2" width="41.33203125" style="9" customWidth="1"/>
    <col min="3" max="3" width="35" style="19" customWidth="1"/>
    <col min="4" max="4" width="35" style="21" customWidth="1"/>
    <col min="19" max="19" width="10.9296875" customWidth="1"/>
  </cols>
  <sheetData>
    <row r="1" spans="1:4" x14ac:dyDescent="0.45">
      <c r="A1" s="6" t="s">
        <v>10284</v>
      </c>
      <c r="B1" s="11" t="s">
        <v>14957</v>
      </c>
      <c r="C1" s="18" t="s">
        <v>10285</v>
      </c>
      <c r="D1" s="20" t="s">
        <v>10286</v>
      </c>
    </row>
    <row r="2" spans="1:4" x14ac:dyDescent="0.45">
      <c r="A2" t="s">
        <v>13365</v>
      </c>
      <c r="B2" s="9" t="s">
        <v>13367</v>
      </c>
      <c r="C2" s="19" t="str">
        <f>CONCATENATE(A2," : 1000")</f>
        <v>C00001 : 1000</v>
      </c>
      <c r="D2" s="21" t="str">
        <f>CONCATENATE(A2," : ",B2)</f>
        <v>C00001 : Water</v>
      </c>
    </row>
    <row r="3" spans="1:4" x14ac:dyDescent="0.45">
      <c r="A3" t="s">
        <v>12015</v>
      </c>
      <c r="B3" s="9" t="s">
        <v>13368</v>
      </c>
      <c r="C3" s="19" t="str">
        <f t="shared" ref="C3:C7" si="0">CONCATENATE(A3," : 1000")</f>
        <v>C00002 : 1000</v>
      </c>
      <c r="D3" s="21" t="str">
        <f t="shared" ref="D3:D66" si="1">CONCATENATE(A3," : ",B3)</f>
        <v>C00002 : ATP</v>
      </c>
    </row>
    <row r="4" spans="1:4" x14ac:dyDescent="0.45">
      <c r="A4" t="s">
        <v>13366</v>
      </c>
      <c r="B4" s="9" t="s">
        <v>13369</v>
      </c>
      <c r="C4" s="19" t="str">
        <f t="shared" si="0"/>
        <v>C00003 : 1000</v>
      </c>
      <c r="D4" s="21" t="str">
        <f t="shared" si="1"/>
        <v>C00003 : NAD+</v>
      </c>
    </row>
    <row r="5" spans="1:4" x14ac:dyDescent="0.45">
      <c r="A5" t="s">
        <v>13407</v>
      </c>
      <c r="B5" s="9" t="s">
        <v>14115</v>
      </c>
      <c r="C5" s="19" t="str">
        <f t="shared" si="0"/>
        <v>C00004 : 1000</v>
      </c>
      <c r="D5" s="21" t="str">
        <f t="shared" si="1"/>
        <v>C00004 : NADH</v>
      </c>
    </row>
    <row r="6" spans="1:4" x14ac:dyDescent="0.45">
      <c r="A6" t="s">
        <v>13370</v>
      </c>
      <c r="B6" s="9" t="s">
        <v>13373</v>
      </c>
      <c r="C6" s="19" t="str">
        <f t="shared" si="0"/>
        <v>C00005 : 1000</v>
      </c>
      <c r="D6" s="21" t="str">
        <f t="shared" si="1"/>
        <v>C00005 : NADPH</v>
      </c>
    </row>
    <row r="7" spans="1:4" x14ac:dyDescent="0.45">
      <c r="A7" t="s">
        <v>13371</v>
      </c>
      <c r="B7" s="9" t="s">
        <v>13374</v>
      </c>
      <c r="C7" s="19" t="str">
        <f t="shared" si="0"/>
        <v>C00006 : 1000</v>
      </c>
      <c r="D7" s="21" t="str">
        <f t="shared" si="1"/>
        <v>C00006 : NADP+</v>
      </c>
    </row>
    <row r="8" spans="1:4" x14ac:dyDescent="0.45">
      <c r="A8" t="s">
        <v>13372</v>
      </c>
      <c r="B8" s="9" t="s">
        <v>13375</v>
      </c>
      <c r="C8" s="19" t="str">
        <f>CONCATENATE(A8," : 1")</f>
        <v>C00007 : 1</v>
      </c>
      <c r="D8" s="21" t="str">
        <f t="shared" si="1"/>
        <v>C00007 : Oxygen</v>
      </c>
    </row>
    <row r="9" spans="1:4" x14ac:dyDescent="0.45">
      <c r="A9" t="s">
        <v>11829</v>
      </c>
      <c r="B9" s="9" t="s">
        <v>14116</v>
      </c>
      <c r="C9" s="19" t="str">
        <f>CONCATENATE(A9," : 1000")</f>
        <v>C00008 : 1000</v>
      </c>
      <c r="D9" s="21" t="str">
        <f t="shared" si="1"/>
        <v>C00008 : ADP</v>
      </c>
    </row>
    <row r="10" spans="1:4" x14ac:dyDescent="0.45">
      <c r="A10" t="s">
        <v>12477</v>
      </c>
      <c r="B10" s="9" t="s">
        <v>13376</v>
      </c>
      <c r="C10" s="19" t="str">
        <f>CONCATENATE(A10," : 1000")</f>
        <v>C00009 : 1000</v>
      </c>
      <c r="D10" s="21" t="str">
        <f t="shared" si="1"/>
        <v>C00009 : Phosphoric acid</v>
      </c>
    </row>
    <row r="11" spans="1:4" x14ac:dyDescent="0.45">
      <c r="A11" t="s">
        <v>13408</v>
      </c>
      <c r="B11" s="9" t="s">
        <v>14117</v>
      </c>
      <c r="C11" s="19" t="str">
        <f>CONCATENATE(A11," : 1000")</f>
        <v>C00010 : 1000</v>
      </c>
      <c r="D11" s="21" t="str">
        <f t="shared" si="1"/>
        <v>C00010 : CoA</v>
      </c>
    </row>
    <row r="12" spans="1:4" x14ac:dyDescent="0.45">
      <c r="A12" t="s">
        <v>13377</v>
      </c>
      <c r="B12" s="9" t="s">
        <v>13378</v>
      </c>
      <c r="C12" s="19" t="str">
        <f>CONCATENATE(A12," : 1")</f>
        <v>C00011 : 1</v>
      </c>
      <c r="D12" s="21" t="str">
        <f t="shared" si="1"/>
        <v>C00011 : Carbon dioxide</v>
      </c>
    </row>
    <row r="13" spans="1:4" x14ac:dyDescent="0.45">
      <c r="A13" t="s">
        <v>13409</v>
      </c>
      <c r="B13" s="9" t="s">
        <v>14118</v>
      </c>
      <c r="C13" s="19" t="str">
        <f>CONCATENATE(A13," : 1")</f>
        <v>C00012 : 1</v>
      </c>
      <c r="D13" s="21" t="str">
        <f t="shared" si="1"/>
        <v>C00012 : Peptide</v>
      </c>
    </row>
    <row r="14" spans="1:4" x14ac:dyDescent="0.45">
      <c r="A14" t="s">
        <v>13410</v>
      </c>
      <c r="B14" s="9" t="s">
        <v>14119</v>
      </c>
      <c r="C14" s="19" t="str">
        <f>CONCATENATE(A14," : 1000")</f>
        <v>C00013 : 1000</v>
      </c>
      <c r="D14" s="21" t="str">
        <f t="shared" si="1"/>
        <v>C00013 : Diphosphoric acid</v>
      </c>
    </row>
    <row r="15" spans="1:4" x14ac:dyDescent="0.45">
      <c r="A15" t="s">
        <v>13379</v>
      </c>
      <c r="B15" s="9" t="s">
        <v>13380</v>
      </c>
      <c r="C15" s="19" t="str">
        <f t="shared" ref="C15:C20" si="2">CONCATENATE(A15," : 1")</f>
        <v>C00014 : 1</v>
      </c>
      <c r="D15" s="21" t="str">
        <f t="shared" si="1"/>
        <v>C00014 : Ammonia</v>
      </c>
    </row>
    <row r="16" spans="1:4" x14ac:dyDescent="0.45">
      <c r="A16" t="s">
        <v>13411</v>
      </c>
      <c r="B16" s="9" t="s">
        <v>14120</v>
      </c>
      <c r="C16" s="19" t="str">
        <f t="shared" si="2"/>
        <v>C00015 : 1</v>
      </c>
      <c r="D16" s="21" t="str">
        <f t="shared" si="1"/>
        <v>C00015 : UDP</v>
      </c>
    </row>
    <row r="17" spans="1:4" x14ac:dyDescent="0.45">
      <c r="A17" t="s">
        <v>13412</v>
      </c>
      <c r="B17" s="9" t="s">
        <v>14121</v>
      </c>
      <c r="C17" s="19" t="str">
        <f t="shared" si="2"/>
        <v>C00016 : 1</v>
      </c>
      <c r="D17" s="21" t="str">
        <f t="shared" si="1"/>
        <v>C00016 : FAD</v>
      </c>
    </row>
    <row r="18" spans="1:4" x14ac:dyDescent="0.45">
      <c r="A18" t="s">
        <v>13413</v>
      </c>
      <c r="B18" s="9" t="s">
        <v>14122</v>
      </c>
      <c r="C18" s="19" t="str">
        <f t="shared" si="2"/>
        <v>C00017 : 1</v>
      </c>
      <c r="D18" s="21" t="str">
        <f t="shared" si="1"/>
        <v>C00017 : Protein</v>
      </c>
    </row>
    <row r="19" spans="1:4" x14ac:dyDescent="0.45">
      <c r="A19" t="s">
        <v>13414</v>
      </c>
      <c r="B19" s="9" t="s">
        <v>14123</v>
      </c>
      <c r="C19" s="19" t="str">
        <f t="shared" si="2"/>
        <v>C00018 : 1</v>
      </c>
      <c r="D19" s="21" t="str">
        <f t="shared" si="1"/>
        <v>C00018 : Pyridoxal phosphate</v>
      </c>
    </row>
    <row r="20" spans="1:4" x14ac:dyDescent="0.45">
      <c r="A20" t="s">
        <v>13415</v>
      </c>
      <c r="B20" s="7" t="s">
        <v>14124</v>
      </c>
      <c r="C20" s="19" t="str">
        <f t="shared" si="2"/>
        <v>C00019 : 1</v>
      </c>
      <c r="D20" s="21" t="str">
        <f t="shared" si="1"/>
        <v>C00019 : SAM</v>
      </c>
    </row>
    <row r="21" spans="1:4" x14ac:dyDescent="0.45">
      <c r="A21" t="s">
        <v>13416</v>
      </c>
      <c r="B21" s="9" t="s">
        <v>14125</v>
      </c>
      <c r="C21" s="19" t="str">
        <f>CONCATENATE(A21," : 1000")</f>
        <v>C00020 : 1000</v>
      </c>
      <c r="D21" s="21" t="str">
        <f t="shared" si="1"/>
        <v>C00020 : AMP</v>
      </c>
    </row>
    <row r="22" spans="1:4" x14ac:dyDescent="0.45">
      <c r="A22" t="s">
        <v>13417</v>
      </c>
      <c r="B22" s="9" t="s">
        <v>14126</v>
      </c>
      <c r="C22" s="19" t="str">
        <f>CONCATENATE(A22," : 1")</f>
        <v>C00021 : 1</v>
      </c>
      <c r="D22" s="21" t="str">
        <f t="shared" si="1"/>
        <v>C00021 : S-Adenosyl-L-homocysteine</v>
      </c>
    </row>
    <row r="23" spans="1:4" x14ac:dyDescent="0.45">
      <c r="A23" t="s">
        <v>11078</v>
      </c>
      <c r="B23" s="9" t="s">
        <v>14127</v>
      </c>
      <c r="C23" s="19" t="str">
        <f>CONCATENATE(A23," : 1000")</f>
        <v>C00022 : 1000</v>
      </c>
      <c r="D23" s="21" t="str">
        <f t="shared" si="1"/>
        <v>C00022 : Pyruvate</v>
      </c>
    </row>
    <row r="24" spans="1:4" x14ac:dyDescent="0.45">
      <c r="A24" t="s">
        <v>11247</v>
      </c>
      <c r="B24" s="9" t="s">
        <v>14128</v>
      </c>
      <c r="C24" s="19" t="str">
        <f>CONCATENATE(A24," : 1000")</f>
        <v>C00024 : 1000</v>
      </c>
      <c r="D24" s="21" t="str">
        <f t="shared" si="1"/>
        <v>C00024 : Acetyl-CoA</v>
      </c>
    </row>
    <row r="25" spans="1:4" x14ac:dyDescent="0.45">
      <c r="A25" t="s">
        <v>12891</v>
      </c>
      <c r="B25" s="9" t="s">
        <v>13381</v>
      </c>
      <c r="C25" s="19" t="str">
        <f>CONCATENATE(A25," : 1000")</f>
        <v>C00025 : 1000</v>
      </c>
      <c r="D25" s="21" t="str">
        <f t="shared" si="1"/>
        <v>C00025 : L-Glutamate</v>
      </c>
    </row>
    <row r="26" spans="1:4" x14ac:dyDescent="0.45">
      <c r="A26" t="s">
        <v>13418</v>
      </c>
      <c r="B26" s="9" t="s">
        <v>14129</v>
      </c>
      <c r="C26" s="19" t="str">
        <f>CONCATENATE(A26," : 1")</f>
        <v>C00026 : 1</v>
      </c>
      <c r="D26" s="21" t="str">
        <f t="shared" si="1"/>
        <v>C00026 : 2-Oxoglutarate</v>
      </c>
    </row>
    <row r="27" spans="1:4" x14ac:dyDescent="0.45">
      <c r="A27" t="s">
        <v>10571</v>
      </c>
      <c r="B27" s="9" t="s">
        <v>14130</v>
      </c>
      <c r="C27" s="19" t="str">
        <f>CONCATENATE(A27," : 1")</f>
        <v>C00027 : 1</v>
      </c>
      <c r="D27" s="21" t="str">
        <f t="shared" si="1"/>
        <v>C00027 : Hydrogen peroxide</v>
      </c>
    </row>
    <row r="28" spans="1:4" x14ac:dyDescent="0.45">
      <c r="A28" t="s">
        <v>13419</v>
      </c>
      <c r="B28" s="9" t="s">
        <v>14131</v>
      </c>
      <c r="C28" s="19" t="str">
        <f>CONCATENATE(A28," : 1")</f>
        <v>C00028 : 1</v>
      </c>
      <c r="D28" s="21" t="str">
        <f t="shared" si="1"/>
        <v>C00028 : Hydrogen-acceptor</v>
      </c>
    </row>
    <row r="29" spans="1:4" x14ac:dyDescent="0.45">
      <c r="A29" t="s">
        <v>12923</v>
      </c>
      <c r="B29" s="9" t="s">
        <v>14132</v>
      </c>
      <c r="C29" s="19" t="str">
        <f>CONCATENATE(A29," : 1")</f>
        <v>C00029 : 1</v>
      </c>
      <c r="D29" s="21" t="str">
        <f t="shared" si="1"/>
        <v>C00029 : UDP-glucose</v>
      </c>
    </row>
    <row r="30" spans="1:4" x14ac:dyDescent="0.45">
      <c r="A30" t="s">
        <v>13420</v>
      </c>
      <c r="B30" s="9" t="s">
        <v>14133</v>
      </c>
      <c r="C30" s="19" t="str">
        <f>CONCATENATE(A30," : 1")</f>
        <v>C00030 : 1</v>
      </c>
      <c r="D30" s="21" t="str">
        <f t="shared" si="1"/>
        <v>C00030 : Hydrogen-donor</v>
      </c>
    </row>
    <row r="31" spans="1:4" x14ac:dyDescent="0.45">
      <c r="A31" t="s">
        <v>12234</v>
      </c>
      <c r="B31" s="9" t="s">
        <v>13382</v>
      </c>
      <c r="C31" s="19" t="str">
        <f>CONCATENATE(A31," : 1000")</f>
        <v>C00031 : 1000</v>
      </c>
      <c r="D31" s="21" t="str">
        <f t="shared" si="1"/>
        <v>C00031 : D-Glucose</v>
      </c>
    </row>
    <row r="32" spans="1:4" x14ac:dyDescent="0.45">
      <c r="A32" t="s">
        <v>13421</v>
      </c>
      <c r="B32" s="9" t="s">
        <v>17745</v>
      </c>
      <c r="C32" s="19" t="str">
        <f>CONCATENATE(A32," : 1")</f>
        <v>C00033 : 1</v>
      </c>
      <c r="D32" s="21" t="str">
        <f t="shared" si="1"/>
        <v>C00033 : Acetate</v>
      </c>
    </row>
    <row r="33" spans="1:4" x14ac:dyDescent="0.45">
      <c r="A33" t="s">
        <v>13422</v>
      </c>
      <c r="B33" s="9" t="s">
        <v>14134</v>
      </c>
      <c r="C33" s="19" t="str">
        <f t="shared" ref="C33:C37" si="3">CONCATENATE(A33," : 1")</f>
        <v>C00035 : 1</v>
      </c>
      <c r="D33" s="21" t="str">
        <f t="shared" si="1"/>
        <v>C00035 : GDP</v>
      </c>
    </row>
    <row r="34" spans="1:4" x14ac:dyDescent="0.45">
      <c r="A34" t="s">
        <v>10508</v>
      </c>
      <c r="B34" s="9" t="s">
        <v>14135</v>
      </c>
      <c r="C34" s="19" t="str">
        <f t="shared" si="3"/>
        <v>C00036 : 1</v>
      </c>
      <c r="D34" s="21" t="str">
        <f t="shared" si="1"/>
        <v>C00036 : Oxaloacetate</v>
      </c>
    </row>
    <row r="35" spans="1:4" x14ac:dyDescent="0.45">
      <c r="A35" t="s">
        <v>13383</v>
      </c>
      <c r="B35" s="9" t="s">
        <v>13384</v>
      </c>
      <c r="C35" s="19" t="str">
        <f>CONCATENATE(A35," : 1")</f>
        <v>C00037 : 1</v>
      </c>
      <c r="D35" s="21" t="str">
        <f t="shared" si="1"/>
        <v>C00037 : Glycine</v>
      </c>
    </row>
    <row r="36" spans="1:4" x14ac:dyDescent="0.45">
      <c r="A36" t="s">
        <v>13423</v>
      </c>
      <c r="B36" s="9" t="s">
        <v>14136</v>
      </c>
      <c r="C36" s="19" t="str">
        <f t="shared" si="3"/>
        <v>C00039 : 1</v>
      </c>
      <c r="D36" s="21" t="str">
        <f t="shared" si="1"/>
        <v>C00039 : DNA</v>
      </c>
    </row>
    <row r="37" spans="1:4" x14ac:dyDescent="0.45">
      <c r="A37" t="s">
        <v>13424</v>
      </c>
      <c r="B37" s="7" t="s">
        <v>14137</v>
      </c>
      <c r="C37" s="19" t="str">
        <f t="shared" si="3"/>
        <v>C00040 : 1</v>
      </c>
      <c r="D37" s="21" t="str">
        <f t="shared" si="1"/>
        <v>C00040 : Acyl-CoA</v>
      </c>
    </row>
    <row r="38" spans="1:4" x14ac:dyDescent="0.45">
      <c r="A38" t="s">
        <v>12881</v>
      </c>
      <c r="B38" s="9" t="s">
        <v>13385</v>
      </c>
      <c r="C38" s="19" t="str">
        <f>CONCATENATE(A38," : 1")</f>
        <v>C00041 : 1</v>
      </c>
      <c r="D38" s="21" t="str">
        <f t="shared" si="1"/>
        <v>C00041 : L-Alanine</v>
      </c>
    </row>
    <row r="39" spans="1:4" x14ac:dyDescent="0.45">
      <c r="A39" t="s">
        <v>12913</v>
      </c>
      <c r="B39" s="9" t="s">
        <v>14138</v>
      </c>
      <c r="C39" s="19" t="str">
        <f>CONCATENATE(A39," : 1")</f>
        <v>C00043 : 1</v>
      </c>
      <c r="D39" s="21" t="str">
        <f t="shared" si="1"/>
        <v>C00043 : UDP-N-acetyl-alpha-D-glucosamine</v>
      </c>
    </row>
    <row r="40" spans="1:4" x14ac:dyDescent="0.45">
      <c r="A40" t="s">
        <v>11958</v>
      </c>
      <c r="B40" s="9" t="s">
        <v>14139</v>
      </c>
      <c r="C40" s="19" t="str">
        <f>CONCATENATE(A40," : 1")</f>
        <v>C00044 : 1</v>
      </c>
      <c r="D40" s="21" t="str">
        <f t="shared" si="1"/>
        <v>C00044 : GTP</v>
      </c>
    </row>
    <row r="41" spans="1:4" x14ac:dyDescent="0.45">
      <c r="A41" t="s">
        <v>13425</v>
      </c>
      <c r="B41" s="9" t="s">
        <v>14140</v>
      </c>
      <c r="C41" s="19" t="str">
        <f t="shared" ref="C41:C53" si="4">CONCATENATE(A41," : 1")</f>
        <v>C00045 : 1</v>
      </c>
      <c r="D41" s="21" t="str">
        <f t="shared" si="1"/>
        <v>C00045 : Amino acid</v>
      </c>
    </row>
    <row r="42" spans="1:4" x14ac:dyDescent="0.45">
      <c r="A42" t="s">
        <v>13426</v>
      </c>
      <c r="B42" s="9" t="s">
        <v>14141</v>
      </c>
      <c r="C42" s="19" t="str">
        <f t="shared" si="4"/>
        <v>C00046 : 1</v>
      </c>
      <c r="D42" s="21" t="str">
        <f t="shared" si="1"/>
        <v>C00046 : RNA</v>
      </c>
    </row>
    <row r="43" spans="1:4" x14ac:dyDescent="0.45">
      <c r="A43" t="s">
        <v>13386</v>
      </c>
      <c r="B43" s="9" t="s">
        <v>13387</v>
      </c>
      <c r="C43" s="19" t="str">
        <f t="shared" si="4"/>
        <v>C00047 : 1</v>
      </c>
      <c r="D43" s="21" t="str">
        <f t="shared" si="1"/>
        <v>C00047 : L-Lysine</v>
      </c>
    </row>
    <row r="44" spans="1:4" x14ac:dyDescent="0.45">
      <c r="A44" t="s">
        <v>12525</v>
      </c>
      <c r="B44" s="9" t="s">
        <v>13388</v>
      </c>
      <c r="C44" s="19" t="str">
        <f t="shared" si="4"/>
        <v>C00049 : 1</v>
      </c>
      <c r="D44" s="21" t="str">
        <f t="shared" si="1"/>
        <v>C00049 : L-Aspartate</v>
      </c>
    </row>
    <row r="45" spans="1:4" x14ac:dyDescent="0.45">
      <c r="A45" t="s">
        <v>13427</v>
      </c>
      <c r="B45" s="9" t="s">
        <v>14142</v>
      </c>
      <c r="C45" s="19" t="str">
        <f t="shared" si="4"/>
        <v>C00051 : 1</v>
      </c>
      <c r="D45" s="21" t="str">
        <f t="shared" si="1"/>
        <v>C00051 : Glutathione</v>
      </c>
    </row>
    <row r="46" spans="1:4" x14ac:dyDescent="0.45">
      <c r="A46" t="s">
        <v>12924</v>
      </c>
      <c r="B46" s="9" t="s">
        <v>14143</v>
      </c>
      <c r="C46" s="19" t="str">
        <f t="shared" si="4"/>
        <v>C00052 : 1</v>
      </c>
      <c r="D46" s="21" t="str">
        <f t="shared" si="1"/>
        <v>C00052 : UDP-alpha-D-galactose</v>
      </c>
    </row>
    <row r="47" spans="1:4" x14ac:dyDescent="0.45">
      <c r="A47" t="s">
        <v>13428</v>
      </c>
      <c r="B47" s="9" t="s">
        <v>14144</v>
      </c>
      <c r="C47" s="19" t="str">
        <f t="shared" si="4"/>
        <v>C00054 : 1</v>
      </c>
      <c r="D47" s="21" t="str">
        <f t="shared" si="1"/>
        <v>C00054 : Adenosine 3',5'-bisphosphate</v>
      </c>
    </row>
    <row r="48" spans="1:4" x14ac:dyDescent="0.45">
      <c r="A48" t="s">
        <v>13429</v>
      </c>
      <c r="B48" s="9" t="s">
        <v>14145</v>
      </c>
      <c r="C48" s="19" t="str">
        <f t="shared" si="4"/>
        <v>C00055 : 1</v>
      </c>
      <c r="D48" s="21" t="str">
        <f t="shared" si="1"/>
        <v>C00055 : CMP</v>
      </c>
    </row>
    <row r="49" spans="1:4" x14ac:dyDescent="0.45">
      <c r="A49" t="s">
        <v>13430</v>
      </c>
      <c r="B49" s="9" t="s">
        <v>14146</v>
      </c>
      <c r="C49" s="19" t="str">
        <f t="shared" si="4"/>
        <v>C00058 : 1</v>
      </c>
      <c r="D49" s="21" t="str">
        <f t="shared" si="1"/>
        <v>C00058 : Formate</v>
      </c>
    </row>
    <row r="50" spans="1:4" x14ac:dyDescent="0.45">
      <c r="A50" t="s">
        <v>13431</v>
      </c>
      <c r="B50" s="9" t="s">
        <v>14147</v>
      </c>
      <c r="C50" s="19" t="str">
        <f t="shared" si="4"/>
        <v>C00060 : 1</v>
      </c>
      <c r="D50" s="21" t="str">
        <f t="shared" si="1"/>
        <v>C00060 : Carboxylate</v>
      </c>
    </row>
    <row r="51" spans="1:4" x14ac:dyDescent="0.45">
      <c r="A51" t="s">
        <v>13432</v>
      </c>
      <c r="B51" s="9" t="s">
        <v>14148</v>
      </c>
      <c r="C51" s="19" t="str">
        <f t="shared" si="4"/>
        <v>C00061 : 1</v>
      </c>
      <c r="D51" s="21" t="str">
        <f t="shared" si="1"/>
        <v>C00061 : FMN</v>
      </c>
    </row>
    <row r="52" spans="1:4" x14ac:dyDescent="0.45">
      <c r="A52" t="s">
        <v>13433</v>
      </c>
      <c r="B52" s="9" t="s">
        <v>14149</v>
      </c>
      <c r="C52" s="19" t="str">
        <f t="shared" si="4"/>
        <v>C00062 : 1</v>
      </c>
      <c r="D52" s="21" t="str">
        <f t="shared" si="1"/>
        <v>C00062 : L-Arginine</v>
      </c>
    </row>
    <row r="53" spans="1:4" x14ac:dyDescent="0.45">
      <c r="A53" t="s">
        <v>13434</v>
      </c>
      <c r="B53" s="9" t="s">
        <v>14150</v>
      </c>
      <c r="C53" s="19" t="str">
        <f t="shared" si="4"/>
        <v>C00063 : 1</v>
      </c>
      <c r="D53" s="21" t="str">
        <f t="shared" si="1"/>
        <v>C00063 : CTP</v>
      </c>
    </row>
    <row r="54" spans="1:4" x14ac:dyDescent="0.45">
      <c r="A54" t="s">
        <v>13389</v>
      </c>
      <c r="B54" s="9" t="s">
        <v>13390</v>
      </c>
      <c r="C54" s="19" t="str">
        <f>CONCATENATE(A54," : 1000")</f>
        <v>C00064 : 1000</v>
      </c>
      <c r="D54" s="21" t="str">
        <f t="shared" si="1"/>
        <v>C00064 : L-Glutamine</v>
      </c>
    </row>
    <row r="55" spans="1:4" x14ac:dyDescent="0.45">
      <c r="A55" t="s">
        <v>12778</v>
      </c>
      <c r="B55" s="9" t="s">
        <v>13391</v>
      </c>
      <c r="C55" s="19" t="str">
        <f>CONCATENATE(A55," : 1")</f>
        <v>C00065 : 1</v>
      </c>
      <c r="D55" s="21" t="str">
        <f t="shared" si="1"/>
        <v>C00065 : L-Serine</v>
      </c>
    </row>
    <row r="56" spans="1:4" x14ac:dyDescent="0.45">
      <c r="A56" t="s">
        <v>13435</v>
      </c>
      <c r="B56" s="9" t="s">
        <v>77</v>
      </c>
      <c r="C56" s="19" t="str">
        <f t="shared" ref="C56:C97" si="5">CONCATENATE(A56," : 1")</f>
        <v>C00066 : 1</v>
      </c>
      <c r="D56" s="21" t="str">
        <f t="shared" si="1"/>
        <v>C00066 : tRNA</v>
      </c>
    </row>
    <row r="57" spans="1:4" x14ac:dyDescent="0.45">
      <c r="A57" t="s">
        <v>13436</v>
      </c>
      <c r="B57" s="9" t="s">
        <v>14151</v>
      </c>
      <c r="C57" s="19" t="str">
        <f t="shared" si="5"/>
        <v>C00067 : 1</v>
      </c>
      <c r="D57" s="21" t="str">
        <f t="shared" si="1"/>
        <v>C00067 : Formaldehyde</v>
      </c>
    </row>
    <row r="58" spans="1:4" x14ac:dyDescent="0.45">
      <c r="A58" t="s">
        <v>13437</v>
      </c>
      <c r="B58" s="9" t="s">
        <v>14152</v>
      </c>
      <c r="C58" s="19" t="str">
        <f t="shared" si="5"/>
        <v>C00068 : 1</v>
      </c>
      <c r="D58" s="21" t="str">
        <f t="shared" si="1"/>
        <v>C00068 : Thiamin diphosphate</v>
      </c>
    </row>
    <row r="59" spans="1:4" x14ac:dyDescent="0.45">
      <c r="A59" t="s">
        <v>13438</v>
      </c>
      <c r="B59" s="9" t="s">
        <v>14153</v>
      </c>
      <c r="C59" s="19" t="str">
        <f t="shared" si="5"/>
        <v>C00071 : 1</v>
      </c>
      <c r="D59" s="21" t="str">
        <f t="shared" si="1"/>
        <v>C00071 : Aldehyde</v>
      </c>
    </row>
    <row r="60" spans="1:4" x14ac:dyDescent="0.45">
      <c r="A60" t="s">
        <v>13392</v>
      </c>
      <c r="B60" s="9" t="s">
        <v>13393</v>
      </c>
      <c r="C60" s="19" t="str">
        <f t="shared" si="5"/>
        <v>C00073 : 1</v>
      </c>
      <c r="D60" s="21" t="str">
        <f t="shared" si="1"/>
        <v>C00073 : L-Methionine</v>
      </c>
    </row>
    <row r="61" spans="1:4" x14ac:dyDescent="0.45">
      <c r="A61" t="s">
        <v>13439</v>
      </c>
      <c r="B61" s="9" t="s">
        <v>14154</v>
      </c>
      <c r="C61" s="19" t="str">
        <f t="shared" si="5"/>
        <v>C00074 : 1</v>
      </c>
      <c r="D61" s="21" t="str">
        <f t="shared" si="1"/>
        <v>C00074 : Phosphoenolpyruvate</v>
      </c>
    </row>
    <row r="62" spans="1:4" x14ac:dyDescent="0.45">
      <c r="A62" t="s">
        <v>13440</v>
      </c>
      <c r="B62" s="9" t="s">
        <v>14155</v>
      </c>
      <c r="C62" s="19" t="str">
        <f t="shared" si="5"/>
        <v>C00075 : 1</v>
      </c>
      <c r="D62" s="21" t="str">
        <f t="shared" si="1"/>
        <v>C00075 : UTP</v>
      </c>
    </row>
    <row r="63" spans="1:4" x14ac:dyDescent="0.45">
      <c r="A63" t="s">
        <v>12886</v>
      </c>
      <c r="B63" s="9" t="s">
        <v>14156</v>
      </c>
      <c r="C63" s="19" t="str">
        <f t="shared" si="5"/>
        <v>C00077 : 1</v>
      </c>
      <c r="D63" s="21" t="str">
        <f t="shared" si="1"/>
        <v>C00077 : L-Ornithine</v>
      </c>
    </row>
    <row r="64" spans="1:4" x14ac:dyDescent="0.45">
      <c r="A64" t="s">
        <v>13441</v>
      </c>
      <c r="B64" s="9" t="s">
        <v>14157</v>
      </c>
      <c r="C64" s="19" t="str">
        <f t="shared" si="5"/>
        <v>C00078 : 1</v>
      </c>
      <c r="D64" s="21" t="str">
        <f t="shared" si="1"/>
        <v>C00078 : L-Tryptophan</v>
      </c>
    </row>
    <row r="65" spans="1:4" x14ac:dyDescent="0.45">
      <c r="A65" t="s">
        <v>13442</v>
      </c>
      <c r="B65" s="9" t="s">
        <v>14158</v>
      </c>
      <c r="C65" s="19" t="str">
        <f t="shared" si="5"/>
        <v>C00079 : 1</v>
      </c>
      <c r="D65" s="21" t="str">
        <f t="shared" si="1"/>
        <v>C00079 : L-Phenylalanine</v>
      </c>
    </row>
    <row r="66" spans="1:4" x14ac:dyDescent="0.45">
      <c r="A66" t="s">
        <v>13443</v>
      </c>
      <c r="B66" s="9" t="s">
        <v>14159</v>
      </c>
      <c r="C66" s="19" t="str">
        <f t="shared" si="5"/>
        <v>C00080 : 1</v>
      </c>
      <c r="D66" s="21" t="str">
        <f t="shared" si="1"/>
        <v>C00080 : H+</v>
      </c>
    </row>
    <row r="67" spans="1:4" x14ac:dyDescent="0.45">
      <c r="A67" t="s">
        <v>13444</v>
      </c>
      <c r="B67" s="9" t="s">
        <v>14160</v>
      </c>
      <c r="C67" s="19" t="str">
        <f t="shared" si="5"/>
        <v>C00081 : 1</v>
      </c>
      <c r="D67" s="21" t="str">
        <f t="shared" ref="D67:D130" si="6">CONCATENATE(A67," : ",B67)</f>
        <v>C00081 : ITP</v>
      </c>
    </row>
    <row r="68" spans="1:4" x14ac:dyDescent="0.45">
      <c r="A68" t="s">
        <v>13445</v>
      </c>
      <c r="B68" s="9" t="s">
        <v>14161</v>
      </c>
      <c r="C68" s="19" t="str">
        <f t="shared" si="5"/>
        <v>C00082 : 1</v>
      </c>
      <c r="D68" s="21" t="str">
        <f t="shared" si="6"/>
        <v>C00082 : L-Tyrosine</v>
      </c>
    </row>
    <row r="69" spans="1:4" x14ac:dyDescent="0.45">
      <c r="A69" t="s">
        <v>13446</v>
      </c>
      <c r="B69" s="9" t="s">
        <v>14162</v>
      </c>
      <c r="C69" s="19" t="str">
        <f t="shared" si="5"/>
        <v>C00083 : 1</v>
      </c>
      <c r="D69" s="21" t="str">
        <f t="shared" si="6"/>
        <v>C00083 : Malonyl-CoA</v>
      </c>
    </row>
    <row r="70" spans="1:4" x14ac:dyDescent="0.45">
      <c r="A70" t="s">
        <v>13447</v>
      </c>
      <c r="B70" s="9" t="s">
        <v>14163</v>
      </c>
      <c r="C70" s="19" t="str">
        <f t="shared" si="5"/>
        <v>C00084 : 1</v>
      </c>
      <c r="D70" s="21" t="str">
        <f t="shared" si="6"/>
        <v>C00084 : Acetaldehyde</v>
      </c>
    </row>
    <row r="71" spans="1:4" x14ac:dyDescent="0.45">
      <c r="A71" t="s">
        <v>12978</v>
      </c>
      <c r="B71" s="9" t="s">
        <v>14164</v>
      </c>
      <c r="C71" s="19" t="str">
        <f t="shared" si="5"/>
        <v>C00085 : 1</v>
      </c>
      <c r="D71" s="21" t="str">
        <f t="shared" si="6"/>
        <v>C00085 : D-Fructose 6-phosphate</v>
      </c>
    </row>
    <row r="72" spans="1:4" x14ac:dyDescent="0.45">
      <c r="A72" t="s">
        <v>13448</v>
      </c>
      <c r="B72" s="9" t="s">
        <v>14165</v>
      </c>
      <c r="C72" s="19" t="str">
        <f t="shared" si="5"/>
        <v>C00086 : 1</v>
      </c>
      <c r="D72" s="21" t="str">
        <f t="shared" si="6"/>
        <v>C00086 : Urea</v>
      </c>
    </row>
    <row r="73" spans="1:4" x14ac:dyDescent="0.45">
      <c r="A73" t="s">
        <v>13449</v>
      </c>
      <c r="B73" s="9" t="s">
        <v>14166</v>
      </c>
      <c r="C73" s="19" t="str">
        <f t="shared" si="5"/>
        <v>C00089 : 1</v>
      </c>
      <c r="D73" s="21" t="str">
        <f t="shared" si="6"/>
        <v>C00089 : Sucrose</v>
      </c>
    </row>
    <row r="74" spans="1:4" x14ac:dyDescent="0.45">
      <c r="A74" t="s">
        <v>12986</v>
      </c>
      <c r="B74" s="9" t="s">
        <v>14167</v>
      </c>
      <c r="C74" s="19" t="str">
        <f t="shared" si="5"/>
        <v>C00092 : 1</v>
      </c>
      <c r="D74" s="21" t="str">
        <f t="shared" si="6"/>
        <v>C00092 : D-Glucose 6-phosphate</v>
      </c>
    </row>
    <row r="75" spans="1:4" x14ac:dyDescent="0.45">
      <c r="A75" t="s">
        <v>13450</v>
      </c>
      <c r="B75" s="9" t="s">
        <v>14168</v>
      </c>
      <c r="C75" s="19" t="str">
        <f t="shared" si="5"/>
        <v>C00093 : 1</v>
      </c>
      <c r="D75" s="21" t="str">
        <f t="shared" si="6"/>
        <v>C00093 : sn-Glycerol 3-phosphate</v>
      </c>
    </row>
    <row r="76" spans="1:4" x14ac:dyDescent="0.45">
      <c r="A76" t="s">
        <v>13451</v>
      </c>
      <c r="B76" s="9" t="s">
        <v>14169</v>
      </c>
      <c r="C76" s="19" t="str">
        <f t="shared" si="5"/>
        <v>C00094 : 1</v>
      </c>
      <c r="D76" s="21" t="str">
        <f t="shared" si="6"/>
        <v>C00094 : Sulfurous acid</v>
      </c>
    </row>
    <row r="77" spans="1:4" x14ac:dyDescent="0.45">
      <c r="A77" t="s">
        <v>12963</v>
      </c>
      <c r="B77" s="9" t="s">
        <v>14170</v>
      </c>
      <c r="C77" s="19" t="str">
        <f t="shared" si="5"/>
        <v>C00095 : 1</v>
      </c>
      <c r="D77" s="21" t="str">
        <f t="shared" si="6"/>
        <v>C00095 : D-Fructose</v>
      </c>
    </row>
    <row r="78" spans="1:4" x14ac:dyDescent="0.45">
      <c r="A78" t="s">
        <v>13394</v>
      </c>
      <c r="B78" s="9" t="s">
        <v>13395</v>
      </c>
      <c r="C78" s="19" t="str">
        <f t="shared" si="5"/>
        <v>C00097 : 1</v>
      </c>
      <c r="D78" s="21" t="str">
        <f t="shared" si="6"/>
        <v>C00097 : L-Cysteine</v>
      </c>
    </row>
    <row r="79" spans="1:4" x14ac:dyDescent="0.45">
      <c r="A79" t="s">
        <v>13452</v>
      </c>
      <c r="B79" s="9" t="s">
        <v>14171</v>
      </c>
      <c r="C79" s="19" t="str">
        <f t="shared" si="5"/>
        <v>C00099 : 1</v>
      </c>
      <c r="D79" s="21" t="str">
        <f t="shared" si="6"/>
        <v>C00099 : beta-Alanine</v>
      </c>
    </row>
    <row r="80" spans="1:4" x14ac:dyDescent="0.45">
      <c r="A80" t="s">
        <v>13453</v>
      </c>
      <c r="B80" s="9" t="s">
        <v>14172</v>
      </c>
      <c r="C80" s="19" t="str">
        <f t="shared" si="5"/>
        <v>C00100 : 1</v>
      </c>
      <c r="D80" s="21" t="str">
        <f t="shared" si="6"/>
        <v>C00100 : Propanoyl-CoA</v>
      </c>
    </row>
    <row r="81" spans="1:4" x14ac:dyDescent="0.45">
      <c r="A81" t="s">
        <v>13454</v>
      </c>
      <c r="B81" s="9" t="s">
        <v>14173</v>
      </c>
      <c r="C81" s="19" t="str">
        <f t="shared" si="5"/>
        <v>C00101 : 1</v>
      </c>
      <c r="D81" s="21" t="str">
        <f t="shared" si="6"/>
        <v>C00101 : Tetrahydrofolate</v>
      </c>
    </row>
    <row r="82" spans="1:4" x14ac:dyDescent="0.45">
      <c r="A82" t="s">
        <v>13455</v>
      </c>
      <c r="B82" s="9" t="s">
        <v>14174</v>
      </c>
      <c r="C82" s="19" t="str">
        <f t="shared" si="5"/>
        <v>C00103 : 1</v>
      </c>
      <c r="D82" s="21" t="str">
        <f t="shared" si="6"/>
        <v>C00103 : D-Glucose 1-phosphate</v>
      </c>
    </row>
    <row r="83" spans="1:4" x14ac:dyDescent="0.45">
      <c r="A83" t="s">
        <v>13456</v>
      </c>
      <c r="B83" s="9" t="s">
        <v>14175</v>
      </c>
      <c r="C83" s="19" t="str">
        <f t="shared" si="5"/>
        <v>C00104 : 1</v>
      </c>
      <c r="D83" s="21" t="str">
        <f t="shared" si="6"/>
        <v>C00104 : IDP</v>
      </c>
    </row>
    <row r="84" spans="1:4" x14ac:dyDescent="0.45">
      <c r="A84" t="s">
        <v>13457</v>
      </c>
      <c r="B84" s="9" t="s">
        <v>14176</v>
      </c>
      <c r="C84" s="19" t="str">
        <f t="shared" si="5"/>
        <v>C00105 : 1</v>
      </c>
      <c r="D84" s="21" t="str">
        <f t="shared" si="6"/>
        <v>C00105 : UMP</v>
      </c>
    </row>
    <row r="85" spans="1:4" x14ac:dyDescent="0.45">
      <c r="A85" t="s">
        <v>13458</v>
      </c>
      <c r="B85" s="9" t="s">
        <v>14177</v>
      </c>
      <c r="C85" s="19" t="str">
        <f t="shared" si="5"/>
        <v>C00106 : 1</v>
      </c>
      <c r="D85" s="21" t="str">
        <f t="shared" si="6"/>
        <v>C00106 : Uracil</v>
      </c>
    </row>
    <row r="86" spans="1:4" x14ac:dyDescent="0.45">
      <c r="A86" t="s">
        <v>13459</v>
      </c>
      <c r="B86" s="9" t="s">
        <v>14178</v>
      </c>
      <c r="C86" s="19" t="str">
        <f t="shared" si="5"/>
        <v>C00108 : 1</v>
      </c>
      <c r="D86" s="21" t="str">
        <f t="shared" si="6"/>
        <v>C00108 : Anthranilate</v>
      </c>
    </row>
    <row r="87" spans="1:4" x14ac:dyDescent="0.45">
      <c r="A87" t="s">
        <v>13460</v>
      </c>
      <c r="B87" s="9" t="s">
        <v>14179</v>
      </c>
      <c r="C87" s="19" t="str">
        <f t="shared" si="5"/>
        <v>C00109 : 1</v>
      </c>
      <c r="D87" s="21" t="str">
        <f t="shared" si="6"/>
        <v>C00109 : 2-Oxobutanoate</v>
      </c>
    </row>
    <row r="88" spans="1:4" x14ac:dyDescent="0.45">
      <c r="A88" t="s">
        <v>12754</v>
      </c>
      <c r="B88" s="9" t="s">
        <v>14180</v>
      </c>
      <c r="C88" s="19" t="str">
        <f t="shared" si="5"/>
        <v>C00111 : 1</v>
      </c>
      <c r="D88" s="21" t="str">
        <f t="shared" si="6"/>
        <v>C00111 : Glycerone phosphate</v>
      </c>
    </row>
    <row r="89" spans="1:4" x14ac:dyDescent="0.45">
      <c r="A89" t="s">
        <v>13461</v>
      </c>
      <c r="B89" s="9" t="s">
        <v>14181</v>
      </c>
      <c r="C89" s="19" t="str">
        <f t="shared" si="5"/>
        <v>C00112 : 1</v>
      </c>
      <c r="D89" s="21" t="str">
        <f t="shared" si="6"/>
        <v>C00112 : CDP</v>
      </c>
    </row>
    <row r="90" spans="1:4" x14ac:dyDescent="0.45">
      <c r="A90" t="s">
        <v>13462</v>
      </c>
      <c r="B90" s="9" t="s">
        <v>14182</v>
      </c>
      <c r="C90" s="19" t="str">
        <f t="shared" si="5"/>
        <v>C00114 : 1</v>
      </c>
      <c r="D90" s="21" t="str">
        <f t="shared" si="6"/>
        <v>C00114 : Choline</v>
      </c>
    </row>
    <row r="91" spans="1:4" x14ac:dyDescent="0.45">
      <c r="A91" t="s">
        <v>13463</v>
      </c>
      <c r="B91" s="9" t="s">
        <v>14183</v>
      </c>
      <c r="C91" s="19" t="str">
        <f t="shared" si="5"/>
        <v>C00116 : 1</v>
      </c>
      <c r="D91" s="21" t="str">
        <f t="shared" si="6"/>
        <v>C00116 : Glycerol</v>
      </c>
    </row>
    <row r="92" spans="1:4" x14ac:dyDescent="0.45">
      <c r="A92" t="s">
        <v>12970</v>
      </c>
      <c r="B92" s="9" t="s">
        <v>14184</v>
      </c>
      <c r="C92" s="19" t="str">
        <f t="shared" si="5"/>
        <v>C00117 : 1</v>
      </c>
      <c r="D92" s="21" t="str">
        <f t="shared" si="6"/>
        <v>C00117 : D-Ribose 5-phosphate</v>
      </c>
    </row>
    <row r="93" spans="1:4" x14ac:dyDescent="0.45">
      <c r="A93" t="s">
        <v>12950</v>
      </c>
      <c r="B93" s="9" t="s">
        <v>14185</v>
      </c>
      <c r="C93" s="19" t="str">
        <f t="shared" si="5"/>
        <v>C00118 : 1</v>
      </c>
      <c r="D93" s="21" t="str">
        <f t="shared" si="6"/>
        <v>C00118 : D-Glyceraldehyde 3-phosphate</v>
      </c>
    </row>
    <row r="94" spans="1:4" x14ac:dyDescent="0.45">
      <c r="A94" t="s">
        <v>13464</v>
      </c>
      <c r="B94" s="9" t="s">
        <v>14186</v>
      </c>
      <c r="C94" s="19" t="str">
        <f t="shared" si="5"/>
        <v>C00119 : 1</v>
      </c>
      <c r="D94" s="21" t="str">
        <f t="shared" si="6"/>
        <v>C00119 : 5-Phospho-alpha-D-ribose 1-diphosphate</v>
      </c>
    </row>
    <row r="95" spans="1:4" x14ac:dyDescent="0.45">
      <c r="A95" t="s">
        <v>13396</v>
      </c>
      <c r="B95" s="9" t="s">
        <v>13397</v>
      </c>
      <c r="C95" s="19" t="str">
        <f t="shared" si="5"/>
        <v>C00120 : 1</v>
      </c>
      <c r="D95" s="21" t="str">
        <f t="shared" si="6"/>
        <v>C00120 : Biotin</v>
      </c>
    </row>
    <row r="96" spans="1:4" x14ac:dyDescent="0.45">
      <c r="A96" t="s">
        <v>13465</v>
      </c>
      <c r="B96" s="9" t="s">
        <v>14187</v>
      </c>
      <c r="C96" s="19" t="str">
        <f t="shared" si="5"/>
        <v>C00121 : 1</v>
      </c>
      <c r="D96" s="21" t="str">
        <f t="shared" si="6"/>
        <v>C00121 : D-Ribose</v>
      </c>
    </row>
    <row r="97" spans="1:4" x14ac:dyDescent="0.45">
      <c r="A97" t="s">
        <v>13466</v>
      </c>
      <c r="B97" s="9" t="s">
        <v>14188</v>
      </c>
      <c r="C97" s="19" t="str">
        <f t="shared" si="5"/>
        <v>C00122 : 1</v>
      </c>
      <c r="D97" s="21" t="str">
        <f t="shared" si="6"/>
        <v>C00122 : Fumarate</v>
      </c>
    </row>
    <row r="98" spans="1:4" x14ac:dyDescent="0.45">
      <c r="A98" t="s">
        <v>13398</v>
      </c>
      <c r="B98" s="9" t="s">
        <v>13399</v>
      </c>
      <c r="C98" s="19" t="str">
        <f>CONCATENATE(A98," : 1000")</f>
        <v>C00123 : 1000</v>
      </c>
      <c r="D98" s="21" t="str">
        <f t="shared" si="6"/>
        <v>C00123 : L-Leucine</v>
      </c>
    </row>
    <row r="99" spans="1:4" x14ac:dyDescent="0.45">
      <c r="A99" t="s">
        <v>13467</v>
      </c>
      <c r="B99" s="9" t="s">
        <v>14189</v>
      </c>
      <c r="C99" s="19" t="str">
        <f>CONCATENATE(A99," : 1")</f>
        <v>C00129 : 1</v>
      </c>
      <c r="D99" s="21" t="str">
        <f t="shared" si="6"/>
        <v>C00129 : Isopentenyl diphosphate</v>
      </c>
    </row>
    <row r="100" spans="1:4" x14ac:dyDescent="0.45">
      <c r="A100" t="s">
        <v>13468</v>
      </c>
      <c r="B100" s="9" t="s">
        <v>14190</v>
      </c>
      <c r="C100" s="19" t="str">
        <f t="shared" ref="C100:C105" si="7">CONCATENATE(A100," : 1")</f>
        <v>C00130 : 1</v>
      </c>
      <c r="D100" s="21" t="str">
        <f t="shared" si="6"/>
        <v>C00130 : IMP</v>
      </c>
    </row>
    <row r="101" spans="1:4" x14ac:dyDescent="0.45">
      <c r="A101" t="s">
        <v>13469</v>
      </c>
      <c r="B101" s="9" t="s">
        <v>14191</v>
      </c>
      <c r="C101" s="19" t="str">
        <f t="shared" si="7"/>
        <v>C00131 : 1</v>
      </c>
      <c r="D101" s="21" t="str">
        <f t="shared" si="6"/>
        <v>C00131 : dATP</v>
      </c>
    </row>
    <row r="102" spans="1:4" x14ac:dyDescent="0.45">
      <c r="A102" t="s">
        <v>13470</v>
      </c>
      <c r="B102" s="9" t="s">
        <v>14192</v>
      </c>
      <c r="C102" s="19" t="str">
        <f t="shared" si="7"/>
        <v>C00132 : 1</v>
      </c>
      <c r="D102" s="21" t="str">
        <f t="shared" si="6"/>
        <v>C00132 : Methanol</v>
      </c>
    </row>
    <row r="103" spans="1:4" x14ac:dyDescent="0.45">
      <c r="A103" t="s">
        <v>12882</v>
      </c>
      <c r="B103" s="9" t="s">
        <v>14193</v>
      </c>
      <c r="C103" s="19" t="str">
        <f t="shared" si="7"/>
        <v>C00133 : 1</v>
      </c>
      <c r="D103" s="21" t="str">
        <f t="shared" si="6"/>
        <v>C00133 : D-Alanine</v>
      </c>
    </row>
    <row r="104" spans="1:4" x14ac:dyDescent="0.45">
      <c r="A104" t="s">
        <v>13471</v>
      </c>
      <c r="B104" s="9" t="s">
        <v>14194</v>
      </c>
      <c r="C104" s="19" t="str">
        <f t="shared" si="7"/>
        <v>C00134 : 1</v>
      </c>
      <c r="D104" s="21" t="str">
        <f t="shared" si="6"/>
        <v>C00134 : Putrescine</v>
      </c>
    </row>
    <row r="105" spans="1:4" x14ac:dyDescent="0.45">
      <c r="A105" t="s">
        <v>13472</v>
      </c>
      <c r="B105" s="9" t="s">
        <v>14195</v>
      </c>
      <c r="C105" s="19" t="str">
        <f t="shared" si="7"/>
        <v>C00135 : 1</v>
      </c>
      <c r="D105" s="21" t="str">
        <f t="shared" si="6"/>
        <v>C00135 : L-Histidine</v>
      </c>
    </row>
    <row r="106" spans="1:4" x14ac:dyDescent="0.45">
      <c r="A106" t="s">
        <v>13473</v>
      </c>
      <c r="B106" s="9" t="s">
        <v>14196</v>
      </c>
      <c r="C106" s="19" t="str">
        <f>CONCATENATE(A106," : 1")</f>
        <v>C00136 : 1</v>
      </c>
      <c r="D106" s="21" t="str">
        <f t="shared" si="6"/>
        <v>C00136 : Butanoyl-CoA</v>
      </c>
    </row>
    <row r="107" spans="1:4" x14ac:dyDescent="0.45">
      <c r="A107" t="s">
        <v>13474</v>
      </c>
      <c r="B107" s="9" t="s">
        <v>14197</v>
      </c>
      <c r="C107" s="19" t="str">
        <f>CONCATENATE(A107," : 1000")</f>
        <v>C00138 : 1000</v>
      </c>
      <c r="D107" s="21" t="str">
        <f t="shared" si="6"/>
        <v>C00138 : Reduced ferredoxin</v>
      </c>
    </row>
    <row r="108" spans="1:4" x14ac:dyDescent="0.45">
      <c r="A108" t="s">
        <v>13475</v>
      </c>
      <c r="B108" s="9" t="s">
        <v>14198</v>
      </c>
      <c r="C108" s="19" t="str">
        <f>CONCATENATE(A108," : 1000")</f>
        <v>C00139 : 1000</v>
      </c>
      <c r="D108" s="21" t="str">
        <f t="shared" si="6"/>
        <v>C00139 : Oxidized ferredoxin</v>
      </c>
    </row>
    <row r="109" spans="1:4" x14ac:dyDescent="0.45">
      <c r="A109" t="s">
        <v>13476</v>
      </c>
      <c r="B109" s="9" t="s">
        <v>14199</v>
      </c>
      <c r="C109" s="19" t="str">
        <f>CONCATENATE(A109," : 1")</f>
        <v>C00141 : 1</v>
      </c>
      <c r="D109" s="21" t="str">
        <f t="shared" si="6"/>
        <v>C00141 : 3-Methyl-2-oxobutanoic acid</v>
      </c>
    </row>
    <row r="110" spans="1:4" x14ac:dyDescent="0.45">
      <c r="A110" t="s">
        <v>13477</v>
      </c>
      <c r="B110" s="9" t="s">
        <v>14200</v>
      </c>
      <c r="C110" s="19" t="str">
        <f>CONCATENATE(A110," : 1")</f>
        <v>C00143 : 1</v>
      </c>
      <c r="D110" s="21" t="str">
        <f t="shared" si="6"/>
        <v>C00143 : 5,10-Methylenetetrahydrofolate</v>
      </c>
    </row>
    <row r="111" spans="1:4" x14ac:dyDescent="0.45">
      <c r="A111" t="s">
        <v>13478</v>
      </c>
      <c r="B111" s="9" t="s">
        <v>14201</v>
      </c>
      <c r="C111" s="19" t="str">
        <f>CONCATENATE(A111," : 1")</f>
        <v>C00144 : 1</v>
      </c>
      <c r="D111" s="21" t="str">
        <f t="shared" si="6"/>
        <v>C00144 : GMP</v>
      </c>
    </row>
    <row r="112" spans="1:4" x14ac:dyDescent="0.45">
      <c r="A112" t="s">
        <v>13479</v>
      </c>
      <c r="B112" s="9" t="s">
        <v>14202</v>
      </c>
      <c r="C112" s="19" t="str">
        <f>CONCATENATE(A112," : 1")</f>
        <v>C00145 : 1</v>
      </c>
      <c r="D112" s="21" t="str">
        <f t="shared" si="6"/>
        <v>C00145 : Thiol</v>
      </c>
    </row>
    <row r="113" spans="1:4" x14ac:dyDescent="0.45">
      <c r="A113" t="s">
        <v>13480</v>
      </c>
      <c r="B113" s="9" t="s">
        <v>14203</v>
      </c>
      <c r="C113" s="19" t="str">
        <f>CONCATENATE(A113," : 1")</f>
        <v>C00147 : 1</v>
      </c>
      <c r="D113" s="21" t="str">
        <f t="shared" si="6"/>
        <v>C00147 : Adenine</v>
      </c>
    </row>
    <row r="114" spans="1:4" x14ac:dyDescent="0.45">
      <c r="A114" t="s">
        <v>12896</v>
      </c>
      <c r="B114" s="9" t="s">
        <v>13400</v>
      </c>
      <c r="C114" s="19" t="str">
        <f>CONCATENATE(A114," : 1000")</f>
        <v>C00148 : 1000</v>
      </c>
      <c r="D114" s="21" t="str">
        <f t="shared" si="6"/>
        <v>C00148 : L-Proline</v>
      </c>
    </row>
    <row r="115" spans="1:4" x14ac:dyDescent="0.45">
      <c r="A115" t="s">
        <v>12666</v>
      </c>
      <c r="B115" s="9" t="s">
        <v>14204</v>
      </c>
      <c r="C115" s="19" t="str">
        <f>CONCATENATE(A115," : 1")</f>
        <v>C00149 : 1</v>
      </c>
      <c r="D115" s="21" t="str">
        <f t="shared" si="6"/>
        <v>C00149 : (S)-Malate</v>
      </c>
    </row>
    <row r="116" spans="1:4" x14ac:dyDescent="0.45">
      <c r="A116" t="s">
        <v>13481</v>
      </c>
      <c r="B116" s="9" t="s">
        <v>14205</v>
      </c>
      <c r="C116" s="19" t="str">
        <f t="shared" ref="C116:C130" si="8">CONCATENATE(A116," : 1")</f>
        <v>C00151 : 1</v>
      </c>
      <c r="D116" s="21" t="str">
        <f t="shared" si="6"/>
        <v>C00151 : L-2-Amino acid</v>
      </c>
    </row>
    <row r="117" spans="1:4" x14ac:dyDescent="0.45">
      <c r="A117" t="s">
        <v>13482</v>
      </c>
      <c r="B117" s="9" t="s">
        <v>14206</v>
      </c>
      <c r="C117" s="19" t="str">
        <f t="shared" si="8"/>
        <v>C00152 : 1</v>
      </c>
      <c r="D117" s="21" t="str">
        <f t="shared" si="6"/>
        <v>C00152 : L-Asparagine</v>
      </c>
    </row>
    <row r="118" spans="1:4" x14ac:dyDescent="0.45">
      <c r="A118" t="s">
        <v>13483</v>
      </c>
      <c r="B118" s="9" t="s">
        <v>14207</v>
      </c>
      <c r="C118" s="19" t="str">
        <f t="shared" si="8"/>
        <v>C00153 : 1</v>
      </c>
      <c r="D118" s="21" t="str">
        <f t="shared" si="6"/>
        <v>C00153 : Nicotinamide</v>
      </c>
    </row>
    <row r="119" spans="1:4" x14ac:dyDescent="0.45">
      <c r="A119" t="s">
        <v>13484</v>
      </c>
      <c r="B119" s="9" t="s">
        <v>14208</v>
      </c>
      <c r="C119" s="19" t="str">
        <f t="shared" si="8"/>
        <v>C00155 : 1</v>
      </c>
      <c r="D119" s="21" t="str">
        <f t="shared" si="6"/>
        <v>C00155 : L-Homocysteine</v>
      </c>
    </row>
    <row r="120" spans="1:4" x14ac:dyDescent="0.45">
      <c r="A120" t="s">
        <v>12675</v>
      </c>
      <c r="B120" s="9" t="s">
        <v>14209</v>
      </c>
      <c r="C120" s="19" t="str">
        <f t="shared" si="8"/>
        <v>C00158 : 1</v>
      </c>
      <c r="D120" s="21" t="str">
        <f t="shared" si="6"/>
        <v>C00158 : Citrate</v>
      </c>
    </row>
    <row r="121" spans="1:4" x14ac:dyDescent="0.45">
      <c r="A121" t="s">
        <v>13485</v>
      </c>
      <c r="B121" s="9" t="s">
        <v>14210</v>
      </c>
      <c r="C121" s="19" t="str">
        <f t="shared" si="8"/>
        <v>C00159 : 1</v>
      </c>
      <c r="D121" s="21" t="str">
        <f t="shared" si="6"/>
        <v>C00159 : D-Mannose</v>
      </c>
    </row>
    <row r="122" spans="1:4" x14ac:dyDescent="0.45">
      <c r="A122" t="s">
        <v>13486</v>
      </c>
      <c r="B122" s="9" t="s">
        <v>14211</v>
      </c>
      <c r="C122" s="19" t="str">
        <f t="shared" si="8"/>
        <v>C00161 : 1</v>
      </c>
      <c r="D122" s="21" t="str">
        <f t="shared" si="6"/>
        <v>C00161 : 2-Oxo acid</v>
      </c>
    </row>
    <row r="123" spans="1:4" x14ac:dyDescent="0.45">
      <c r="A123" t="s">
        <v>13487</v>
      </c>
      <c r="B123" s="9" t="s">
        <v>14212</v>
      </c>
      <c r="C123" s="19" t="str">
        <f t="shared" si="8"/>
        <v>C00164 : 1</v>
      </c>
      <c r="D123" s="21" t="str">
        <f t="shared" si="6"/>
        <v>C00164 : Acetoacetate</v>
      </c>
    </row>
    <row r="124" spans="1:4" x14ac:dyDescent="0.45">
      <c r="A124" t="s">
        <v>13488</v>
      </c>
      <c r="B124" s="9" t="s">
        <v>14213</v>
      </c>
      <c r="C124" s="19" t="str">
        <f t="shared" si="8"/>
        <v>C00166 : 1</v>
      </c>
      <c r="D124" s="21" t="str">
        <f t="shared" si="6"/>
        <v>C00166 : Phenylpyruvate</v>
      </c>
    </row>
    <row r="125" spans="1:4" x14ac:dyDescent="0.45">
      <c r="A125" t="s">
        <v>13489</v>
      </c>
      <c r="B125" s="9" t="s">
        <v>14214</v>
      </c>
      <c r="C125" s="19" t="str">
        <f t="shared" si="8"/>
        <v>C00169 : 1</v>
      </c>
      <c r="D125" s="21" t="str">
        <f t="shared" si="6"/>
        <v>C00169 : Carbamoyl phosphate</v>
      </c>
    </row>
    <row r="126" spans="1:4" x14ac:dyDescent="0.45">
      <c r="A126" t="s">
        <v>13490</v>
      </c>
      <c r="B126" s="9" t="s">
        <v>14215</v>
      </c>
      <c r="C126" s="19" t="str">
        <f t="shared" si="8"/>
        <v>C00170 : 1</v>
      </c>
      <c r="D126" s="21" t="str">
        <f t="shared" si="6"/>
        <v>C00170 : 5'-Methylthioadenosine</v>
      </c>
    </row>
    <row r="127" spans="1:4" x14ac:dyDescent="0.45">
      <c r="A127" t="s">
        <v>13491</v>
      </c>
      <c r="B127" s="9" t="s">
        <v>14216</v>
      </c>
      <c r="C127" s="19" t="str">
        <f t="shared" si="8"/>
        <v>C00173 : 1</v>
      </c>
      <c r="D127" s="21" t="str">
        <f t="shared" si="6"/>
        <v>C00173 : Acyl-[acyl-carrier protein]</v>
      </c>
    </row>
    <row r="128" spans="1:4" x14ac:dyDescent="0.45">
      <c r="A128" t="s">
        <v>13492</v>
      </c>
      <c r="B128" s="9" t="s">
        <v>14217</v>
      </c>
      <c r="C128" s="19" t="str">
        <f t="shared" si="8"/>
        <v>C00178 : 1</v>
      </c>
      <c r="D128" s="21" t="str">
        <f t="shared" si="6"/>
        <v>C00178 : Thymine</v>
      </c>
    </row>
    <row r="129" spans="1:4" x14ac:dyDescent="0.45">
      <c r="A129" t="s">
        <v>13493</v>
      </c>
      <c r="B129" s="9" t="s">
        <v>14218</v>
      </c>
      <c r="C129" s="19" t="str">
        <f t="shared" si="8"/>
        <v>C00179 : 1</v>
      </c>
      <c r="D129" s="21" t="str">
        <f t="shared" si="6"/>
        <v>C00179 : Agmatine</v>
      </c>
    </row>
    <row r="130" spans="1:4" x14ac:dyDescent="0.45">
      <c r="A130" t="s">
        <v>12965</v>
      </c>
      <c r="B130" s="9" t="s">
        <v>14219</v>
      </c>
      <c r="C130" s="19" t="str">
        <f t="shared" si="8"/>
        <v>C00181 : 1</v>
      </c>
      <c r="D130" s="21" t="str">
        <f t="shared" si="6"/>
        <v>C00181 : D-Xylose</v>
      </c>
    </row>
    <row r="131" spans="1:4" x14ac:dyDescent="0.45">
      <c r="A131" t="s">
        <v>13401</v>
      </c>
      <c r="B131" s="9" t="s">
        <v>13402</v>
      </c>
      <c r="C131" s="19" t="str">
        <f>CONCATENATE(A131," : 1000")</f>
        <v>C00183 : 1000</v>
      </c>
      <c r="D131" s="21" t="str">
        <f t="shared" ref="D131:D194" si="9">CONCATENATE(A131," : ",B131)</f>
        <v>C00183 : L-Valine</v>
      </c>
    </row>
    <row r="132" spans="1:4" x14ac:dyDescent="0.45">
      <c r="A132" t="s">
        <v>13494</v>
      </c>
      <c r="B132" s="9" t="s">
        <v>14220</v>
      </c>
      <c r="C132" s="19" t="str">
        <f>CONCATENATE(A132," : 1")</f>
        <v>C00185 : 1</v>
      </c>
      <c r="D132" s="21" t="str">
        <f t="shared" si="9"/>
        <v>C00185 : Cellobiose</v>
      </c>
    </row>
    <row r="133" spans="1:4" x14ac:dyDescent="0.45">
      <c r="A133" t="s">
        <v>13495</v>
      </c>
      <c r="B133" s="9" t="s">
        <v>14221</v>
      </c>
      <c r="C133" s="19" t="str">
        <f t="shared" ref="C133:C196" si="10">CONCATENATE(A133," : 1")</f>
        <v>C00186 : 1</v>
      </c>
      <c r="D133" s="21" t="str">
        <f t="shared" si="9"/>
        <v>C00186 : (S)-Lactate</v>
      </c>
    </row>
    <row r="134" spans="1:4" x14ac:dyDescent="0.45">
      <c r="A134" t="s">
        <v>12595</v>
      </c>
      <c r="B134" s="9" t="s">
        <v>14222</v>
      </c>
      <c r="C134" s="19" t="str">
        <f t="shared" si="10"/>
        <v>C00188 : 1</v>
      </c>
      <c r="D134" s="21" t="str">
        <f t="shared" si="9"/>
        <v>C00188 : L-Threonine</v>
      </c>
    </row>
    <row r="135" spans="1:4" x14ac:dyDescent="0.45">
      <c r="A135" t="s">
        <v>12801</v>
      </c>
      <c r="B135" s="7" t="s">
        <v>14223</v>
      </c>
      <c r="C135" s="19" t="str">
        <f t="shared" si="10"/>
        <v>C00189 : 1</v>
      </c>
      <c r="D135" s="21" t="str">
        <f t="shared" si="9"/>
        <v>C00189 : Ethanolamine</v>
      </c>
    </row>
    <row r="136" spans="1:4" x14ac:dyDescent="0.45">
      <c r="A136" t="s">
        <v>13496</v>
      </c>
      <c r="B136" s="7" t="s">
        <v>14224</v>
      </c>
      <c r="C136" s="19" t="str">
        <f t="shared" si="10"/>
        <v>C00192 : 1</v>
      </c>
      <c r="D136" s="21" t="str">
        <f t="shared" si="9"/>
        <v>C00192 : Hydroxylamine</v>
      </c>
    </row>
    <row r="137" spans="1:4" x14ac:dyDescent="0.45">
      <c r="A137" t="s">
        <v>13497</v>
      </c>
      <c r="B137" s="9" t="s">
        <v>14225</v>
      </c>
      <c r="C137" s="19" t="str">
        <f t="shared" si="10"/>
        <v>C00194 : 1</v>
      </c>
      <c r="D137" s="21" t="str">
        <f t="shared" si="9"/>
        <v>C00194 : Cobamide coenzyme</v>
      </c>
    </row>
    <row r="138" spans="1:4" x14ac:dyDescent="0.45">
      <c r="A138" t="s">
        <v>13001</v>
      </c>
      <c r="B138" s="9" t="s">
        <v>14226</v>
      </c>
      <c r="C138" s="19" t="str">
        <f t="shared" si="10"/>
        <v>C00197 : 1</v>
      </c>
      <c r="D138" s="21" t="str">
        <f t="shared" si="9"/>
        <v>C00197 : 3-Phospho-D-glycerate</v>
      </c>
    </row>
    <row r="139" spans="1:4" x14ac:dyDescent="0.45">
      <c r="A139" t="s">
        <v>12615</v>
      </c>
      <c r="B139" s="9" t="s">
        <v>14227</v>
      </c>
      <c r="C139" s="19" t="str">
        <f t="shared" si="10"/>
        <v>C00199 : 1</v>
      </c>
      <c r="D139" s="21" t="str">
        <f t="shared" si="9"/>
        <v>C00199 : D-Ribulose 5-phosphate</v>
      </c>
    </row>
    <row r="140" spans="1:4" x14ac:dyDescent="0.45">
      <c r="A140" t="s">
        <v>11943</v>
      </c>
      <c r="B140" s="9" t="s">
        <v>14228</v>
      </c>
      <c r="C140" s="19" t="str">
        <f t="shared" si="10"/>
        <v>C00201 : 1</v>
      </c>
      <c r="D140" s="21" t="str">
        <f t="shared" si="9"/>
        <v>C00201 : NTP</v>
      </c>
    </row>
    <row r="141" spans="1:4" x14ac:dyDescent="0.45">
      <c r="A141" t="s">
        <v>12926</v>
      </c>
      <c r="B141" s="9" t="s">
        <v>14229</v>
      </c>
      <c r="C141" s="19" t="str">
        <f t="shared" si="10"/>
        <v>C00203 : 1</v>
      </c>
      <c r="D141" s="21" t="str">
        <f t="shared" si="9"/>
        <v>C00203 : UDP-N-acetyl-D-galactosamine</v>
      </c>
    </row>
    <row r="142" spans="1:4" x14ac:dyDescent="0.45">
      <c r="A142" t="s">
        <v>13498</v>
      </c>
      <c r="B142" s="9" t="s">
        <v>14230</v>
      </c>
      <c r="C142" s="19" t="str">
        <f t="shared" si="10"/>
        <v>C00206 : 1</v>
      </c>
      <c r="D142" s="21" t="str">
        <f t="shared" si="9"/>
        <v>C00206 : dADP</v>
      </c>
    </row>
    <row r="143" spans="1:4" x14ac:dyDescent="0.45">
      <c r="A143" t="s">
        <v>13499</v>
      </c>
      <c r="B143" s="9" t="s">
        <v>14231</v>
      </c>
      <c r="C143" s="19" t="str">
        <f t="shared" si="10"/>
        <v>C00208 : 1</v>
      </c>
      <c r="D143" s="21" t="str">
        <f t="shared" si="9"/>
        <v>C00208 : Maltose</v>
      </c>
    </row>
    <row r="144" spans="1:4" x14ac:dyDescent="0.45">
      <c r="A144" t="s">
        <v>13500</v>
      </c>
      <c r="B144" s="9" t="s">
        <v>14232</v>
      </c>
      <c r="C144" s="19" t="str">
        <f t="shared" si="10"/>
        <v>C00212 : 1</v>
      </c>
      <c r="D144" s="21" t="str">
        <f t="shared" si="9"/>
        <v>C00212 : Adenosine</v>
      </c>
    </row>
    <row r="145" spans="1:4" x14ac:dyDescent="0.45">
      <c r="A145" t="s">
        <v>13501</v>
      </c>
      <c r="B145" s="9" t="s">
        <v>14233</v>
      </c>
      <c r="C145" s="19" t="str">
        <f t="shared" si="10"/>
        <v>C00213 : 1</v>
      </c>
      <c r="D145" s="21" t="str">
        <f t="shared" si="9"/>
        <v>C00213 : Sarcosine</v>
      </c>
    </row>
    <row r="146" spans="1:4" x14ac:dyDescent="0.45">
      <c r="A146" t="s">
        <v>13502</v>
      </c>
      <c r="B146" s="9" t="s">
        <v>14234</v>
      </c>
      <c r="C146" s="19" t="str">
        <f t="shared" si="10"/>
        <v>C00214 : 1</v>
      </c>
      <c r="D146" s="21" t="str">
        <f t="shared" si="9"/>
        <v>C00214 : Thymidine</v>
      </c>
    </row>
    <row r="147" spans="1:4" x14ac:dyDescent="0.45">
      <c r="A147" t="s">
        <v>12892</v>
      </c>
      <c r="B147" s="9" t="s">
        <v>14235</v>
      </c>
      <c r="C147" s="19" t="str">
        <f t="shared" si="10"/>
        <v>C00217 : 1</v>
      </c>
      <c r="D147" s="21" t="str">
        <f t="shared" si="9"/>
        <v>C00217 : D-Glutamate</v>
      </c>
    </row>
    <row r="148" spans="1:4" x14ac:dyDescent="0.45">
      <c r="A148" t="s">
        <v>13503</v>
      </c>
      <c r="B148" s="9" t="s">
        <v>14236</v>
      </c>
      <c r="C148" s="19" t="str">
        <f t="shared" si="10"/>
        <v>C00218 : 1</v>
      </c>
      <c r="D148" s="21" t="str">
        <f t="shared" si="9"/>
        <v>C00218 : Methylamine</v>
      </c>
    </row>
    <row r="149" spans="1:4" x14ac:dyDescent="0.45">
      <c r="A149" t="s">
        <v>13504</v>
      </c>
      <c r="B149" s="9" t="s">
        <v>14237</v>
      </c>
      <c r="C149" s="19" t="str">
        <f t="shared" si="10"/>
        <v>C00226 : 1</v>
      </c>
      <c r="D149" s="21" t="str">
        <f t="shared" si="9"/>
        <v>C00226 : Primary alcohol</v>
      </c>
    </row>
    <row r="150" spans="1:4" x14ac:dyDescent="0.45">
      <c r="A150" t="s">
        <v>13505</v>
      </c>
      <c r="B150" s="9" t="s">
        <v>14238</v>
      </c>
      <c r="C150" s="19" t="str">
        <f t="shared" si="10"/>
        <v>C00227 : 1</v>
      </c>
      <c r="D150" s="21" t="str">
        <f t="shared" si="9"/>
        <v>C00227 : Acetyl phosphate</v>
      </c>
    </row>
    <row r="151" spans="1:4" x14ac:dyDescent="0.45">
      <c r="A151" t="s">
        <v>13506</v>
      </c>
      <c r="B151" s="9" t="s">
        <v>14239</v>
      </c>
      <c r="C151" s="19" t="str">
        <f t="shared" si="10"/>
        <v>C00229 : 1</v>
      </c>
      <c r="D151" s="21" t="str">
        <f t="shared" si="9"/>
        <v>C00229 : Acyl-carrier protein</v>
      </c>
    </row>
    <row r="152" spans="1:4" x14ac:dyDescent="0.45">
      <c r="A152" t="s">
        <v>12904</v>
      </c>
      <c r="B152" s="9" t="s">
        <v>14240</v>
      </c>
      <c r="C152" s="19" t="str">
        <f t="shared" si="10"/>
        <v>C00231 : 1</v>
      </c>
      <c r="D152" s="21" t="str">
        <f t="shared" si="9"/>
        <v>C00231 : D-Xylulose 5-phosphate</v>
      </c>
    </row>
    <row r="153" spans="1:4" x14ac:dyDescent="0.45">
      <c r="A153" t="s">
        <v>13507</v>
      </c>
      <c r="B153" s="9" t="s">
        <v>14241</v>
      </c>
      <c r="C153" s="19" t="str">
        <f t="shared" si="10"/>
        <v>C00233 : 1</v>
      </c>
      <c r="D153" s="21" t="str">
        <f t="shared" si="9"/>
        <v>C00233 : 4-Methyl-2-oxopentanoate</v>
      </c>
    </row>
    <row r="154" spans="1:4" x14ac:dyDescent="0.45">
      <c r="A154" t="s">
        <v>13508</v>
      </c>
      <c r="B154" s="9" t="s">
        <v>14242</v>
      </c>
      <c r="C154" s="19" t="str">
        <f t="shared" si="10"/>
        <v>C00234 : 1</v>
      </c>
      <c r="D154" s="21" t="str">
        <f t="shared" si="9"/>
        <v>C00234 : 10-Formyltetrahydrofolate</v>
      </c>
    </row>
    <row r="155" spans="1:4" x14ac:dyDescent="0.45">
      <c r="A155" t="s">
        <v>13509</v>
      </c>
      <c r="B155" s="9" t="s">
        <v>14243</v>
      </c>
      <c r="C155" s="19" t="str">
        <f t="shared" si="10"/>
        <v>C00235 : 1</v>
      </c>
      <c r="D155" s="21" t="str">
        <f t="shared" si="9"/>
        <v>C00235 : Dimethylallyl diphosphate</v>
      </c>
    </row>
    <row r="156" spans="1:4" x14ac:dyDescent="0.45">
      <c r="A156" t="s">
        <v>13510</v>
      </c>
      <c r="B156" s="9" t="s">
        <v>14244</v>
      </c>
      <c r="C156" s="19" t="str">
        <f t="shared" si="10"/>
        <v>C00236 : 1</v>
      </c>
      <c r="D156" s="21" t="str">
        <f t="shared" si="9"/>
        <v>C00236 : 3-Phospho-D-glyceroyl phosphate</v>
      </c>
    </row>
    <row r="157" spans="1:4" x14ac:dyDescent="0.45">
      <c r="A157" t="s">
        <v>13511</v>
      </c>
      <c r="B157" s="9" t="s">
        <v>14245</v>
      </c>
      <c r="C157" s="19" t="str">
        <f t="shared" si="10"/>
        <v>C00237 : 1</v>
      </c>
      <c r="D157" s="21" t="str">
        <f t="shared" si="9"/>
        <v>C00237 : Carbon monoxide</v>
      </c>
    </row>
    <row r="158" spans="1:4" x14ac:dyDescent="0.45">
      <c r="A158" t="s">
        <v>13512</v>
      </c>
      <c r="B158" s="9" t="s">
        <v>14246</v>
      </c>
      <c r="C158" s="19" t="str">
        <f t="shared" si="10"/>
        <v>C00239 : 1</v>
      </c>
      <c r="D158" s="21" t="str">
        <f t="shared" si="9"/>
        <v>C00239 : dCMP</v>
      </c>
    </row>
    <row r="159" spans="1:4" x14ac:dyDescent="0.45">
      <c r="A159" t="s">
        <v>13513</v>
      </c>
      <c r="B159" s="9" t="s">
        <v>56</v>
      </c>
      <c r="C159" s="19" t="str">
        <f t="shared" si="10"/>
        <v>C00240 : 1</v>
      </c>
      <c r="D159" s="21" t="str">
        <f t="shared" si="9"/>
        <v>C00240 : rRNA</v>
      </c>
    </row>
    <row r="160" spans="1:4" x14ac:dyDescent="0.45">
      <c r="A160" t="s">
        <v>13514</v>
      </c>
      <c r="B160" s="9" t="s">
        <v>14247</v>
      </c>
      <c r="C160" s="19" t="str">
        <f t="shared" si="10"/>
        <v>C00241 : 1</v>
      </c>
      <c r="D160" s="21" t="str">
        <f t="shared" si="9"/>
        <v>C00241 : Amide</v>
      </c>
    </row>
    <row r="161" spans="1:4" x14ac:dyDescent="0.45">
      <c r="A161" t="s">
        <v>13515</v>
      </c>
      <c r="B161" s="9" t="s">
        <v>14248</v>
      </c>
      <c r="C161" s="19" t="str">
        <f t="shared" si="10"/>
        <v>C00242 : 1</v>
      </c>
      <c r="D161" s="21" t="str">
        <f t="shared" si="9"/>
        <v>C00242 : Guanine</v>
      </c>
    </row>
    <row r="162" spans="1:4" x14ac:dyDescent="0.45">
      <c r="A162" t="s">
        <v>13516</v>
      </c>
      <c r="B162" s="9" t="s">
        <v>14249</v>
      </c>
      <c r="C162" s="19" t="str">
        <f t="shared" si="10"/>
        <v>C00245 : 1</v>
      </c>
      <c r="D162" s="21" t="str">
        <f t="shared" si="9"/>
        <v>C00245 : Taurine</v>
      </c>
    </row>
    <row r="163" spans="1:4" x14ac:dyDescent="0.45">
      <c r="A163" t="s">
        <v>13517</v>
      </c>
      <c r="B163" s="9" t="s">
        <v>17746</v>
      </c>
      <c r="C163" s="19" t="str">
        <f t="shared" si="10"/>
        <v>C00246 : 1</v>
      </c>
      <c r="D163" s="21" t="str">
        <f t="shared" si="9"/>
        <v>C00246 : Butanoate</v>
      </c>
    </row>
    <row r="164" spans="1:4" x14ac:dyDescent="0.45">
      <c r="A164" t="s">
        <v>13518</v>
      </c>
      <c r="B164" s="9" t="s">
        <v>14250</v>
      </c>
      <c r="C164" s="19" t="str">
        <f t="shared" si="10"/>
        <v>C00248 : 1</v>
      </c>
      <c r="D164" s="21" t="str">
        <f t="shared" si="9"/>
        <v>C00248 : Lipoamide</v>
      </c>
    </row>
    <row r="165" spans="1:4" x14ac:dyDescent="0.45">
      <c r="A165" t="s">
        <v>13519</v>
      </c>
      <c r="B165" s="9" t="s">
        <v>14251</v>
      </c>
      <c r="C165" s="19" t="str">
        <f t="shared" si="10"/>
        <v>C00250 : 1</v>
      </c>
      <c r="D165" s="21" t="str">
        <f t="shared" si="9"/>
        <v>C00250 : Pyridoxal</v>
      </c>
    </row>
    <row r="166" spans="1:4" x14ac:dyDescent="0.45">
      <c r="A166" t="s">
        <v>13520</v>
      </c>
      <c r="B166" s="9" t="s">
        <v>14252</v>
      </c>
      <c r="C166" s="19" t="str">
        <f t="shared" si="10"/>
        <v>C00251 : 1</v>
      </c>
      <c r="D166" s="21" t="str">
        <f t="shared" si="9"/>
        <v>C00251 : Chorismate</v>
      </c>
    </row>
    <row r="167" spans="1:4" x14ac:dyDescent="0.45">
      <c r="A167" t="s">
        <v>13521</v>
      </c>
      <c r="B167" s="9" t="s">
        <v>14253</v>
      </c>
      <c r="C167" s="19" t="str">
        <f t="shared" si="10"/>
        <v>C00253 : 1</v>
      </c>
      <c r="D167" s="21" t="str">
        <f t="shared" si="9"/>
        <v>C00253 : Nicotinate</v>
      </c>
    </row>
    <row r="168" spans="1:4" x14ac:dyDescent="0.45">
      <c r="A168" t="s">
        <v>12696</v>
      </c>
      <c r="B168" s="9" t="s">
        <v>14254</v>
      </c>
      <c r="C168" s="19" t="str">
        <f t="shared" si="10"/>
        <v>C00254 : 1</v>
      </c>
      <c r="D168" s="21" t="str">
        <f t="shared" si="9"/>
        <v>C00254 : Prephenate</v>
      </c>
    </row>
    <row r="169" spans="1:4" x14ac:dyDescent="0.45">
      <c r="A169" t="s">
        <v>13522</v>
      </c>
      <c r="B169" s="9" t="s">
        <v>14255</v>
      </c>
      <c r="C169" s="19" t="str">
        <f t="shared" si="10"/>
        <v>C00255 : 1</v>
      </c>
      <c r="D169" s="21" t="str">
        <f t="shared" si="9"/>
        <v>C00255 : Riboflavin</v>
      </c>
    </row>
    <row r="170" spans="1:4" x14ac:dyDescent="0.45">
      <c r="A170" t="s">
        <v>13523</v>
      </c>
      <c r="B170" s="9" t="s">
        <v>14256</v>
      </c>
      <c r="C170" s="19" t="str">
        <f t="shared" si="10"/>
        <v>C00256 : 1</v>
      </c>
      <c r="D170" s="21" t="str">
        <f t="shared" si="9"/>
        <v>C00256 : (R)-Lactate</v>
      </c>
    </row>
    <row r="171" spans="1:4" x14ac:dyDescent="0.45">
      <c r="A171" t="s">
        <v>13524</v>
      </c>
      <c r="B171" s="7" t="s">
        <v>14257</v>
      </c>
      <c r="C171" s="19" t="str">
        <f t="shared" si="10"/>
        <v>C00258 : 1</v>
      </c>
      <c r="D171" s="21" t="str">
        <f t="shared" si="9"/>
        <v>C00258 : D-Glycerate</v>
      </c>
    </row>
    <row r="172" spans="1:4" x14ac:dyDescent="0.45">
      <c r="A172" t="s">
        <v>13525</v>
      </c>
      <c r="B172" s="7" t="s">
        <v>14258</v>
      </c>
      <c r="C172" s="19" t="str">
        <f t="shared" si="10"/>
        <v>C00262 : 1</v>
      </c>
      <c r="D172" s="21" t="str">
        <f t="shared" si="9"/>
        <v>C00262 : Hypoxanthine</v>
      </c>
    </row>
    <row r="173" spans="1:4" x14ac:dyDescent="0.45">
      <c r="A173" t="s">
        <v>13526</v>
      </c>
      <c r="B173" s="9" t="s">
        <v>14259</v>
      </c>
      <c r="C173" s="19" t="str">
        <f t="shared" si="10"/>
        <v>C00263 : 1</v>
      </c>
      <c r="D173" s="21" t="str">
        <f t="shared" si="9"/>
        <v>C00263 : L-Homoserine</v>
      </c>
    </row>
    <row r="174" spans="1:4" x14ac:dyDescent="0.45">
      <c r="A174" t="s">
        <v>13527</v>
      </c>
      <c r="B174" s="7" t="s">
        <v>14260</v>
      </c>
      <c r="C174" s="19" t="str">
        <f t="shared" si="10"/>
        <v>C00266 : 1</v>
      </c>
      <c r="D174" s="21" t="str">
        <f t="shared" si="9"/>
        <v>C00266 : Glycolaldehyde</v>
      </c>
    </row>
    <row r="175" spans="1:4" x14ac:dyDescent="0.45">
      <c r="A175" t="s">
        <v>12242</v>
      </c>
      <c r="B175" s="7" t="s">
        <v>14261</v>
      </c>
      <c r="C175" s="19" t="str">
        <f t="shared" si="10"/>
        <v>C00267 : 1</v>
      </c>
      <c r="D175" s="21" t="str">
        <f t="shared" si="9"/>
        <v>C00267 : alpha-D-Glucose</v>
      </c>
    </row>
    <row r="176" spans="1:4" x14ac:dyDescent="0.45">
      <c r="A176" t="s">
        <v>13528</v>
      </c>
      <c r="B176" s="7" t="s">
        <v>14262</v>
      </c>
      <c r="C176" s="19" t="str">
        <f t="shared" si="10"/>
        <v>C00269 : 1</v>
      </c>
      <c r="D176" s="21" t="str">
        <f t="shared" si="9"/>
        <v>C00269 : CDP-diacylglycerol</v>
      </c>
    </row>
    <row r="177" spans="1:4" x14ac:dyDescent="0.45">
      <c r="A177" t="s">
        <v>12611</v>
      </c>
      <c r="B177" s="7" t="s">
        <v>14263</v>
      </c>
      <c r="C177" s="19" t="str">
        <f t="shared" si="10"/>
        <v>C00270 : 1</v>
      </c>
      <c r="D177" s="21" t="str">
        <f t="shared" si="9"/>
        <v>C00270 : N-Acetylneuraminate</v>
      </c>
    </row>
    <row r="178" spans="1:4" x14ac:dyDescent="0.45">
      <c r="A178" t="s">
        <v>13529</v>
      </c>
      <c r="B178" s="7" t="s">
        <v>14264</v>
      </c>
      <c r="C178" s="19" t="str">
        <f t="shared" si="10"/>
        <v>C00272 : 1</v>
      </c>
      <c r="D178" s="21" t="str">
        <f t="shared" si="9"/>
        <v>C00272 : Tetrahydrobiopterin</v>
      </c>
    </row>
    <row r="179" spans="1:4" x14ac:dyDescent="0.45">
      <c r="A179" t="s">
        <v>12977</v>
      </c>
      <c r="B179" s="7" t="s">
        <v>14265</v>
      </c>
      <c r="C179" s="19" t="str">
        <f t="shared" si="10"/>
        <v>C00275 : 1</v>
      </c>
      <c r="D179" s="21" t="str">
        <f t="shared" si="9"/>
        <v>C00275 : D-Mannose 6-phosphate</v>
      </c>
    </row>
    <row r="180" spans="1:4" x14ac:dyDescent="0.45">
      <c r="A180" t="s">
        <v>13530</v>
      </c>
      <c r="B180" s="7" t="s">
        <v>14266</v>
      </c>
      <c r="C180" s="19" t="str">
        <f t="shared" si="10"/>
        <v>C00279 : 1</v>
      </c>
      <c r="D180" s="21" t="str">
        <f t="shared" si="9"/>
        <v>C00279 : D-Erythrose 4-phosphate</v>
      </c>
    </row>
    <row r="181" spans="1:4" x14ac:dyDescent="0.45">
      <c r="A181" t="s">
        <v>13531</v>
      </c>
      <c r="B181" s="7" t="s">
        <v>14267</v>
      </c>
      <c r="C181" s="19" t="str">
        <f t="shared" si="10"/>
        <v>C00283 : 1</v>
      </c>
      <c r="D181" s="21" t="str">
        <f t="shared" si="9"/>
        <v>C00283 : Hydrogen sulfide</v>
      </c>
    </row>
    <row r="182" spans="1:4" x14ac:dyDescent="0.45">
      <c r="A182" t="s">
        <v>13532</v>
      </c>
      <c r="B182" s="7" t="s">
        <v>14268</v>
      </c>
      <c r="C182" s="19" t="str">
        <f t="shared" si="10"/>
        <v>C00286 : 1</v>
      </c>
      <c r="D182" s="21" t="str">
        <f t="shared" si="9"/>
        <v>C00286 : dGTP</v>
      </c>
    </row>
    <row r="183" spans="1:4" x14ac:dyDescent="0.45">
      <c r="A183" t="s">
        <v>13533</v>
      </c>
      <c r="B183" s="7" t="s">
        <v>14269</v>
      </c>
      <c r="C183" s="19" t="str">
        <f t="shared" si="10"/>
        <v>C00288 : 1</v>
      </c>
      <c r="D183" s="21" t="str">
        <f t="shared" si="9"/>
        <v>C00288 : Bicarbonate</v>
      </c>
    </row>
    <row r="184" spans="1:4" x14ac:dyDescent="0.45">
      <c r="A184" t="s">
        <v>13534</v>
      </c>
      <c r="B184" s="7" t="s">
        <v>14270</v>
      </c>
      <c r="C184" s="19" t="str">
        <f t="shared" si="10"/>
        <v>C00294 : 1</v>
      </c>
      <c r="D184" s="21" t="str">
        <f t="shared" si="9"/>
        <v>C00294 : Inosine</v>
      </c>
    </row>
    <row r="185" spans="1:4" x14ac:dyDescent="0.45">
      <c r="A185" t="s">
        <v>13535</v>
      </c>
      <c r="B185" s="7" t="s">
        <v>14271</v>
      </c>
      <c r="C185" s="19" t="str">
        <f t="shared" si="10"/>
        <v>C00295 : 1</v>
      </c>
      <c r="D185" s="21" t="str">
        <f t="shared" si="9"/>
        <v>C00295 : Orotate</v>
      </c>
    </row>
    <row r="186" spans="1:4" x14ac:dyDescent="0.45">
      <c r="A186" t="s">
        <v>13536</v>
      </c>
      <c r="B186" s="7" t="s">
        <v>14272</v>
      </c>
      <c r="C186" s="19" t="str">
        <f t="shared" si="10"/>
        <v>C00299 : 1</v>
      </c>
      <c r="D186" s="21" t="str">
        <f t="shared" si="9"/>
        <v>C00299 : Uridine</v>
      </c>
    </row>
    <row r="187" spans="1:4" x14ac:dyDescent="0.45">
      <c r="A187" t="s">
        <v>12966</v>
      </c>
      <c r="B187" s="7" t="s">
        <v>14273</v>
      </c>
      <c r="C187" s="19" t="str">
        <f t="shared" si="10"/>
        <v>C00310 : 1</v>
      </c>
      <c r="D187" s="21" t="str">
        <f t="shared" si="9"/>
        <v>C00310 : D-Xylulose</v>
      </c>
    </row>
    <row r="188" spans="1:4" x14ac:dyDescent="0.45">
      <c r="A188" t="s">
        <v>12676</v>
      </c>
      <c r="B188" s="7" t="s">
        <v>14274</v>
      </c>
      <c r="C188" s="19" t="str">
        <f t="shared" si="10"/>
        <v>C00311 : 1</v>
      </c>
      <c r="D188" s="21" t="str">
        <f t="shared" si="9"/>
        <v>C00311 : Isocitrate</v>
      </c>
    </row>
    <row r="189" spans="1:4" x14ac:dyDescent="0.45">
      <c r="A189" t="s">
        <v>13537</v>
      </c>
      <c r="B189" s="7" t="s">
        <v>14275</v>
      </c>
      <c r="C189" s="19" t="str">
        <f t="shared" si="10"/>
        <v>C00314 : 1</v>
      </c>
      <c r="D189" s="21" t="str">
        <f t="shared" si="9"/>
        <v>C00314 : Pyridoxine</v>
      </c>
    </row>
    <row r="190" spans="1:4" x14ac:dyDescent="0.45">
      <c r="A190" t="s">
        <v>13538</v>
      </c>
      <c r="B190" s="7" t="s">
        <v>14276</v>
      </c>
      <c r="C190" s="19" t="str">
        <f t="shared" si="10"/>
        <v>C00315 : 1</v>
      </c>
      <c r="D190" s="21" t="str">
        <f t="shared" si="9"/>
        <v>C00315 : Spermidine</v>
      </c>
    </row>
    <row r="191" spans="1:4" x14ac:dyDescent="0.45">
      <c r="A191" t="s">
        <v>13539</v>
      </c>
      <c r="B191" s="7" t="s">
        <v>14277</v>
      </c>
      <c r="C191" s="19" t="str">
        <f t="shared" si="10"/>
        <v>C00320 : 1</v>
      </c>
      <c r="D191" s="21" t="str">
        <f t="shared" si="9"/>
        <v>C00320 : Thiosulfate</v>
      </c>
    </row>
    <row r="192" spans="1:4" x14ac:dyDescent="0.45">
      <c r="A192" t="s">
        <v>13540</v>
      </c>
      <c r="B192" s="7" t="s">
        <v>14278</v>
      </c>
      <c r="C192" s="19" t="str">
        <f t="shared" si="10"/>
        <v>C00327 : 1</v>
      </c>
      <c r="D192" s="21" t="str">
        <f t="shared" si="9"/>
        <v>C00327 : L-Citrulline</v>
      </c>
    </row>
    <row r="193" spans="1:4" x14ac:dyDescent="0.45">
      <c r="A193" t="s">
        <v>13541</v>
      </c>
      <c r="B193" s="7" t="s">
        <v>14279</v>
      </c>
      <c r="C193" s="19" t="str">
        <f t="shared" si="10"/>
        <v>C00330 : 1</v>
      </c>
      <c r="D193" s="21" t="str">
        <f t="shared" si="9"/>
        <v>C00330 : Deoxyguanosine</v>
      </c>
    </row>
    <row r="194" spans="1:4" x14ac:dyDescent="0.45">
      <c r="A194" t="s">
        <v>13542</v>
      </c>
      <c r="B194" s="7" t="s">
        <v>14280</v>
      </c>
      <c r="C194" s="19" t="str">
        <f t="shared" si="10"/>
        <v>C00331 : 1</v>
      </c>
      <c r="D194" s="21" t="str">
        <f t="shared" si="9"/>
        <v>C00331 : Indolepyruvate</v>
      </c>
    </row>
    <row r="195" spans="1:4" x14ac:dyDescent="0.45">
      <c r="A195" t="s">
        <v>13543</v>
      </c>
      <c r="B195" s="7" t="s">
        <v>14281</v>
      </c>
      <c r="C195" s="19" t="str">
        <f t="shared" si="10"/>
        <v>C00332 : 1</v>
      </c>
      <c r="D195" s="21" t="str">
        <f t="shared" ref="D195:D258" si="11">CONCATENATE(A195," : ",B195)</f>
        <v>C00332 : Acetoacetyl-CoA</v>
      </c>
    </row>
    <row r="196" spans="1:4" x14ac:dyDescent="0.45">
      <c r="A196" t="s">
        <v>13544</v>
      </c>
      <c r="B196" s="7" t="s">
        <v>14282</v>
      </c>
      <c r="C196" s="19" t="str">
        <f t="shared" si="10"/>
        <v>C00337 : 1</v>
      </c>
      <c r="D196" s="21" t="str">
        <f t="shared" si="11"/>
        <v>C00337 : (S)-Dihydroorotate</v>
      </c>
    </row>
    <row r="197" spans="1:4" x14ac:dyDescent="0.45">
      <c r="A197" t="s">
        <v>13545</v>
      </c>
      <c r="B197" s="7" t="s">
        <v>14283</v>
      </c>
      <c r="C197" s="19" t="str">
        <f t="shared" ref="C197:C216" si="12">CONCATENATE(A197," : 1")</f>
        <v>C00342 : 1</v>
      </c>
      <c r="D197" s="21" t="str">
        <f t="shared" si="11"/>
        <v>C00342 : Thioredoxin</v>
      </c>
    </row>
    <row r="198" spans="1:4" x14ac:dyDescent="0.45">
      <c r="A198" t="s">
        <v>13546</v>
      </c>
      <c r="B198" s="7" t="s">
        <v>14284</v>
      </c>
      <c r="C198" s="19" t="str">
        <f t="shared" si="12"/>
        <v>C00343 : 1</v>
      </c>
      <c r="D198" s="21" t="str">
        <f t="shared" si="11"/>
        <v>C00343 : Thioredoxin disulfide</v>
      </c>
    </row>
    <row r="199" spans="1:4" x14ac:dyDescent="0.45">
      <c r="A199" t="s">
        <v>12997</v>
      </c>
      <c r="B199" s="7" t="s">
        <v>14285</v>
      </c>
      <c r="C199" s="19" t="str">
        <f t="shared" si="12"/>
        <v>C00352 : 1</v>
      </c>
      <c r="D199" s="21" t="str">
        <f t="shared" si="11"/>
        <v>C00352 : D-Glucosamine 6-phosphate</v>
      </c>
    </row>
    <row r="200" spans="1:4" x14ac:dyDescent="0.45">
      <c r="A200" t="s">
        <v>12563</v>
      </c>
      <c r="B200" s="7" t="s">
        <v>14286</v>
      </c>
      <c r="C200" s="19" t="str">
        <f t="shared" si="12"/>
        <v>C00354 : 1</v>
      </c>
      <c r="D200" s="21" t="str">
        <f t="shared" si="11"/>
        <v>C00354 : D-Fructose 1,6-bisphosphate</v>
      </c>
    </row>
    <row r="201" spans="1:4" x14ac:dyDescent="0.45">
      <c r="A201" t="s">
        <v>12939</v>
      </c>
      <c r="B201" s="7" t="s">
        <v>14287</v>
      </c>
      <c r="C201" s="19" t="str">
        <f t="shared" si="12"/>
        <v>C00357 : 1</v>
      </c>
      <c r="D201" s="21" t="str">
        <f t="shared" si="11"/>
        <v>C00357 : N-Acetyl-D-glucosamine 6-phosphate</v>
      </c>
    </row>
    <row r="202" spans="1:4" x14ac:dyDescent="0.45">
      <c r="A202" t="s">
        <v>13547</v>
      </c>
      <c r="B202" s="7" t="s">
        <v>14288</v>
      </c>
      <c r="C202" s="19" t="str">
        <f t="shared" si="12"/>
        <v>C00360 : 1</v>
      </c>
      <c r="D202" s="21" t="str">
        <f t="shared" si="11"/>
        <v>C00360 : dAMP</v>
      </c>
    </row>
    <row r="203" spans="1:4" x14ac:dyDescent="0.45">
      <c r="A203" t="s">
        <v>13548</v>
      </c>
      <c r="B203" s="7" t="s">
        <v>14289</v>
      </c>
      <c r="C203" s="19" t="str">
        <f t="shared" si="12"/>
        <v>C00361 : 1</v>
      </c>
      <c r="D203" s="21" t="str">
        <f t="shared" si="11"/>
        <v>C00361 : dGDP</v>
      </c>
    </row>
    <row r="204" spans="1:4" x14ac:dyDescent="0.45">
      <c r="A204" t="s">
        <v>13549</v>
      </c>
      <c r="B204" s="7" t="s">
        <v>14290</v>
      </c>
      <c r="C204" s="19" t="str">
        <f t="shared" si="12"/>
        <v>C00362 : 1</v>
      </c>
      <c r="D204" s="21" t="str">
        <f t="shared" si="11"/>
        <v>C00362 : dGMP</v>
      </c>
    </row>
    <row r="205" spans="1:4" x14ac:dyDescent="0.45">
      <c r="A205" t="s">
        <v>13550</v>
      </c>
      <c r="B205" s="7" t="s">
        <v>14291</v>
      </c>
      <c r="C205" s="19" t="str">
        <f t="shared" si="12"/>
        <v>C00363 : 1</v>
      </c>
      <c r="D205" s="21" t="str">
        <f t="shared" si="11"/>
        <v>C00363 : dTDP</v>
      </c>
    </row>
    <row r="206" spans="1:4" x14ac:dyDescent="0.45">
      <c r="A206" t="s">
        <v>13551</v>
      </c>
      <c r="B206" s="7" t="s">
        <v>14292</v>
      </c>
      <c r="C206" s="19" t="str">
        <f t="shared" si="12"/>
        <v>C00364 : 1</v>
      </c>
      <c r="D206" s="21" t="str">
        <f t="shared" si="11"/>
        <v>C00364 : dTMP</v>
      </c>
    </row>
    <row r="207" spans="1:4" x14ac:dyDescent="0.45">
      <c r="A207" t="s">
        <v>13552</v>
      </c>
      <c r="B207" s="7" t="s">
        <v>14293</v>
      </c>
      <c r="C207" s="19" t="str">
        <f t="shared" si="12"/>
        <v>C00365 : 1</v>
      </c>
      <c r="D207" s="21" t="str">
        <f t="shared" si="11"/>
        <v>C00365 : dUMP</v>
      </c>
    </row>
    <row r="208" spans="1:4" x14ac:dyDescent="0.45">
      <c r="A208" t="s">
        <v>13553</v>
      </c>
      <c r="B208" s="7" t="s">
        <v>14294</v>
      </c>
      <c r="C208" s="19" t="str">
        <f t="shared" si="12"/>
        <v>C00366 : 1</v>
      </c>
      <c r="D208" s="21" t="str">
        <f t="shared" si="11"/>
        <v>C00366 : Urate</v>
      </c>
    </row>
    <row r="209" spans="1:4" x14ac:dyDescent="0.45">
      <c r="A209" t="s">
        <v>13554</v>
      </c>
      <c r="B209" s="7" t="s">
        <v>14295</v>
      </c>
      <c r="C209" s="19" t="str">
        <f t="shared" si="12"/>
        <v>C00369 : 1</v>
      </c>
      <c r="D209" s="21" t="str">
        <f t="shared" si="11"/>
        <v>C00369 : Starch</v>
      </c>
    </row>
    <row r="210" spans="1:4" x14ac:dyDescent="0.45">
      <c r="A210" t="s">
        <v>13555</v>
      </c>
      <c r="B210" s="7" t="s">
        <v>14296</v>
      </c>
      <c r="C210" s="19" t="str">
        <f t="shared" si="12"/>
        <v>C00376 : 1</v>
      </c>
      <c r="D210" s="21" t="str">
        <f t="shared" si="11"/>
        <v>C00376 : Retinal</v>
      </c>
    </row>
    <row r="211" spans="1:4" x14ac:dyDescent="0.45">
      <c r="A211" t="s">
        <v>13556</v>
      </c>
      <c r="B211" s="7" t="s">
        <v>14297</v>
      </c>
      <c r="C211" s="19" t="str">
        <f t="shared" si="12"/>
        <v>C00378 : 1</v>
      </c>
      <c r="D211" s="21" t="str">
        <f t="shared" si="11"/>
        <v>C00378 : Thiamine</v>
      </c>
    </row>
    <row r="212" spans="1:4" x14ac:dyDescent="0.45">
      <c r="A212" t="s">
        <v>13557</v>
      </c>
      <c r="B212" s="7" t="s">
        <v>14298</v>
      </c>
      <c r="C212" s="19" t="str">
        <f t="shared" si="12"/>
        <v>C00380 : 1</v>
      </c>
      <c r="D212" s="21" t="str">
        <f t="shared" si="11"/>
        <v>C00380 : Cytosine</v>
      </c>
    </row>
    <row r="213" spans="1:4" x14ac:dyDescent="0.45">
      <c r="A213" t="s">
        <v>13558</v>
      </c>
      <c r="B213" s="7" t="s">
        <v>14299</v>
      </c>
      <c r="C213" s="19" t="str">
        <f t="shared" si="12"/>
        <v>C00385 : 1</v>
      </c>
      <c r="D213" s="21" t="str">
        <f t="shared" si="11"/>
        <v>C00385 : Xanthine</v>
      </c>
    </row>
    <row r="214" spans="1:4" x14ac:dyDescent="0.45">
      <c r="A214" t="s">
        <v>13559</v>
      </c>
      <c r="B214" s="7" t="s">
        <v>14300</v>
      </c>
      <c r="C214" s="19" t="str">
        <f t="shared" si="12"/>
        <v>C00387 : 1</v>
      </c>
      <c r="D214" s="21" t="str">
        <f t="shared" si="11"/>
        <v>C00387 : Guanosine</v>
      </c>
    </row>
    <row r="215" spans="1:4" x14ac:dyDescent="0.45">
      <c r="A215" t="s">
        <v>13560</v>
      </c>
      <c r="B215" s="7" t="s">
        <v>14301</v>
      </c>
      <c r="C215" s="19" t="str">
        <f t="shared" si="12"/>
        <v>C00395 : 1</v>
      </c>
      <c r="D215" s="21" t="str">
        <f t="shared" si="11"/>
        <v>C00395 : Penicillin</v>
      </c>
    </row>
    <row r="216" spans="1:4" x14ac:dyDescent="0.45">
      <c r="A216" t="s">
        <v>13561</v>
      </c>
      <c r="B216" s="7" t="s">
        <v>14302</v>
      </c>
      <c r="C216" s="19" t="str">
        <f t="shared" si="12"/>
        <v>C00396 : 1</v>
      </c>
      <c r="D216" s="21" t="str">
        <f t="shared" si="11"/>
        <v>C00396 : Pyrimidine</v>
      </c>
    </row>
    <row r="217" spans="1:4" x14ac:dyDescent="0.45">
      <c r="A217" t="s">
        <v>13403</v>
      </c>
      <c r="B217" s="7" t="s">
        <v>13404</v>
      </c>
      <c r="C217" s="19" t="str">
        <f>CONCATENATE(A217," : 1000")</f>
        <v>C00407 : 1000</v>
      </c>
      <c r="D217" s="21" t="str">
        <f t="shared" si="11"/>
        <v>C00407 : L-Isoleucine</v>
      </c>
    </row>
    <row r="218" spans="1:4" x14ac:dyDescent="0.45">
      <c r="A218" t="s">
        <v>13562</v>
      </c>
      <c r="B218" s="7" t="s">
        <v>14303</v>
      </c>
      <c r="C218" s="19" t="str">
        <f>CONCATENATE(A218," : 1")</f>
        <v>C00415 : 1</v>
      </c>
      <c r="D218" s="21" t="str">
        <f t="shared" si="11"/>
        <v>C00415 : Dihydrofolate</v>
      </c>
    </row>
    <row r="219" spans="1:4" x14ac:dyDescent="0.45">
      <c r="A219" t="s">
        <v>13563</v>
      </c>
      <c r="B219" s="7" t="s">
        <v>14304</v>
      </c>
      <c r="C219" s="19" t="str">
        <f t="shared" ref="C219:C282" si="13">CONCATENATE(A219," : 1")</f>
        <v>C00416 : 1</v>
      </c>
      <c r="D219" s="21" t="str">
        <f t="shared" si="11"/>
        <v>C00416 : Phosphatidate</v>
      </c>
    </row>
    <row r="220" spans="1:4" x14ac:dyDescent="0.45">
      <c r="A220" t="s">
        <v>13564</v>
      </c>
      <c r="B220" s="7" t="s">
        <v>14305</v>
      </c>
      <c r="C220" s="19" t="str">
        <f t="shared" si="13"/>
        <v>C00417 : 1</v>
      </c>
      <c r="D220" s="21" t="str">
        <f t="shared" si="11"/>
        <v>C00417 : cis-Aconitate</v>
      </c>
    </row>
    <row r="221" spans="1:4" x14ac:dyDescent="0.45">
      <c r="A221" t="s">
        <v>13565</v>
      </c>
      <c r="B221" s="7" t="s">
        <v>14306</v>
      </c>
      <c r="C221" s="19" t="str">
        <f t="shared" si="13"/>
        <v>C00418 : 1</v>
      </c>
      <c r="D221" s="21" t="str">
        <f t="shared" si="11"/>
        <v>C00418 : (R)-Mevalonate</v>
      </c>
    </row>
    <row r="222" spans="1:4" x14ac:dyDescent="0.45">
      <c r="A222" t="s">
        <v>13566</v>
      </c>
      <c r="B222" s="7" t="s">
        <v>14307</v>
      </c>
      <c r="C222" s="19" t="str">
        <f t="shared" si="13"/>
        <v>C00429 : 1</v>
      </c>
      <c r="D222" s="21" t="str">
        <f t="shared" si="11"/>
        <v>C00429 : 5,6-Dihydrouracil</v>
      </c>
    </row>
    <row r="223" spans="1:4" x14ac:dyDescent="0.45">
      <c r="A223" t="s">
        <v>12671</v>
      </c>
      <c r="B223" s="7" t="s">
        <v>14308</v>
      </c>
      <c r="C223" s="19" t="str">
        <f t="shared" si="13"/>
        <v>C00430 : 1</v>
      </c>
      <c r="D223" s="21" t="str">
        <f t="shared" si="11"/>
        <v>C00430 : 5-Aminolevulinate</v>
      </c>
    </row>
    <row r="224" spans="1:4" x14ac:dyDescent="0.45">
      <c r="A224" t="s">
        <v>10720</v>
      </c>
      <c r="B224" s="7" t="s">
        <v>14309</v>
      </c>
      <c r="C224" s="19" t="str">
        <f t="shared" si="13"/>
        <v>C00431 : 1</v>
      </c>
      <c r="D224" s="21" t="str">
        <f t="shared" si="11"/>
        <v>C00431 : 5-Aminopentanoate</v>
      </c>
    </row>
    <row r="225" spans="1:4" x14ac:dyDescent="0.45">
      <c r="A225" t="s">
        <v>13567</v>
      </c>
      <c r="B225" s="7" t="s">
        <v>14310</v>
      </c>
      <c r="C225" s="19" t="str">
        <f t="shared" si="13"/>
        <v>C00437 : 1</v>
      </c>
      <c r="D225" s="21" t="str">
        <f t="shared" si="11"/>
        <v>C00437 : N-Acetylornithine</v>
      </c>
    </row>
    <row r="226" spans="1:4" x14ac:dyDescent="0.45">
      <c r="A226" t="s">
        <v>12377</v>
      </c>
      <c r="B226" s="7" t="s">
        <v>14311</v>
      </c>
      <c r="C226" s="19" t="str">
        <f t="shared" si="13"/>
        <v>C00438 : 1</v>
      </c>
      <c r="D226" s="21" t="str">
        <f t="shared" si="11"/>
        <v>C00438 : N-Carbamoyl-L-aspartate</v>
      </c>
    </row>
    <row r="227" spans="1:4" x14ac:dyDescent="0.45">
      <c r="A227" t="s">
        <v>13568</v>
      </c>
      <c r="B227" s="7" t="s">
        <v>14312</v>
      </c>
      <c r="C227" s="19" t="str">
        <f t="shared" si="13"/>
        <v>C00440 : 1</v>
      </c>
      <c r="D227" s="21" t="str">
        <f t="shared" si="11"/>
        <v>C00440 : 5-Methyltetrahydrofolate</v>
      </c>
    </row>
    <row r="228" spans="1:4" x14ac:dyDescent="0.45">
      <c r="A228" t="s">
        <v>13569</v>
      </c>
      <c r="B228" s="7" t="s">
        <v>14313</v>
      </c>
      <c r="C228" s="19" t="str">
        <f t="shared" si="13"/>
        <v>C00441 : 1</v>
      </c>
      <c r="D228" s="21" t="str">
        <f t="shared" si="11"/>
        <v>C00441 : L-Aspartate 4-semialdehyde</v>
      </c>
    </row>
    <row r="229" spans="1:4" x14ac:dyDescent="0.45">
      <c r="A229" t="s">
        <v>13570</v>
      </c>
      <c r="B229" s="7" t="s">
        <v>14314</v>
      </c>
      <c r="C229" s="19" t="str">
        <f t="shared" si="13"/>
        <v>C00445 : 1</v>
      </c>
      <c r="D229" s="21" t="str">
        <f t="shared" si="11"/>
        <v>C00445 : 5,10-Methenyltetrahydrofolate</v>
      </c>
    </row>
    <row r="230" spans="1:4" x14ac:dyDescent="0.45">
      <c r="A230" t="s">
        <v>13571</v>
      </c>
      <c r="B230" s="7" t="s">
        <v>14315</v>
      </c>
      <c r="C230" s="19" t="str">
        <f t="shared" si="13"/>
        <v>C00446 : 1</v>
      </c>
      <c r="D230" s="21" t="str">
        <f t="shared" si="11"/>
        <v>C00446 : alpha-D-Galactose 1-phosphate</v>
      </c>
    </row>
    <row r="231" spans="1:4" x14ac:dyDescent="0.45">
      <c r="A231" t="s">
        <v>12568</v>
      </c>
      <c r="B231" s="7" t="s">
        <v>14316</v>
      </c>
      <c r="C231" s="19" t="str">
        <f t="shared" si="13"/>
        <v>C00447 : 1</v>
      </c>
      <c r="D231" s="21" t="str">
        <f t="shared" si="11"/>
        <v>C00447 : Sedoheptulose 1,7-bisphosphate</v>
      </c>
    </row>
    <row r="232" spans="1:4" x14ac:dyDescent="0.45">
      <c r="A232" t="s">
        <v>13572</v>
      </c>
      <c r="B232" s="7" t="s">
        <v>14317</v>
      </c>
      <c r="C232" s="19" t="str">
        <f t="shared" si="13"/>
        <v>C00454 : 1</v>
      </c>
      <c r="D232" s="21" t="str">
        <f t="shared" si="11"/>
        <v>C00454 : NDP</v>
      </c>
    </row>
    <row r="233" spans="1:4" x14ac:dyDescent="0.45">
      <c r="A233" t="s">
        <v>13573</v>
      </c>
      <c r="B233" s="7" t="s">
        <v>14318</v>
      </c>
      <c r="C233" s="19" t="str">
        <f t="shared" si="13"/>
        <v>C00455 : 1</v>
      </c>
      <c r="D233" s="21" t="str">
        <f t="shared" si="11"/>
        <v>C00455 : Nicotinamide D-ribonucleotide</v>
      </c>
    </row>
    <row r="234" spans="1:4" x14ac:dyDescent="0.45">
      <c r="A234" t="s">
        <v>13574</v>
      </c>
      <c r="B234" s="7" t="s">
        <v>14319</v>
      </c>
      <c r="C234" s="19" t="str">
        <f t="shared" si="13"/>
        <v>C00458 : 1</v>
      </c>
      <c r="D234" s="21" t="str">
        <f t="shared" si="11"/>
        <v>C00458 : dCTP</v>
      </c>
    </row>
    <row r="235" spans="1:4" x14ac:dyDescent="0.45">
      <c r="A235" t="s">
        <v>13575</v>
      </c>
      <c r="B235" s="7" t="s">
        <v>14320</v>
      </c>
      <c r="C235" s="19" t="str">
        <f t="shared" si="13"/>
        <v>C00459 : 1</v>
      </c>
      <c r="D235" s="21" t="str">
        <f t="shared" si="11"/>
        <v>C00459 : dTTP</v>
      </c>
    </row>
    <row r="236" spans="1:4" x14ac:dyDescent="0.45">
      <c r="A236" t="s">
        <v>13576</v>
      </c>
      <c r="B236" s="7" t="s">
        <v>14321</v>
      </c>
      <c r="C236" s="19" t="str">
        <f t="shared" si="13"/>
        <v>C00460 : 1</v>
      </c>
      <c r="D236" s="21" t="str">
        <f t="shared" si="11"/>
        <v>C00460 : dUTP</v>
      </c>
    </row>
    <row r="237" spans="1:4" x14ac:dyDescent="0.45">
      <c r="A237" t="s">
        <v>13577</v>
      </c>
      <c r="B237" s="7" t="s">
        <v>14322</v>
      </c>
      <c r="C237" s="19" t="str">
        <f t="shared" si="13"/>
        <v>C00469 : 1</v>
      </c>
      <c r="D237" s="21" t="str">
        <f t="shared" si="11"/>
        <v>C00469 : Ethanol</v>
      </c>
    </row>
    <row r="238" spans="1:4" x14ac:dyDescent="0.45">
      <c r="A238" t="s">
        <v>13578</v>
      </c>
      <c r="B238" s="7" t="s">
        <v>14323</v>
      </c>
      <c r="C238" s="19" t="str">
        <f t="shared" si="13"/>
        <v>C00473 : 1</v>
      </c>
      <c r="D238" s="21" t="str">
        <f t="shared" si="11"/>
        <v>C00473 : Retinol</v>
      </c>
    </row>
    <row r="239" spans="1:4" x14ac:dyDescent="0.45">
      <c r="A239" t="s">
        <v>13579</v>
      </c>
      <c r="B239" s="7" t="s">
        <v>14324</v>
      </c>
      <c r="C239" s="19" t="str">
        <f t="shared" si="13"/>
        <v>C00475 : 1</v>
      </c>
      <c r="D239" s="21" t="str">
        <f t="shared" si="11"/>
        <v>C00475 : Cytidine</v>
      </c>
    </row>
    <row r="240" spans="1:4" x14ac:dyDescent="0.45">
      <c r="A240" t="s">
        <v>13580</v>
      </c>
      <c r="B240" s="7" t="s">
        <v>14325</v>
      </c>
      <c r="C240" s="19" t="str">
        <f t="shared" si="13"/>
        <v>C00491 : 1</v>
      </c>
      <c r="D240" s="21" t="str">
        <f t="shared" si="11"/>
        <v>C00491 : L-Cystine</v>
      </c>
    </row>
    <row r="241" spans="1:4" x14ac:dyDescent="0.45">
      <c r="A241" t="s">
        <v>13581</v>
      </c>
      <c r="B241" s="7" t="s">
        <v>14326</v>
      </c>
      <c r="C241" s="19" t="str">
        <f t="shared" si="13"/>
        <v>C00493 : 1</v>
      </c>
      <c r="D241" s="21" t="str">
        <f t="shared" si="11"/>
        <v>C00493 : Shikimate</v>
      </c>
    </row>
    <row r="242" spans="1:4" x14ac:dyDescent="0.45">
      <c r="A242" t="s">
        <v>13582</v>
      </c>
      <c r="B242" s="7" t="s">
        <v>14327</v>
      </c>
      <c r="C242" s="19" t="str">
        <f t="shared" si="13"/>
        <v>C00498 : 1</v>
      </c>
      <c r="D242" s="21" t="str">
        <f t="shared" si="11"/>
        <v>C00498 : ADP-glucose</v>
      </c>
    </row>
    <row r="243" spans="1:4" x14ac:dyDescent="0.45">
      <c r="A243" t="s">
        <v>13583</v>
      </c>
      <c r="B243" s="7" t="s">
        <v>14328</v>
      </c>
      <c r="C243" s="19" t="str">
        <f t="shared" si="13"/>
        <v>C00504 : 1</v>
      </c>
      <c r="D243" s="21" t="str">
        <f t="shared" si="11"/>
        <v>C00504 : Folate</v>
      </c>
    </row>
    <row r="244" spans="1:4" x14ac:dyDescent="0.45">
      <c r="A244" t="s">
        <v>12887</v>
      </c>
      <c r="B244" s="7" t="s">
        <v>14329</v>
      </c>
      <c r="C244" s="19" t="str">
        <f t="shared" si="13"/>
        <v>C00515 : 1</v>
      </c>
      <c r="D244" s="21" t="str">
        <f t="shared" si="11"/>
        <v>C00515 : D-Ornithine</v>
      </c>
    </row>
    <row r="245" spans="1:4" x14ac:dyDescent="0.45">
      <c r="A245" t="s">
        <v>13584</v>
      </c>
      <c r="B245" s="7" t="s">
        <v>14330</v>
      </c>
      <c r="C245" s="19" t="str">
        <f t="shared" si="13"/>
        <v>C00522 : 1</v>
      </c>
      <c r="D245" s="21" t="str">
        <f t="shared" si="11"/>
        <v>C00522 : (R)-Pantoate</v>
      </c>
    </row>
    <row r="246" spans="1:4" x14ac:dyDescent="0.45">
      <c r="A246" t="s">
        <v>13585</v>
      </c>
      <c r="B246" s="7" t="s">
        <v>14331</v>
      </c>
      <c r="C246" s="19" t="str">
        <f t="shared" si="13"/>
        <v>C00526 : 1</v>
      </c>
      <c r="D246" s="21" t="str">
        <f t="shared" si="11"/>
        <v>C00526 : Deoxyuridine</v>
      </c>
    </row>
    <row r="247" spans="1:4" x14ac:dyDescent="0.45">
      <c r="A247" t="s">
        <v>13586</v>
      </c>
      <c r="B247" s="7" t="s">
        <v>14332</v>
      </c>
      <c r="C247" s="19" t="str">
        <f t="shared" si="13"/>
        <v>C00530 : 1</v>
      </c>
      <c r="D247" s="21" t="str">
        <f t="shared" si="11"/>
        <v>C00530 : Hydroquinone</v>
      </c>
    </row>
    <row r="248" spans="1:4" x14ac:dyDescent="0.45">
      <c r="A248" t="s">
        <v>13587</v>
      </c>
      <c r="B248" s="7" t="s">
        <v>14333</v>
      </c>
      <c r="C248" s="19" t="str">
        <f t="shared" si="13"/>
        <v>C00534 : 1</v>
      </c>
      <c r="D248" s="21" t="str">
        <f t="shared" si="11"/>
        <v>C00534 : Pyridoxamine</v>
      </c>
    </row>
    <row r="249" spans="1:4" x14ac:dyDescent="0.45">
      <c r="A249" t="s">
        <v>13588</v>
      </c>
      <c r="B249" s="7" t="s">
        <v>14334</v>
      </c>
      <c r="C249" s="19" t="str">
        <f t="shared" si="13"/>
        <v>C00546 : 1</v>
      </c>
      <c r="D249" s="21" t="str">
        <f t="shared" si="11"/>
        <v>C00546 : Methylglyoxal</v>
      </c>
    </row>
    <row r="250" spans="1:4" x14ac:dyDescent="0.45">
      <c r="A250" t="s">
        <v>13589</v>
      </c>
      <c r="B250" s="7" t="s">
        <v>14335</v>
      </c>
      <c r="C250" s="19" t="str">
        <f t="shared" si="13"/>
        <v>C00559 : 1</v>
      </c>
      <c r="D250" s="21" t="str">
        <f t="shared" si="11"/>
        <v>C00559 : Deoxyadenosine</v>
      </c>
    </row>
    <row r="251" spans="1:4" x14ac:dyDescent="0.45">
      <c r="A251" t="s">
        <v>13590</v>
      </c>
      <c r="B251" s="7" t="s">
        <v>14336</v>
      </c>
      <c r="C251" s="19" t="str">
        <f t="shared" si="13"/>
        <v>C00562 : 1</v>
      </c>
      <c r="D251" s="21" t="str">
        <f t="shared" si="11"/>
        <v>C00562 : Phosphoprotein</v>
      </c>
    </row>
    <row r="252" spans="1:4" x14ac:dyDescent="0.45">
      <c r="A252" t="s">
        <v>13591</v>
      </c>
      <c r="B252" s="7" t="s">
        <v>14337</v>
      </c>
      <c r="C252" s="19" t="str">
        <f t="shared" si="13"/>
        <v>C00568 : 1</v>
      </c>
      <c r="D252" s="21" t="str">
        <f t="shared" si="11"/>
        <v>C00568 : 4-Aminobenzoate</v>
      </c>
    </row>
    <row r="253" spans="1:4" x14ac:dyDescent="0.45">
      <c r="A253" t="s">
        <v>13592</v>
      </c>
      <c r="B253" s="7" t="s">
        <v>14338</v>
      </c>
      <c r="C253" s="19" t="str">
        <f t="shared" si="13"/>
        <v>C00576 : 1</v>
      </c>
      <c r="D253" s="21" t="str">
        <f t="shared" si="11"/>
        <v>C00576 : Betaine aldehyde</v>
      </c>
    </row>
    <row r="254" spans="1:4" x14ac:dyDescent="0.45">
      <c r="A254" t="s">
        <v>13593</v>
      </c>
      <c r="B254" s="7" t="s">
        <v>14339</v>
      </c>
      <c r="C254" s="19" t="str">
        <f t="shared" si="13"/>
        <v>C00577 : 1</v>
      </c>
      <c r="D254" s="21" t="str">
        <f t="shared" si="11"/>
        <v>C00577 : D-Glyceraldehyde</v>
      </c>
    </row>
    <row r="255" spans="1:4" x14ac:dyDescent="0.45">
      <c r="A255" t="s">
        <v>13594</v>
      </c>
      <c r="B255" s="7" t="s">
        <v>14340</v>
      </c>
      <c r="C255" s="19" t="str">
        <f t="shared" si="13"/>
        <v>C00579 : 1</v>
      </c>
      <c r="D255" s="21" t="str">
        <f t="shared" si="11"/>
        <v>C00579 : Dihydrolipoamide</v>
      </c>
    </row>
    <row r="256" spans="1:4" x14ac:dyDescent="0.45">
      <c r="A256" t="s">
        <v>13595</v>
      </c>
      <c r="B256" s="7" t="s">
        <v>14341</v>
      </c>
      <c r="C256" s="19" t="str">
        <f t="shared" si="13"/>
        <v>C00585 : 1</v>
      </c>
      <c r="D256" s="21" t="str">
        <f t="shared" si="11"/>
        <v>C00585 : Protein tyrosine</v>
      </c>
    </row>
    <row r="257" spans="1:4" x14ac:dyDescent="0.45">
      <c r="A257" t="s">
        <v>13596</v>
      </c>
      <c r="B257" s="7" t="s">
        <v>14342</v>
      </c>
      <c r="C257" s="19" t="str">
        <f t="shared" si="13"/>
        <v>C00605 : 1</v>
      </c>
      <c r="D257" s="21" t="str">
        <f t="shared" si="11"/>
        <v>C00605 : 2,3-Dehydroacyl-CoA</v>
      </c>
    </row>
    <row r="258" spans="1:4" x14ac:dyDescent="0.45">
      <c r="A258" t="s">
        <v>12528</v>
      </c>
      <c r="B258" s="7" t="s">
        <v>14343</v>
      </c>
      <c r="C258" s="19" t="str">
        <f t="shared" si="13"/>
        <v>C00606 : 1</v>
      </c>
      <c r="D258" s="21" t="str">
        <f t="shared" si="11"/>
        <v>C00606 : 3-Sulfino-L-alanine</v>
      </c>
    </row>
    <row r="259" spans="1:4" x14ac:dyDescent="0.45">
      <c r="A259" t="s">
        <v>13597</v>
      </c>
      <c r="B259" s="7" t="s">
        <v>14344</v>
      </c>
      <c r="C259" s="19" t="str">
        <f t="shared" si="13"/>
        <v>C00613 : 1</v>
      </c>
      <c r="D259" s="21" t="str">
        <f t="shared" ref="D259:D322" si="14">CONCATENATE(A259," : ",B259)</f>
        <v>C00613 : Peptide L-arginine</v>
      </c>
    </row>
    <row r="260" spans="1:4" x14ac:dyDescent="0.45">
      <c r="A260" t="s">
        <v>13598</v>
      </c>
      <c r="B260" s="7" t="s">
        <v>14345</v>
      </c>
      <c r="C260" s="19" t="str">
        <f t="shared" si="13"/>
        <v>C00615 : 1</v>
      </c>
      <c r="D260" s="21" t="str">
        <f t="shared" si="14"/>
        <v>C00615 : Protein histidine</v>
      </c>
    </row>
    <row r="261" spans="1:4" x14ac:dyDescent="0.45">
      <c r="A261" t="s">
        <v>13010</v>
      </c>
      <c r="B261" s="7" t="s">
        <v>14346</v>
      </c>
      <c r="C261" s="19" t="str">
        <f t="shared" si="13"/>
        <v>C00620 : 1</v>
      </c>
      <c r="D261" s="21" t="str">
        <f t="shared" si="14"/>
        <v>C00620 : alpha-D-Ribose 1-phosphate</v>
      </c>
    </row>
    <row r="262" spans="1:4" x14ac:dyDescent="0.45">
      <c r="A262" t="s">
        <v>13599</v>
      </c>
      <c r="B262" s="7" t="s">
        <v>14347</v>
      </c>
      <c r="C262" s="19" t="str">
        <f t="shared" si="13"/>
        <v>C00624 : 1</v>
      </c>
      <c r="D262" s="21" t="str">
        <f t="shared" si="14"/>
        <v>C00624 : N-Acetyl-L-glutamate</v>
      </c>
    </row>
    <row r="263" spans="1:4" x14ac:dyDescent="0.45">
      <c r="A263" t="s">
        <v>13600</v>
      </c>
      <c r="B263" s="7" t="s">
        <v>14348</v>
      </c>
      <c r="C263" s="19" t="str">
        <f t="shared" si="13"/>
        <v>C00627 : 1</v>
      </c>
      <c r="D263" s="21" t="str">
        <f t="shared" si="14"/>
        <v>C00627 : Pyridoxine 5'-phosphate</v>
      </c>
    </row>
    <row r="264" spans="1:4" x14ac:dyDescent="0.45">
      <c r="A264" t="s">
        <v>12638</v>
      </c>
      <c r="B264" s="7" t="s">
        <v>14349</v>
      </c>
      <c r="C264" s="19" t="str">
        <f t="shared" si="13"/>
        <v>C00631 : 1</v>
      </c>
      <c r="D264" s="21" t="str">
        <f t="shared" si="14"/>
        <v>C00631 : 2-Phospho-D-glycerate</v>
      </c>
    </row>
    <row r="265" spans="1:4" x14ac:dyDescent="0.45">
      <c r="A265" t="s">
        <v>13601</v>
      </c>
      <c r="B265" s="7" t="s">
        <v>14350</v>
      </c>
      <c r="C265" s="19" t="str">
        <f t="shared" si="13"/>
        <v>C00632 : 1</v>
      </c>
      <c r="D265" s="21" t="str">
        <f t="shared" si="14"/>
        <v>C00632 : 3-Hydroxyanthranilate</v>
      </c>
    </row>
    <row r="266" spans="1:4" x14ac:dyDescent="0.45">
      <c r="A266" t="s">
        <v>13602</v>
      </c>
      <c r="B266" s="7" t="s">
        <v>14351</v>
      </c>
      <c r="C266" s="19" t="str">
        <f t="shared" si="13"/>
        <v>C00641 : 1</v>
      </c>
      <c r="D266" s="21" t="str">
        <f t="shared" si="14"/>
        <v>C00641 : 1,2-Diacyl-sn-glycerol</v>
      </c>
    </row>
    <row r="267" spans="1:4" x14ac:dyDescent="0.45">
      <c r="A267" t="s">
        <v>13603</v>
      </c>
      <c r="B267" s="7" t="s">
        <v>14352</v>
      </c>
      <c r="C267" s="19" t="str">
        <f t="shared" si="13"/>
        <v>C00642 : 1</v>
      </c>
      <c r="D267" s="21" t="str">
        <f t="shared" si="14"/>
        <v>C00642 : 4-Hydroxyphenylacetate</v>
      </c>
    </row>
    <row r="268" spans="1:4" x14ac:dyDescent="0.45">
      <c r="A268" t="s">
        <v>13604</v>
      </c>
      <c r="B268" s="7" t="s">
        <v>14353</v>
      </c>
      <c r="C268" s="19" t="str">
        <f t="shared" si="13"/>
        <v>C00644 : 1</v>
      </c>
      <c r="D268" s="21" t="str">
        <f t="shared" si="14"/>
        <v>C00644 : D-Mannitol 1-phosphate</v>
      </c>
    </row>
    <row r="269" spans="1:4" x14ac:dyDescent="0.45">
      <c r="A269" t="s">
        <v>13605</v>
      </c>
      <c r="B269" s="7" t="s">
        <v>14354</v>
      </c>
      <c r="C269" s="19" t="str">
        <f t="shared" si="13"/>
        <v>C00645 : 1</v>
      </c>
      <c r="D269" s="21" t="str">
        <f t="shared" si="14"/>
        <v>C00645 : N-Acetyl-D-mannosamine</v>
      </c>
    </row>
    <row r="270" spans="1:4" x14ac:dyDescent="0.45">
      <c r="A270" t="s">
        <v>13606</v>
      </c>
      <c r="B270" s="7" t="s">
        <v>14355</v>
      </c>
      <c r="C270" s="19" t="str">
        <f t="shared" si="13"/>
        <v>C00647 : 1</v>
      </c>
      <c r="D270" s="21" t="str">
        <f t="shared" si="14"/>
        <v>C00647 : Pyridoxamine 5'-phosphate</v>
      </c>
    </row>
    <row r="271" spans="1:4" x14ac:dyDescent="0.45">
      <c r="A271" t="s">
        <v>13607</v>
      </c>
      <c r="B271" s="7" t="s">
        <v>14356</v>
      </c>
      <c r="C271" s="19" t="str">
        <f t="shared" si="13"/>
        <v>C00653 : 1</v>
      </c>
      <c r="D271" s="21" t="str">
        <f t="shared" si="14"/>
        <v>C00653 : Poly(ribitol phosphate)</v>
      </c>
    </row>
    <row r="272" spans="1:4" x14ac:dyDescent="0.45">
      <c r="A272" t="s">
        <v>13608</v>
      </c>
      <c r="B272" s="7" t="s">
        <v>14357</v>
      </c>
      <c r="C272" s="19" t="str">
        <f t="shared" si="13"/>
        <v>C00655 : 1</v>
      </c>
      <c r="D272" s="21" t="str">
        <f t="shared" si="14"/>
        <v>C00655 : Xanthosine 5'-phosphate</v>
      </c>
    </row>
    <row r="273" spans="1:4" x14ac:dyDescent="0.45">
      <c r="A273" t="s">
        <v>13005</v>
      </c>
      <c r="B273" s="7" t="s">
        <v>14358</v>
      </c>
      <c r="C273" s="19" t="str">
        <f t="shared" si="13"/>
        <v>C00663 : 1</v>
      </c>
      <c r="D273" s="21" t="str">
        <f t="shared" si="14"/>
        <v>C00663 : beta-D-Glucose 1-phosphate</v>
      </c>
    </row>
    <row r="274" spans="1:4" x14ac:dyDescent="0.45">
      <c r="A274" t="s">
        <v>12900</v>
      </c>
      <c r="B274" s="7" t="s">
        <v>14359</v>
      </c>
      <c r="C274" s="19" t="str">
        <f t="shared" si="13"/>
        <v>C00666 : 1</v>
      </c>
      <c r="D274" s="21" t="str">
        <f t="shared" si="14"/>
        <v>C00666 : LL-2,6-Diaminoheptanedioate</v>
      </c>
    </row>
    <row r="275" spans="1:4" x14ac:dyDescent="0.45">
      <c r="A275" t="s">
        <v>12984</v>
      </c>
      <c r="B275" s="7" t="s">
        <v>14360</v>
      </c>
      <c r="C275" s="19" t="str">
        <f t="shared" si="13"/>
        <v>C00668 : 1</v>
      </c>
      <c r="D275" s="21" t="str">
        <f t="shared" si="14"/>
        <v>C00668 : alpha-D-Glucose 6-phosphate</v>
      </c>
    </row>
    <row r="276" spans="1:4" x14ac:dyDescent="0.45">
      <c r="A276" t="s">
        <v>13609</v>
      </c>
      <c r="B276" s="7" t="s">
        <v>14361</v>
      </c>
      <c r="C276" s="19" t="str">
        <f t="shared" si="13"/>
        <v>C00671 : 1</v>
      </c>
      <c r="D276" s="21" t="str">
        <f t="shared" si="14"/>
        <v>C00671 : (S)-3-Methyl-2-oxopentanoic acid</v>
      </c>
    </row>
    <row r="277" spans="1:4" x14ac:dyDescent="0.45">
      <c r="A277" t="s">
        <v>13012</v>
      </c>
      <c r="B277" s="7" t="s">
        <v>14362</v>
      </c>
      <c r="C277" s="19" t="str">
        <f t="shared" si="13"/>
        <v>C00672 : 1</v>
      </c>
      <c r="D277" s="21" t="str">
        <f t="shared" si="14"/>
        <v>C00672 : 2-Deoxy-D-ribose 1-phosphate</v>
      </c>
    </row>
    <row r="278" spans="1:4" x14ac:dyDescent="0.45">
      <c r="A278" t="s">
        <v>12586</v>
      </c>
      <c r="B278" s="7" t="s">
        <v>14363</v>
      </c>
      <c r="C278" s="19" t="str">
        <f t="shared" si="13"/>
        <v>C00673 : 1</v>
      </c>
      <c r="D278" s="21" t="str">
        <f t="shared" si="14"/>
        <v>C00673 : 2-Deoxy-D-ribose 5-phosphate</v>
      </c>
    </row>
    <row r="279" spans="1:4" x14ac:dyDescent="0.45">
      <c r="A279" t="s">
        <v>13610</v>
      </c>
      <c r="B279" s="7" t="s">
        <v>14364</v>
      </c>
      <c r="C279" s="19" t="str">
        <f t="shared" si="13"/>
        <v>C00677 : 1</v>
      </c>
      <c r="D279" s="21" t="str">
        <f t="shared" si="14"/>
        <v>C00677 : Deoxynucleoside triphosphate</v>
      </c>
    </row>
    <row r="280" spans="1:4" x14ac:dyDescent="0.45">
      <c r="A280" t="s">
        <v>12533</v>
      </c>
      <c r="B280" s="7" t="s">
        <v>14365</v>
      </c>
      <c r="C280" s="19" t="str">
        <f t="shared" si="13"/>
        <v>C00680 : 1</v>
      </c>
      <c r="D280" s="21" t="str">
        <f t="shared" si="14"/>
        <v>C00680 : meso-2,6-Diaminoheptanedioate</v>
      </c>
    </row>
    <row r="281" spans="1:4" x14ac:dyDescent="0.45">
      <c r="A281" t="s">
        <v>13611</v>
      </c>
      <c r="B281" s="7" t="s">
        <v>14366</v>
      </c>
      <c r="C281" s="19" t="str">
        <f t="shared" si="13"/>
        <v>C00681 : 1</v>
      </c>
      <c r="D281" s="21" t="str">
        <f t="shared" si="14"/>
        <v>C00681 : 1-Acyl-sn-glycerol 3-phosphate</v>
      </c>
    </row>
    <row r="282" spans="1:4" x14ac:dyDescent="0.45">
      <c r="A282" t="s">
        <v>13612</v>
      </c>
      <c r="B282" s="7" t="s">
        <v>14367</v>
      </c>
      <c r="C282" s="19" t="str">
        <f t="shared" si="13"/>
        <v>C00685 : 1</v>
      </c>
      <c r="D282" s="21" t="str">
        <f t="shared" si="14"/>
        <v>C00685 : 3-Oxoacyl-[acyl-carrier protein]</v>
      </c>
    </row>
    <row r="283" spans="1:4" x14ac:dyDescent="0.45">
      <c r="A283" t="s">
        <v>12936</v>
      </c>
      <c r="B283" s="7" t="s">
        <v>14368</v>
      </c>
      <c r="C283" s="19" t="str">
        <f t="shared" ref="C283:C346" si="15">CONCATENATE(A283," : 1")</f>
        <v>C00686 : 1</v>
      </c>
      <c r="D283" s="21" t="str">
        <f t="shared" si="14"/>
        <v>C00686 : N-Acyl-D-mannosamine 6-phosphate</v>
      </c>
    </row>
    <row r="284" spans="1:4" x14ac:dyDescent="0.45">
      <c r="A284" t="s">
        <v>12909</v>
      </c>
      <c r="B284" s="7" t="s">
        <v>14369</v>
      </c>
      <c r="C284" s="19" t="str">
        <f t="shared" si="15"/>
        <v>C00688 : 1</v>
      </c>
      <c r="D284" s="21" t="str">
        <f t="shared" si="14"/>
        <v>C00688 : dTDP-4-dehydro-beta-L-rhamnose</v>
      </c>
    </row>
    <row r="285" spans="1:4" x14ac:dyDescent="0.45">
      <c r="A285" t="s">
        <v>13613</v>
      </c>
      <c r="B285" s="7" t="s">
        <v>14370</v>
      </c>
      <c r="C285" s="19" t="str">
        <f t="shared" si="15"/>
        <v>C00689 : 1</v>
      </c>
      <c r="D285" s="21" t="str">
        <f t="shared" si="14"/>
        <v>C00689 : Trehalose 6-phosphate</v>
      </c>
    </row>
    <row r="286" spans="1:4" x14ac:dyDescent="0.45">
      <c r="A286" t="s">
        <v>13614</v>
      </c>
      <c r="B286" s="7" t="s">
        <v>14371</v>
      </c>
      <c r="C286" s="19" t="str">
        <f t="shared" si="15"/>
        <v>C00692 : 1</v>
      </c>
      <c r="D286" s="21" t="str">
        <f t="shared" si="14"/>
        <v>C00692 : UDP-N-acetylmuramoyl-L-alanyl-D-glutamate</v>
      </c>
    </row>
    <row r="287" spans="1:4" x14ac:dyDescent="0.45">
      <c r="A287" t="s">
        <v>13615</v>
      </c>
      <c r="B287" s="7" t="s">
        <v>14372</v>
      </c>
      <c r="C287" s="19" t="str">
        <f t="shared" si="15"/>
        <v>C00693 : 1</v>
      </c>
      <c r="D287" s="21" t="str">
        <f t="shared" si="14"/>
        <v>C00693 : trans-2,3-Dehydroacyl-[acyl-carrier protein]</v>
      </c>
    </row>
    <row r="288" spans="1:4" x14ac:dyDescent="0.45">
      <c r="A288" t="s">
        <v>13616</v>
      </c>
      <c r="B288" s="7" t="s">
        <v>14373</v>
      </c>
      <c r="C288" s="19" t="str">
        <f t="shared" si="15"/>
        <v>C00704 : 1</v>
      </c>
      <c r="D288" s="21" t="str">
        <f t="shared" si="14"/>
        <v>C00704 : Superoxide</v>
      </c>
    </row>
    <row r="289" spans="1:4" x14ac:dyDescent="0.45">
      <c r="A289" t="s">
        <v>13617</v>
      </c>
      <c r="B289" s="7" t="s">
        <v>14374</v>
      </c>
      <c r="C289" s="19" t="str">
        <f t="shared" si="15"/>
        <v>C00705 : 1</v>
      </c>
      <c r="D289" s="21" t="str">
        <f t="shared" si="14"/>
        <v>C00705 : dCDP</v>
      </c>
    </row>
    <row r="290" spans="1:4" x14ac:dyDescent="0.45">
      <c r="A290" t="s">
        <v>12774</v>
      </c>
      <c r="B290" s="7" t="s">
        <v>14375</v>
      </c>
      <c r="C290" s="19" t="str">
        <f t="shared" si="15"/>
        <v>C00716 : 1</v>
      </c>
      <c r="D290" s="21" t="str">
        <f t="shared" si="14"/>
        <v>C00716 : Serine</v>
      </c>
    </row>
    <row r="291" spans="1:4" x14ac:dyDescent="0.45">
      <c r="A291" t="s">
        <v>13618</v>
      </c>
      <c r="B291" s="7" t="s">
        <v>14376</v>
      </c>
      <c r="C291" s="19" t="str">
        <f t="shared" si="15"/>
        <v>C00718 : 1</v>
      </c>
      <c r="D291" s="21" t="str">
        <f t="shared" si="14"/>
        <v>C00718 : Amylose</v>
      </c>
    </row>
    <row r="292" spans="1:4" x14ac:dyDescent="0.45">
      <c r="A292" t="s">
        <v>13619</v>
      </c>
      <c r="B292" s="7" t="s">
        <v>14377</v>
      </c>
      <c r="C292" s="19" t="str">
        <f t="shared" si="15"/>
        <v>C00740 : 1</v>
      </c>
      <c r="D292" s="21" t="str">
        <f t="shared" si="14"/>
        <v>C00740 : D-Serine</v>
      </c>
    </row>
    <row r="293" spans="1:4" x14ac:dyDescent="0.45">
      <c r="A293" t="s">
        <v>13620</v>
      </c>
      <c r="B293" s="7" t="s">
        <v>14378</v>
      </c>
      <c r="C293" s="19" t="str">
        <f t="shared" si="15"/>
        <v>C00756 : 1</v>
      </c>
      <c r="D293" s="21" t="str">
        <f t="shared" si="14"/>
        <v>C00756 : 1-Octanol</v>
      </c>
    </row>
    <row r="294" spans="1:4" x14ac:dyDescent="0.45">
      <c r="A294" t="s">
        <v>10721</v>
      </c>
      <c r="B294" s="7" t="s">
        <v>14379</v>
      </c>
      <c r="C294" s="19" t="str">
        <f t="shared" si="15"/>
        <v>C00763 : 1</v>
      </c>
      <c r="D294" s="21" t="str">
        <f t="shared" si="14"/>
        <v>C00763 : D-Proline</v>
      </c>
    </row>
    <row r="295" spans="1:4" x14ac:dyDescent="0.45">
      <c r="A295" t="s">
        <v>13621</v>
      </c>
      <c r="B295" s="7" t="s">
        <v>14380</v>
      </c>
      <c r="C295" s="19" t="str">
        <f t="shared" si="15"/>
        <v>C00772 : 1</v>
      </c>
      <c r="D295" s="21" t="str">
        <f t="shared" si="14"/>
        <v>C00772 : Mevaldate</v>
      </c>
    </row>
    <row r="296" spans="1:4" x14ac:dyDescent="0.45">
      <c r="A296" t="s">
        <v>13622</v>
      </c>
      <c r="B296" s="7" t="s">
        <v>14381</v>
      </c>
      <c r="C296" s="19" t="str">
        <f t="shared" si="15"/>
        <v>C00787 : 1</v>
      </c>
      <c r="D296" s="21" t="str">
        <f t="shared" si="14"/>
        <v>C00787 : tRNA(Tyr)</v>
      </c>
    </row>
    <row r="297" spans="1:4" x14ac:dyDescent="0.45">
      <c r="A297" t="s">
        <v>13623</v>
      </c>
      <c r="B297" s="7" t="s">
        <v>14382</v>
      </c>
      <c r="C297" s="19" t="str">
        <f t="shared" si="15"/>
        <v>C00812 : 1</v>
      </c>
      <c r="D297" s="21" t="str">
        <f t="shared" si="14"/>
        <v>C00812 : Alkyl thiol</v>
      </c>
    </row>
    <row r="298" spans="1:4" x14ac:dyDescent="0.45">
      <c r="A298" t="s">
        <v>13624</v>
      </c>
      <c r="B298" s="7" t="s">
        <v>14383</v>
      </c>
      <c r="C298" s="19" t="str">
        <f t="shared" si="15"/>
        <v>C00819 : 1</v>
      </c>
      <c r="D298" s="21" t="str">
        <f t="shared" si="14"/>
        <v>C00819 : D-Glutamine</v>
      </c>
    </row>
    <row r="299" spans="1:4" x14ac:dyDescent="0.45">
      <c r="A299" t="s">
        <v>12699</v>
      </c>
      <c r="B299" s="7" t="s">
        <v>14384</v>
      </c>
      <c r="C299" s="19" t="str">
        <f t="shared" si="15"/>
        <v>C00826 : 1</v>
      </c>
      <c r="D299" s="21" t="str">
        <f t="shared" si="14"/>
        <v>C00826 : L-Arogenate</v>
      </c>
    </row>
    <row r="300" spans="1:4" x14ac:dyDescent="0.45">
      <c r="A300" t="s">
        <v>13625</v>
      </c>
      <c r="B300" s="7" t="s">
        <v>14385</v>
      </c>
      <c r="C300" s="19" t="str">
        <f t="shared" si="15"/>
        <v>C00831 : 1</v>
      </c>
      <c r="D300" s="21" t="str">
        <f t="shared" si="14"/>
        <v>C00831 : (R)-Pantetheine</v>
      </c>
    </row>
    <row r="301" spans="1:4" x14ac:dyDescent="0.45">
      <c r="A301" t="s">
        <v>12691</v>
      </c>
      <c r="B301" s="7" t="s">
        <v>14386</v>
      </c>
      <c r="C301" s="19" t="str">
        <f t="shared" si="15"/>
        <v>C00842 : 1</v>
      </c>
      <c r="D301" s="21" t="str">
        <f t="shared" si="14"/>
        <v>C00842 : dTDP-glucose</v>
      </c>
    </row>
    <row r="302" spans="1:4" x14ac:dyDescent="0.45">
      <c r="A302" t="s">
        <v>13626</v>
      </c>
      <c r="B302" s="7" t="s">
        <v>14387</v>
      </c>
      <c r="C302" s="19" t="str">
        <f t="shared" si="15"/>
        <v>C00857 : 1</v>
      </c>
      <c r="D302" s="21" t="str">
        <f t="shared" si="14"/>
        <v>C00857 : Deamino-NAD+</v>
      </c>
    </row>
    <row r="303" spans="1:4" x14ac:dyDescent="0.45">
      <c r="A303" t="s">
        <v>13627</v>
      </c>
      <c r="B303" s="7" t="s">
        <v>14388</v>
      </c>
      <c r="C303" s="19" t="str">
        <f t="shared" si="15"/>
        <v>C00860 : 1</v>
      </c>
      <c r="D303" s="21" t="str">
        <f t="shared" si="14"/>
        <v>C00860 : L-Histidinol</v>
      </c>
    </row>
    <row r="304" spans="1:4" x14ac:dyDescent="0.45">
      <c r="A304" t="s">
        <v>13628</v>
      </c>
      <c r="B304" s="7" t="s">
        <v>14389</v>
      </c>
      <c r="C304" s="19" t="str">
        <f t="shared" si="15"/>
        <v>C00864 : 1</v>
      </c>
      <c r="D304" s="21" t="str">
        <f t="shared" si="14"/>
        <v>C00864 : (R)-Pantothenate</v>
      </c>
    </row>
    <row r="305" spans="1:4" x14ac:dyDescent="0.45">
      <c r="A305" t="s">
        <v>13025</v>
      </c>
      <c r="B305" s="7" t="s">
        <v>14390</v>
      </c>
      <c r="C305" s="19" t="str">
        <f t="shared" si="15"/>
        <v>C00868 : 1</v>
      </c>
      <c r="D305" s="21" t="str">
        <f t="shared" si="14"/>
        <v>C00868 : tRNA uridine</v>
      </c>
    </row>
    <row r="306" spans="1:4" x14ac:dyDescent="0.45">
      <c r="A306" t="s">
        <v>13629</v>
      </c>
      <c r="B306" s="7" t="s">
        <v>14391</v>
      </c>
      <c r="C306" s="19" t="str">
        <f t="shared" si="15"/>
        <v>C00881 : 1</v>
      </c>
      <c r="D306" s="21" t="str">
        <f t="shared" si="14"/>
        <v>C00881 : Deoxycytidine</v>
      </c>
    </row>
    <row r="307" spans="1:4" x14ac:dyDescent="0.45">
      <c r="A307" t="s">
        <v>13630</v>
      </c>
      <c r="B307" s="7" t="s">
        <v>14392</v>
      </c>
      <c r="C307" s="19" t="str">
        <f t="shared" si="15"/>
        <v>C00882 : 1</v>
      </c>
      <c r="D307" s="21" t="str">
        <f t="shared" si="14"/>
        <v>C00882 : Dephospho-CoA</v>
      </c>
    </row>
    <row r="308" spans="1:4" x14ac:dyDescent="0.45">
      <c r="A308" t="s">
        <v>13631</v>
      </c>
      <c r="B308" s="7" t="s">
        <v>14393</v>
      </c>
      <c r="C308" s="19" t="str">
        <f t="shared" si="15"/>
        <v>C00886 : 1</v>
      </c>
      <c r="D308" s="21" t="str">
        <f t="shared" si="14"/>
        <v>C00886 : L-Alanyl-tRNA(Ala)</v>
      </c>
    </row>
    <row r="309" spans="1:4" x14ac:dyDescent="0.45">
      <c r="A309" t="s">
        <v>13632</v>
      </c>
      <c r="B309" s="7" t="s">
        <v>14394</v>
      </c>
      <c r="C309" s="19" t="str">
        <f t="shared" si="15"/>
        <v>C00894 : 1</v>
      </c>
      <c r="D309" s="21" t="str">
        <f t="shared" si="14"/>
        <v>C00894 : Propenoyl-CoA</v>
      </c>
    </row>
    <row r="310" spans="1:4" x14ac:dyDescent="0.45">
      <c r="A310" t="s">
        <v>13633</v>
      </c>
      <c r="B310" s="7" t="s">
        <v>14395</v>
      </c>
      <c r="C310" s="19" t="str">
        <f t="shared" si="15"/>
        <v>C00900 : 1</v>
      </c>
      <c r="D310" s="21" t="str">
        <f t="shared" si="14"/>
        <v>C00900 : 2-Acetolactate</v>
      </c>
    </row>
    <row r="311" spans="1:4" x14ac:dyDescent="0.45">
      <c r="A311" t="s">
        <v>13634</v>
      </c>
      <c r="B311" s="7" t="s">
        <v>14396</v>
      </c>
      <c r="C311" s="19" t="str">
        <f t="shared" si="15"/>
        <v>C00911 : 1</v>
      </c>
      <c r="D311" s="21" t="str">
        <f t="shared" si="14"/>
        <v>C00911 : Ribonucleoside</v>
      </c>
    </row>
    <row r="312" spans="1:4" x14ac:dyDescent="0.45">
      <c r="A312" t="s">
        <v>13635</v>
      </c>
      <c r="B312" s="7" t="s">
        <v>14397</v>
      </c>
      <c r="C312" s="19" t="str">
        <f t="shared" si="15"/>
        <v>C00921 : 1</v>
      </c>
      <c r="D312" s="21" t="str">
        <f t="shared" si="14"/>
        <v>C00921 : Dihydropteroate</v>
      </c>
    </row>
    <row r="313" spans="1:4" x14ac:dyDescent="0.45">
      <c r="A313" t="s">
        <v>13636</v>
      </c>
      <c r="B313" s="7" t="s">
        <v>14398</v>
      </c>
      <c r="C313" s="19" t="str">
        <f t="shared" si="15"/>
        <v>C00931 : 1</v>
      </c>
      <c r="D313" s="21" t="str">
        <f t="shared" si="14"/>
        <v>C00931 : Porphobilinogen</v>
      </c>
    </row>
    <row r="314" spans="1:4" x14ac:dyDescent="0.45">
      <c r="A314" t="s">
        <v>13637</v>
      </c>
      <c r="B314" s="7" t="s">
        <v>14399</v>
      </c>
      <c r="C314" s="19" t="str">
        <f t="shared" si="15"/>
        <v>C00934 : 1</v>
      </c>
      <c r="D314" s="21" t="str">
        <f t="shared" si="14"/>
        <v>C00934 : Sugar phosphate</v>
      </c>
    </row>
    <row r="315" spans="1:4" x14ac:dyDescent="0.45">
      <c r="A315" t="s">
        <v>12633</v>
      </c>
      <c r="B315" s="22" t="s">
        <v>14400</v>
      </c>
      <c r="C315" s="19" t="str">
        <f t="shared" si="15"/>
        <v>C00944 : 1</v>
      </c>
      <c r="D315" s="21" t="str">
        <f t="shared" si="14"/>
        <v>C00944 : 3-Dehydroquinate</v>
      </c>
    </row>
    <row r="316" spans="1:4" x14ac:dyDescent="0.45">
      <c r="A316" t="s">
        <v>13638</v>
      </c>
      <c r="B316" s="22" t="s">
        <v>14401</v>
      </c>
      <c r="C316" s="19" t="str">
        <f t="shared" si="15"/>
        <v>C00957 : 1</v>
      </c>
      <c r="D316" s="21" t="str">
        <f t="shared" si="14"/>
        <v>C00957 : Mercaptopyruvate</v>
      </c>
    </row>
    <row r="317" spans="1:4" x14ac:dyDescent="0.45">
      <c r="A317" t="s">
        <v>11018</v>
      </c>
      <c r="B317" s="7" t="s">
        <v>14402</v>
      </c>
      <c r="C317" s="19" t="str">
        <f t="shared" si="15"/>
        <v>C00966 : 1</v>
      </c>
      <c r="D317" s="21" t="str">
        <f t="shared" si="14"/>
        <v>C00966 : 2-Dehydropantoate</v>
      </c>
    </row>
    <row r="318" spans="1:4" x14ac:dyDescent="0.45">
      <c r="A318" t="s">
        <v>13639</v>
      </c>
      <c r="B318" s="7" t="s">
        <v>14403</v>
      </c>
      <c r="C318" s="19" t="str">
        <f t="shared" si="15"/>
        <v>C00979 : 1</v>
      </c>
      <c r="D318" s="21" t="str">
        <f t="shared" si="14"/>
        <v>C00979 : O-Acetyl-L-serine</v>
      </c>
    </row>
    <row r="319" spans="1:4" x14ac:dyDescent="0.45">
      <c r="A319" t="s">
        <v>13640</v>
      </c>
      <c r="B319" s="7" t="s">
        <v>14404</v>
      </c>
      <c r="C319" s="19" t="str">
        <f t="shared" si="15"/>
        <v>C00993 : 1</v>
      </c>
      <c r="D319" s="21" t="str">
        <f t="shared" si="14"/>
        <v>C00993 : D-Alanyl-D-alanine</v>
      </c>
    </row>
    <row r="320" spans="1:4" x14ac:dyDescent="0.45">
      <c r="A320" t="s">
        <v>13641</v>
      </c>
      <c r="B320" s="7" t="s">
        <v>14405</v>
      </c>
      <c r="C320" s="19" t="str">
        <f t="shared" si="15"/>
        <v>C01005 : 1</v>
      </c>
      <c r="D320" s="21" t="str">
        <f t="shared" si="14"/>
        <v>C01005 : O-Phospho-L-serine</v>
      </c>
    </row>
    <row r="321" spans="1:4" x14ac:dyDescent="0.45">
      <c r="A321" t="s">
        <v>13642</v>
      </c>
      <c r="B321" s="7" t="s">
        <v>14406</v>
      </c>
      <c r="C321" s="19" t="str">
        <f t="shared" si="15"/>
        <v>C01024 : 1</v>
      </c>
      <c r="D321" s="21" t="str">
        <f t="shared" si="14"/>
        <v>C01024 : Hydroxymethylbilane</v>
      </c>
    </row>
    <row r="322" spans="1:4" x14ac:dyDescent="0.45">
      <c r="A322" t="s">
        <v>13643</v>
      </c>
      <c r="B322" s="7" t="s">
        <v>14407</v>
      </c>
      <c r="C322" s="19" t="str">
        <f t="shared" si="15"/>
        <v>C01050 : 1</v>
      </c>
      <c r="D322" s="21" t="str">
        <f t="shared" si="14"/>
        <v>C01050 : UDP-N-acetylmuramate</v>
      </c>
    </row>
    <row r="323" spans="1:4" x14ac:dyDescent="0.45">
      <c r="A323" t="s">
        <v>13644</v>
      </c>
      <c r="B323" s="7" t="s">
        <v>14408</v>
      </c>
      <c r="C323" s="19" t="str">
        <f t="shared" si="15"/>
        <v>C01051 : 1</v>
      </c>
      <c r="D323" s="21" t="str">
        <f t="shared" ref="D323:D386" si="16">CONCATENATE(A323," : ",B323)</f>
        <v>C01051 : Uroporphyrinogen III</v>
      </c>
    </row>
    <row r="324" spans="1:4" x14ac:dyDescent="0.45">
      <c r="A324" t="s">
        <v>13645</v>
      </c>
      <c r="B324" s="7" t="s">
        <v>14409</v>
      </c>
      <c r="C324" s="19" t="str">
        <f t="shared" si="15"/>
        <v>C01077 : 1</v>
      </c>
      <c r="D324" s="21" t="str">
        <f t="shared" si="16"/>
        <v>C01077 : O-Acetyl-L-homoserine</v>
      </c>
    </row>
    <row r="325" spans="1:4" x14ac:dyDescent="0.45">
      <c r="A325" t="s">
        <v>13646</v>
      </c>
      <c r="B325" s="7" t="s">
        <v>14410</v>
      </c>
      <c r="C325" s="19" t="str">
        <f t="shared" si="15"/>
        <v>C01081 : 1</v>
      </c>
      <c r="D325" s="21" t="str">
        <f t="shared" si="16"/>
        <v>C01081 : TMP</v>
      </c>
    </row>
    <row r="326" spans="1:4" x14ac:dyDescent="0.45">
      <c r="A326" t="s">
        <v>13647</v>
      </c>
      <c r="B326" s="7" t="s">
        <v>14411</v>
      </c>
      <c r="C326" s="19" t="str">
        <f t="shared" si="15"/>
        <v>C01089 : 1</v>
      </c>
      <c r="D326" s="21" t="str">
        <f t="shared" si="16"/>
        <v>C01089 : (R)-3-Hydroxybutanoate</v>
      </c>
    </row>
    <row r="327" spans="1:4" x14ac:dyDescent="0.45">
      <c r="A327" t="s">
        <v>12571</v>
      </c>
      <c r="B327" s="7" t="s">
        <v>14412</v>
      </c>
      <c r="C327" s="19" t="str">
        <f t="shared" si="15"/>
        <v>C01094 : 1</v>
      </c>
      <c r="D327" s="21" t="str">
        <f t="shared" si="16"/>
        <v>C01094 : D-Fructose 1-phosphate</v>
      </c>
    </row>
    <row r="328" spans="1:4" x14ac:dyDescent="0.45">
      <c r="A328" t="s">
        <v>13648</v>
      </c>
      <c r="B328" s="7" t="s">
        <v>14413</v>
      </c>
      <c r="C328" s="19" t="str">
        <f t="shared" si="15"/>
        <v>C01096 : 1</v>
      </c>
      <c r="D328" s="21" t="str">
        <f t="shared" si="16"/>
        <v>C01096 : Sorbitol 6-phosphate</v>
      </c>
    </row>
    <row r="329" spans="1:4" x14ac:dyDescent="0.45">
      <c r="A329" t="s">
        <v>13649</v>
      </c>
      <c r="B329" s="7" t="s">
        <v>14414</v>
      </c>
      <c r="C329" s="19" t="str">
        <f t="shared" si="15"/>
        <v>C01097 : 1</v>
      </c>
      <c r="D329" s="21" t="str">
        <f t="shared" si="16"/>
        <v>C01097 : D-Tagatose 6-phosphate</v>
      </c>
    </row>
    <row r="330" spans="1:4" x14ac:dyDescent="0.45">
      <c r="A330" t="s">
        <v>13650</v>
      </c>
      <c r="B330" s="7" t="s">
        <v>14415</v>
      </c>
      <c r="C330" s="19" t="str">
        <f t="shared" si="15"/>
        <v>C01100 : 1</v>
      </c>
      <c r="D330" s="21" t="str">
        <f t="shared" si="16"/>
        <v>C01100 : L-Histidinol phosphate</v>
      </c>
    </row>
    <row r="331" spans="1:4" x14ac:dyDescent="0.45">
      <c r="A331" t="s">
        <v>12932</v>
      </c>
      <c r="B331" s="7" t="s">
        <v>14416</v>
      </c>
      <c r="C331" s="19" t="str">
        <f t="shared" si="15"/>
        <v>C01101 : 1</v>
      </c>
      <c r="D331" s="21" t="str">
        <f t="shared" si="16"/>
        <v>C01101 : L-Ribulose 5-phosphate</v>
      </c>
    </row>
    <row r="332" spans="1:4" x14ac:dyDescent="0.45">
      <c r="A332" t="s">
        <v>13651</v>
      </c>
      <c r="B332" s="7" t="s">
        <v>14417</v>
      </c>
      <c r="C332" s="19" t="str">
        <f t="shared" si="15"/>
        <v>C01102 : 1</v>
      </c>
      <c r="D332" s="21" t="str">
        <f t="shared" si="16"/>
        <v>C01102 : O-Phospho-L-homoserine</v>
      </c>
    </row>
    <row r="333" spans="1:4" x14ac:dyDescent="0.45">
      <c r="A333" t="s">
        <v>12543</v>
      </c>
      <c r="B333" s="7" t="s">
        <v>14418</v>
      </c>
      <c r="C333" s="19" t="str">
        <f t="shared" si="15"/>
        <v>C01103 : 1</v>
      </c>
      <c r="D333" s="21" t="str">
        <f t="shared" si="16"/>
        <v>C01103 : Orotidine 5'-phosphate</v>
      </c>
    </row>
    <row r="334" spans="1:4" x14ac:dyDescent="0.45">
      <c r="A334" t="s">
        <v>13405</v>
      </c>
      <c r="B334" s="7" t="s">
        <v>13406</v>
      </c>
      <c r="C334" s="19" t="str">
        <f t="shared" si="15"/>
        <v>C01134 : 1</v>
      </c>
      <c r="D334" s="21" t="str">
        <f t="shared" si="16"/>
        <v>C01134 : Pantetheine 4'-phosphate</v>
      </c>
    </row>
    <row r="335" spans="1:4" x14ac:dyDescent="0.45">
      <c r="A335" t="s">
        <v>13652</v>
      </c>
      <c r="B335" s="7" t="s">
        <v>14419</v>
      </c>
      <c r="C335" s="19" t="str">
        <f t="shared" si="15"/>
        <v>C01137 : 1</v>
      </c>
      <c r="D335" s="21" t="str">
        <f t="shared" si="16"/>
        <v>C01137 : S-Adenosylmethioninamine</v>
      </c>
    </row>
    <row r="336" spans="1:4" x14ac:dyDescent="0.45">
      <c r="A336" t="s">
        <v>13653</v>
      </c>
      <c r="B336" s="7" t="s">
        <v>14420</v>
      </c>
      <c r="C336" s="19" t="str">
        <f t="shared" si="15"/>
        <v>C01144 : 1</v>
      </c>
      <c r="D336" s="21" t="str">
        <f t="shared" si="16"/>
        <v>C01144 : (S)-3-Hydroxybutanoyl-CoA</v>
      </c>
    </row>
    <row r="337" spans="1:4" x14ac:dyDescent="0.45">
      <c r="A337" t="s">
        <v>13654</v>
      </c>
      <c r="B337" s="7" t="s">
        <v>14421</v>
      </c>
      <c r="C337" s="19" t="str">
        <f t="shared" si="15"/>
        <v>C01146 : 1</v>
      </c>
      <c r="D337" s="21" t="str">
        <f t="shared" si="16"/>
        <v>C01146 : 2-Hydroxy-3-oxopropanoate</v>
      </c>
    </row>
    <row r="338" spans="1:4" x14ac:dyDescent="0.45">
      <c r="A338" t="s">
        <v>12656</v>
      </c>
      <c r="B338" s="9" t="s">
        <v>14422</v>
      </c>
      <c r="C338" s="19" t="str">
        <f t="shared" si="15"/>
        <v>C01157 : 1</v>
      </c>
      <c r="D338" s="21" t="str">
        <f t="shared" si="16"/>
        <v>C01157 : Hydroxyproline</v>
      </c>
    </row>
    <row r="339" spans="1:4" x14ac:dyDescent="0.45">
      <c r="A339" t="s">
        <v>13655</v>
      </c>
      <c r="B339" s="9" t="s">
        <v>14423</v>
      </c>
      <c r="C339" s="19" t="str">
        <f t="shared" si="15"/>
        <v>C01167 : 1</v>
      </c>
      <c r="D339" s="21" t="str">
        <f t="shared" si="16"/>
        <v>C01167 : Protein tyrosine phosphate</v>
      </c>
    </row>
    <row r="340" spans="1:4" x14ac:dyDescent="0.45">
      <c r="A340" t="s">
        <v>12914</v>
      </c>
      <c r="B340" s="7" t="s">
        <v>14424</v>
      </c>
      <c r="C340" s="19" t="str">
        <f t="shared" si="15"/>
        <v>C01170 : 1</v>
      </c>
      <c r="D340" s="21" t="str">
        <f t="shared" si="16"/>
        <v>C01170 : UDP-N-acetyl-D-mannosamine</v>
      </c>
    </row>
    <row r="341" spans="1:4" x14ac:dyDescent="0.45">
      <c r="A341" t="s">
        <v>12988</v>
      </c>
      <c r="B341" s="7" t="s">
        <v>14425</v>
      </c>
      <c r="C341" s="19" t="str">
        <f t="shared" si="15"/>
        <v>C01172 : 1</v>
      </c>
      <c r="D341" s="21" t="str">
        <f t="shared" si="16"/>
        <v>C01172 : beta-D-Glucose 6-phosphate</v>
      </c>
    </row>
    <row r="342" spans="1:4" x14ac:dyDescent="0.45">
      <c r="A342" t="s">
        <v>13656</v>
      </c>
      <c r="B342" s="7" t="s">
        <v>14426</v>
      </c>
      <c r="C342" s="19" t="str">
        <f t="shared" si="15"/>
        <v>C01179 : 1</v>
      </c>
      <c r="D342" s="21" t="str">
        <f t="shared" si="16"/>
        <v>C01179 : 3-(4-Hydroxyphenyl)pyruvate</v>
      </c>
    </row>
    <row r="343" spans="1:4" x14ac:dyDescent="0.45">
      <c r="A343" t="s">
        <v>13657</v>
      </c>
      <c r="B343" s="9" t="s">
        <v>14427</v>
      </c>
      <c r="C343" s="19" t="str">
        <f t="shared" si="15"/>
        <v>C01185 : 1</v>
      </c>
      <c r="D343" s="21" t="str">
        <f t="shared" si="16"/>
        <v>C01185 : Nicotinate D-ribonucleotide</v>
      </c>
    </row>
    <row r="344" spans="1:4" x14ac:dyDescent="0.45">
      <c r="A344" t="s">
        <v>13658</v>
      </c>
      <c r="B344" s="7" t="s">
        <v>14428</v>
      </c>
      <c r="C344" s="19" t="str">
        <f t="shared" si="15"/>
        <v>C01209 : 1</v>
      </c>
      <c r="D344" s="21" t="str">
        <f t="shared" si="16"/>
        <v>C01209 : Malonyl-[acyl-carrier protein]</v>
      </c>
    </row>
    <row r="345" spans="1:4" x14ac:dyDescent="0.45">
      <c r="A345" t="s">
        <v>13659</v>
      </c>
      <c r="B345" s="7" t="s">
        <v>14429</v>
      </c>
      <c r="C345" s="19" t="str">
        <f t="shared" si="15"/>
        <v>C01212 : 1</v>
      </c>
      <c r="D345" s="21" t="str">
        <f t="shared" si="16"/>
        <v>C01212 : UDP-N-acetylmuramoyl-L-alanine</v>
      </c>
    </row>
    <row r="346" spans="1:4" x14ac:dyDescent="0.45">
      <c r="A346" t="s">
        <v>13660</v>
      </c>
      <c r="B346" s="7" t="s">
        <v>14430</v>
      </c>
      <c r="C346" s="19" t="str">
        <f t="shared" si="15"/>
        <v>C01217 : 1</v>
      </c>
      <c r="D346" s="21" t="str">
        <f t="shared" si="16"/>
        <v>C01217 : 5,6,7,8-Tetrahydromethanopterin</v>
      </c>
    </row>
    <row r="347" spans="1:4" x14ac:dyDescent="0.45">
      <c r="A347" t="s">
        <v>13661</v>
      </c>
      <c r="B347" s="7" t="s">
        <v>14431</v>
      </c>
      <c r="C347" s="19" t="str">
        <f t="shared" ref="C347:C410" si="17">CONCATENATE(A347," : 1")</f>
        <v>C01242 : 1</v>
      </c>
      <c r="D347" s="21" t="str">
        <f t="shared" si="16"/>
        <v>C01242 : [H-protein]-S-aminomethyldihydrolipoyllysine</v>
      </c>
    </row>
    <row r="348" spans="1:4" x14ac:dyDescent="0.45">
      <c r="A348" t="s">
        <v>13662</v>
      </c>
      <c r="B348" s="7" t="s">
        <v>14432</v>
      </c>
      <c r="C348" s="19" t="str">
        <f t="shared" si="17"/>
        <v>C01250 : 1</v>
      </c>
      <c r="D348" s="21" t="str">
        <f t="shared" si="16"/>
        <v>C01250 : N-Acetyl-L-glutamate 5-semialdehyde</v>
      </c>
    </row>
    <row r="349" spans="1:4" x14ac:dyDescent="0.45">
      <c r="A349" t="s">
        <v>13663</v>
      </c>
      <c r="B349" s="7" t="s">
        <v>14433</v>
      </c>
      <c r="C349" s="19" t="str">
        <f t="shared" si="17"/>
        <v>C01251 : 1</v>
      </c>
      <c r="D349" s="21" t="str">
        <f t="shared" si="16"/>
        <v>C01251 : (R)-2-Hydroxybutane-1,2,4-tricarboxylate</v>
      </c>
    </row>
    <row r="350" spans="1:4" x14ac:dyDescent="0.45">
      <c r="A350" t="s">
        <v>13664</v>
      </c>
      <c r="B350" s="7" t="s">
        <v>14434</v>
      </c>
      <c r="C350" s="19" t="str">
        <f t="shared" si="17"/>
        <v>C01260 : 1</v>
      </c>
      <c r="D350" s="21" t="str">
        <f t="shared" si="16"/>
        <v>C01260 : P1,P4-Bis(5'-adenosyl)tetraphosphate</v>
      </c>
    </row>
    <row r="351" spans="1:4" x14ac:dyDescent="0.45">
      <c r="A351" t="s">
        <v>13665</v>
      </c>
      <c r="B351" s="7" t="s">
        <v>14435</v>
      </c>
      <c r="C351" s="19" t="str">
        <f t="shared" si="17"/>
        <v>C01267 : 1</v>
      </c>
      <c r="D351" s="21" t="str">
        <f t="shared" si="16"/>
        <v>C01267 : 3-(Imidazol-4-yl)-2-oxopropyl phosphate</v>
      </c>
    </row>
    <row r="352" spans="1:4" x14ac:dyDescent="0.45">
      <c r="A352" t="s">
        <v>13666</v>
      </c>
      <c r="B352" s="7" t="s">
        <v>14436</v>
      </c>
      <c r="C352" s="19" t="str">
        <f t="shared" si="17"/>
        <v>C01268 : 1</v>
      </c>
      <c r="D352" s="21" t="str">
        <f t="shared" si="16"/>
        <v>C01268 : 5-Amino-6-(5'-phosphoribosylamino)uracil</v>
      </c>
    </row>
    <row r="353" spans="1:4" x14ac:dyDescent="0.45">
      <c r="A353" t="s">
        <v>12764</v>
      </c>
      <c r="B353" s="7" t="s">
        <v>14437</v>
      </c>
      <c r="C353" s="19" t="str">
        <f t="shared" si="17"/>
        <v>C01269 : 1</v>
      </c>
      <c r="D353" s="21" t="str">
        <f t="shared" si="16"/>
        <v>C01269 : 5-O-(1-Carboxyvinyl)-3-phosphoshikimate</v>
      </c>
    </row>
    <row r="354" spans="1:4" x14ac:dyDescent="0.45">
      <c r="A354" t="s">
        <v>12704</v>
      </c>
      <c r="B354" s="7" t="s">
        <v>14438</v>
      </c>
      <c r="C354" s="19" t="str">
        <f t="shared" si="17"/>
        <v>C01271 : 1</v>
      </c>
      <c r="D354" s="21" t="str">
        <f t="shared" si="16"/>
        <v>C01271 : (3R)-3-Hydroxyacyl-[acyl-carrier protein]</v>
      </c>
    </row>
    <row r="355" spans="1:4" x14ac:dyDescent="0.45">
      <c r="A355" t="s">
        <v>13667</v>
      </c>
      <c r="B355" s="7" t="s">
        <v>14439</v>
      </c>
      <c r="C355" s="19" t="str">
        <f t="shared" si="17"/>
        <v>C01279 : 1</v>
      </c>
      <c r="D355" s="21" t="str">
        <f t="shared" si="16"/>
        <v>C01279 : 4-Amino-5-hydroxymethyl-2-methylpyrimidine</v>
      </c>
    </row>
    <row r="356" spans="1:4" x14ac:dyDescent="0.45">
      <c r="A356" t="s">
        <v>13668</v>
      </c>
      <c r="B356" s="7" t="s">
        <v>14440</v>
      </c>
      <c r="C356" s="19" t="str">
        <f t="shared" si="17"/>
        <v>C01300 : 1</v>
      </c>
      <c r="D356" s="21" t="str">
        <f t="shared" si="16"/>
        <v>C01300 : 6-(Hydroxymethyl)-7,8-dihydropterin</v>
      </c>
    </row>
    <row r="357" spans="1:4" ht="28.5" x14ac:dyDescent="0.45">
      <c r="A357" t="s">
        <v>13669</v>
      </c>
      <c r="B357" s="9" t="s">
        <v>14441</v>
      </c>
      <c r="C357" s="19" t="str">
        <f t="shared" si="17"/>
        <v>C01304 : 1</v>
      </c>
      <c r="D357" s="21" t="str">
        <f t="shared" si="16"/>
        <v>C01304 : 2,5-Diamino-6-(5-phospho-D-ribosylamino)pyrimidin-4(3H)-one</v>
      </c>
    </row>
    <row r="358" spans="1:4" x14ac:dyDescent="0.45">
      <c r="A358" t="s">
        <v>13670</v>
      </c>
      <c r="B358" s="7" t="s">
        <v>14442</v>
      </c>
      <c r="C358" s="19" t="str">
        <f t="shared" si="17"/>
        <v>C01335 : 1</v>
      </c>
      <c r="D358" s="21" t="str">
        <f t="shared" si="16"/>
        <v>C01335 : ROH</v>
      </c>
    </row>
    <row r="359" spans="1:4" x14ac:dyDescent="0.45">
      <c r="A359" t="s">
        <v>13671</v>
      </c>
      <c r="B359" s="7" t="s">
        <v>14443</v>
      </c>
      <c r="C359" s="19" t="str">
        <f t="shared" si="17"/>
        <v>C01336 : 1</v>
      </c>
      <c r="D359" s="21" t="str">
        <f t="shared" si="16"/>
        <v>C01336 : Aryl thiol</v>
      </c>
    </row>
    <row r="360" spans="1:4" x14ac:dyDescent="0.45">
      <c r="A360" t="s">
        <v>13672</v>
      </c>
      <c r="B360" s="7" t="s">
        <v>14444</v>
      </c>
      <c r="C360" s="19" t="str">
        <f t="shared" si="17"/>
        <v>C01346 : 1</v>
      </c>
      <c r="D360" s="21" t="str">
        <f t="shared" si="16"/>
        <v>C01346 : dUDP</v>
      </c>
    </row>
    <row r="361" spans="1:4" x14ac:dyDescent="0.45">
      <c r="A361" t="s">
        <v>13673</v>
      </c>
      <c r="B361" s="7" t="s">
        <v>14445</v>
      </c>
      <c r="C361" s="19" t="str">
        <f t="shared" si="17"/>
        <v>C01412 : 1</v>
      </c>
      <c r="D361" s="21" t="str">
        <f t="shared" si="16"/>
        <v>C01412 : Butyraldehyde</v>
      </c>
    </row>
    <row r="362" spans="1:4" x14ac:dyDescent="0.45">
      <c r="A362" t="s">
        <v>13674</v>
      </c>
      <c r="B362" s="7" t="s">
        <v>14446</v>
      </c>
      <c r="C362" s="19" t="str">
        <f t="shared" si="17"/>
        <v>C01419 : 1</v>
      </c>
      <c r="D362" s="21" t="str">
        <f t="shared" si="16"/>
        <v>C01419 : Cys-Gly</v>
      </c>
    </row>
    <row r="363" spans="1:4" x14ac:dyDescent="0.45">
      <c r="A363" t="s">
        <v>13675</v>
      </c>
      <c r="B363" s="7" t="s">
        <v>14447</v>
      </c>
      <c r="C363" s="19" t="str">
        <f t="shared" si="17"/>
        <v>C01450 : 1</v>
      </c>
      <c r="D363" s="21" t="str">
        <f t="shared" si="16"/>
        <v>C01450 : Ketone</v>
      </c>
    </row>
    <row r="364" spans="1:4" x14ac:dyDescent="0.45">
      <c r="A364" t="s">
        <v>13676</v>
      </c>
      <c r="B364" s="7" t="s">
        <v>14448</v>
      </c>
      <c r="C364" s="19" t="str">
        <f t="shared" si="17"/>
        <v>C01468 : 1</v>
      </c>
      <c r="D364" s="21" t="str">
        <f t="shared" si="16"/>
        <v>C01468 : 4-Cresol</v>
      </c>
    </row>
    <row r="365" spans="1:4" x14ac:dyDescent="0.45">
      <c r="A365" t="s">
        <v>13677</v>
      </c>
      <c r="B365" s="7" t="s">
        <v>14449</v>
      </c>
      <c r="C365" s="19" t="str">
        <f t="shared" si="17"/>
        <v>C01528 : 1</v>
      </c>
      <c r="D365" s="21" t="str">
        <f t="shared" si="16"/>
        <v>C01528 : Hydrogen selenide</v>
      </c>
    </row>
    <row r="366" spans="1:4" x14ac:dyDescent="0.45">
      <c r="A366" t="s">
        <v>13678</v>
      </c>
      <c r="B366" s="7" t="s">
        <v>14450</v>
      </c>
      <c r="C366" s="19" t="str">
        <f t="shared" si="17"/>
        <v>C01545 : 1</v>
      </c>
      <c r="D366" s="21" t="str">
        <f t="shared" si="16"/>
        <v>C01545 : Octanal</v>
      </c>
    </row>
    <row r="367" spans="1:4" x14ac:dyDescent="0.45">
      <c r="A367" t="s">
        <v>13679</v>
      </c>
      <c r="B367" s="7" t="s">
        <v>14451</v>
      </c>
      <c r="C367" s="19" t="str">
        <f t="shared" si="17"/>
        <v>C01563 : 1</v>
      </c>
      <c r="D367" s="21" t="str">
        <f t="shared" si="16"/>
        <v>C01563 : Carbamate</v>
      </c>
    </row>
    <row r="368" spans="1:4" x14ac:dyDescent="0.45">
      <c r="A368" t="s">
        <v>13680</v>
      </c>
      <c r="B368" s="7" t="s">
        <v>14452</v>
      </c>
      <c r="C368" s="19" t="str">
        <f t="shared" si="17"/>
        <v>C01609 : 1</v>
      </c>
      <c r="D368" s="21" t="str">
        <f t="shared" si="16"/>
        <v>C01609 : Protamine</v>
      </c>
    </row>
    <row r="369" spans="1:4" x14ac:dyDescent="0.45">
      <c r="A369" t="s">
        <v>13681</v>
      </c>
      <c r="B369" s="7" t="s">
        <v>14453</v>
      </c>
      <c r="C369" s="19" t="str">
        <f t="shared" si="17"/>
        <v>C01612 : 1</v>
      </c>
      <c r="D369" s="21" t="str">
        <f t="shared" si="16"/>
        <v>C01612 : Secondary alcohol</v>
      </c>
    </row>
    <row r="370" spans="1:4" x14ac:dyDescent="0.45">
      <c r="A370" t="s">
        <v>13682</v>
      </c>
      <c r="B370" s="7" t="s">
        <v>14454</v>
      </c>
      <c r="C370" s="19" t="str">
        <f t="shared" si="17"/>
        <v>C01635 : 1</v>
      </c>
      <c r="D370" s="21" t="str">
        <f t="shared" si="16"/>
        <v>C01635 : tRNA(Ala)</v>
      </c>
    </row>
    <row r="371" spans="1:4" x14ac:dyDescent="0.45">
      <c r="A371" t="s">
        <v>13683</v>
      </c>
      <c r="B371" s="7" t="s">
        <v>14455</v>
      </c>
      <c r="C371" s="19" t="str">
        <f t="shared" si="17"/>
        <v>C01636 : 1</v>
      </c>
      <c r="D371" s="21" t="str">
        <f t="shared" si="16"/>
        <v>C01636 : tRNA(Arg)</v>
      </c>
    </row>
    <row r="372" spans="1:4" x14ac:dyDescent="0.45">
      <c r="A372" t="s">
        <v>13684</v>
      </c>
      <c r="B372" s="7" t="s">
        <v>14456</v>
      </c>
      <c r="C372" s="19" t="str">
        <f t="shared" si="17"/>
        <v>C01637 : 1</v>
      </c>
      <c r="D372" s="21" t="str">
        <f t="shared" si="16"/>
        <v>C01637 : tRNA(Asn)</v>
      </c>
    </row>
    <row r="373" spans="1:4" x14ac:dyDescent="0.45">
      <c r="A373" t="s">
        <v>13685</v>
      </c>
      <c r="B373" s="7" t="s">
        <v>14457</v>
      </c>
      <c r="C373" s="19" t="str">
        <f t="shared" si="17"/>
        <v>C01638 : 1</v>
      </c>
      <c r="D373" s="21" t="str">
        <f t="shared" si="16"/>
        <v>C01638 : tRNA(Asp)</v>
      </c>
    </row>
    <row r="374" spans="1:4" x14ac:dyDescent="0.45">
      <c r="A374" t="s">
        <v>13686</v>
      </c>
      <c r="B374" s="9" t="s">
        <v>14458</v>
      </c>
      <c r="C374" s="19" t="str">
        <f t="shared" si="17"/>
        <v>C01639 : 1</v>
      </c>
      <c r="D374" s="21" t="str">
        <f t="shared" si="16"/>
        <v>C01639 : tRNA(Cys)</v>
      </c>
    </row>
    <row r="375" spans="1:4" x14ac:dyDescent="0.45">
      <c r="A375" t="s">
        <v>13687</v>
      </c>
      <c r="B375" s="7" t="s">
        <v>14459</v>
      </c>
      <c r="C375" s="19" t="str">
        <f t="shared" si="17"/>
        <v>C01641 : 1</v>
      </c>
      <c r="D375" s="21" t="str">
        <f t="shared" si="16"/>
        <v>C01641 : tRNA(Glu)</v>
      </c>
    </row>
    <row r="376" spans="1:4" x14ac:dyDescent="0.45">
      <c r="A376" t="s">
        <v>13688</v>
      </c>
      <c r="B376" s="7" t="s">
        <v>14460</v>
      </c>
      <c r="C376" s="19" t="str">
        <f t="shared" si="17"/>
        <v>C01642 : 1</v>
      </c>
      <c r="D376" s="21" t="str">
        <f t="shared" si="16"/>
        <v>C01642 : tRNA(Gly)</v>
      </c>
    </row>
    <row r="377" spans="1:4" x14ac:dyDescent="0.45">
      <c r="A377" t="s">
        <v>13689</v>
      </c>
      <c r="B377" s="9" t="s">
        <v>14461</v>
      </c>
      <c r="C377" s="19" t="str">
        <f t="shared" si="17"/>
        <v>C01643 : 1</v>
      </c>
      <c r="D377" s="21" t="str">
        <f t="shared" si="16"/>
        <v>C01643 : tRNA(His)</v>
      </c>
    </row>
    <row r="378" spans="1:4" x14ac:dyDescent="0.45">
      <c r="A378" t="s">
        <v>13690</v>
      </c>
      <c r="B378" s="7" t="s">
        <v>14462</v>
      </c>
      <c r="C378" s="19" t="str">
        <f t="shared" si="17"/>
        <v>C01644 : 1</v>
      </c>
      <c r="D378" s="21" t="str">
        <f t="shared" si="16"/>
        <v>C01644 : tRNA(Ile)</v>
      </c>
    </row>
    <row r="379" spans="1:4" x14ac:dyDescent="0.45">
      <c r="A379" t="s">
        <v>13691</v>
      </c>
      <c r="B379" s="7" t="s">
        <v>14463</v>
      </c>
      <c r="C379" s="19" t="str">
        <f t="shared" si="17"/>
        <v>C01645 : 1</v>
      </c>
      <c r="D379" s="21" t="str">
        <f t="shared" si="16"/>
        <v>C01645 : tRNA(Leu)</v>
      </c>
    </row>
    <row r="380" spans="1:4" x14ac:dyDescent="0.45">
      <c r="A380" t="s">
        <v>13692</v>
      </c>
      <c r="B380" s="7" t="s">
        <v>14464</v>
      </c>
      <c r="C380" s="19" t="str">
        <f t="shared" si="17"/>
        <v>C01646 : 1</v>
      </c>
      <c r="D380" s="21" t="str">
        <f t="shared" si="16"/>
        <v>C01646 : tRNA(Lys)</v>
      </c>
    </row>
    <row r="381" spans="1:4" x14ac:dyDescent="0.45">
      <c r="A381" t="s">
        <v>13693</v>
      </c>
      <c r="B381" s="7" t="s">
        <v>14465</v>
      </c>
      <c r="C381" s="19" t="str">
        <f t="shared" si="17"/>
        <v>C01647 : 1</v>
      </c>
      <c r="D381" s="21" t="str">
        <f t="shared" si="16"/>
        <v>C01647 : tRNA(Met)</v>
      </c>
    </row>
    <row r="382" spans="1:4" x14ac:dyDescent="0.45">
      <c r="A382" t="s">
        <v>13694</v>
      </c>
      <c r="B382" s="7" t="s">
        <v>14466</v>
      </c>
      <c r="C382" s="19" t="str">
        <f t="shared" si="17"/>
        <v>C01648 : 1</v>
      </c>
      <c r="D382" s="21" t="str">
        <f t="shared" si="16"/>
        <v>C01648 : tRNA(Phe)</v>
      </c>
    </row>
    <row r="383" spans="1:4" x14ac:dyDescent="0.45">
      <c r="A383" t="s">
        <v>13695</v>
      </c>
      <c r="B383" s="7" t="s">
        <v>14467</v>
      </c>
      <c r="C383" s="19" t="str">
        <f t="shared" si="17"/>
        <v>C01649 : 1</v>
      </c>
      <c r="D383" s="21" t="str">
        <f t="shared" si="16"/>
        <v>C01649 : tRNA(Pro)</v>
      </c>
    </row>
    <row r="384" spans="1:4" x14ac:dyDescent="0.45">
      <c r="A384" t="s">
        <v>13696</v>
      </c>
      <c r="B384" s="7" t="s">
        <v>14468</v>
      </c>
      <c r="C384" s="19" t="str">
        <f t="shared" si="17"/>
        <v>C01650 : 1</v>
      </c>
      <c r="D384" s="21" t="str">
        <f t="shared" si="16"/>
        <v>C01650 : tRNA(Ser)</v>
      </c>
    </row>
    <row r="385" spans="1:4" x14ac:dyDescent="0.45">
      <c r="A385" t="s">
        <v>13697</v>
      </c>
      <c r="B385" s="7" t="s">
        <v>14469</v>
      </c>
      <c r="C385" s="19" t="str">
        <f t="shared" si="17"/>
        <v>C01651 : 1</v>
      </c>
      <c r="D385" s="21" t="str">
        <f t="shared" si="16"/>
        <v>C01651 : tRNA(Thr)</v>
      </c>
    </row>
    <row r="386" spans="1:4" x14ac:dyDescent="0.45">
      <c r="A386" t="s">
        <v>13698</v>
      </c>
      <c r="B386" s="7" t="s">
        <v>14470</v>
      </c>
      <c r="C386" s="19" t="str">
        <f t="shared" si="17"/>
        <v>C01652 : 1</v>
      </c>
      <c r="D386" s="21" t="str">
        <f t="shared" si="16"/>
        <v>C01652 : tRNA(Trp)</v>
      </c>
    </row>
    <row r="387" spans="1:4" x14ac:dyDescent="0.45">
      <c r="A387" t="s">
        <v>13699</v>
      </c>
      <c r="B387" s="7" t="s">
        <v>14471</v>
      </c>
      <c r="C387" s="19" t="str">
        <f t="shared" si="17"/>
        <v>C01653 : 1</v>
      </c>
      <c r="D387" s="21" t="str">
        <f t="shared" ref="D387:D450" si="18">CONCATENATE(A387," : ",B387)</f>
        <v>C01653 : tRNA(Val)</v>
      </c>
    </row>
    <row r="388" spans="1:4" x14ac:dyDescent="0.45">
      <c r="A388" t="s">
        <v>13700</v>
      </c>
      <c r="B388" s="7" t="s">
        <v>14472</v>
      </c>
      <c r="C388" s="19" t="str">
        <f t="shared" si="17"/>
        <v>C01672 : 1</v>
      </c>
      <c r="D388" s="21" t="str">
        <f t="shared" si="18"/>
        <v>C01672 : Cadaverine</v>
      </c>
    </row>
    <row r="389" spans="1:4" x14ac:dyDescent="0.45">
      <c r="A389" t="s">
        <v>13701</v>
      </c>
      <c r="B389" s="7" t="s">
        <v>14473</v>
      </c>
      <c r="C389" s="19" t="str">
        <f t="shared" si="17"/>
        <v>C01674 : 1</v>
      </c>
      <c r="D389" s="21" t="str">
        <f t="shared" si="18"/>
        <v>C01674 : Chitobiose</v>
      </c>
    </row>
    <row r="390" spans="1:4" x14ac:dyDescent="0.45">
      <c r="A390" t="s">
        <v>13702</v>
      </c>
      <c r="B390" s="7" t="s">
        <v>14474</v>
      </c>
      <c r="C390" s="19" t="str">
        <f t="shared" si="17"/>
        <v>C01762 : 1</v>
      </c>
      <c r="D390" s="21" t="str">
        <f t="shared" si="18"/>
        <v>C01762 : Xanthosine</v>
      </c>
    </row>
    <row r="391" spans="1:4" x14ac:dyDescent="0.45">
      <c r="A391" t="s">
        <v>13703</v>
      </c>
      <c r="B391" s="7" t="s">
        <v>14475</v>
      </c>
      <c r="C391" s="19" t="str">
        <f t="shared" si="17"/>
        <v>C01801 : 1</v>
      </c>
      <c r="D391" s="21" t="str">
        <f t="shared" si="18"/>
        <v>C01801 : Deoxyribose</v>
      </c>
    </row>
    <row r="392" spans="1:4" x14ac:dyDescent="0.45">
      <c r="A392" t="s">
        <v>13704</v>
      </c>
      <c r="B392" s="7" t="s">
        <v>14476</v>
      </c>
      <c r="C392" s="19" t="str">
        <f t="shared" si="17"/>
        <v>C01866 : 1</v>
      </c>
      <c r="D392" s="21" t="str">
        <f t="shared" si="18"/>
        <v>C01866 : beta-Lactam</v>
      </c>
    </row>
    <row r="393" spans="1:4" x14ac:dyDescent="0.45">
      <c r="A393" t="s">
        <v>13705</v>
      </c>
      <c r="B393" s="7" t="s">
        <v>14477</v>
      </c>
      <c r="C393" s="19" t="str">
        <f t="shared" si="17"/>
        <v>C01879 : 1</v>
      </c>
      <c r="D393" s="21" t="str">
        <f t="shared" si="18"/>
        <v>C01879 : Pyroglutamic acid</v>
      </c>
    </row>
    <row r="394" spans="1:4" x14ac:dyDescent="0.45">
      <c r="A394" t="s">
        <v>13706</v>
      </c>
      <c r="B394" s="7" t="s">
        <v>14478</v>
      </c>
      <c r="C394" s="19" t="str">
        <f t="shared" si="17"/>
        <v>C01909 : 1</v>
      </c>
      <c r="D394" s="21" t="str">
        <f t="shared" si="18"/>
        <v>C01909 : Dethiobiotin</v>
      </c>
    </row>
    <row r="395" spans="1:4" x14ac:dyDescent="0.45">
      <c r="A395" t="s">
        <v>13707</v>
      </c>
      <c r="B395" s="7" t="s">
        <v>14479</v>
      </c>
      <c r="C395" s="19" t="str">
        <f t="shared" si="17"/>
        <v>C01929 : 1</v>
      </c>
      <c r="D395" s="21" t="str">
        <f t="shared" si="18"/>
        <v>C01929 : L-Histidinal</v>
      </c>
    </row>
    <row r="396" spans="1:4" x14ac:dyDescent="0.45">
      <c r="A396" t="s">
        <v>13708</v>
      </c>
      <c r="B396" s="7" t="s">
        <v>14480</v>
      </c>
      <c r="C396" s="19" t="str">
        <f t="shared" si="17"/>
        <v>C01931 : 1</v>
      </c>
      <c r="D396" s="21" t="str">
        <f t="shared" si="18"/>
        <v>C01931 : L-Lysyl-tRNA(Lys)</v>
      </c>
    </row>
    <row r="397" spans="1:4" x14ac:dyDescent="0.45">
      <c r="A397" t="s">
        <v>13709</v>
      </c>
      <c r="B397" s="9" t="s">
        <v>14481</v>
      </c>
      <c r="C397" s="19" t="str">
        <f t="shared" si="17"/>
        <v>C01962 : 1</v>
      </c>
      <c r="D397" s="21" t="str">
        <f t="shared" si="18"/>
        <v>C01962 : Thiocysteine</v>
      </c>
    </row>
    <row r="398" spans="1:4" x14ac:dyDescent="0.45">
      <c r="A398" t="s">
        <v>13710</v>
      </c>
      <c r="B398" s="7" t="s">
        <v>14482</v>
      </c>
      <c r="C398" s="19" t="str">
        <f t="shared" si="17"/>
        <v>C01977 : 1</v>
      </c>
      <c r="D398" s="21" t="str">
        <f t="shared" si="18"/>
        <v>C01977 : tRNA guanine</v>
      </c>
    </row>
    <row r="399" spans="1:4" x14ac:dyDescent="0.45">
      <c r="A399" t="s">
        <v>13711</v>
      </c>
      <c r="B399" s="7" t="s">
        <v>14483</v>
      </c>
      <c r="C399" s="19" t="str">
        <f t="shared" si="17"/>
        <v>C01978 : 1</v>
      </c>
      <c r="D399" s="21" t="str">
        <f t="shared" si="18"/>
        <v>C01978 : tRNA queuine</v>
      </c>
    </row>
    <row r="400" spans="1:4" x14ac:dyDescent="0.45">
      <c r="A400" t="s">
        <v>13712</v>
      </c>
      <c r="B400" s="7" t="s">
        <v>14484</v>
      </c>
      <c r="C400" s="19" t="str">
        <f t="shared" si="17"/>
        <v>C01997 : 1</v>
      </c>
      <c r="D400" s="21" t="str">
        <f t="shared" si="18"/>
        <v>C01997 : Histone N6-acetyl-L-lysine</v>
      </c>
    </row>
    <row r="401" spans="1:4" x14ac:dyDescent="0.45">
      <c r="A401" t="s">
        <v>13713</v>
      </c>
      <c r="B401" s="7" t="s">
        <v>14485</v>
      </c>
      <c r="C401" s="19" t="str">
        <f t="shared" si="17"/>
        <v>C02015 : 1</v>
      </c>
      <c r="D401" s="21" t="str">
        <f t="shared" si="18"/>
        <v>C02015 : CoA-disulfide</v>
      </c>
    </row>
    <row r="402" spans="1:4" x14ac:dyDescent="0.45">
      <c r="A402" t="s">
        <v>13714</v>
      </c>
      <c r="B402" s="7" t="s">
        <v>14486</v>
      </c>
      <c r="C402" s="19" t="str">
        <f t="shared" si="17"/>
        <v>C02047 : 1</v>
      </c>
      <c r="D402" s="21" t="str">
        <f t="shared" si="18"/>
        <v>C02047 : L-Leucyl-tRNA(Leu)</v>
      </c>
    </row>
    <row r="403" spans="1:4" x14ac:dyDescent="0.45">
      <c r="A403" t="s">
        <v>13715</v>
      </c>
      <c r="B403" s="7" t="s">
        <v>14487</v>
      </c>
      <c r="C403" s="19" t="str">
        <f t="shared" si="17"/>
        <v>C02051 : 1</v>
      </c>
      <c r="D403" s="21" t="str">
        <f t="shared" si="18"/>
        <v>C02051 : Lipoylprotein</v>
      </c>
    </row>
    <row r="404" spans="1:4" x14ac:dyDescent="0.45">
      <c r="A404" t="s">
        <v>13716</v>
      </c>
      <c r="B404" s="7" t="s">
        <v>14488</v>
      </c>
      <c r="C404" s="19" t="str">
        <f t="shared" si="17"/>
        <v>C02090 : 1</v>
      </c>
      <c r="D404" s="21" t="str">
        <f t="shared" si="18"/>
        <v>C02090 : Trypanothione</v>
      </c>
    </row>
    <row r="405" spans="1:4" x14ac:dyDescent="0.45">
      <c r="A405" t="s">
        <v>12928</v>
      </c>
      <c r="B405" s="7" t="s">
        <v>14489</v>
      </c>
      <c r="C405" s="19" t="str">
        <f t="shared" si="17"/>
        <v>C02097 : 1</v>
      </c>
      <c r="D405" s="21" t="str">
        <f t="shared" si="18"/>
        <v>C02097 : dTDP-galactose</v>
      </c>
    </row>
    <row r="406" spans="1:4" x14ac:dyDescent="0.45">
      <c r="A406" t="s">
        <v>13717</v>
      </c>
      <c r="B406" s="7" t="s">
        <v>14490</v>
      </c>
      <c r="C406" s="19" t="str">
        <f t="shared" si="17"/>
        <v>C02128 : 1</v>
      </c>
      <c r="D406" s="21" t="str">
        <f t="shared" si="18"/>
        <v>C02128 : 5'-Phospho-DNA</v>
      </c>
    </row>
    <row r="407" spans="1:4" x14ac:dyDescent="0.45">
      <c r="A407" t="s">
        <v>13718</v>
      </c>
      <c r="B407" s="7" t="s">
        <v>14491</v>
      </c>
      <c r="C407" s="19" t="str">
        <f t="shared" si="17"/>
        <v>C02133 : 1</v>
      </c>
      <c r="D407" s="21" t="str">
        <f t="shared" si="18"/>
        <v>C02133 : Acyl phosphate</v>
      </c>
    </row>
    <row r="408" spans="1:4" x14ac:dyDescent="0.45">
      <c r="A408" t="s">
        <v>13719</v>
      </c>
      <c r="B408" s="7" t="s">
        <v>14492</v>
      </c>
      <c r="C408" s="19" t="str">
        <f t="shared" si="17"/>
        <v>C02163 : 1</v>
      </c>
      <c r="D408" s="21" t="str">
        <f t="shared" si="18"/>
        <v>C02163 : L-Arginyl-tRNA(Arg)</v>
      </c>
    </row>
    <row r="409" spans="1:4" x14ac:dyDescent="0.45">
      <c r="A409" t="s">
        <v>13720</v>
      </c>
      <c r="B409" s="7" t="s">
        <v>14493</v>
      </c>
      <c r="C409" s="19" t="str">
        <f t="shared" si="17"/>
        <v>C02166 : 1</v>
      </c>
      <c r="D409" s="21" t="str">
        <f t="shared" si="18"/>
        <v>C02166 : Leukotriene C4</v>
      </c>
    </row>
    <row r="410" spans="1:4" x14ac:dyDescent="0.45">
      <c r="A410" t="s">
        <v>13721</v>
      </c>
      <c r="B410" s="7" t="s">
        <v>14494</v>
      </c>
      <c r="C410" s="19" t="str">
        <f t="shared" si="17"/>
        <v>C02188 : 1</v>
      </c>
      <c r="D410" s="21" t="str">
        <f t="shared" si="18"/>
        <v>C02188 : Peptidyl-L-lysine</v>
      </c>
    </row>
    <row r="411" spans="1:4" x14ac:dyDescent="0.45">
      <c r="A411" t="s">
        <v>12958</v>
      </c>
      <c r="B411" s="7" t="s">
        <v>14495</v>
      </c>
      <c r="C411" s="19" t="str">
        <f t="shared" ref="C411:C474" si="19">CONCATENATE(A411," : 1")</f>
        <v>C02205 : 1</v>
      </c>
      <c r="D411" s="21" t="str">
        <f t="shared" si="18"/>
        <v>C02205 : alpha-D-Xylose</v>
      </c>
    </row>
    <row r="412" spans="1:4" x14ac:dyDescent="0.45">
      <c r="A412" t="s">
        <v>13722</v>
      </c>
      <c r="B412" s="7" t="s">
        <v>14496</v>
      </c>
      <c r="C412" s="19" t="str">
        <f t="shared" si="19"/>
        <v>C02211 : 1</v>
      </c>
      <c r="D412" s="21" t="str">
        <f t="shared" si="18"/>
        <v>C02211 : tRNA precursor</v>
      </c>
    </row>
    <row r="413" spans="1:4" x14ac:dyDescent="0.45">
      <c r="A413" t="s">
        <v>12782</v>
      </c>
      <c r="B413" s="7" t="s">
        <v>14497</v>
      </c>
      <c r="C413" s="19" t="str">
        <f t="shared" si="19"/>
        <v>C02218 : 1</v>
      </c>
      <c r="D413" s="21" t="str">
        <f t="shared" si="18"/>
        <v>C02218 : Dehydroalanine</v>
      </c>
    </row>
    <row r="414" spans="1:4" x14ac:dyDescent="0.45">
      <c r="A414" t="s">
        <v>13723</v>
      </c>
      <c r="B414" s="7" t="s">
        <v>14498</v>
      </c>
      <c r="C414" s="19" t="str">
        <f t="shared" si="19"/>
        <v>C02232 : 1</v>
      </c>
      <c r="D414" s="21" t="str">
        <f t="shared" si="18"/>
        <v>C02232 : 3-Oxoadipyl-CoA</v>
      </c>
    </row>
    <row r="415" spans="1:4" x14ac:dyDescent="0.45">
      <c r="A415" t="s">
        <v>13724</v>
      </c>
      <c r="B415" s="7" t="s">
        <v>14499</v>
      </c>
      <c r="C415" s="19" t="str">
        <f t="shared" si="19"/>
        <v>C02291 : 1</v>
      </c>
      <c r="D415" s="21" t="str">
        <f t="shared" si="18"/>
        <v>C02291 : L-Cystathionine</v>
      </c>
    </row>
    <row r="416" spans="1:4" x14ac:dyDescent="0.45">
      <c r="A416" t="s">
        <v>13725</v>
      </c>
      <c r="B416" s="7" t="s">
        <v>14500</v>
      </c>
      <c r="C416" s="19" t="str">
        <f t="shared" si="19"/>
        <v>C02320 : 1</v>
      </c>
      <c r="D416" s="21" t="str">
        <f t="shared" si="18"/>
        <v>C02320 : R-S-Glutathione</v>
      </c>
    </row>
    <row r="417" spans="1:4" x14ac:dyDescent="0.45">
      <c r="A417" t="s">
        <v>13726</v>
      </c>
      <c r="B417" s="7" t="s">
        <v>14501</v>
      </c>
      <c r="C417" s="19" t="str">
        <f t="shared" si="19"/>
        <v>C02323 : 1</v>
      </c>
      <c r="D417" s="21" t="str">
        <f t="shared" si="18"/>
        <v>C02323 : Salicyl alcohol</v>
      </c>
    </row>
    <row r="418" spans="1:4" x14ac:dyDescent="0.45">
      <c r="A418" t="s">
        <v>13727</v>
      </c>
      <c r="B418" s="7" t="s">
        <v>14502</v>
      </c>
      <c r="C418" s="19" t="str">
        <f t="shared" si="19"/>
        <v>C02336 : 1</v>
      </c>
      <c r="D418" s="21" t="str">
        <f t="shared" si="18"/>
        <v>C02336 : beta-D-Fructose</v>
      </c>
    </row>
    <row r="419" spans="1:4" x14ac:dyDescent="0.45">
      <c r="A419" t="s">
        <v>13728</v>
      </c>
      <c r="B419" s="7" t="s">
        <v>14503</v>
      </c>
      <c r="C419" s="19" t="str">
        <f t="shared" si="19"/>
        <v>C02342 : 1</v>
      </c>
      <c r="D419" s="21" t="str">
        <f t="shared" si="18"/>
        <v>C02342 : 'Activated' tRNA</v>
      </c>
    </row>
    <row r="420" spans="1:4" x14ac:dyDescent="0.45">
      <c r="A420" t="s">
        <v>13729</v>
      </c>
      <c r="B420" s="7" t="s">
        <v>14504</v>
      </c>
      <c r="C420" s="19" t="str">
        <f t="shared" si="19"/>
        <v>C02380 : 1</v>
      </c>
      <c r="D420" s="21" t="str">
        <f t="shared" si="18"/>
        <v>C02380 : 6-Mercaptopurine</v>
      </c>
    </row>
    <row r="421" spans="1:4" x14ac:dyDescent="0.45">
      <c r="A421" t="s">
        <v>13730</v>
      </c>
      <c r="B421" s="7" t="s">
        <v>14505</v>
      </c>
      <c r="C421" s="19" t="str">
        <f t="shared" si="19"/>
        <v>C02412 : 1</v>
      </c>
      <c r="D421" s="21" t="str">
        <f t="shared" si="18"/>
        <v>C02412 : Glycyl-tRNA(Gly)</v>
      </c>
    </row>
    <row r="422" spans="1:4" x14ac:dyDescent="0.45">
      <c r="A422" t="s">
        <v>13731</v>
      </c>
      <c r="B422" s="7" t="s">
        <v>14506</v>
      </c>
      <c r="C422" s="19" t="str">
        <f t="shared" si="19"/>
        <v>C02415 : 1</v>
      </c>
      <c r="D422" s="21" t="str">
        <f t="shared" si="18"/>
        <v>C02415 : Histone-L-lysine</v>
      </c>
    </row>
    <row r="423" spans="1:4" x14ac:dyDescent="0.45">
      <c r="A423" t="s">
        <v>13732</v>
      </c>
      <c r="B423" s="7" t="s">
        <v>14507</v>
      </c>
      <c r="C423" s="19" t="str">
        <f t="shared" si="19"/>
        <v>C02430 : 1</v>
      </c>
      <c r="D423" s="21" t="str">
        <f t="shared" si="18"/>
        <v>C02430 : L-Methionyl-tRNA</v>
      </c>
    </row>
    <row r="424" spans="1:4" x14ac:dyDescent="0.45">
      <c r="A424" t="s">
        <v>13733</v>
      </c>
      <c r="B424" s="7" t="s">
        <v>14508</v>
      </c>
      <c r="C424" s="19" t="str">
        <f t="shared" si="19"/>
        <v>C02463 : 1</v>
      </c>
      <c r="D424" s="21" t="str">
        <f t="shared" si="18"/>
        <v>C02463 : Precorrin 2</v>
      </c>
    </row>
    <row r="425" spans="1:4" x14ac:dyDescent="0.45">
      <c r="A425" t="s">
        <v>13734</v>
      </c>
      <c r="B425" s="7" t="s">
        <v>14509</v>
      </c>
      <c r="C425" s="19" t="str">
        <f t="shared" si="19"/>
        <v>C02469 : 1</v>
      </c>
      <c r="D425" s="21" t="str">
        <f t="shared" si="18"/>
        <v>C02469 : Uroporphyrin III</v>
      </c>
    </row>
    <row r="426" spans="1:4" x14ac:dyDescent="0.45">
      <c r="A426" t="s">
        <v>12684</v>
      </c>
      <c r="B426" s="7" t="s">
        <v>14510</v>
      </c>
      <c r="C426" s="19" t="str">
        <f t="shared" si="19"/>
        <v>C02504 : 1</v>
      </c>
      <c r="D426" s="21" t="str">
        <f t="shared" si="18"/>
        <v>C02504 : alpha-Isopropylmalate</v>
      </c>
    </row>
    <row r="427" spans="1:4" x14ac:dyDescent="0.45">
      <c r="A427" t="s">
        <v>13735</v>
      </c>
      <c r="B427" s="7" t="s">
        <v>14511</v>
      </c>
      <c r="C427" s="19" t="str">
        <f t="shared" si="19"/>
        <v>C02512 : 1</v>
      </c>
      <c r="D427" s="21" t="str">
        <f t="shared" si="18"/>
        <v>C02512 : 3-Cyano-L-alanine</v>
      </c>
    </row>
    <row r="428" spans="1:4" x14ac:dyDescent="0.45">
      <c r="A428" t="s">
        <v>13736</v>
      </c>
      <c r="B428" s="7" t="s">
        <v>14512</v>
      </c>
      <c r="C428" s="19" t="str">
        <f t="shared" si="19"/>
        <v>C02520 : 1</v>
      </c>
      <c r="D428" s="21" t="str">
        <f t="shared" si="18"/>
        <v>C02520 : 5'-Ribonucleotide</v>
      </c>
    </row>
    <row r="429" spans="1:4" x14ac:dyDescent="0.45">
      <c r="A429" t="s">
        <v>13737</v>
      </c>
      <c r="B429" s="7" t="s">
        <v>14513</v>
      </c>
      <c r="C429" s="19" t="str">
        <f t="shared" si="19"/>
        <v>C02527 : 1</v>
      </c>
      <c r="D429" s="21" t="str">
        <f t="shared" si="18"/>
        <v>C02527 : Butanoylphosphate</v>
      </c>
    </row>
    <row r="430" spans="1:4" x14ac:dyDescent="0.45">
      <c r="A430" t="s">
        <v>13738</v>
      </c>
      <c r="B430" s="7" t="s">
        <v>14514</v>
      </c>
      <c r="C430" s="19" t="str">
        <f t="shared" si="19"/>
        <v>C02553 : 1</v>
      </c>
      <c r="D430" s="21" t="str">
        <f t="shared" si="18"/>
        <v>C02553 : L-Seryl-tRNA(Ser)</v>
      </c>
    </row>
    <row r="431" spans="1:4" x14ac:dyDescent="0.45">
      <c r="A431" t="s">
        <v>13739</v>
      </c>
      <c r="B431" s="7" t="s">
        <v>14515</v>
      </c>
      <c r="C431" s="19" t="str">
        <f t="shared" si="19"/>
        <v>C02554 : 1</v>
      </c>
      <c r="D431" s="21" t="str">
        <f t="shared" si="18"/>
        <v>C02554 : L-Valyl-tRNA(Val)</v>
      </c>
    </row>
    <row r="432" spans="1:4" x14ac:dyDescent="0.45">
      <c r="A432" t="s">
        <v>13740</v>
      </c>
      <c r="B432" s="7" t="s">
        <v>14516</v>
      </c>
      <c r="C432" s="19" t="str">
        <f t="shared" si="19"/>
        <v>C02583 : 1</v>
      </c>
      <c r="D432" s="21" t="str">
        <f t="shared" si="18"/>
        <v>C02583 : Protein glutamine</v>
      </c>
    </row>
    <row r="433" spans="1:7" x14ac:dyDescent="0.45">
      <c r="A433" t="s">
        <v>13741</v>
      </c>
      <c r="B433" s="7" t="s">
        <v>14517</v>
      </c>
      <c r="C433" s="19" t="str">
        <f t="shared" si="19"/>
        <v>C02631 : 1</v>
      </c>
      <c r="D433" s="21" t="str">
        <f t="shared" si="18"/>
        <v>C02631 : 2-Isopropylmaleate</v>
      </c>
    </row>
    <row r="434" spans="1:7" x14ac:dyDescent="0.45">
      <c r="A434" t="s">
        <v>13742</v>
      </c>
      <c r="B434" s="7" t="s">
        <v>14518</v>
      </c>
      <c r="C434" s="19" t="str">
        <f t="shared" si="19"/>
        <v>C02637 : 1</v>
      </c>
      <c r="D434" s="21" t="str">
        <f t="shared" si="18"/>
        <v>C02637 : 3-Dehydroshikimate</v>
      </c>
    </row>
    <row r="435" spans="1:7" x14ac:dyDescent="0.45">
      <c r="A435" t="s">
        <v>12366</v>
      </c>
      <c r="B435" s="7" t="s">
        <v>14519</v>
      </c>
      <c r="C435" s="19" t="str">
        <f t="shared" si="19"/>
        <v>C02642 : 1</v>
      </c>
      <c r="D435" s="21" t="str">
        <f t="shared" si="18"/>
        <v>C02642 : 3-Ureidopropionate</v>
      </c>
    </row>
    <row r="436" spans="1:7" x14ac:dyDescent="0.45">
      <c r="A436" t="s">
        <v>13743</v>
      </c>
      <c r="B436" s="7" t="s">
        <v>14520</v>
      </c>
      <c r="C436" s="19" t="str">
        <f t="shared" si="19"/>
        <v>C02702 : 1</v>
      </c>
      <c r="D436" s="21" t="str">
        <f t="shared" si="18"/>
        <v>C02702 : L-Prolyl-tRNA(Pro)</v>
      </c>
    </row>
    <row r="437" spans="1:7" x14ac:dyDescent="0.45">
      <c r="A437" t="s">
        <v>13744</v>
      </c>
      <c r="B437" s="7" t="s">
        <v>14521</v>
      </c>
      <c r="C437" s="19" t="str">
        <f t="shared" si="19"/>
        <v>C02713 : 1</v>
      </c>
      <c r="D437" s="21" t="str">
        <f t="shared" si="18"/>
        <v>C02713 : N-Acetylmuramate</v>
      </c>
      <c r="G437" s="8"/>
    </row>
    <row r="438" spans="1:7" x14ac:dyDescent="0.45">
      <c r="A438" t="s">
        <v>13745</v>
      </c>
      <c r="B438" s="7" t="s">
        <v>14522</v>
      </c>
      <c r="C438" s="19" t="str">
        <f t="shared" si="19"/>
        <v>C02729 : 1</v>
      </c>
      <c r="D438" s="21" t="str">
        <f t="shared" si="18"/>
        <v>C02729 : O-Phosphoprotamine</v>
      </c>
    </row>
    <row r="439" spans="1:7" x14ac:dyDescent="0.45">
      <c r="A439" t="s">
        <v>13746</v>
      </c>
      <c r="B439" s="7" t="s">
        <v>14523</v>
      </c>
      <c r="C439" s="19" t="str">
        <f t="shared" si="19"/>
        <v>C02739 : 1</v>
      </c>
      <c r="D439" s="21" t="str">
        <f t="shared" si="18"/>
        <v>C02739 : 1-(5-Phospho-D-ribosyl)-ATP</v>
      </c>
    </row>
    <row r="440" spans="1:7" x14ac:dyDescent="0.45">
      <c r="A440" t="s">
        <v>13747</v>
      </c>
      <c r="B440" s="7" t="s">
        <v>14524</v>
      </c>
      <c r="C440" s="19" t="str">
        <f t="shared" si="19"/>
        <v>C02741 : 1</v>
      </c>
      <c r="D440" s="21" t="str">
        <f t="shared" si="18"/>
        <v>C02741 : Phosphoribosyl-AMP</v>
      </c>
    </row>
    <row r="441" spans="1:7" x14ac:dyDescent="0.45">
      <c r="A441" t="s">
        <v>13748</v>
      </c>
      <c r="B441" s="7" t="s">
        <v>14525</v>
      </c>
      <c r="C441" s="19" t="str">
        <f t="shared" si="19"/>
        <v>C02743 : 1</v>
      </c>
      <c r="D441" s="21" t="str">
        <f t="shared" si="18"/>
        <v>C02743 : [Protein]-L-cysteine</v>
      </c>
    </row>
    <row r="442" spans="1:7" x14ac:dyDescent="0.45">
      <c r="A442" t="s">
        <v>13749</v>
      </c>
      <c r="B442" s="7" t="s">
        <v>14526</v>
      </c>
      <c r="C442" s="19" t="str">
        <f t="shared" si="19"/>
        <v>C02749 : 1</v>
      </c>
      <c r="D442" s="21" t="str">
        <f t="shared" si="18"/>
        <v>C02749 : S-Alkyl-L-cysteine</v>
      </c>
    </row>
    <row r="443" spans="1:7" x14ac:dyDescent="0.45">
      <c r="A443" t="s">
        <v>13026</v>
      </c>
      <c r="B443" s="7" t="s">
        <v>14527</v>
      </c>
      <c r="C443" s="19" t="str">
        <f t="shared" si="19"/>
        <v>C02764 : 1</v>
      </c>
      <c r="D443" s="21" t="str">
        <f t="shared" si="18"/>
        <v>C02764 : tRNA pseudouridine</v>
      </c>
    </row>
    <row r="444" spans="1:7" x14ac:dyDescent="0.45">
      <c r="A444" t="s">
        <v>13750</v>
      </c>
      <c r="B444" s="7" t="s">
        <v>14528</v>
      </c>
      <c r="C444" s="19" t="str">
        <f t="shared" si="19"/>
        <v>C02839 : 1</v>
      </c>
      <c r="D444" s="21" t="str">
        <f t="shared" si="18"/>
        <v>C02839 : L-Tyrosyl-tRNA(Tyr)</v>
      </c>
    </row>
    <row r="445" spans="1:7" x14ac:dyDescent="0.45">
      <c r="A445" t="s">
        <v>13751</v>
      </c>
      <c r="B445" s="7" t="s">
        <v>14529</v>
      </c>
      <c r="C445" s="19" t="str">
        <f t="shared" si="19"/>
        <v>C02876 : 1</v>
      </c>
      <c r="D445" s="21" t="str">
        <f t="shared" si="18"/>
        <v>C02876 : Propanoyl phosphate</v>
      </c>
    </row>
    <row r="446" spans="1:7" x14ac:dyDescent="0.45">
      <c r="A446" t="s">
        <v>13752</v>
      </c>
      <c r="B446" s="7" t="s">
        <v>14530</v>
      </c>
      <c r="C446" s="19" t="str">
        <f t="shared" si="19"/>
        <v>C02882 : 1</v>
      </c>
      <c r="D446" s="21" t="str">
        <f t="shared" si="18"/>
        <v>C02882 : L-Cysteine-S-conjugate</v>
      </c>
    </row>
    <row r="447" spans="1:7" x14ac:dyDescent="0.45">
      <c r="A447" t="s">
        <v>13753</v>
      </c>
      <c r="B447" s="7" t="s">
        <v>14531</v>
      </c>
      <c r="C447" s="19" t="str">
        <f t="shared" si="19"/>
        <v>C02909 : 1</v>
      </c>
      <c r="D447" s="21" t="str">
        <f t="shared" si="18"/>
        <v>C02909 : (2-Naphthyl)methanol</v>
      </c>
    </row>
    <row r="448" spans="1:7" x14ac:dyDescent="0.45">
      <c r="A448" t="s">
        <v>13754</v>
      </c>
      <c r="B448" s="7" t="s">
        <v>14532</v>
      </c>
      <c r="C448" s="19" t="str">
        <f t="shared" si="19"/>
        <v>C02953 : 1</v>
      </c>
      <c r="D448" s="21" t="str">
        <f t="shared" si="18"/>
        <v>C02953 : 7,8-Dihydrobiopterin</v>
      </c>
    </row>
    <row r="449" spans="1:4" x14ac:dyDescent="0.45">
      <c r="A449" t="s">
        <v>12972</v>
      </c>
      <c r="B449" s="7" t="s">
        <v>14533</v>
      </c>
      <c r="C449" s="19" t="str">
        <f t="shared" si="19"/>
        <v>C02962 : 1</v>
      </c>
      <c r="D449" s="21" t="str">
        <f t="shared" si="18"/>
        <v>C02962 : D-Allose 6-phosphate</v>
      </c>
    </row>
    <row r="450" spans="1:4" x14ac:dyDescent="0.45">
      <c r="A450" t="s">
        <v>13755</v>
      </c>
      <c r="B450" s="7" t="s">
        <v>14534</v>
      </c>
      <c r="C450" s="19" t="str">
        <f t="shared" si="19"/>
        <v>C02970 : 1</v>
      </c>
      <c r="D450" s="21" t="str">
        <f t="shared" si="18"/>
        <v>C02970 : Decaprenol phosphate</v>
      </c>
    </row>
    <row r="451" spans="1:4" x14ac:dyDescent="0.45">
      <c r="A451" t="s">
        <v>13756</v>
      </c>
      <c r="B451" s="7" t="s">
        <v>14535</v>
      </c>
      <c r="C451" s="19" t="str">
        <f t="shared" si="19"/>
        <v>C02972 : 1</v>
      </c>
      <c r="D451" s="21" t="str">
        <f t="shared" ref="D451:D514" si="20">CONCATENATE(A451," : ",B451)</f>
        <v>C02972 : Dihydrolipoylprotein</v>
      </c>
    </row>
    <row r="452" spans="1:4" x14ac:dyDescent="0.45">
      <c r="A452" t="s">
        <v>13757</v>
      </c>
      <c r="B452" s="7" t="s">
        <v>14536</v>
      </c>
      <c r="C452" s="19" t="str">
        <f t="shared" si="19"/>
        <v>C02984 : 1</v>
      </c>
      <c r="D452" s="21" t="str">
        <f t="shared" si="20"/>
        <v>C02984 : L-Aspartyl-tRNA(Asp)</v>
      </c>
    </row>
    <row r="453" spans="1:4" x14ac:dyDescent="0.45">
      <c r="A453" t="s">
        <v>13758</v>
      </c>
      <c r="B453" s="7" t="s">
        <v>14537</v>
      </c>
      <c r="C453" s="19" t="str">
        <f t="shared" si="19"/>
        <v>C02987 : 1</v>
      </c>
      <c r="D453" s="21" t="str">
        <f t="shared" si="20"/>
        <v>C02987 : L-Glutamyl-tRNA(Glu)</v>
      </c>
    </row>
    <row r="454" spans="1:4" x14ac:dyDescent="0.45">
      <c r="A454" t="s">
        <v>13759</v>
      </c>
      <c r="B454" s="7" t="s">
        <v>14538</v>
      </c>
      <c r="C454" s="19" t="str">
        <f t="shared" si="19"/>
        <v>C02988 : 1</v>
      </c>
      <c r="D454" s="21" t="str">
        <f t="shared" si="20"/>
        <v>C02988 : L-Histidyl-tRNA(His)</v>
      </c>
    </row>
    <row r="455" spans="1:4" x14ac:dyDescent="0.45">
      <c r="A455" t="s">
        <v>13760</v>
      </c>
      <c r="B455" s="7" t="s">
        <v>14539</v>
      </c>
      <c r="C455" s="19" t="str">
        <f t="shared" si="19"/>
        <v>C02992 : 1</v>
      </c>
      <c r="D455" s="21" t="str">
        <f t="shared" si="20"/>
        <v>C02992 : L-Threonyl-tRNA(Thr)</v>
      </c>
    </row>
    <row r="456" spans="1:4" x14ac:dyDescent="0.45">
      <c r="A456" t="s">
        <v>13761</v>
      </c>
      <c r="B456" s="7" t="s">
        <v>14540</v>
      </c>
      <c r="C456" s="19" t="str">
        <f t="shared" si="19"/>
        <v>C02999 : 1</v>
      </c>
      <c r="D456" s="21" t="str">
        <f t="shared" si="20"/>
        <v>C02999 : N-Acetylmuramoyl-Ala</v>
      </c>
    </row>
    <row r="457" spans="1:4" x14ac:dyDescent="0.45">
      <c r="A457" t="s">
        <v>13762</v>
      </c>
      <c r="B457" s="7" t="s">
        <v>14541</v>
      </c>
      <c r="C457" s="19" t="str">
        <f t="shared" si="19"/>
        <v>C03023 : 1</v>
      </c>
      <c r="D457" s="21" t="str">
        <f t="shared" si="20"/>
        <v>C03023 : Peptide-L-methionine</v>
      </c>
    </row>
    <row r="458" spans="1:4" x14ac:dyDescent="0.45">
      <c r="A458" t="s">
        <v>13763</v>
      </c>
      <c r="B458" s="7" t="s">
        <v>14542</v>
      </c>
      <c r="C458" s="19" t="str">
        <f t="shared" si="19"/>
        <v>C03028 : 1</v>
      </c>
      <c r="D458" s="21" t="str">
        <f t="shared" si="20"/>
        <v>C03028 : Thiamin triphosphate</v>
      </c>
    </row>
    <row r="459" spans="1:4" x14ac:dyDescent="0.45">
      <c r="A459" t="s">
        <v>13764</v>
      </c>
      <c r="B459" s="7" t="s">
        <v>14543</v>
      </c>
      <c r="C459" s="19" t="str">
        <f t="shared" si="19"/>
        <v>C03082 : 1</v>
      </c>
      <c r="D459" s="21" t="str">
        <f t="shared" si="20"/>
        <v>C03082 : 4-Phospho-L-aspartate</v>
      </c>
    </row>
    <row r="460" spans="1:4" x14ac:dyDescent="0.45">
      <c r="A460" t="s">
        <v>13765</v>
      </c>
      <c r="B460" s="7" t="s">
        <v>14544</v>
      </c>
      <c r="C460" s="19" t="str">
        <f t="shared" si="19"/>
        <v>C03089 : 1</v>
      </c>
      <c r="D460" s="21" t="str">
        <f t="shared" si="20"/>
        <v>C03089 : 5-Methylthio-D-ribose</v>
      </c>
    </row>
    <row r="461" spans="1:4" x14ac:dyDescent="0.45">
      <c r="A461" t="s">
        <v>13766</v>
      </c>
      <c r="B461" s="7" t="s">
        <v>14545</v>
      </c>
      <c r="C461" s="19" t="str">
        <f t="shared" si="19"/>
        <v>C03090 : 1</v>
      </c>
      <c r="D461" s="21" t="str">
        <f t="shared" si="20"/>
        <v>C03090 : 5-Phosphoribosylamine</v>
      </c>
    </row>
    <row r="462" spans="1:4" x14ac:dyDescent="0.45">
      <c r="A462" t="s">
        <v>13767</v>
      </c>
      <c r="B462" s="7" t="s">
        <v>14546</v>
      </c>
      <c r="C462" s="19" t="str">
        <f t="shared" si="19"/>
        <v>C03114 : 1</v>
      </c>
      <c r="D462" s="21" t="str">
        <f t="shared" si="20"/>
        <v>C03114 : Dimethylbenzimidazole</v>
      </c>
    </row>
    <row r="463" spans="1:4" x14ac:dyDescent="0.45">
      <c r="A463" t="s">
        <v>13768</v>
      </c>
      <c r="B463" s="7" t="s">
        <v>14547</v>
      </c>
      <c r="C463" s="19" t="str">
        <f t="shared" si="19"/>
        <v>C03125 : 1</v>
      </c>
      <c r="D463" s="21" t="str">
        <f t="shared" si="20"/>
        <v>C03125 : L-Cysteinyl-tRNA(Cys)</v>
      </c>
    </row>
    <row r="464" spans="1:4" x14ac:dyDescent="0.45">
      <c r="A464" t="s">
        <v>13769</v>
      </c>
      <c r="B464" s="7" t="s">
        <v>14548</v>
      </c>
      <c r="C464" s="19" t="str">
        <f t="shared" si="19"/>
        <v>C03127 : 1</v>
      </c>
      <c r="D464" s="21" t="str">
        <f t="shared" si="20"/>
        <v>C03127 : L-Isoleucyl-tRNA(Ile)</v>
      </c>
    </row>
    <row r="465" spans="1:4" x14ac:dyDescent="0.45">
      <c r="A465" t="s">
        <v>13770</v>
      </c>
      <c r="B465" s="7" t="s">
        <v>14549</v>
      </c>
      <c r="C465" s="19" t="str">
        <f t="shared" si="19"/>
        <v>C03150 : 1</v>
      </c>
      <c r="D465" s="21" t="str">
        <f t="shared" si="20"/>
        <v>C03150 : Nicotinamide-beta-riboside</v>
      </c>
    </row>
    <row r="466" spans="1:4" x14ac:dyDescent="0.45">
      <c r="A466" t="s">
        <v>13771</v>
      </c>
      <c r="B466" s="9" t="s">
        <v>14550</v>
      </c>
      <c r="C466" s="19" t="str">
        <f t="shared" si="19"/>
        <v>C03167 : 1</v>
      </c>
      <c r="D466" s="21" t="str">
        <f t="shared" si="20"/>
        <v>C03167 : Phosphonoacetaldehyde</v>
      </c>
    </row>
    <row r="467" spans="1:4" x14ac:dyDescent="0.45">
      <c r="A467" t="s">
        <v>13772</v>
      </c>
      <c r="B467" s="7" t="s">
        <v>14551</v>
      </c>
      <c r="C467" s="19" t="str">
        <f t="shared" si="19"/>
        <v>C03169 : 1</v>
      </c>
      <c r="D467" s="21" t="str">
        <f t="shared" si="20"/>
        <v>C03169 : Pyrimidine nucleoside</v>
      </c>
    </row>
    <row r="468" spans="1:4" x14ac:dyDescent="0.45">
      <c r="A468" t="s">
        <v>13773</v>
      </c>
      <c r="B468" s="7" t="s">
        <v>14552</v>
      </c>
      <c r="C468" s="19" t="str">
        <f t="shared" si="19"/>
        <v>C03170 : 1</v>
      </c>
      <c r="D468" s="21" t="str">
        <f t="shared" si="20"/>
        <v>C03170 : Trypanothione disulfide</v>
      </c>
    </row>
    <row r="469" spans="1:4" x14ac:dyDescent="0.45">
      <c r="A469" t="s">
        <v>13774</v>
      </c>
      <c r="B469" s="7" t="s">
        <v>14553</v>
      </c>
      <c r="C469" s="19" t="str">
        <f t="shared" si="19"/>
        <v>C03175 : 1</v>
      </c>
      <c r="D469" s="21" t="str">
        <f t="shared" si="20"/>
        <v>C03175 : Shikimate 3-phosphate</v>
      </c>
    </row>
    <row r="470" spans="1:4" x14ac:dyDescent="0.45">
      <c r="A470" t="s">
        <v>13775</v>
      </c>
      <c r="B470" s="7" t="s">
        <v>14554</v>
      </c>
      <c r="C470" s="19" t="str">
        <f t="shared" si="19"/>
        <v>C03193 : 1</v>
      </c>
      <c r="D470" s="21" t="str">
        <f t="shared" si="20"/>
        <v>C03193 : (5-L-Glutamyl)-peptide</v>
      </c>
    </row>
    <row r="471" spans="1:4" x14ac:dyDescent="0.45">
      <c r="A471" t="s">
        <v>13776</v>
      </c>
      <c r="B471" s="7" t="s">
        <v>14555</v>
      </c>
      <c r="C471" s="19" t="str">
        <f t="shared" si="19"/>
        <v>C03294 : 1</v>
      </c>
      <c r="D471" s="21" t="str">
        <f t="shared" si="20"/>
        <v>C03294 : N-Formylmethionyl-tRNA</v>
      </c>
    </row>
    <row r="472" spans="1:4" x14ac:dyDescent="0.45">
      <c r="A472" t="s">
        <v>13777</v>
      </c>
      <c r="B472" s="7" t="s">
        <v>14556</v>
      </c>
      <c r="C472" s="19" t="str">
        <f t="shared" si="19"/>
        <v>C03319 : 1</v>
      </c>
      <c r="D472" s="21" t="str">
        <f t="shared" si="20"/>
        <v>C03319 : dTDP-L-rhamnose</v>
      </c>
    </row>
    <row r="473" spans="1:4" x14ac:dyDescent="0.45">
      <c r="A473" t="s">
        <v>13778</v>
      </c>
      <c r="B473" s="7" t="s">
        <v>14557</v>
      </c>
      <c r="C473" s="19" t="str">
        <f t="shared" si="19"/>
        <v>C03341 : 1</v>
      </c>
      <c r="D473" s="21" t="str">
        <f t="shared" si="20"/>
        <v>C03341 : 2-Amino-4-oxopentanoic acid</v>
      </c>
    </row>
    <row r="474" spans="1:4" x14ac:dyDescent="0.45">
      <c r="A474" t="s">
        <v>13779</v>
      </c>
      <c r="B474" s="7" t="s">
        <v>14558</v>
      </c>
      <c r="C474" s="19" t="str">
        <f t="shared" si="19"/>
        <v>C03344 : 1</v>
      </c>
      <c r="D474" s="21" t="str">
        <f t="shared" si="20"/>
        <v>C03344 : 2-Methyl-3-acetoacetyl-CoA</v>
      </c>
    </row>
    <row r="475" spans="1:4" x14ac:dyDescent="0.45">
      <c r="A475" t="s">
        <v>12641</v>
      </c>
      <c r="B475" s="7" t="s">
        <v>14559</v>
      </c>
      <c r="C475" s="19" t="str">
        <f t="shared" ref="C475:C538" si="21">CONCATENATE(A475," : 1")</f>
        <v>C03356 : 1</v>
      </c>
      <c r="D475" s="21" t="str">
        <f t="shared" si="20"/>
        <v>C03356 : 3-Phospho-D-erythronate</v>
      </c>
    </row>
    <row r="476" spans="1:4" x14ac:dyDescent="0.45">
      <c r="A476" t="s">
        <v>13780</v>
      </c>
      <c r="B476" s="9" t="s">
        <v>14560</v>
      </c>
      <c r="C476" s="19" t="str">
        <f t="shared" si="21"/>
        <v>C03363 : 1</v>
      </c>
      <c r="D476" s="21" t="str">
        <f t="shared" si="20"/>
        <v>C03363 : 5-L-Glutamyl amino acid</v>
      </c>
    </row>
    <row r="477" spans="1:4" x14ac:dyDescent="0.45">
      <c r="A477" t="s">
        <v>13781</v>
      </c>
      <c r="B477" s="7" t="s">
        <v>14561</v>
      </c>
      <c r="C477" s="19" t="str">
        <f t="shared" si="21"/>
        <v>C03373 : 1</v>
      </c>
      <c r="D477" s="21" t="str">
        <f t="shared" si="20"/>
        <v>C03373 : Aminoimidazole ribotide</v>
      </c>
    </row>
    <row r="478" spans="1:4" x14ac:dyDescent="0.45">
      <c r="A478" t="s">
        <v>13782</v>
      </c>
      <c r="B478" s="7" t="s">
        <v>14562</v>
      </c>
      <c r="C478" s="19" t="str">
        <f t="shared" si="21"/>
        <v>C03402 : 1</v>
      </c>
      <c r="D478" s="21" t="str">
        <f t="shared" si="20"/>
        <v>C03402 : L-Asparaginyl-tRNA(Asn)</v>
      </c>
    </row>
    <row r="479" spans="1:4" x14ac:dyDescent="0.45">
      <c r="A479" t="s">
        <v>12808</v>
      </c>
      <c r="B479" s="7" t="s">
        <v>14563</v>
      </c>
      <c r="C479" s="19" t="str">
        <f t="shared" si="21"/>
        <v>C03406 : 1</v>
      </c>
      <c r="D479" s="21" t="str">
        <f t="shared" si="20"/>
        <v>C03406 : N-(L-Arginino)succinate</v>
      </c>
    </row>
    <row r="480" spans="1:4" x14ac:dyDescent="0.45">
      <c r="A480" t="s">
        <v>13783</v>
      </c>
      <c r="B480" s="7" t="s">
        <v>14564</v>
      </c>
      <c r="C480" s="19" t="str">
        <f t="shared" si="21"/>
        <v>C03479 : 1</v>
      </c>
      <c r="D480" s="21" t="str">
        <f t="shared" si="20"/>
        <v>C03479 : Folinic acid</v>
      </c>
    </row>
    <row r="481" spans="1:4" x14ac:dyDescent="0.45">
      <c r="A481" t="s">
        <v>13784</v>
      </c>
      <c r="B481" s="7" t="s">
        <v>14565</v>
      </c>
      <c r="C481" s="19" t="str">
        <f t="shared" si="21"/>
        <v>C03492 : 1</v>
      </c>
      <c r="D481" s="21" t="str">
        <f t="shared" si="20"/>
        <v>C03492 : D-4'-Phosphopantothenate</v>
      </c>
    </row>
    <row r="482" spans="1:4" x14ac:dyDescent="0.45">
      <c r="A482" t="s">
        <v>13785</v>
      </c>
      <c r="B482" s="7" t="s">
        <v>14566</v>
      </c>
      <c r="C482" s="19" t="str">
        <f t="shared" si="21"/>
        <v>C03511 : 1</v>
      </c>
      <c r="D482" s="21" t="str">
        <f t="shared" si="20"/>
        <v>C03511 : L-Phenylalanyl-tRNA(Phe)</v>
      </c>
    </row>
    <row r="483" spans="1:4" x14ac:dyDescent="0.45">
      <c r="A483" t="s">
        <v>13786</v>
      </c>
      <c r="B483" s="7" t="s">
        <v>14567</v>
      </c>
      <c r="C483" s="19" t="str">
        <f t="shared" si="21"/>
        <v>C03512 : 1</v>
      </c>
      <c r="D483" s="21" t="str">
        <f t="shared" si="20"/>
        <v>C03512 : L-Tryptophanyl-tRNA(Trp)</v>
      </c>
    </row>
    <row r="484" spans="1:4" x14ac:dyDescent="0.45">
      <c r="A484" t="s">
        <v>13787</v>
      </c>
      <c r="B484" s="7" t="s">
        <v>14568</v>
      </c>
      <c r="C484" s="19" t="str">
        <f t="shared" si="21"/>
        <v>C03523 : 1</v>
      </c>
      <c r="D484" s="21" t="str">
        <f t="shared" si="20"/>
        <v>C03523 : N-Substituted amino acid</v>
      </c>
    </row>
    <row r="485" spans="1:4" x14ac:dyDescent="0.45">
      <c r="A485" t="s">
        <v>12863</v>
      </c>
      <c r="B485" s="7" t="s">
        <v>14569</v>
      </c>
      <c r="C485" s="19" t="str">
        <f t="shared" si="21"/>
        <v>C03539 : 1</v>
      </c>
      <c r="D485" s="21" t="str">
        <f t="shared" si="20"/>
        <v>C03539 : S-Ribosyl-L-homocysteine</v>
      </c>
    </row>
    <row r="486" spans="1:4" x14ac:dyDescent="0.45">
      <c r="A486" t="s">
        <v>13788</v>
      </c>
      <c r="B486" s="9" t="s">
        <v>14570</v>
      </c>
      <c r="C486" s="19" t="str">
        <f t="shared" si="21"/>
        <v>C03557 : 1</v>
      </c>
      <c r="D486" s="21" t="str">
        <f t="shared" si="20"/>
        <v>C03557 : 2-Aminoethylphosphonate</v>
      </c>
    </row>
    <row r="487" spans="1:4" x14ac:dyDescent="0.45">
      <c r="A487" t="s">
        <v>13789</v>
      </c>
      <c r="B487" s="7" t="s">
        <v>14571</v>
      </c>
      <c r="C487" s="19" t="str">
        <f t="shared" si="21"/>
        <v>C03617 : 1</v>
      </c>
      <c r="D487" s="21" t="str">
        <f t="shared" si="20"/>
        <v>C03617 : L-Methionylaminoacyl-tRNA</v>
      </c>
    </row>
    <row r="488" spans="1:4" x14ac:dyDescent="0.45">
      <c r="A488" t="s">
        <v>12945</v>
      </c>
      <c r="B488" s="9" t="s">
        <v>14572</v>
      </c>
      <c r="C488" s="19" t="str">
        <f t="shared" si="21"/>
        <v>C03633 : 1</v>
      </c>
      <c r="D488" s="21" t="str">
        <f t="shared" si="20"/>
        <v>C03633 : Peptidylproline (omega=0)</v>
      </c>
    </row>
    <row r="489" spans="1:4" x14ac:dyDescent="0.45">
      <c r="A489" t="s">
        <v>13790</v>
      </c>
      <c r="B489" s="7" t="s">
        <v>14573</v>
      </c>
      <c r="C489" s="19" t="str">
        <f t="shared" si="21"/>
        <v>C03688 : 1</v>
      </c>
      <c r="D489" s="21" t="str">
        <f t="shared" si="20"/>
        <v>C03688 : Apo-[acyl-carrier protein]</v>
      </c>
    </row>
    <row r="490" spans="1:4" x14ac:dyDescent="0.45">
      <c r="A490" t="s">
        <v>13791</v>
      </c>
      <c r="B490" s="9" t="s">
        <v>14574</v>
      </c>
      <c r="C490" s="19" t="str">
        <f t="shared" si="21"/>
        <v>C03722 : 1</v>
      </c>
      <c r="D490" s="21" t="str">
        <f t="shared" si="20"/>
        <v>C03722 : Quinolinate</v>
      </c>
    </row>
    <row r="491" spans="1:4" x14ac:dyDescent="0.45">
      <c r="A491" t="s">
        <v>13792</v>
      </c>
      <c r="B491" s="7" t="s">
        <v>14575</v>
      </c>
      <c r="C491" s="19" t="str">
        <f t="shared" si="21"/>
        <v>C03723 : 1</v>
      </c>
      <c r="D491" s="21" t="str">
        <f t="shared" si="20"/>
        <v>C03723 : Ribonucleoside diphosphate</v>
      </c>
    </row>
    <row r="492" spans="1:4" x14ac:dyDescent="0.45">
      <c r="A492" t="s">
        <v>13793</v>
      </c>
      <c r="B492" s="7" t="s">
        <v>14576</v>
      </c>
      <c r="C492" s="19" t="str">
        <f t="shared" si="21"/>
        <v>C03740 : 1</v>
      </c>
      <c r="D492" s="21" t="str">
        <f t="shared" si="20"/>
        <v>C03740 : (5-L-Glutamyl)-L-amino acid</v>
      </c>
    </row>
    <row r="493" spans="1:4" x14ac:dyDescent="0.45">
      <c r="A493" t="s">
        <v>12591</v>
      </c>
      <c r="B493" s="9" t="s">
        <v>14577</v>
      </c>
      <c r="C493" s="19" t="str">
        <f t="shared" si="21"/>
        <v>C03785 : 1</v>
      </c>
      <c r="D493" s="21" t="str">
        <f t="shared" si="20"/>
        <v>C03785 : D-Tagatose 1,6-bisphosphate</v>
      </c>
    </row>
    <row r="494" spans="1:4" x14ac:dyDescent="0.45">
      <c r="A494" t="s">
        <v>12821</v>
      </c>
      <c r="B494" s="9" t="s">
        <v>14578</v>
      </c>
      <c r="C494" s="19" t="str">
        <f t="shared" si="21"/>
        <v>C03794 : 1</v>
      </c>
      <c r="D494" s="21" t="str">
        <f t="shared" si="20"/>
        <v>C03794 : N6-(1,2-Dicarboxyethyl)-AMP</v>
      </c>
    </row>
    <row r="495" spans="1:4" x14ac:dyDescent="0.45">
      <c r="A495" t="s">
        <v>12944</v>
      </c>
      <c r="B495" s="7" t="s">
        <v>14579</v>
      </c>
      <c r="C495" s="19" t="str">
        <f t="shared" si="21"/>
        <v>C03798 : 1</v>
      </c>
      <c r="D495" s="21" t="str">
        <f t="shared" si="20"/>
        <v>C03798 : Peptidylproline (omega=180)</v>
      </c>
    </row>
    <row r="496" spans="1:4" x14ac:dyDescent="0.45">
      <c r="A496" t="s">
        <v>13794</v>
      </c>
      <c r="B496" s="7" t="s">
        <v>14580</v>
      </c>
      <c r="C496" s="19" t="str">
        <f t="shared" si="21"/>
        <v>C03800 : 1</v>
      </c>
      <c r="D496" s="21" t="str">
        <f t="shared" si="20"/>
        <v>C03800 : Protein S-methyl-L-cysteine</v>
      </c>
    </row>
    <row r="497" spans="1:4" x14ac:dyDescent="0.45">
      <c r="A497" t="s">
        <v>13795</v>
      </c>
      <c r="B497" s="7" t="s">
        <v>14581</v>
      </c>
      <c r="C497" s="19" t="str">
        <f t="shared" si="21"/>
        <v>C03802 : 1</v>
      </c>
      <c r="D497" s="21" t="str">
        <f t="shared" si="20"/>
        <v>C03802 : Ribonucleoside triphosphate</v>
      </c>
    </row>
    <row r="498" spans="1:4" x14ac:dyDescent="0.45">
      <c r="A498" t="s">
        <v>13796</v>
      </c>
      <c r="B498" s="7" t="s">
        <v>14582</v>
      </c>
      <c r="C498" s="19" t="str">
        <f t="shared" si="21"/>
        <v>C03803 : 1</v>
      </c>
      <c r="D498" s="21" t="str">
        <f t="shared" si="20"/>
        <v>C03803 : Ribosomal-protein L-alanine</v>
      </c>
    </row>
    <row r="499" spans="1:4" x14ac:dyDescent="0.45">
      <c r="A499" t="s">
        <v>12382</v>
      </c>
      <c r="B499" s="9" t="s">
        <v>14583</v>
      </c>
      <c r="C499" s="19" t="str">
        <f t="shared" si="21"/>
        <v>C03806 : 1</v>
      </c>
      <c r="D499" s="21" t="str">
        <f t="shared" si="20"/>
        <v>C03806 : Substituted beta-amino acid</v>
      </c>
    </row>
    <row r="500" spans="1:4" x14ac:dyDescent="0.45">
      <c r="A500" t="s">
        <v>13797</v>
      </c>
      <c r="B500" s="7" t="s">
        <v>14584</v>
      </c>
      <c r="C500" s="19" t="str">
        <f t="shared" si="21"/>
        <v>C03838 : 1</v>
      </c>
      <c r="D500" s="21" t="str">
        <f t="shared" si="20"/>
        <v>C03838 : 5'-Phosphoribosylglycinamide</v>
      </c>
    </row>
    <row r="501" spans="1:4" x14ac:dyDescent="0.45">
      <c r="A501" t="s">
        <v>13798</v>
      </c>
      <c r="B501" s="7" t="s">
        <v>14585</v>
      </c>
      <c r="C501" s="19" t="str">
        <f t="shared" si="21"/>
        <v>C03880 : 1</v>
      </c>
      <c r="D501" s="21" t="str">
        <f t="shared" si="20"/>
        <v>C03880 : N-Substituted aminoacyl-tRNA</v>
      </c>
    </row>
    <row r="502" spans="1:4" x14ac:dyDescent="0.45">
      <c r="A502" t="s">
        <v>13799</v>
      </c>
      <c r="B502" s="9" t="s">
        <v>14586</v>
      </c>
      <c r="C502" s="19" t="str">
        <f t="shared" si="21"/>
        <v>C03892 : 1</v>
      </c>
      <c r="D502" s="21" t="str">
        <f t="shared" si="20"/>
        <v>C03892 : Phosphatidylglycerophosphate</v>
      </c>
    </row>
    <row r="503" spans="1:4" x14ac:dyDescent="0.45">
      <c r="A503" t="s">
        <v>13800</v>
      </c>
      <c r="B503" s="7" t="s">
        <v>14587</v>
      </c>
      <c r="C503" s="19" t="str">
        <f t="shared" si="21"/>
        <v>C03895 : 1</v>
      </c>
      <c r="D503" s="21" t="str">
        <f t="shared" si="20"/>
        <v>C03895 : Peptide-L-methionine (S)-S-oxide</v>
      </c>
    </row>
    <row r="504" spans="1:4" x14ac:dyDescent="0.45">
      <c r="A504" t="s">
        <v>13801</v>
      </c>
      <c r="B504" s="7" t="s">
        <v>14588</v>
      </c>
      <c r="C504" s="19" t="str">
        <f t="shared" si="21"/>
        <v>C03912 : 1</v>
      </c>
      <c r="D504" s="21" t="str">
        <f t="shared" si="20"/>
        <v>C03912 : (S)-1-Pyrroline-5-carboxylate</v>
      </c>
    </row>
    <row r="505" spans="1:4" x14ac:dyDescent="0.45">
      <c r="A505" t="s">
        <v>13802</v>
      </c>
      <c r="B505" s="7" t="s">
        <v>14589</v>
      </c>
      <c r="C505" s="19" t="str">
        <f t="shared" si="21"/>
        <v>C03939 : 1</v>
      </c>
      <c r="D505" s="21" t="str">
        <f t="shared" si="20"/>
        <v>C03939 : Acetyl-[acyl-carrier protein]</v>
      </c>
    </row>
    <row r="506" spans="1:4" x14ac:dyDescent="0.45">
      <c r="A506" t="s">
        <v>13016</v>
      </c>
      <c r="B506" s="9" t="s">
        <v>14590</v>
      </c>
      <c r="C506" s="19" t="str">
        <f t="shared" si="21"/>
        <v>C03943 : 1</v>
      </c>
      <c r="D506" s="21" t="str">
        <f t="shared" si="20"/>
        <v>C03943 : (2R,4S)-2,4-Diaminopentanoate</v>
      </c>
    </row>
    <row r="507" spans="1:4" x14ac:dyDescent="0.45">
      <c r="A507" t="s">
        <v>13803</v>
      </c>
      <c r="B507" s="9" t="s">
        <v>14591</v>
      </c>
      <c r="C507" s="19" t="str">
        <f t="shared" si="21"/>
        <v>C03972 : 1</v>
      </c>
      <c r="D507" s="21" t="str">
        <f t="shared" si="20"/>
        <v>C03972 : 2,3,4,5-Tetrahydrodipicolinate</v>
      </c>
    </row>
    <row r="508" spans="1:4" x14ac:dyDescent="0.45">
      <c r="A508" t="s">
        <v>12736</v>
      </c>
      <c r="B508" s="9" t="s">
        <v>14592</v>
      </c>
      <c r="C508" s="19" t="str">
        <f t="shared" si="21"/>
        <v>C04039 : 1</v>
      </c>
      <c r="D508" s="21" t="str">
        <f t="shared" si="20"/>
        <v>C04039 : 2,3-Dihydroxy-3-methylbutanoate</v>
      </c>
    </row>
    <row r="509" spans="1:4" x14ac:dyDescent="0.45">
      <c r="A509" t="s">
        <v>13804</v>
      </c>
      <c r="B509" s="9" t="s">
        <v>14593</v>
      </c>
      <c r="C509" s="19" t="str">
        <f t="shared" si="21"/>
        <v>C04051 : 1</v>
      </c>
      <c r="D509" s="21" t="str">
        <f t="shared" si="20"/>
        <v>C04051 : 5-Amino-4-imidazolecarboxyamide</v>
      </c>
    </row>
    <row r="510" spans="1:4" x14ac:dyDescent="0.45">
      <c r="A510" t="s">
        <v>13805</v>
      </c>
      <c r="B510" s="9" t="s">
        <v>14594</v>
      </c>
      <c r="C510" s="19" t="str">
        <f t="shared" si="21"/>
        <v>C04079 : 1</v>
      </c>
      <c r="D510" s="21" t="str">
        <f t="shared" si="20"/>
        <v>C04079 : D-Pantothenoyl-L-cysteine</v>
      </c>
    </row>
    <row r="511" spans="1:4" x14ac:dyDescent="0.45">
      <c r="A511" t="s">
        <v>13806</v>
      </c>
      <c r="B511" s="7" t="s">
        <v>14595</v>
      </c>
      <c r="C511" s="19" t="str">
        <f t="shared" si="21"/>
        <v>C04133 : 1</v>
      </c>
      <c r="D511" s="21" t="str">
        <f t="shared" si="20"/>
        <v>C04133 : N-Acetyl-L-glutamate 5-phosphate</v>
      </c>
    </row>
    <row r="512" spans="1:4" x14ac:dyDescent="0.45">
      <c r="A512" t="s">
        <v>12937</v>
      </c>
      <c r="B512" s="7" t="s">
        <v>14596</v>
      </c>
      <c r="C512" s="19" t="str">
        <f t="shared" si="21"/>
        <v>C04136 : 1</v>
      </c>
      <c r="D512" s="21" t="str">
        <f t="shared" si="20"/>
        <v>C04136 : N-Acyl-D-glucosamine 6-phosphate</v>
      </c>
    </row>
    <row r="513" spans="1:4" x14ac:dyDescent="0.45">
      <c r="A513" t="s">
        <v>13807</v>
      </c>
      <c r="B513" s="7" t="s">
        <v>14597</v>
      </c>
      <c r="C513" s="19" t="str">
        <f t="shared" si="21"/>
        <v>C04153 : 1</v>
      </c>
      <c r="D513" s="21" t="str">
        <f t="shared" si="20"/>
        <v>C04153 : rRNA containing N2-methylguanine</v>
      </c>
    </row>
    <row r="514" spans="1:4" x14ac:dyDescent="0.45">
      <c r="A514" t="s">
        <v>13808</v>
      </c>
      <c r="B514" s="9" t="s">
        <v>14598</v>
      </c>
      <c r="C514" s="19" t="str">
        <f t="shared" si="21"/>
        <v>C04157 : 1</v>
      </c>
      <c r="D514" s="21" t="str">
        <f t="shared" si="20"/>
        <v>C04157 : tRNA containing N1-methylguanine</v>
      </c>
    </row>
    <row r="515" spans="1:4" x14ac:dyDescent="0.45">
      <c r="A515" t="s">
        <v>13809</v>
      </c>
      <c r="B515" s="9" t="s">
        <v>14599</v>
      </c>
      <c r="C515" s="19" t="str">
        <f t="shared" si="21"/>
        <v>C04160 : 1</v>
      </c>
      <c r="D515" s="21" t="str">
        <f t="shared" ref="D515:D578" si="22">CONCATENATE(A515," : ",B515)</f>
        <v>C04160 : tRNA containing N7-methylguanine</v>
      </c>
    </row>
    <row r="516" spans="1:4" x14ac:dyDescent="0.45">
      <c r="A516" t="s">
        <v>13810</v>
      </c>
      <c r="B516" s="7" t="s">
        <v>14600</v>
      </c>
      <c r="C516" s="19" t="str">
        <f t="shared" si="21"/>
        <v>C04161 : 1</v>
      </c>
      <c r="D516" s="21" t="str">
        <f t="shared" si="22"/>
        <v>C04161 : tRNA containing a thionucleotide</v>
      </c>
    </row>
    <row r="517" spans="1:4" x14ac:dyDescent="0.45">
      <c r="A517" t="s">
        <v>10549</v>
      </c>
      <c r="B517" s="7" t="s">
        <v>14601</v>
      </c>
      <c r="C517" s="19" t="str">
        <f t="shared" si="21"/>
        <v>C04181 : 1</v>
      </c>
      <c r="D517" s="21" t="str">
        <f t="shared" si="22"/>
        <v>C04181 : 3-Hydroxy-3-methyl-2-oxobutanoic acid</v>
      </c>
    </row>
    <row r="518" spans="1:4" x14ac:dyDescent="0.45">
      <c r="A518" t="s">
        <v>13811</v>
      </c>
      <c r="B518" s="9" t="s">
        <v>14602</v>
      </c>
      <c r="C518" s="19" t="str">
        <f t="shared" si="21"/>
        <v>C04232 : 1</v>
      </c>
      <c r="D518" s="21" t="str">
        <f t="shared" si="22"/>
        <v>C04232 : 2'-Deoxyribonucleoside diphosphate</v>
      </c>
    </row>
    <row r="519" spans="1:4" x14ac:dyDescent="0.45">
      <c r="A519" t="s">
        <v>10527</v>
      </c>
      <c r="B519" s="7" t="s">
        <v>14603</v>
      </c>
      <c r="C519" s="19" t="str">
        <f t="shared" si="21"/>
        <v>C04236 : 1</v>
      </c>
      <c r="D519" s="21" t="str">
        <f t="shared" si="22"/>
        <v>C04236 : (2S)-2-Isopropyl-3-oxosuccinate</v>
      </c>
    </row>
    <row r="520" spans="1:4" x14ac:dyDescent="0.45">
      <c r="A520" t="s">
        <v>13812</v>
      </c>
      <c r="B520" s="7" t="s">
        <v>14604</v>
      </c>
      <c r="C520" s="19" t="str">
        <f t="shared" si="21"/>
        <v>C04242 : 1</v>
      </c>
      <c r="D520" s="21" t="str">
        <f t="shared" si="22"/>
        <v>C04242 : 5-Fluorodeoxyuridine monophosphate</v>
      </c>
    </row>
    <row r="521" spans="1:4" x14ac:dyDescent="0.45">
      <c r="A521" t="s">
        <v>13813</v>
      </c>
      <c r="B521" s="7" t="s">
        <v>14605</v>
      </c>
      <c r="C521" s="19" t="str">
        <f t="shared" si="21"/>
        <v>C04246 : 1</v>
      </c>
      <c r="D521" s="21" t="str">
        <f t="shared" si="22"/>
        <v>C04246 : But-2-enoyl-[acyl-carrier protein]</v>
      </c>
    </row>
    <row r="522" spans="1:4" x14ac:dyDescent="0.45">
      <c r="A522" t="s">
        <v>13814</v>
      </c>
      <c r="B522" s="7" t="s">
        <v>14606</v>
      </c>
      <c r="C522" s="19" t="str">
        <f t="shared" si="21"/>
        <v>C04250 : 1</v>
      </c>
      <c r="D522" s="21" t="str">
        <f t="shared" si="22"/>
        <v>C04250 : DNA containing 6-O-methylguanine</v>
      </c>
    </row>
    <row r="523" spans="1:4" x14ac:dyDescent="0.45">
      <c r="A523" t="s">
        <v>12940</v>
      </c>
      <c r="B523" s="9" t="s">
        <v>14607</v>
      </c>
      <c r="C523" s="19" t="str">
        <f t="shared" si="21"/>
        <v>C04257 : 1</v>
      </c>
      <c r="D523" s="21" t="str">
        <f t="shared" si="22"/>
        <v>C04257 : N-Acetyl-D-mannosamine 6-phosphate</v>
      </c>
    </row>
    <row r="524" spans="1:4" x14ac:dyDescent="0.45">
      <c r="A524" t="s">
        <v>13815</v>
      </c>
      <c r="B524" s="7" t="s">
        <v>14608</v>
      </c>
      <c r="C524" s="19" t="str">
        <f t="shared" si="21"/>
        <v>C04258 : 1</v>
      </c>
      <c r="D524" s="21" t="str">
        <f t="shared" si="22"/>
        <v>C04258 : N-Formyl-L-methionylaminoacyl-tRNA</v>
      </c>
    </row>
    <row r="525" spans="1:4" x14ac:dyDescent="0.45">
      <c r="A525" t="s">
        <v>13816</v>
      </c>
      <c r="B525" s="7" t="s">
        <v>14609</v>
      </c>
      <c r="C525" s="19" t="str">
        <f t="shared" si="21"/>
        <v>C04260 : 1</v>
      </c>
      <c r="D525" s="21" t="str">
        <f t="shared" si="22"/>
        <v>C04260 : O-D-Alanyl-poly(ribitol phosphate)</v>
      </c>
    </row>
    <row r="526" spans="1:4" x14ac:dyDescent="0.45">
      <c r="A526" t="s">
        <v>13817</v>
      </c>
      <c r="B526" s="9" t="s">
        <v>14610</v>
      </c>
      <c r="C526" s="19" t="str">
        <f t="shared" si="21"/>
        <v>C04261 : 1</v>
      </c>
      <c r="D526" s="21" t="str">
        <f t="shared" si="22"/>
        <v>C04261 : Protein N(pi)-phospho-L-histidine</v>
      </c>
    </row>
    <row r="527" spans="1:4" x14ac:dyDescent="0.45">
      <c r="A527" t="s">
        <v>12739</v>
      </c>
      <c r="B527" s="9" t="s">
        <v>14611</v>
      </c>
      <c r="C527" s="19" t="str">
        <f t="shared" si="21"/>
        <v>C04272 : 1</v>
      </c>
      <c r="D527" s="21" t="str">
        <f t="shared" si="22"/>
        <v>C04272 : (R)-2,3-Dihydroxy-3-methylbutanoate</v>
      </c>
    </row>
    <row r="528" spans="1:4" x14ac:dyDescent="0.45">
      <c r="A528" t="s">
        <v>13818</v>
      </c>
      <c r="B528" s="7" t="s">
        <v>14612</v>
      </c>
      <c r="C528" s="19" t="str">
        <f t="shared" si="21"/>
        <v>C04281 : 1</v>
      </c>
      <c r="D528" s="21" t="str">
        <f t="shared" si="22"/>
        <v>C04281 : L-1-Pyrroline-3-hydroxy-5-carboxylate</v>
      </c>
    </row>
    <row r="529" spans="1:4" x14ac:dyDescent="0.45">
      <c r="A529" t="s">
        <v>13819</v>
      </c>
      <c r="B529" s="9" t="s">
        <v>14613</v>
      </c>
      <c r="C529" s="19" t="str">
        <f t="shared" si="21"/>
        <v>C04294 : 1</v>
      </c>
      <c r="D529" s="21" t="str">
        <f t="shared" si="22"/>
        <v>C04294 : 5-(2-Hydroxyethyl)-4-methylthiazole</v>
      </c>
    </row>
    <row r="530" spans="1:4" x14ac:dyDescent="0.45">
      <c r="A530" t="s">
        <v>13820</v>
      </c>
      <c r="B530" s="9" t="s">
        <v>14614</v>
      </c>
      <c r="C530" s="19" t="str">
        <f t="shared" si="21"/>
        <v>C04309 : 1</v>
      </c>
      <c r="D530" s="21" t="str">
        <f t="shared" si="22"/>
        <v>C04309 : Phosphoenol-4-deoxy-3-tetrulosonate</v>
      </c>
    </row>
    <row r="531" spans="1:4" x14ac:dyDescent="0.45">
      <c r="A531" t="s">
        <v>13821</v>
      </c>
      <c r="B531" s="9" t="s">
        <v>14615</v>
      </c>
      <c r="C531" s="19" t="str">
        <f t="shared" si="21"/>
        <v>C04327 : 1</v>
      </c>
      <c r="D531" s="21" t="str">
        <f t="shared" si="22"/>
        <v>C04327 : 4-Methyl-5-(2-phosphooxyethyl)thiazole</v>
      </c>
    </row>
    <row r="532" spans="1:4" x14ac:dyDescent="0.45">
      <c r="A532" t="s">
        <v>11550</v>
      </c>
      <c r="B532" s="7" t="s">
        <v>14616</v>
      </c>
      <c r="C532" s="19" t="str">
        <f t="shared" si="21"/>
        <v>C04332 : 1</v>
      </c>
      <c r="D532" s="21" t="str">
        <f t="shared" si="22"/>
        <v>C04332 : 6,7-Dimethyl-8-(D-ribityl)lumazine</v>
      </c>
    </row>
    <row r="533" spans="1:4" x14ac:dyDescent="0.45">
      <c r="A533" t="s">
        <v>13822</v>
      </c>
      <c r="B533" s="7" t="s">
        <v>14617</v>
      </c>
      <c r="C533" s="19" t="str">
        <f t="shared" si="21"/>
        <v>C04341 : 1</v>
      </c>
      <c r="D533" s="21" t="str">
        <f t="shared" si="22"/>
        <v>C04341 : Ribosomal-protein N-acetyl-L-alanine</v>
      </c>
    </row>
    <row r="534" spans="1:4" x14ac:dyDescent="0.45">
      <c r="A534" t="s">
        <v>12548</v>
      </c>
      <c r="B534" s="7" t="s">
        <v>14618</v>
      </c>
      <c r="C534" s="19" t="str">
        <f t="shared" si="21"/>
        <v>C04352 : 1</v>
      </c>
      <c r="D534" s="21" t="str">
        <f t="shared" si="22"/>
        <v>C04352 : (R)-4'-Phosphopantothenoyl-L-cysteine</v>
      </c>
    </row>
    <row r="535" spans="1:4" x14ac:dyDescent="0.45">
      <c r="A535" t="s">
        <v>13823</v>
      </c>
      <c r="B535" s="7" t="s">
        <v>14619</v>
      </c>
      <c r="C535" s="19" t="str">
        <f t="shared" si="21"/>
        <v>C04376 : 1</v>
      </c>
      <c r="D535" s="21" t="str">
        <f t="shared" si="22"/>
        <v>C04376 : 5'-Phosphoribosyl-N-formylglycinamide</v>
      </c>
    </row>
    <row r="536" spans="1:4" x14ac:dyDescent="0.45">
      <c r="A536" t="s">
        <v>13824</v>
      </c>
      <c r="B536" s="7" t="s">
        <v>14620</v>
      </c>
      <c r="C536" s="19" t="str">
        <f t="shared" si="21"/>
        <v>C04377 : 1</v>
      </c>
      <c r="D536" s="21" t="str">
        <f t="shared" si="22"/>
        <v>C04377 : 5,10-Methylenetetrahydromethanopterin</v>
      </c>
    </row>
    <row r="537" spans="1:4" x14ac:dyDescent="0.45">
      <c r="A537" t="s">
        <v>12683</v>
      </c>
      <c r="B537" s="9" t="s">
        <v>14621</v>
      </c>
      <c r="C537" s="19" t="str">
        <f t="shared" si="21"/>
        <v>C04411 : 1</v>
      </c>
      <c r="D537" s="21" t="str">
        <f t="shared" si="22"/>
        <v>C04411 : (2R,3S)-3-Isopropylmalate</v>
      </c>
    </row>
    <row r="538" spans="1:4" ht="28.5" x14ac:dyDescent="0.45">
      <c r="A538" t="s">
        <v>13825</v>
      </c>
      <c r="B538" s="10" t="s">
        <v>14622</v>
      </c>
      <c r="C538" s="19" t="str">
        <f t="shared" si="21"/>
        <v>C04419 : 1</v>
      </c>
      <c r="D538" s="21" t="str">
        <f t="shared" si="22"/>
        <v>C04419 : [Biotin carboxyl-carrier protein]-carboxybiotin-N6-L-lysine</v>
      </c>
    </row>
    <row r="539" spans="1:4" x14ac:dyDescent="0.45">
      <c r="A539" t="s">
        <v>13826</v>
      </c>
      <c r="B539" s="9" t="s">
        <v>14623</v>
      </c>
      <c r="C539" s="19" t="str">
        <f t="shared" ref="C539:C602" si="23">CONCATENATE(A539," : 1")</f>
        <v>C04432 : 1</v>
      </c>
      <c r="D539" s="21" t="str">
        <f t="shared" si="22"/>
        <v>C04432 : tRNA containing 6-isopentenyladenosine</v>
      </c>
    </row>
    <row r="540" spans="1:4" x14ac:dyDescent="0.45">
      <c r="A540" t="s">
        <v>12576</v>
      </c>
      <c r="B540" s="7" t="s">
        <v>14624</v>
      </c>
      <c r="C540" s="19" t="str">
        <f t="shared" si="23"/>
        <v>C04442 : 1</v>
      </c>
      <c r="D540" s="21" t="str">
        <f t="shared" si="22"/>
        <v>C04442 : 2-Dehydro-3-deoxy-6-phospho-D-gluconate</v>
      </c>
    </row>
    <row r="541" spans="1:4" x14ac:dyDescent="0.45">
      <c r="A541" t="s">
        <v>13827</v>
      </c>
      <c r="B541" s="7" t="s">
        <v>14625</v>
      </c>
      <c r="C541" s="19" t="str">
        <f t="shared" si="23"/>
        <v>C04454 : 1</v>
      </c>
      <c r="D541" s="21" t="str">
        <f t="shared" si="22"/>
        <v>C04454 : 5-Amino-6-(5'-phospho-D-ribitylamino)uracil</v>
      </c>
    </row>
    <row r="542" spans="1:4" x14ac:dyDescent="0.45">
      <c r="A542" t="s">
        <v>13828</v>
      </c>
      <c r="B542" s="10" t="s">
        <v>14626</v>
      </c>
      <c r="C542" s="19" t="str">
        <f t="shared" si="23"/>
        <v>C04494 : 1</v>
      </c>
      <c r="D542" s="21" t="str">
        <f t="shared" si="22"/>
        <v>C04494 : Guanosine 3'-diphosphate 5'-triphosphate</v>
      </c>
    </row>
    <row r="543" spans="1:4" x14ac:dyDescent="0.45">
      <c r="A543" t="s">
        <v>13829</v>
      </c>
      <c r="B543" s="10" t="s">
        <v>14627</v>
      </c>
      <c r="C543" s="19" t="str">
        <f t="shared" si="23"/>
        <v>C04501 : 1</v>
      </c>
      <c r="D543" s="21" t="str">
        <f t="shared" si="22"/>
        <v>C04501 : N-Acetyl-alpha-D-glucosamine 1-phosphate</v>
      </c>
    </row>
    <row r="544" spans="1:4" x14ac:dyDescent="0.45">
      <c r="A544" t="s">
        <v>13830</v>
      </c>
      <c r="B544" s="9" t="s">
        <v>14628</v>
      </c>
      <c r="C544" s="19" t="str">
        <f t="shared" si="23"/>
        <v>C04534 : 1</v>
      </c>
      <c r="D544" s="21" t="str">
        <f t="shared" si="22"/>
        <v>C04534 : 6-Phospho-beta-D-glucosyl-(1,4)-D-glucose</v>
      </c>
    </row>
    <row r="545" spans="1:4" ht="28.5" x14ac:dyDescent="0.45">
      <c r="A545" t="s">
        <v>13831</v>
      </c>
      <c r="B545" s="7" t="s">
        <v>14629</v>
      </c>
      <c r="C545" s="19" t="str">
        <f t="shared" si="23"/>
        <v>C04556 : 1</v>
      </c>
      <c r="D545" s="21" t="str">
        <f t="shared" si="22"/>
        <v>C04556 : 4-Amino-2-methyl-5-(phosphooxymethyl)pyrimidine</v>
      </c>
    </row>
    <row r="546" spans="1:4" x14ac:dyDescent="0.45">
      <c r="A546" t="s">
        <v>13832</v>
      </c>
      <c r="B546" s="7" t="s">
        <v>14630</v>
      </c>
      <c r="C546" s="19" t="str">
        <f t="shared" si="23"/>
        <v>C04574 : 1</v>
      </c>
      <c r="D546" s="21" t="str">
        <f t="shared" si="22"/>
        <v>C04574 : di-trans,poly-cis-Undecaprenyl diphosphate</v>
      </c>
    </row>
    <row r="547" spans="1:4" x14ac:dyDescent="0.45">
      <c r="A547" t="s">
        <v>12707</v>
      </c>
      <c r="B547" s="7" t="s">
        <v>14631</v>
      </c>
      <c r="C547" s="19" t="str">
        <f t="shared" si="23"/>
        <v>C04618 : 1</v>
      </c>
      <c r="D547" s="21" t="str">
        <f t="shared" si="22"/>
        <v>C04618 : (3R)-3-Hydroxybutanoyl-[acyl-carrier protein]</v>
      </c>
    </row>
    <row r="548" spans="1:4" x14ac:dyDescent="0.45">
      <c r="A548" t="s">
        <v>12710</v>
      </c>
      <c r="B548" s="9" t="s">
        <v>14632</v>
      </c>
      <c r="C548" s="19" t="str">
        <f t="shared" si="23"/>
        <v>C04619 : 1</v>
      </c>
      <c r="D548" s="21" t="str">
        <f t="shared" si="22"/>
        <v>C04619 : (3R)-3-Hydroxydecanoyl-[acyl-carrier protein]</v>
      </c>
    </row>
    <row r="549" spans="1:4" x14ac:dyDescent="0.45">
      <c r="A549" t="s">
        <v>12713</v>
      </c>
      <c r="B549" s="7" t="s">
        <v>14633</v>
      </c>
      <c r="C549" s="19" t="str">
        <f t="shared" si="23"/>
        <v>C04620 : 1</v>
      </c>
      <c r="D549" s="21" t="str">
        <f t="shared" si="22"/>
        <v>C04620 : (3R)-3-Hydroxyoctanoyl-[acyl-carrier protein]</v>
      </c>
    </row>
    <row r="550" spans="1:4" x14ac:dyDescent="0.45">
      <c r="A550" t="s">
        <v>13833</v>
      </c>
      <c r="B550" s="7" t="s">
        <v>14634</v>
      </c>
      <c r="C550" s="19" t="str">
        <f t="shared" si="23"/>
        <v>C04631 : 1</v>
      </c>
      <c r="D550" s="21" t="str">
        <f t="shared" si="22"/>
        <v>C04631 : UDP-N-acetyl-3-(1-carboxyvinyl)-D-glucosamine</v>
      </c>
    </row>
    <row r="551" spans="1:4" x14ac:dyDescent="0.45">
      <c r="A551" t="s">
        <v>12716</v>
      </c>
      <c r="B551" s="7" t="s">
        <v>14635</v>
      </c>
      <c r="C551" s="19" t="str">
        <f t="shared" si="23"/>
        <v>C04633 : 1</v>
      </c>
      <c r="D551" s="21" t="str">
        <f t="shared" si="22"/>
        <v>C04633 : (3R)-3-Hydroxypalmitoyl-[acyl-carrier protein]</v>
      </c>
    </row>
    <row r="552" spans="1:4" ht="28.5" x14ac:dyDescent="0.45">
      <c r="A552" t="s">
        <v>13834</v>
      </c>
      <c r="B552" s="7" t="s">
        <v>14636</v>
      </c>
      <c r="C552" s="19" t="str">
        <f t="shared" si="23"/>
        <v>C04640 : 1</v>
      </c>
      <c r="D552" s="21" t="str">
        <f t="shared" si="22"/>
        <v>C04640 : 2-(Formamido)-N1-(5'-phosphoribosyl)acetamidine</v>
      </c>
    </row>
    <row r="553" spans="1:4" x14ac:dyDescent="0.45">
      <c r="A553" t="s">
        <v>13835</v>
      </c>
      <c r="B553" s="7" t="s">
        <v>14637</v>
      </c>
      <c r="C553" s="19" t="str">
        <f t="shared" si="23"/>
        <v>C04646 : 1</v>
      </c>
      <c r="D553" s="21" t="str">
        <f t="shared" si="22"/>
        <v>C04646 : 6-Thioinosine-5'-monophosphate</v>
      </c>
    </row>
    <row r="554" spans="1:4" x14ac:dyDescent="0.45">
      <c r="A554" t="s">
        <v>12661</v>
      </c>
      <c r="B554" s="9" t="s">
        <v>14638</v>
      </c>
      <c r="C554" s="19" t="str">
        <f t="shared" si="23"/>
        <v>C04666 : 1</v>
      </c>
      <c r="D554" s="21" t="str">
        <f t="shared" si="22"/>
        <v>C04666 : D-erythro-1-(Imidazol-4-yl)glycerol 3-phosphate</v>
      </c>
    </row>
    <row r="555" spans="1:4" ht="28.5" x14ac:dyDescent="0.45">
      <c r="A555" t="s">
        <v>13836</v>
      </c>
      <c r="B555" s="7" t="s">
        <v>14639</v>
      </c>
      <c r="C555" s="19" t="str">
        <f t="shared" si="23"/>
        <v>C04677 : 1</v>
      </c>
      <c r="D555" s="21" t="str">
        <f t="shared" si="22"/>
        <v>C04677 : 1-(5'-Phosphoribosyl)-5-amino-4-imidazolecarboxamide</v>
      </c>
    </row>
    <row r="556" spans="1:4" ht="28.5" x14ac:dyDescent="0.45">
      <c r="A556" t="s">
        <v>13837</v>
      </c>
      <c r="B556" s="7" t="s">
        <v>14640</v>
      </c>
      <c r="C556" s="19" t="str">
        <f t="shared" si="23"/>
        <v>C04681 : 1</v>
      </c>
      <c r="D556" s="21" t="str">
        <f t="shared" si="22"/>
        <v>C04681 : Holo-[acetyl-CoA:carbon-dioxide ligase (ADP-forming)]</v>
      </c>
    </row>
    <row r="557" spans="1:4" x14ac:dyDescent="0.45">
      <c r="A557" t="s">
        <v>12719</v>
      </c>
      <c r="B557" s="9" t="s">
        <v>14641</v>
      </c>
      <c r="C557" s="19" t="str">
        <f t="shared" si="23"/>
        <v>C04688 : 1</v>
      </c>
      <c r="D557" s="21" t="str">
        <f t="shared" si="22"/>
        <v>C04688 : (3R)-3-Hydroxytetradecanoyl-[acyl-carrier protein]</v>
      </c>
    </row>
    <row r="558" spans="1:4" ht="28.5" x14ac:dyDescent="0.45">
      <c r="A558" t="s">
        <v>12759</v>
      </c>
      <c r="B558" s="9" t="s">
        <v>14642</v>
      </c>
      <c r="C558" s="19" t="str">
        <f t="shared" si="23"/>
        <v>C04691 : 1</v>
      </c>
      <c r="D558" s="21" t="str">
        <f t="shared" si="22"/>
        <v>C04691 : 2-Dehydro-3-deoxy-D-arabino-heptonate 7-phosphate</v>
      </c>
    </row>
    <row r="559" spans="1:4" ht="28.5" x14ac:dyDescent="0.45">
      <c r="A559" t="s">
        <v>13838</v>
      </c>
      <c r="B559" s="9" t="s">
        <v>14643</v>
      </c>
      <c r="C559" s="19" t="str">
        <f t="shared" si="23"/>
        <v>C04702 : 1</v>
      </c>
      <c r="D559" s="21" t="str">
        <f t="shared" si="22"/>
        <v>C04702 : UDPMurNAc(oyl-L-Ala-D-gamma-Glu-L-Lys-D-Ala-D-Ala)</v>
      </c>
    </row>
    <row r="560" spans="1:4" ht="28.5" x14ac:dyDescent="0.45">
      <c r="A560" t="s">
        <v>13839</v>
      </c>
      <c r="B560" s="9" t="s">
        <v>14644</v>
      </c>
      <c r="C560" s="19" t="str">
        <f t="shared" si="23"/>
        <v>C04728 : 1</v>
      </c>
      <c r="D560" s="21" t="str">
        <f t="shared" si="22"/>
        <v>C04728 : tRNA containing 5-[(methylamino)methyl]-2-thiouridylate</v>
      </c>
    </row>
    <row r="561" spans="1:4" x14ac:dyDescent="0.45">
      <c r="A561" t="s">
        <v>13840</v>
      </c>
      <c r="B561" s="7" t="s">
        <v>14645</v>
      </c>
      <c r="C561" s="19" t="str">
        <f t="shared" si="23"/>
        <v>C04732 : 1</v>
      </c>
      <c r="D561" s="21" t="str">
        <f t="shared" si="22"/>
        <v>C04732 : 5-Amino-6-(1-D-ribitylamino)uracil</v>
      </c>
    </row>
    <row r="562" spans="1:4" ht="28.5" x14ac:dyDescent="0.45">
      <c r="A562" t="s">
        <v>12403</v>
      </c>
      <c r="B562" s="9" t="s">
        <v>14646</v>
      </c>
      <c r="C562" s="19" t="str">
        <f t="shared" si="23"/>
        <v>C04734 : 1</v>
      </c>
      <c r="D562" s="21" t="str">
        <f t="shared" si="22"/>
        <v>C04734 : 1-(5'-Phosphoribosyl)-5-formamido-4-imidazolecarboxamide</v>
      </c>
    </row>
    <row r="563" spans="1:4" ht="28.5" x14ac:dyDescent="0.45">
      <c r="A563" t="s">
        <v>13841</v>
      </c>
      <c r="B563" s="7" t="s">
        <v>14647</v>
      </c>
      <c r="C563" s="19" t="str">
        <f t="shared" si="23"/>
        <v>C04735 : 1</v>
      </c>
      <c r="D563" s="21" t="str">
        <f t="shared" si="22"/>
        <v>C04735 : Apo-[acetyl-CoA:carbon-dioxide ligase (ADP-forming)]</v>
      </c>
    </row>
    <row r="564" spans="1:4" ht="28.5" x14ac:dyDescent="0.45">
      <c r="A564" t="s">
        <v>12538</v>
      </c>
      <c r="B564" s="7" t="s">
        <v>14648</v>
      </c>
      <c r="C564" s="19" t="str">
        <f t="shared" si="23"/>
        <v>C04751 : 1</v>
      </c>
      <c r="D564" s="21" t="str">
        <f t="shared" si="22"/>
        <v>C04751 : 1-(5-Phospho-D-ribosyl)-5-amino-4-imidazolecarboxylate</v>
      </c>
    </row>
    <row r="565" spans="1:4" ht="28.5" x14ac:dyDescent="0.45">
      <c r="A565" t="s">
        <v>13842</v>
      </c>
      <c r="B565" s="7" t="s">
        <v>14649</v>
      </c>
      <c r="C565" s="19" t="str">
        <f t="shared" si="23"/>
        <v>C04752 : 1</v>
      </c>
      <c r="D565" s="21" t="str">
        <f t="shared" si="22"/>
        <v>C04752 : 4-Amino-5-hydroxymethyl-2-methylpyrimidine diphosphate</v>
      </c>
    </row>
    <row r="566" spans="1:4" ht="28.5" x14ac:dyDescent="0.45">
      <c r="A566" t="s">
        <v>13843</v>
      </c>
      <c r="B566" s="7" t="s">
        <v>14650</v>
      </c>
      <c r="C566" s="19" t="str">
        <f t="shared" si="23"/>
        <v>C04778 : 1</v>
      </c>
      <c r="D566" s="21" t="str">
        <f t="shared" si="22"/>
        <v>C04778 : N1-(5-Phospho-alpha-D-ribosyl)-5,6-dimethylbenzimidazole</v>
      </c>
    </row>
    <row r="567" spans="1:4" x14ac:dyDescent="0.45">
      <c r="A567" t="s">
        <v>13844</v>
      </c>
      <c r="B567" s="7" t="s">
        <v>14651</v>
      </c>
      <c r="C567" s="19" t="str">
        <f t="shared" si="23"/>
        <v>C04807 : 1</v>
      </c>
      <c r="D567" s="21" t="str">
        <f t="shared" si="22"/>
        <v>C04807 : 6-Hydroxymethyl-7,8-dihydropterin diphosphate</v>
      </c>
    </row>
    <row r="568" spans="1:4" ht="28.5" x14ac:dyDescent="0.45">
      <c r="A568" t="s">
        <v>12824</v>
      </c>
      <c r="B568" s="7" t="s">
        <v>14652</v>
      </c>
      <c r="C568" s="19" t="str">
        <f t="shared" si="23"/>
        <v>C04823 : 1</v>
      </c>
      <c r="D568" s="21" t="str">
        <f t="shared" si="22"/>
        <v>C04823 : 1-(5'-Phosphoribosyl)-5-amino-4-(N-succinocarboxamide)-imidazole</v>
      </c>
    </row>
    <row r="569" spans="1:4" ht="28.5" x14ac:dyDescent="0.45">
      <c r="A569" t="s">
        <v>13845</v>
      </c>
      <c r="B569" s="7" t="s">
        <v>14653</v>
      </c>
      <c r="C569" s="19" t="str">
        <f t="shared" si="23"/>
        <v>C04851 : 1</v>
      </c>
      <c r="D569" s="21" t="str">
        <f t="shared" si="22"/>
        <v>C04851 : MurAc(oyl-L-Ala-D-gamma-Glu-L-Lys-D-Ala-D-Ala)-diphospho-undecaprenol</v>
      </c>
    </row>
    <row r="570" spans="1:4" x14ac:dyDescent="0.45">
      <c r="A570" t="s">
        <v>12581</v>
      </c>
      <c r="B570" s="9" t="s">
        <v>14654</v>
      </c>
      <c r="C570" s="19" t="str">
        <f t="shared" si="23"/>
        <v>C04874 : 1</v>
      </c>
      <c r="D570" s="21" t="str">
        <f t="shared" si="22"/>
        <v>C04874 : 7,8-Dihydroneopterin</v>
      </c>
    </row>
    <row r="571" spans="1:4" ht="28.5" x14ac:dyDescent="0.45">
      <c r="A571" t="s">
        <v>13846</v>
      </c>
      <c r="B571" s="7" t="s">
        <v>14655</v>
      </c>
      <c r="C571" s="19" t="str">
        <f t="shared" si="23"/>
        <v>C04877 : 1</v>
      </c>
      <c r="D571" s="21" t="str">
        <f t="shared" si="22"/>
        <v>C04877 : UDP-N-acetylmuramoyl-L-alanyl-gamma-D-glutamyl-meso-2,6-diaminopimelate</v>
      </c>
    </row>
    <row r="572" spans="1:4" ht="28.5" x14ac:dyDescent="0.45">
      <c r="A572" t="s">
        <v>13847</v>
      </c>
      <c r="B572" s="9" t="s">
        <v>14656</v>
      </c>
      <c r="C572" s="19" t="str">
        <f t="shared" si="23"/>
        <v>C04882 : 1</v>
      </c>
      <c r="D572" s="21" t="str">
        <f t="shared" si="22"/>
        <v>C04882 : UDP-N-acetylmuramoyl-L-alanyl-D-glutamyl-6-carboxy-L-lysyl-D-alanyl-D-alanine</v>
      </c>
    </row>
    <row r="573" spans="1:4" x14ac:dyDescent="0.45">
      <c r="A573" t="s">
        <v>13848</v>
      </c>
      <c r="B573" s="7" t="s">
        <v>14657</v>
      </c>
      <c r="C573" s="19" t="str">
        <f t="shared" si="23"/>
        <v>C04895 : 1</v>
      </c>
      <c r="D573" s="21" t="str">
        <f t="shared" si="22"/>
        <v>C04895 : 7,8-Dihydroneopterin 3'-triphosphate</v>
      </c>
    </row>
    <row r="574" spans="1:4" ht="28.5" x14ac:dyDescent="0.45">
      <c r="A574" t="s">
        <v>12427</v>
      </c>
      <c r="B574" s="7" t="s">
        <v>14658</v>
      </c>
      <c r="C574" s="19" t="str">
        <f t="shared" si="23"/>
        <v>C04896 : 1</v>
      </c>
      <c r="D574" s="21" t="str">
        <f t="shared" si="22"/>
        <v>C04896 : 5-(5-Phospho-D-ribosylaminoformimino)-1-(5-phosphoribosyl)-imidazole-4-carboxamide</v>
      </c>
    </row>
    <row r="575" spans="1:4" ht="28.5" x14ac:dyDescent="0.45">
      <c r="A575" t="s">
        <v>12954</v>
      </c>
      <c r="B575" s="9" t="s">
        <v>14659</v>
      </c>
      <c r="C575" s="19" t="str">
        <f t="shared" si="23"/>
        <v>C04916 : 1</v>
      </c>
      <c r="D575" s="21" t="str">
        <f t="shared" si="22"/>
        <v>C04916 : N-(5'-Phospho-D-1'-ribulosylformimino)-5-amino-1-(5''-phospho-D-ribosyl)-4-imidazolecarboxamide</v>
      </c>
    </row>
    <row r="576" spans="1:4" x14ac:dyDescent="0.45">
      <c r="A576" t="s">
        <v>13849</v>
      </c>
      <c r="B576" s="9" t="s">
        <v>14660</v>
      </c>
      <c r="C576" s="19" t="str">
        <f t="shared" si="23"/>
        <v>C05116 : 1</v>
      </c>
      <c r="D576" s="21" t="str">
        <f t="shared" si="22"/>
        <v>C05116 : 3-Hydroxybutanoyl-CoA</v>
      </c>
    </row>
    <row r="577" spans="1:4" x14ac:dyDescent="0.45">
      <c r="A577" t="s">
        <v>13850</v>
      </c>
      <c r="B577" s="9" t="s">
        <v>14661</v>
      </c>
      <c r="C577" s="19" t="str">
        <f t="shared" si="23"/>
        <v>C05125 : 1</v>
      </c>
      <c r="D577" s="21" t="str">
        <f t="shared" si="22"/>
        <v>C05125 : 2-(alpha-Hydroxyethyl)thiamine diphosphate</v>
      </c>
    </row>
    <row r="578" spans="1:4" x14ac:dyDescent="0.45">
      <c r="A578" t="s">
        <v>12787</v>
      </c>
      <c r="B578" s="9" t="s">
        <v>14662</v>
      </c>
      <c r="C578" s="19" t="str">
        <f t="shared" si="23"/>
        <v>C05167 : 1</v>
      </c>
      <c r="D578" s="21" t="str">
        <f t="shared" si="22"/>
        <v>C05167 : alpha-Amino acid</v>
      </c>
    </row>
    <row r="579" spans="1:4" x14ac:dyDescent="0.45">
      <c r="A579" t="s">
        <v>13851</v>
      </c>
      <c r="B579" s="9" t="s">
        <v>14663</v>
      </c>
      <c r="C579" s="19" t="str">
        <f t="shared" si="23"/>
        <v>C05172 : 1</v>
      </c>
      <c r="D579" s="21" t="str">
        <f t="shared" ref="D579:D642" si="24">CONCATENATE(A579," : ",B579)</f>
        <v>C05172 : Selenophosphoric acid</v>
      </c>
    </row>
    <row r="580" spans="1:4" x14ac:dyDescent="0.45">
      <c r="A580" t="s">
        <v>13852</v>
      </c>
      <c r="B580" s="9" t="s">
        <v>14664</v>
      </c>
      <c r="C580" s="19" t="str">
        <f t="shared" si="23"/>
        <v>C05196 : 1</v>
      </c>
      <c r="D580" s="21" t="str">
        <f t="shared" si="24"/>
        <v>C05196 : Dihydroflavodoxin</v>
      </c>
    </row>
    <row r="581" spans="1:4" x14ac:dyDescent="0.45">
      <c r="A581" t="s">
        <v>13853</v>
      </c>
      <c r="B581" s="9" t="s">
        <v>14665</v>
      </c>
      <c r="C581" s="19" t="str">
        <f t="shared" si="23"/>
        <v>C05197 : 1</v>
      </c>
      <c r="D581" s="21" t="str">
        <f t="shared" si="24"/>
        <v>C05197 : [Enzyme]-glycine</v>
      </c>
    </row>
    <row r="582" spans="1:4" x14ac:dyDescent="0.45">
      <c r="A582" t="s">
        <v>13854</v>
      </c>
      <c r="B582" s="9" t="s">
        <v>14666</v>
      </c>
      <c r="C582" s="19" t="str">
        <f t="shared" si="23"/>
        <v>C05198 : 1</v>
      </c>
      <c r="D582" s="21" t="str">
        <f t="shared" si="24"/>
        <v>C05198 : 5'-Deoxyadenosine</v>
      </c>
    </row>
    <row r="583" spans="1:4" x14ac:dyDescent="0.45">
      <c r="A583" t="s">
        <v>13855</v>
      </c>
      <c r="B583" s="9" t="s">
        <v>14667</v>
      </c>
      <c r="C583" s="19" t="str">
        <f t="shared" si="23"/>
        <v>C05199 : 1</v>
      </c>
      <c r="D583" s="21" t="str">
        <f t="shared" si="24"/>
        <v>C05199 : Flavodoxin semiquinone</v>
      </c>
    </row>
    <row r="584" spans="1:4" x14ac:dyDescent="0.45">
      <c r="A584" t="s">
        <v>13856</v>
      </c>
      <c r="B584" s="9" t="s">
        <v>14668</v>
      </c>
      <c r="C584" s="19" t="str">
        <f t="shared" si="23"/>
        <v>C05223 : 1</v>
      </c>
      <c r="D584" s="21" t="str">
        <f t="shared" si="24"/>
        <v>C05223 : Dodecanoyl-[acyl-carrier protein]</v>
      </c>
    </row>
    <row r="585" spans="1:4" x14ac:dyDescent="0.45">
      <c r="A585" t="s">
        <v>13857</v>
      </c>
      <c r="B585" s="9" t="s">
        <v>14669</v>
      </c>
      <c r="C585" s="19" t="str">
        <f t="shared" si="23"/>
        <v>C05269 : 1</v>
      </c>
      <c r="D585" s="21" t="str">
        <f t="shared" si="24"/>
        <v>C05269 : 3-Oxohexanoyl-CoA</v>
      </c>
    </row>
    <row r="586" spans="1:4" x14ac:dyDescent="0.45">
      <c r="A586" t="s">
        <v>13858</v>
      </c>
      <c r="B586" s="9" t="s">
        <v>14670</v>
      </c>
      <c r="C586" s="19" t="str">
        <f t="shared" si="23"/>
        <v>C05312 : 1</v>
      </c>
      <c r="D586" s="21" t="str">
        <f t="shared" si="24"/>
        <v>C05312 : [Enzyme]-glycin-2-yl radical</v>
      </c>
    </row>
    <row r="587" spans="1:4" x14ac:dyDescent="0.45">
      <c r="A587" t="s">
        <v>13859</v>
      </c>
      <c r="B587" s="9" t="s">
        <v>14671</v>
      </c>
      <c r="C587" s="19" t="str">
        <f t="shared" si="23"/>
        <v>C05335 : 1</v>
      </c>
      <c r="D587" s="21" t="str">
        <f t="shared" si="24"/>
        <v>C05335 : L-Selenomethionine</v>
      </c>
    </row>
    <row r="588" spans="1:4" x14ac:dyDescent="0.45">
      <c r="A588" t="s">
        <v>13860</v>
      </c>
      <c r="B588" s="9" t="s">
        <v>14672</v>
      </c>
      <c r="C588" s="19" t="str">
        <f t="shared" si="23"/>
        <v>C05336 : 1</v>
      </c>
      <c r="D588" s="21" t="str">
        <f t="shared" si="24"/>
        <v>C05336 : L-Selenomethionyl-tRNA(Met)</v>
      </c>
    </row>
    <row r="589" spans="1:4" x14ac:dyDescent="0.45">
      <c r="A589" t="s">
        <v>12980</v>
      </c>
      <c r="B589" s="9" t="s">
        <v>14673</v>
      </c>
      <c r="C589" s="19" t="str">
        <f t="shared" si="23"/>
        <v>C05345 : 1</v>
      </c>
      <c r="D589" s="21" t="str">
        <f t="shared" si="24"/>
        <v>C05345 : beta-D-Fructose 6-phosphate</v>
      </c>
    </row>
    <row r="590" spans="1:4" x14ac:dyDescent="0.45">
      <c r="A590" t="s">
        <v>13861</v>
      </c>
      <c r="B590" s="9" t="s">
        <v>14674</v>
      </c>
      <c r="C590" s="19" t="str">
        <f t="shared" si="23"/>
        <v>C05359 : 1</v>
      </c>
      <c r="D590" s="21" t="str">
        <f t="shared" si="24"/>
        <v>C05359 : Electron</v>
      </c>
    </row>
    <row r="591" spans="1:4" x14ac:dyDescent="0.45">
      <c r="A591" t="s">
        <v>12566</v>
      </c>
      <c r="B591" s="9" t="s">
        <v>14675</v>
      </c>
      <c r="C591" s="19" t="str">
        <f t="shared" si="23"/>
        <v>C05378 : 1</v>
      </c>
      <c r="D591" s="21" t="str">
        <f t="shared" si="24"/>
        <v>C05378 : beta-D-Fructose 1,6-bisphosphate</v>
      </c>
    </row>
    <row r="592" spans="1:4" x14ac:dyDescent="0.45">
      <c r="A592" t="s">
        <v>13862</v>
      </c>
      <c r="B592" s="9" t="s">
        <v>14676</v>
      </c>
      <c r="C592" s="19" t="str">
        <f t="shared" si="23"/>
        <v>C05382 : 1</v>
      </c>
      <c r="D592" s="21" t="str">
        <f t="shared" si="24"/>
        <v>C05382 : Sedoheptulose 7-phosphate</v>
      </c>
    </row>
    <row r="593" spans="1:4" x14ac:dyDescent="0.45">
      <c r="A593" t="s">
        <v>13863</v>
      </c>
      <c r="B593" s="9" t="s">
        <v>14677</v>
      </c>
      <c r="C593" s="19" t="str">
        <f t="shared" si="23"/>
        <v>C05444 : 1</v>
      </c>
      <c r="D593" s="21" t="str">
        <f t="shared" si="24"/>
        <v>C05444 : 3alpha,7alpha,26-Trihydroxy-5beta-cholestane</v>
      </c>
    </row>
    <row r="594" spans="1:4" x14ac:dyDescent="0.45">
      <c r="A594" t="s">
        <v>13864</v>
      </c>
      <c r="B594" s="9" t="s">
        <v>14678</v>
      </c>
      <c r="C594" s="19" t="str">
        <f t="shared" si="23"/>
        <v>C05445 : 1</v>
      </c>
      <c r="D594" s="21" t="str">
        <f t="shared" si="24"/>
        <v>C05445 : 3alpha,7alpha-Dihydroxy-5beta-cholestan-26-al</v>
      </c>
    </row>
    <row r="595" spans="1:4" x14ac:dyDescent="0.45">
      <c r="A595" t="s">
        <v>13865</v>
      </c>
      <c r="B595" s="9" t="s">
        <v>14679</v>
      </c>
      <c r="C595" s="19" t="str">
        <f t="shared" si="23"/>
        <v>C05512 : 1</v>
      </c>
      <c r="D595" s="21" t="str">
        <f t="shared" si="24"/>
        <v>C05512 : Deoxyinosine</v>
      </c>
    </row>
    <row r="596" spans="1:4" x14ac:dyDescent="0.45">
      <c r="A596" t="s">
        <v>12598</v>
      </c>
      <c r="B596" s="9" t="s">
        <v>14680</v>
      </c>
      <c r="C596" s="19" t="str">
        <f t="shared" si="23"/>
        <v>C05519 : 1</v>
      </c>
      <c r="D596" s="21" t="str">
        <f t="shared" si="24"/>
        <v>C05519 : L-Allothreonine</v>
      </c>
    </row>
    <row r="597" spans="1:4" x14ac:dyDescent="0.45">
      <c r="A597" t="s">
        <v>13866</v>
      </c>
      <c r="B597" s="9" t="s">
        <v>14681</v>
      </c>
      <c r="C597" s="19" t="str">
        <f t="shared" si="23"/>
        <v>C05526 : 1</v>
      </c>
      <c r="D597" s="21" t="str">
        <f t="shared" si="24"/>
        <v>C05526 : S-Glutathionyl-L-cysteine</v>
      </c>
    </row>
    <row r="598" spans="1:4" x14ac:dyDescent="0.45">
      <c r="A598" t="s">
        <v>13867</v>
      </c>
      <c r="B598" s="9" t="s">
        <v>14682</v>
      </c>
      <c r="C598" s="19" t="str">
        <f t="shared" si="23"/>
        <v>C05539 : 1</v>
      </c>
      <c r="D598" s="21" t="str">
        <f t="shared" si="24"/>
        <v>C05539 : N-Acetyl-L-2-amino-6-oxopimelate</v>
      </c>
    </row>
    <row r="599" spans="1:4" x14ac:dyDescent="0.45">
      <c r="A599" t="s">
        <v>13868</v>
      </c>
      <c r="B599" s="9" t="s">
        <v>14683</v>
      </c>
      <c r="C599" s="19" t="str">
        <f t="shared" si="23"/>
        <v>C05551 : 1</v>
      </c>
      <c r="D599" s="21" t="str">
        <f t="shared" si="24"/>
        <v>C05551 : Penicillin G</v>
      </c>
    </row>
    <row r="600" spans="1:4" x14ac:dyDescent="0.45">
      <c r="A600" t="s">
        <v>13020</v>
      </c>
      <c r="B600" s="9" t="s">
        <v>14684</v>
      </c>
      <c r="C600" s="19" t="str">
        <f t="shared" si="23"/>
        <v>C05574 : 1</v>
      </c>
      <c r="D600" s="21" t="str">
        <f t="shared" si="24"/>
        <v>C05574 : 3-Aminopentanedioate</v>
      </c>
    </row>
    <row r="601" spans="1:4" x14ac:dyDescent="0.45">
      <c r="A601" t="s">
        <v>13869</v>
      </c>
      <c r="B601" s="9" t="s">
        <v>14685</v>
      </c>
      <c r="C601" s="19" t="str">
        <f t="shared" si="23"/>
        <v>C05576 : 1</v>
      </c>
      <c r="D601" s="21" t="str">
        <f t="shared" si="24"/>
        <v>C05576 : 3,4-Dihydroxyphenylethyleneglycol</v>
      </c>
    </row>
    <row r="602" spans="1:4" x14ac:dyDescent="0.45">
      <c r="A602" t="s">
        <v>13870</v>
      </c>
      <c r="B602" s="9" t="s">
        <v>14686</v>
      </c>
      <c r="C602" s="19" t="str">
        <f t="shared" si="23"/>
        <v>C05577 : 1</v>
      </c>
      <c r="D602" s="21" t="str">
        <f t="shared" si="24"/>
        <v>C05577 : 3,4-Dihydroxymandelaldehyde</v>
      </c>
    </row>
    <row r="603" spans="1:4" x14ac:dyDescent="0.45">
      <c r="A603" t="s">
        <v>13871</v>
      </c>
      <c r="B603" s="9" t="s">
        <v>14687</v>
      </c>
      <c r="C603" s="19" t="str">
        <f t="shared" ref="C603:C666" si="25">CONCATENATE(A603," : 1")</f>
        <v>C05640 : 1</v>
      </c>
      <c r="D603" s="21" t="str">
        <f t="shared" si="24"/>
        <v>C05640 : Cinnavalininate</v>
      </c>
    </row>
    <row r="604" spans="1:4" x14ac:dyDescent="0.45">
      <c r="A604" t="s">
        <v>13872</v>
      </c>
      <c r="B604" s="9" t="s">
        <v>14688</v>
      </c>
      <c r="C604" s="19" t="str">
        <f t="shared" si="25"/>
        <v>C05670 : 1</v>
      </c>
      <c r="D604" s="21" t="str">
        <f t="shared" si="24"/>
        <v>C05670 : 3-Aminopropiononitrile</v>
      </c>
    </row>
    <row r="605" spans="1:4" x14ac:dyDescent="0.45">
      <c r="A605" t="s">
        <v>13873</v>
      </c>
      <c r="B605" s="9" t="s">
        <v>14689</v>
      </c>
      <c r="C605" s="19" t="str">
        <f t="shared" si="25"/>
        <v>C05684 : 1</v>
      </c>
      <c r="D605" s="21" t="str">
        <f t="shared" si="24"/>
        <v>C05684 : Selenite</v>
      </c>
    </row>
    <row r="606" spans="1:4" x14ac:dyDescent="0.45">
      <c r="A606" t="s">
        <v>13874</v>
      </c>
      <c r="B606" s="9" t="s">
        <v>14690</v>
      </c>
      <c r="C606" s="19" t="str">
        <f t="shared" si="25"/>
        <v>C05688 : 1</v>
      </c>
      <c r="D606" s="21" t="str">
        <f t="shared" si="24"/>
        <v>C05688 : L-Selenocysteine</v>
      </c>
    </row>
    <row r="607" spans="1:4" x14ac:dyDescent="0.45">
      <c r="A607" t="s">
        <v>13875</v>
      </c>
      <c r="B607" s="9" t="s">
        <v>14691</v>
      </c>
      <c r="C607" s="19" t="str">
        <f t="shared" si="25"/>
        <v>C05689 : 1</v>
      </c>
      <c r="D607" s="21" t="str">
        <f t="shared" si="24"/>
        <v>C05689 : Se-Methyl-L-selenocysteine</v>
      </c>
    </row>
    <row r="608" spans="1:4" x14ac:dyDescent="0.45">
      <c r="A608" t="s">
        <v>13876</v>
      </c>
      <c r="B608" s="9" t="s">
        <v>14692</v>
      </c>
      <c r="C608" s="19" t="str">
        <f t="shared" si="25"/>
        <v>C05691 : 1</v>
      </c>
      <c r="D608" s="21" t="str">
        <f t="shared" si="24"/>
        <v>C05691 : Se-Adenosylselenomethionine</v>
      </c>
    </row>
    <row r="609" spans="1:4" x14ac:dyDescent="0.45">
      <c r="A609" t="s">
        <v>13877</v>
      </c>
      <c r="B609" s="9" t="s">
        <v>14693</v>
      </c>
      <c r="C609" s="19" t="str">
        <f t="shared" si="25"/>
        <v>C05695 : 1</v>
      </c>
      <c r="D609" s="21" t="str">
        <f t="shared" si="24"/>
        <v>C05695 : gamma-Glutamyl-Se-methylselenocysteine</v>
      </c>
    </row>
    <row r="610" spans="1:4" x14ac:dyDescent="0.45">
      <c r="A610" t="s">
        <v>13878</v>
      </c>
      <c r="B610" s="9" t="s">
        <v>14694</v>
      </c>
      <c r="C610" s="19" t="str">
        <f t="shared" si="25"/>
        <v>C05698 : 1</v>
      </c>
      <c r="D610" s="21" t="str">
        <f t="shared" si="24"/>
        <v>C05698 : Selenohomocysteine</v>
      </c>
    </row>
    <row r="611" spans="1:4" x14ac:dyDescent="0.45">
      <c r="A611" t="s">
        <v>13879</v>
      </c>
      <c r="B611" s="9" t="s">
        <v>14695</v>
      </c>
      <c r="C611" s="19" t="str">
        <f t="shared" si="25"/>
        <v>C05699 : 1</v>
      </c>
      <c r="D611" s="21" t="str">
        <f t="shared" si="24"/>
        <v>C05699 : L-Selenocystathionine</v>
      </c>
    </row>
    <row r="612" spans="1:4" x14ac:dyDescent="0.45">
      <c r="A612" t="s">
        <v>13880</v>
      </c>
      <c r="B612" s="9" t="s">
        <v>14696</v>
      </c>
      <c r="C612" s="19" t="str">
        <f t="shared" si="25"/>
        <v>C05703 : 1</v>
      </c>
      <c r="D612" s="21" t="str">
        <f t="shared" si="24"/>
        <v>C05703 : Methaneselenol</v>
      </c>
    </row>
    <row r="613" spans="1:4" x14ac:dyDescent="0.45">
      <c r="A613" t="s">
        <v>13881</v>
      </c>
      <c r="B613" s="9" t="s">
        <v>14697</v>
      </c>
      <c r="C613" s="19" t="str">
        <f t="shared" si="25"/>
        <v>C05711 : 1</v>
      </c>
      <c r="D613" s="21" t="str">
        <f t="shared" si="24"/>
        <v>C05711 : gamma-Glutamyl-beta-cyanoalanine</v>
      </c>
    </row>
    <row r="614" spans="1:4" x14ac:dyDescent="0.45">
      <c r="A614" t="s">
        <v>13882</v>
      </c>
      <c r="B614" s="9" t="s">
        <v>14698</v>
      </c>
      <c r="C614" s="19" t="str">
        <f t="shared" si="25"/>
        <v>C05726 : 1</v>
      </c>
      <c r="D614" s="21" t="str">
        <f t="shared" si="24"/>
        <v>C05726 : S-Substituted L-cysteine</v>
      </c>
    </row>
    <row r="615" spans="1:4" x14ac:dyDescent="0.45">
      <c r="A615" t="s">
        <v>13883</v>
      </c>
      <c r="B615" s="9" t="s">
        <v>14699</v>
      </c>
      <c r="C615" s="19" t="str">
        <f t="shared" si="25"/>
        <v>C05729 : 1</v>
      </c>
      <c r="D615" s="21" t="str">
        <f t="shared" si="24"/>
        <v>C05729 : R-S-Cysteinylglycine</v>
      </c>
    </row>
    <row r="616" spans="1:4" x14ac:dyDescent="0.45">
      <c r="A616" t="s">
        <v>13884</v>
      </c>
      <c r="B616" s="9" t="s">
        <v>14700</v>
      </c>
      <c r="C616" s="19" t="str">
        <f t="shared" si="25"/>
        <v>C05744 : 1</v>
      </c>
      <c r="D616" s="21" t="str">
        <f t="shared" si="24"/>
        <v>C05744 : Acetoacetyl-[acp]</v>
      </c>
    </row>
    <row r="617" spans="1:4" x14ac:dyDescent="0.45">
      <c r="A617" t="s">
        <v>13885</v>
      </c>
      <c r="B617" s="9" t="s">
        <v>14701</v>
      </c>
      <c r="C617" s="19" t="str">
        <f t="shared" si="25"/>
        <v>C05745 : 1</v>
      </c>
      <c r="D617" s="21" t="str">
        <f t="shared" si="24"/>
        <v>C05745 : Butyryl-[acp]</v>
      </c>
    </row>
    <row r="618" spans="1:4" x14ac:dyDescent="0.45">
      <c r="A618" t="s">
        <v>13886</v>
      </c>
      <c r="B618" s="9" t="s">
        <v>14702</v>
      </c>
      <c r="C618" s="19" t="str">
        <f t="shared" si="25"/>
        <v>C05746 : 1</v>
      </c>
      <c r="D618" s="21" t="str">
        <f t="shared" si="24"/>
        <v>C05746 : 3-Oxohexanoyl-[acp]</v>
      </c>
    </row>
    <row r="619" spans="1:4" x14ac:dyDescent="0.45">
      <c r="A619" t="s">
        <v>12722</v>
      </c>
      <c r="B619" s="9" t="s">
        <v>14703</v>
      </c>
      <c r="C619" s="19" t="str">
        <f t="shared" si="25"/>
        <v>C05747 : 1</v>
      </c>
      <c r="D619" s="21" t="str">
        <f t="shared" si="24"/>
        <v>C05747 : (3R)-3-Hydroxyhexanoyl-[acyl-carrier protein]</v>
      </c>
    </row>
    <row r="620" spans="1:4" x14ac:dyDescent="0.45">
      <c r="A620" t="s">
        <v>13887</v>
      </c>
      <c r="B620" s="9" t="s">
        <v>14704</v>
      </c>
      <c r="C620" s="19" t="str">
        <f t="shared" si="25"/>
        <v>C05748 : 1</v>
      </c>
      <c r="D620" s="21" t="str">
        <f t="shared" si="24"/>
        <v>C05748 : trans-Hex-2-enoyl-[acp]</v>
      </c>
    </row>
    <row r="621" spans="1:4" x14ac:dyDescent="0.45">
      <c r="A621" t="s">
        <v>13888</v>
      </c>
      <c r="B621" s="9" t="s">
        <v>14705</v>
      </c>
      <c r="C621" s="19" t="str">
        <f t="shared" si="25"/>
        <v>C05749 : 1</v>
      </c>
      <c r="D621" s="21" t="str">
        <f t="shared" si="24"/>
        <v>C05749 : Hexanoyl-[acp]</v>
      </c>
    </row>
    <row r="622" spans="1:4" x14ac:dyDescent="0.45">
      <c r="A622" t="s">
        <v>13889</v>
      </c>
      <c r="B622" s="9" t="s">
        <v>14706</v>
      </c>
      <c r="C622" s="19" t="str">
        <f t="shared" si="25"/>
        <v>C05750 : 1</v>
      </c>
      <c r="D622" s="21" t="str">
        <f t="shared" si="24"/>
        <v>C05750 : 3-Oxooctanoyl-[acp]</v>
      </c>
    </row>
    <row r="623" spans="1:4" x14ac:dyDescent="0.45">
      <c r="A623" t="s">
        <v>13890</v>
      </c>
      <c r="B623" s="9" t="s">
        <v>14707</v>
      </c>
      <c r="C623" s="19" t="str">
        <f t="shared" si="25"/>
        <v>C05751 : 1</v>
      </c>
      <c r="D623" s="21" t="str">
        <f t="shared" si="24"/>
        <v>C05751 : trans-Oct-2-enoyl-[acp]</v>
      </c>
    </row>
    <row r="624" spans="1:4" x14ac:dyDescent="0.45">
      <c r="A624" t="s">
        <v>13891</v>
      </c>
      <c r="B624" s="9" t="s">
        <v>14708</v>
      </c>
      <c r="C624" s="19" t="str">
        <f t="shared" si="25"/>
        <v>C05752 : 1</v>
      </c>
      <c r="D624" s="21" t="str">
        <f t="shared" si="24"/>
        <v>C05752 : Octanoyl-[acp]</v>
      </c>
    </row>
    <row r="625" spans="1:4" x14ac:dyDescent="0.45">
      <c r="A625" t="s">
        <v>13892</v>
      </c>
      <c r="B625" s="9" t="s">
        <v>14709</v>
      </c>
      <c r="C625" s="19" t="str">
        <f t="shared" si="25"/>
        <v>C05753 : 1</v>
      </c>
      <c r="D625" s="21" t="str">
        <f t="shared" si="24"/>
        <v>C05753 : 3-Oxodecanoyl-[acp]</v>
      </c>
    </row>
    <row r="626" spans="1:4" x14ac:dyDescent="0.45">
      <c r="A626" t="s">
        <v>13893</v>
      </c>
      <c r="B626" s="9" t="s">
        <v>14710</v>
      </c>
      <c r="C626" s="19" t="str">
        <f t="shared" si="25"/>
        <v>C05754 : 1</v>
      </c>
      <c r="D626" s="21" t="str">
        <f t="shared" si="24"/>
        <v>C05754 : trans-Dec-2-enoyl-[acp]</v>
      </c>
    </row>
    <row r="627" spans="1:4" x14ac:dyDescent="0.45">
      <c r="A627" t="s">
        <v>13894</v>
      </c>
      <c r="B627" s="9" t="s">
        <v>14711</v>
      </c>
      <c r="C627" s="19" t="str">
        <f t="shared" si="25"/>
        <v>C05755 : 1</v>
      </c>
      <c r="D627" s="21" t="str">
        <f t="shared" si="24"/>
        <v>C05755 : Decanoyl-[acp]</v>
      </c>
    </row>
    <row r="628" spans="1:4" x14ac:dyDescent="0.45">
      <c r="A628" t="s">
        <v>13895</v>
      </c>
      <c r="B628" s="9" t="s">
        <v>14712</v>
      </c>
      <c r="C628" s="19" t="str">
        <f t="shared" si="25"/>
        <v>C05756 : 1</v>
      </c>
      <c r="D628" s="21" t="str">
        <f t="shared" si="24"/>
        <v>C05756 : 3-Oxododecanoyl-[acp]</v>
      </c>
    </row>
    <row r="629" spans="1:4" x14ac:dyDescent="0.45">
      <c r="A629" t="s">
        <v>12725</v>
      </c>
      <c r="B629" s="9" t="s">
        <v>14713</v>
      </c>
      <c r="C629" s="19" t="str">
        <f t="shared" si="25"/>
        <v>C05757 : 1</v>
      </c>
      <c r="D629" s="21" t="str">
        <f t="shared" si="24"/>
        <v>C05757 : (3R)-3-Hydroxydodecanoyl-[acyl-carrier protein]</v>
      </c>
    </row>
    <row r="630" spans="1:4" x14ac:dyDescent="0.45">
      <c r="A630" t="s">
        <v>13896</v>
      </c>
      <c r="B630" s="9" t="s">
        <v>14714</v>
      </c>
      <c r="C630" s="19" t="str">
        <f t="shared" si="25"/>
        <v>C05758 : 1</v>
      </c>
      <c r="D630" s="21" t="str">
        <f t="shared" si="24"/>
        <v>C05758 : trans-Dodec-2-enoyl-[acp]</v>
      </c>
    </row>
    <row r="631" spans="1:4" x14ac:dyDescent="0.45">
      <c r="A631" t="s">
        <v>13897</v>
      </c>
      <c r="B631" s="9" t="s">
        <v>14715</v>
      </c>
      <c r="C631" s="19" t="str">
        <f t="shared" si="25"/>
        <v>C05759 : 1</v>
      </c>
      <c r="D631" s="21" t="str">
        <f t="shared" si="24"/>
        <v>C05759 : 3-Oxotetradecanoyl-[acp]</v>
      </c>
    </row>
    <row r="632" spans="1:4" x14ac:dyDescent="0.45">
      <c r="A632" t="s">
        <v>13898</v>
      </c>
      <c r="B632" s="9" t="s">
        <v>14716</v>
      </c>
      <c r="C632" s="19" t="str">
        <f t="shared" si="25"/>
        <v>C05760 : 1</v>
      </c>
      <c r="D632" s="21" t="str">
        <f t="shared" si="24"/>
        <v>C05760 : trans-Tetradec-2-enoyl-[acp]</v>
      </c>
    </row>
    <row r="633" spans="1:4" x14ac:dyDescent="0.45">
      <c r="A633" t="s">
        <v>13899</v>
      </c>
      <c r="B633" s="9" t="s">
        <v>14717</v>
      </c>
      <c r="C633" s="19" t="str">
        <f t="shared" si="25"/>
        <v>C05761 : 1</v>
      </c>
      <c r="D633" s="21" t="str">
        <f t="shared" si="24"/>
        <v>C05761 : Tetradecanoyl-[acp]</v>
      </c>
    </row>
    <row r="634" spans="1:4" x14ac:dyDescent="0.45">
      <c r="A634" t="s">
        <v>13900</v>
      </c>
      <c r="B634" s="9" t="s">
        <v>14718</v>
      </c>
      <c r="C634" s="19" t="str">
        <f t="shared" si="25"/>
        <v>C05762 : 1</v>
      </c>
      <c r="D634" s="21" t="str">
        <f t="shared" si="24"/>
        <v>C05762 : 3-Oxohexadecanoyl-[acp]</v>
      </c>
    </row>
    <row r="635" spans="1:4" x14ac:dyDescent="0.45">
      <c r="A635" t="s">
        <v>13901</v>
      </c>
      <c r="B635" s="9" t="s">
        <v>14719</v>
      </c>
      <c r="C635" s="19" t="str">
        <f t="shared" si="25"/>
        <v>C05763 : 1</v>
      </c>
      <c r="D635" s="21" t="str">
        <f t="shared" si="24"/>
        <v>C05763 : trans-Hexadec-2-enoyl-[acp]</v>
      </c>
    </row>
    <row r="636" spans="1:4" x14ac:dyDescent="0.45">
      <c r="A636" t="s">
        <v>13902</v>
      </c>
      <c r="B636" s="9" t="s">
        <v>14720</v>
      </c>
      <c r="C636" s="19" t="str">
        <f t="shared" si="25"/>
        <v>C05764 : 1</v>
      </c>
      <c r="D636" s="21" t="str">
        <f t="shared" si="24"/>
        <v>C05764 : Hexadecanoyl-[acp]</v>
      </c>
    </row>
    <row r="637" spans="1:4" x14ac:dyDescent="0.45">
      <c r="A637" t="s">
        <v>13037</v>
      </c>
      <c r="B637" s="9" t="s">
        <v>14721</v>
      </c>
      <c r="C637" s="19" t="str">
        <f t="shared" si="25"/>
        <v>C05773 : 1</v>
      </c>
      <c r="D637" s="21" t="str">
        <f t="shared" si="24"/>
        <v>C05773 : Cobyrinate</v>
      </c>
    </row>
    <row r="638" spans="1:4" x14ac:dyDescent="0.45">
      <c r="A638" t="s">
        <v>13903</v>
      </c>
      <c r="B638" s="9" t="s">
        <v>14722</v>
      </c>
      <c r="C638" s="19" t="str">
        <f t="shared" si="25"/>
        <v>C05775 : 1</v>
      </c>
      <c r="D638" s="21" t="str">
        <f t="shared" si="24"/>
        <v>C05775 : alpha-Ribazole</v>
      </c>
    </row>
    <row r="639" spans="1:4" x14ac:dyDescent="0.45">
      <c r="A639" t="s">
        <v>13904</v>
      </c>
      <c r="B639" s="9" t="s">
        <v>14723</v>
      </c>
      <c r="C639" s="19" t="str">
        <f t="shared" si="25"/>
        <v>C05778 : 1</v>
      </c>
      <c r="D639" s="21" t="str">
        <f t="shared" si="24"/>
        <v>C05778 : Sirohydrochlorin</v>
      </c>
    </row>
    <row r="640" spans="1:4" x14ac:dyDescent="0.45">
      <c r="A640" t="s">
        <v>13905</v>
      </c>
      <c r="B640" s="9" t="s">
        <v>14724</v>
      </c>
      <c r="C640" s="19" t="str">
        <f t="shared" si="25"/>
        <v>C05823 : 1</v>
      </c>
      <c r="D640" s="21" t="str">
        <f t="shared" si="24"/>
        <v>C05823 : 3-Mercaptolactate</v>
      </c>
    </row>
    <row r="641" spans="1:4" x14ac:dyDescent="0.45">
      <c r="A641" t="s">
        <v>13906</v>
      </c>
      <c r="B641" s="9" t="s">
        <v>14725</v>
      </c>
      <c r="C641" s="19" t="str">
        <f t="shared" si="25"/>
        <v>C05840 : 1</v>
      </c>
      <c r="D641" s="21" t="str">
        <f t="shared" si="24"/>
        <v>C05840 : Iminoaspartate</v>
      </c>
    </row>
    <row r="642" spans="1:4" x14ac:dyDescent="0.45">
      <c r="A642" t="s">
        <v>13907</v>
      </c>
      <c r="B642" s="9" t="s">
        <v>14726</v>
      </c>
      <c r="C642" s="19" t="str">
        <f t="shared" si="25"/>
        <v>C05841 : 1</v>
      </c>
      <c r="D642" s="21" t="str">
        <f t="shared" si="24"/>
        <v>C05841 : Nicotinate D-ribonucleoside</v>
      </c>
    </row>
    <row r="643" spans="1:4" x14ac:dyDescent="0.45">
      <c r="A643" t="s">
        <v>13908</v>
      </c>
      <c r="B643" s="9" t="s">
        <v>14727</v>
      </c>
      <c r="C643" s="19" t="str">
        <f t="shared" si="25"/>
        <v>C05844 : 1</v>
      </c>
      <c r="D643" s="21" t="str">
        <f t="shared" ref="D643:D706" si="26">CONCATENATE(A643," : ",B643)</f>
        <v>C05844 : 5-L-Glutamyl-taurine</v>
      </c>
    </row>
    <row r="644" spans="1:4" ht="28.5" x14ac:dyDescent="0.45">
      <c r="A644" t="s">
        <v>13909</v>
      </c>
      <c r="B644" s="9" t="s">
        <v>14728</v>
      </c>
      <c r="C644" s="19" t="str">
        <f t="shared" si="25"/>
        <v>C05892 : 1</v>
      </c>
      <c r="D644" s="21" t="str">
        <f t="shared" si="26"/>
        <v>C05892 : UDP-N-acetylmuramoyl-L-alanyl-gamma-D-glutamyl-L-lysine</v>
      </c>
    </row>
    <row r="645" spans="1:4" ht="42.75" x14ac:dyDescent="0.45">
      <c r="A645" t="s">
        <v>13910</v>
      </c>
      <c r="B645" s="9" t="s">
        <v>14729</v>
      </c>
      <c r="C645" s="19" t="str">
        <f t="shared" si="25"/>
        <v>C05893 : 1</v>
      </c>
      <c r="D645" s="21" t="str">
        <f t="shared" si="26"/>
        <v>C05893 : Undecaprenyl-diphospho-N-acetylmuramoyl-(N-acetylglucosamine)-L-alanyl-gamma-D-glutamyl-L-lysyl-D-alanyl-D-alanine</v>
      </c>
    </row>
    <row r="646" spans="1:4" ht="42.75" x14ac:dyDescent="0.45">
      <c r="A646" t="s">
        <v>13911</v>
      </c>
      <c r="B646" s="9" t="s">
        <v>14730</v>
      </c>
      <c r="C646" s="19" t="str">
        <f t="shared" si="25"/>
        <v>C05897 : 1</v>
      </c>
      <c r="D646" s="21" t="str">
        <f t="shared" si="26"/>
        <v>C05897 : Undecaprenyl-diphospho-N-acetylmuramoyl-L-alanyl-D-glutamyl-meso-2,6-diaminopimeloyl-D-alanyl-D-alanine</v>
      </c>
    </row>
    <row r="647" spans="1:4" ht="42.75" x14ac:dyDescent="0.45">
      <c r="A647" t="s">
        <v>13912</v>
      </c>
      <c r="B647" s="9" t="s">
        <v>14731</v>
      </c>
      <c r="C647" s="19" t="str">
        <f t="shared" si="25"/>
        <v>C05898 : 1</v>
      </c>
      <c r="D647" s="21" t="str">
        <f t="shared" si="26"/>
        <v>C05898 : Undecaprenyl-diphospho-N-acetylmuramoyl-(N-acetylglucosamine)-L-alanyl-D-glutamyl-meso-2,6-diaminopimeloyl-D-alanyl-D-alanine</v>
      </c>
    </row>
    <row r="648" spans="1:4" x14ac:dyDescent="0.45">
      <c r="A648" t="s">
        <v>13913</v>
      </c>
      <c r="B648" s="9" t="s">
        <v>14732</v>
      </c>
      <c r="C648" s="19" t="str">
        <f t="shared" si="25"/>
        <v>C05921 : 1</v>
      </c>
      <c r="D648" s="21" t="str">
        <f t="shared" si="26"/>
        <v>C05921 : Biotinyl-5'-AMP</v>
      </c>
    </row>
    <row r="649" spans="1:4" x14ac:dyDescent="0.45">
      <c r="A649" t="s">
        <v>12414</v>
      </c>
      <c r="B649" s="9" t="s">
        <v>14733</v>
      </c>
      <c r="C649" s="19" t="str">
        <f t="shared" si="25"/>
        <v>C05922 : 1</v>
      </c>
      <c r="D649" s="21" t="str">
        <f t="shared" si="26"/>
        <v>C05922 : Formamidopyrimidine nucleoside triphosphate</v>
      </c>
    </row>
    <row r="650" spans="1:4" x14ac:dyDescent="0.45">
      <c r="A650" t="s">
        <v>12422</v>
      </c>
      <c r="B650" s="9" t="s">
        <v>14734</v>
      </c>
      <c r="C650" s="19" t="str">
        <f t="shared" si="25"/>
        <v>C05923 : 1</v>
      </c>
      <c r="D650" s="21" t="str">
        <f t="shared" si="26"/>
        <v>C05923 : 2,5-Diaminopyrimidine nucleoside triphosphate</v>
      </c>
    </row>
    <row r="651" spans="1:4" x14ac:dyDescent="0.45">
      <c r="A651" t="s">
        <v>13914</v>
      </c>
      <c r="B651" s="9" t="s">
        <v>14735</v>
      </c>
      <c r="C651" s="19" t="str">
        <f t="shared" si="25"/>
        <v>C05951 : 1</v>
      </c>
      <c r="D651" s="21" t="str">
        <f t="shared" si="26"/>
        <v>C05951 : Leukotriene D4</v>
      </c>
    </row>
    <row r="652" spans="1:4" x14ac:dyDescent="0.45">
      <c r="A652" t="s">
        <v>13915</v>
      </c>
      <c r="B652" s="9" t="s">
        <v>14736</v>
      </c>
      <c r="C652" s="19" t="str">
        <f t="shared" si="25"/>
        <v>C05984 : 1</v>
      </c>
      <c r="D652" s="21" t="str">
        <f t="shared" si="26"/>
        <v>C05984 : 2-Hydroxybutanoic acid</v>
      </c>
    </row>
    <row r="653" spans="1:4" x14ac:dyDescent="0.45">
      <c r="A653" t="s">
        <v>10545</v>
      </c>
      <c r="B653" s="9" t="s">
        <v>14737</v>
      </c>
      <c r="C653" s="19" t="str">
        <f t="shared" si="25"/>
        <v>C06006 : 1</v>
      </c>
      <c r="D653" s="21" t="str">
        <f t="shared" si="26"/>
        <v>C06006 : (S)-2-Aceto-2-hydroxybutanoate</v>
      </c>
    </row>
    <row r="654" spans="1:4" x14ac:dyDescent="0.45">
      <c r="A654" t="s">
        <v>12741</v>
      </c>
      <c r="B654" s="9" t="s">
        <v>14738</v>
      </c>
      <c r="C654" s="19" t="str">
        <f t="shared" si="25"/>
        <v>C06007 : 1</v>
      </c>
      <c r="D654" s="21" t="str">
        <f t="shared" si="26"/>
        <v>C06007 : (R)-2,3-Dihydroxy-3-methylpentanoate</v>
      </c>
    </row>
    <row r="655" spans="1:4" x14ac:dyDescent="0.45">
      <c r="A655" t="s">
        <v>10548</v>
      </c>
      <c r="B655" s="9" t="s">
        <v>14739</v>
      </c>
      <c r="C655" s="19" t="str">
        <f t="shared" si="25"/>
        <v>C06010 : 1</v>
      </c>
      <c r="D655" s="21" t="str">
        <f t="shared" si="26"/>
        <v>C06010 : (S)-2-Acetolactate</v>
      </c>
    </row>
    <row r="656" spans="1:4" x14ac:dyDescent="0.45">
      <c r="A656" t="s">
        <v>13916</v>
      </c>
      <c r="B656" s="9" t="s">
        <v>14740</v>
      </c>
      <c r="C656" s="19" t="str">
        <f t="shared" si="25"/>
        <v>C06020 : 1</v>
      </c>
      <c r="D656" s="21" t="str">
        <f t="shared" si="26"/>
        <v>C06020 : Methyl-Co(III) corrinoid protein</v>
      </c>
    </row>
    <row r="657" spans="1:4" x14ac:dyDescent="0.45">
      <c r="A657" t="s">
        <v>13917</v>
      </c>
      <c r="B657" s="9" t="s">
        <v>14741</v>
      </c>
      <c r="C657" s="19" t="str">
        <f t="shared" si="25"/>
        <v>C06021 : 1</v>
      </c>
      <c r="D657" s="21" t="str">
        <f t="shared" si="26"/>
        <v>C06021 : Co(I) corrinoid protein</v>
      </c>
    </row>
    <row r="658" spans="1:4" x14ac:dyDescent="0.45">
      <c r="A658" t="s">
        <v>13918</v>
      </c>
      <c r="B658" s="9" t="s">
        <v>14742</v>
      </c>
      <c r="C658" s="19" t="str">
        <f t="shared" si="25"/>
        <v>C06032 : 1</v>
      </c>
      <c r="D658" s="21" t="str">
        <f t="shared" si="26"/>
        <v>C06032 : D-erythro-3-Methylmalate</v>
      </c>
    </row>
    <row r="659" spans="1:4" x14ac:dyDescent="0.45">
      <c r="A659" t="s">
        <v>13919</v>
      </c>
      <c r="B659" s="9" t="s">
        <v>14743</v>
      </c>
      <c r="C659" s="19" t="str">
        <f t="shared" si="25"/>
        <v>C06055 : 1</v>
      </c>
      <c r="D659" s="21" t="str">
        <f t="shared" si="26"/>
        <v>C06055 : O-Phospho-4-hydroxy-L-threonine</v>
      </c>
    </row>
    <row r="660" spans="1:4" x14ac:dyDescent="0.45">
      <c r="A660" t="s">
        <v>13920</v>
      </c>
      <c r="B660" s="9" t="s">
        <v>14744</v>
      </c>
      <c r="C660" s="19" t="str">
        <f t="shared" si="25"/>
        <v>C06056 : 1</v>
      </c>
      <c r="D660" s="21" t="str">
        <f t="shared" si="26"/>
        <v>C06056 : 4-Hydroxy-L-threonine</v>
      </c>
    </row>
    <row r="661" spans="1:4" x14ac:dyDescent="0.45">
      <c r="A661" t="s">
        <v>13921</v>
      </c>
      <c r="B661" s="9" t="s">
        <v>14745</v>
      </c>
      <c r="C661" s="19" t="str">
        <f t="shared" si="25"/>
        <v>C06114 : 1</v>
      </c>
      <c r="D661" s="21" t="str">
        <f t="shared" si="26"/>
        <v>C06114 : gamma-Glutamyl-beta-aminopropiononitrile</v>
      </c>
    </row>
    <row r="662" spans="1:4" ht="28.5" x14ac:dyDescent="0.45">
      <c r="A662" t="s">
        <v>12417</v>
      </c>
      <c r="B662" s="9" t="s">
        <v>14746</v>
      </c>
      <c r="C662" s="19" t="str">
        <f t="shared" si="25"/>
        <v>C06148 : 1</v>
      </c>
      <c r="D662" s="21" t="str">
        <f t="shared" si="26"/>
        <v>C06148 : 2,5-Diamino-6-(5'-triphosphoryl-3',4'-trihydroxy-2'-oxopentyl)-amino-4-oxopyrimidine</v>
      </c>
    </row>
    <row r="663" spans="1:4" x14ac:dyDescent="0.45">
      <c r="A663" t="s">
        <v>12996</v>
      </c>
      <c r="B663" s="9" t="s">
        <v>14747</v>
      </c>
      <c r="C663" s="19" t="str">
        <f t="shared" si="25"/>
        <v>C06156 : 1</v>
      </c>
      <c r="D663" s="21" t="str">
        <f t="shared" si="26"/>
        <v>C06156 : alpha-D-Glucosamine 1-phosphate</v>
      </c>
    </row>
    <row r="664" spans="1:4" x14ac:dyDescent="0.45">
      <c r="A664" t="s">
        <v>13922</v>
      </c>
      <c r="B664" s="9" t="s">
        <v>14748</v>
      </c>
      <c r="C664" s="19" t="str">
        <f t="shared" si="25"/>
        <v>C06187 : 1</v>
      </c>
      <c r="D664" s="21" t="str">
        <f t="shared" si="26"/>
        <v>C06187 : Arbutin 6-phosphate</v>
      </c>
    </row>
    <row r="665" spans="1:4" x14ac:dyDescent="0.45">
      <c r="A665" t="s">
        <v>13923</v>
      </c>
      <c r="B665" s="9" t="s">
        <v>14749</v>
      </c>
      <c r="C665" s="19" t="str">
        <f t="shared" si="25"/>
        <v>C06188 : 1</v>
      </c>
      <c r="D665" s="21" t="str">
        <f t="shared" si="26"/>
        <v>C06188 : Salicin 6-phosphate</v>
      </c>
    </row>
    <row r="666" spans="1:4" x14ac:dyDescent="0.45">
      <c r="A666" t="s">
        <v>13924</v>
      </c>
      <c r="B666" s="9" t="s">
        <v>14750</v>
      </c>
      <c r="C666" s="19" t="str">
        <f t="shared" si="25"/>
        <v>C06196 : 1</v>
      </c>
      <c r="D666" s="21" t="str">
        <f t="shared" si="26"/>
        <v>C06196 : 2'-Deoxyinosine 5'-phosphate</v>
      </c>
    </row>
    <row r="667" spans="1:4" x14ac:dyDescent="0.45">
      <c r="A667" t="s">
        <v>13925</v>
      </c>
      <c r="B667" s="9" t="s">
        <v>14751</v>
      </c>
      <c r="C667" s="19" t="str">
        <f t="shared" ref="C667:C730" si="27">CONCATENATE(A667," : 1")</f>
        <v>C06249 : 1</v>
      </c>
      <c r="D667" s="21" t="str">
        <f t="shared" si="26"/>
        <v>C06249 : [Biotin carboxyl-carrier protein]-L-lysine</v>
      </c>
    </row>
    <row r="668" spans="1:4" x14ac:dyDescent="0.45">
      <c r="A668" t="s">
        <v>13926</v>
      </c>
      <c r="B668" s="9" t="s">
        <v>14752</v>
      </c>
      <c r="C668" s="19" t="str">
        <f t="shared" si="27"/>
        <v>C06250 : 1</v>
      </c>
      <c r="D668" s="21" t="str">
        <f t="shared" si="26"/>
        <v>C06250 : [Biotin carboxyl-carrier protein]-biotin-N6-L-lysine</v>
      </c>
    </row>
    <row r="669" spans="1:4" x14ac:dyDescent="0.45">
      <c r="A669" t="s">
        <v>13927</v>
      </c>
      <c r="B669" s="9" t="s">
        <v>14753</v>
      </c>
      <c r="C669" s="19" t="str">
        <f t="shared" si="27"/>
        <v>C06319 : 1</v>
      </c>
      <c r="D669" s="21" t="str">
        <f t="shared" si="26"/>
        <v>C06319 : Precorrin 6Y</v>
      </c>
    </row>
    <row r="670" spans="1:4" x14ac:dyDescent="0.45">
      <c r="A670" t="s">
        <v>13928</v>
      </c>
      <c r="B670" s="9" t="s">
        <v>14754</v>
      </c>
      <c r="C670" s="19" t="str">
        <f t="shared" si="27"/>
        <v>C06320 : 1</v>
      </c>
      <c r="D670" s="21" t="str">
        <f t="shared" si="26"/>
        <v>C06320 : Precorrin 6X</v>
      </c>
    </row>
    <row r="671" spans="1:4" x14ac:dyDescent="0.45">
      <c r="A671" t="s">
        <v>13929</v>
      </c>
      <c r="B671" s="9" t="s">
        <v>14755</v>
      </c>
      <c r="C671" s="19" t="str">
        <f t="shared" si="27"/>
        <v>C06393 : 1</v>
      </c>
      <c r="D671" s="21" t="str">
        <f t="shared" si="26"/>
        <v>C06393 : 2,3-Diaminopropanoate</v>
      </c>
    </row>
    <row r="672" spans="1:4" x14ac:dyDescent="0.45">
      <c r="A672" t="s">
        <v>13930</v>
      </c>
      <c r="B672" s="9" t="s">
        <v>14756</v>
      </c>
      <c r="C672" s="19" t="str">
        <f t="shared" si="27"/>
        <v>C06406 : 1</v>
      </c>
      <c r="D672" s="21" t="str">
        <f t="shared" si="26"/>
        <v>C06406 : Precorrin 3B</v>
      </c>
    </row>
    <row r="673" spans="1:4" x14ac:dyDescent="0.45">
      <c r="A673" t="s">
        <v>13931</v>
      </c>
      <c r="B673" s="9" t="s">
        <v>14757</v>
      </c>
      <c r="C673" s="19" t="str">
        <f t="shared" si="27"/>
        <v>C06407 : 1</v>
      </c>
      <c r="D673" s="21" t="str">
        <f t="shared" si="26"/>
        <v>C06407 : Precorrin 4</v>
      </c>
    </row>
    <row r="674" spans="1:4" x14ac:dyDescent="0.45">
      <c r="A674" t="s">
        <v>13932</v>
      </c>
      <c r="B674" s="9" t="s">
        <v>14758</v>
      </c>
      <c r="C674" s="19" t="str">
        <f t="shared" si="27"/>
        <v>C06481 : 1</v>
      </c>
      <c r="D674" s="21" t="str">
        <f t="shared" si="26"/>
        <v>C06481 : L-Seryl-tRNA(Sec)</v>
      </c>
    </row>
    <row r="675" spans="1:4" x14ac:dyDescent="0.45">
      <c r="A675" t="s">
        <v>13933</v>
      </c>
      <c r="B675" s="9" t="s">
        <v>14759</v>
      </c>
      <c r="C675" s="19" t="str">
        <f t="shared" si="27"/>
        <v>C06482 : 1</v>
      </c>
      <c r="D675" s="21" t="str">
        <f t="shared" si="26"/>
        <v>C06482 : L-Selenocysteinyl-tRNA(Sec)</v>
      </c>
    </row>
    <row r="676" spans="1:4" x14ac:dyDescent="0.45">
      <c r="A676" t="s">
        <v>13934</v>
      </c>
      <c r="B676" s="9" t="s">
        <v>14760</v>
      </c>
      <c r="C676" s="19" t="str">
        <f t="shared" si="27"/>
        <v>C06508 : 1</v>
      </c>
      <c r="D676" s="21" t="str">
        <f t="shared" si="26"/>
        <v>C06508 : Adenosyl cobinamide</v>
      </c>
    </row>
    <row r="677" spans="1:4" x14ac:dyDescent="0.45">
      <c r="A677" t="s">
        <v>13935</v>
      </c>
      <c r="B677" s="9" t="s">
        <v>14761</v>
      </c>
      <c r="C677" s="19" t="str">
        <f t="shared" si="27"/>
        <v>C06509 : 1</v>
      </c>
      <c r="D677" s="21" t="str">
        <f t="shared" si="26"/>
        <v>C06509 : Adenosyl cobinamide phosphate</v>
      </c>
    </row>
    <row r="678" spans="1:4" x14ac:dyDescent="0.45">
      <c r="A678" t="s">
        <v>13936</v>
      </c>
      <c r="B678" s="9" t="s">
        <v>14762</v>
      </c>
      <c r="C678" s="19" t="str">
        <f t="shared" si="27"/>
        <v>C06510 : 1</v>
      </c>
      <c r="D678" s="21" t="str">
        <f t="shared" si="26"/>
        <v>C06510 : Adenosine-GDP-cobinamide</v>
      </c>
    </row>
    <row r="679" spans="1:4" x14ac:dyDescent="0.45">
      <c r="A679" t="s">
        <v>12388</v>
      </c>
      <c r="B679" s="9" t="s">
        <v>14763</v>
      </c>
      <c r="C679" s="19" t="str">
        <f t="shared" si="27"/>
        <v>C06567 : 1</v>
      </c>
      <c r="D679" s="21" t="str">
        <f t="shared" si="26"/>
        <v>C06567 : Penicilloic acid</v>
      </c>
    </row>
    <row r="680" spans="1:4" x14ac:dyDescent="0.45">
      <c r="A680" t="s">
        <v>13937</v>
      </c>
      <c r="B680" s="9" t="s">
        <v>14764</v>
      </c>
      <c r="C680" s="19" t="str">
        <f t="shared" si="27"/>
        <v>C06611 : 1</v>
      </c>
      <c r="D680" s="21" t="str">
        <f t="shared" si="26"/>
        <v>C06611 : trans-3-Chloro-2-propene-1-ol</v>
      </c>
    </row>
    <row r="681" spans="1:4" x14ac:dyDescent="0.45">
      <c r="A681" t="s">
        <v>13938</v>
      </c>
      <c r="B681" s="9" t="s">
        <v>14765</v>
      </c>
      <c r="C681" s="19" t="str">
        <f t="shared" si="27"/>
        <v>C06612 : 1</v>
      </c>
      <c r="D681" s="21" t="str">
        <f t="shared" si="26"/>
        <v>C06612 : cis-3-Chloro-2-propene-1-ol</v>
      </c>
    </row>
    <row r="682" spans="1:4" x14ac:dyDescent="0.45">
      <c r="A682" t="s">
        <v>13939</v>
      </c>
      <c r="B682" s="9" t="s">
        <v>14766</v>
      </c>
      <c r="C682" s="19" t="str">
        <f t="shared" si="27"/>
        <v>C06613 : 1</v>
      </c>
      <c r="D682" s="21" t="str">
        <f t="shared" si="26"/>
        <v>C06613 : trans-3-Chloroallyl aldehyde</v>
      </c>
    </row>
    <row r="683" spans="1:4" x14ac:dyDescent="0.45">
      <c r="A683" t="s">
        <v>13940</v>
      </c>
      <c r="B683" s="9" t="s">
        <v>14767</v>
      </c>
      <c r="C683" s="19" t="str">
        <f t="shared" si="27"/>
        <v>C06899 : 1</v>
      </c>
      <c r="D683" s="21" t="str">
        <f t="shared" si="26"/>
        <v>C06899 : Chloral hydrate</v>
      </c>
    </row>
    <row r="684" spans="1:4" x14ac:dyDescent="0.45">
      <c r="A684" t="s">
        <v>13941</v>
      </c>
      <c r="B684" s="9" t="s">
        <v>14768</v>
      </c>
      <c r="C684" s="19" t="str">
        <f t="shared" si="27"/>
        <v>C07490 : 1</v>
      </c>
      <c r="D684" s="21" t="str">
        <f t="shared" si="26"/>
        <v>C07490 : Trichloroethanol</v>
      </c>
    </row>
    <row r="685" spans="1:4" x14ac:dyDescent="0.45">
      <c r="A685" t="s">
        <v>13942</v>
      </c>
      <c r="B685" s="9" t="s">
        <v>14769</v>
      </c>
      <c r="C685" s="19" t="str">
        <f t="shared" si="27"/>
        <v>C07645 : 1</v>
      </c>
      <c r="D685" s="21" t="str">
        <f t="shared" si="26"/>
        <v>C07645 : Aldophosphamide</v>
      </c>
    </row>
    <row r="686" spans="1:4" x14ac:dyDescent="0.45">
      <c r="A686" t="s">
        <v>13943</v>
      </c>
      <c r="B686" s="9" t="s">
        <v>14770</v>
      </c>
      <c r="C686" s="19" t="str">
        <f t="shared" si="27"/>
        <v>C07648 : 1</v>
      </c>
      <c r="D686" s="21" t="str">
        <f t="shared" si="26"/>
        <v>C07648 : Thioguanine</v>
      </c>
    </row>
    <row r="687" spans="1:4" x14ac:dyDescent="0.45">
      <c r="A687" t="s">
        <v>13944</v>
      </c>
      <c r="B687" s="9" t="s">
        <v>14771</v>
      </c>
      <c r="C687" s="19" t="str">
        <f t="shared" si="27"/>
        <v>C07649 : 1</v>
      </c>
      <c r="D687" s="21" t="str">
        <f t="shared" si="26"/>
        <v>C07649 : 5-Fluorouracil</v>
      </c>
    </row>
    <row r="688" spans="1:4" x14ac:dyDescent="0.45">
      <c r="A688" t="s">
        <v>13945</v>
      </c>
      <c r="B688" s="9" t="s">
        <v>14772</v>
      </c>
      <c r="C688" s="19" t="str">
        <f t="shared" si="27"/>
        <v>C08492 : 1</v>
      </c>
      <c r="D688" s="21" t="str">
        <f t="shared" si="26"/>
        <v>C08492 : 3-Hexenol</v>
      </c>
    </row>
    <row r="689" spans="1:4" x14ac:dyDescent="0.45">
      <c r="A689" t="s">
        <v>13946</v>
      </c>
      <c r="B689" s="9" t="s">
        <v>14773</v>
      </c>
      <c r="C689" s="19" t="str">
        <f t="shared" si="27"/>
        <v>C09306 : 1</v>
      </c>
      <c r="D689" s="21" t="str">
        <f t="shared" si="26"/>
        <v>C09306 : Sulfur dioxide</v>
      </c>
    </row>
    <row r="690" spans="1:4" x14ac:dyDescent="0.45">
      <c r="A690" t="s">
        <v>11974</v>
      </c>
      <c r="B690" s="9" t="s">
        <v>14774</v>
      </c>
      <c r="C690" s="19" t="str">
        <f t="shared" si="27"/>
        <v>C11039 : 1</v>
      </c>
      <c r="D690" s="21" t="str">
        <f t="shared" si="26"/>
        <v>C11039 : 2'-Deoxy-5-hydroxymethylcytidine-5'-triphosphate</v>
      </c>
    </row>
    <row r="691" spans="1:4" x14ac:dyDescent="0.45">
      <c r="A691" t="s">
        <v>13947</v>
      </c>
      <c r="B691" s="9" t="s">
        <v>14775</v>
      </c>
      <c r="C691" s="19" t="str">
        <f t="shared" si="27"/>
        <v>C11355 : 1</v>
      </c>
      <c r="D691" s="21" t="str">
        <f t="shared" si="26"/>
        <v>C11355 : 4-Amino-4-deoxychorismate</v>
      </c>
    </row>
    <row r="692" spans="1:4" x14ac:dyDescent="0.45">
      <c r="A692" t="s">
        <v>13948</v>
      </c>
      <c r="B692" s="9" t="s">
        <v>14776</v>
      </c>
      <c r="C692" s="19" t="str">
        <f t="shared" si="27"/>
        <v>C11434 : 1</v>
      </c>
      <c r="D692" s="21" t="str">
        <f t="shared" si="26"/>
        <v>C11434 : 2-C-Methyl-D-erythritol 4-phosphate</v>
      </c>
    </row>
    <row r="693" spans="1:4" x14ac:dyDescent="0.45">
      <c r="A693" t="s">
        <v>13949</v>
      </c>
      <c r="B693" s="9" t="s">
        <v>14777</v>
      </c>
      <c r="C693" s="19" t="str">
        <f t="shared" si="27"/>
        <v>C11435 : 1</v>
      </c>
      <c r="D693" s="21" t="str">
        <f t="shared" si="26"/>
        <v>C11435 : 4-(Cytidine 5'-diphospho)-2-C-methyl-D-erythritol</v>
      </c>
    </row>
    <row r="694" spans="1:4" ht="28.5" x14ac:dyDescent="0.45">
      <c r="A694" t="s">
        <v>12870</v>
      </c>
      <c r="B694" s="9" t="s">
        <v>14778</v>
      </c>
      <c r="C694" s="19" t="str">
        <f t="shared" si="27"/>
        <v>C11436 : 1</v>
      </c>
      <c r="D694" s="21" t="str">
        <f t="shared" si="26"/>
        <v>C11436 : 2-Phospho-4-(cytidine 5'-diphospho)-2-C-methyl-D-erythritol</v>
      </c>
    </row>
    <row r="695" spans="1:4" x14ac:dyDescent="0.45">
      <c r="A695" t="s">
        <v>13950</v>
      </c>
      <c r="B695" s="9" t="s">
        <v>14779</v>
      </c>
      <c r="C695" s="19" t="str">
        <f t="shared" si="27"/>
        <v>C11437 : 1</v>
      </c>
      <c r="D695" s="21" t="str">
        <f t="shared" si="26"/>
        <v>C11437 : 1-Deoxy-D-xylulose 5-phosphate</v>
      </c>
    </row>
    <row r="696" spans="1:4" x14ac:dyDescent="0.45">
      <c r="A696" t="s">
        <v>13951</v>
      </c>
      <c r="B696" s="9" t="s">
        <v>14780</v>
      </c>
      <c r="C696" s="19" t="str">
        <f t="shared" si="27"/>
        <v>C11439 : 1</v>
      </c>
      <c r="D696" s="21" t="str">
        <f t="shared" si="26"/>
        <v>C11439 : Formyl-L-methionyl peptide</v>
      </c>
    </row>
    <row r="697" spans="1:4" x14ac:dyDescent="0.45">
      <c r="A697" t="s">
        <v>13952</v>
      </c>
      <c r="B697" s="9" t="s">
        <v>14781</v>
      </c>
      <c r="C697" s="19" t="str">
        <f t="shared" si="27"/>
        <v>C11440 : 1</v>
      </c>
      <c r="D697" s="21" t="str">
        <f t="shared" si="26"/>
        <v>C11440 : Methionyl peptide</v>
      </c>
    </row>
    <row r="698" spans="1:4" x14ac:dyDescent="0.45">
      <c r="A698" t="s">
        <v>13953</v>
      </c>
      <c r="B698" s="9" t="s">
        <v>14782</v>
      </c>
      <c r="C698" s="19" t="str">
        <f t="shared" si="27"/>
        <v>C11453 : 1</v>
      </c>
      <c r="D698" s="21" t="str">
        <f t="shared" si="26"/>
        <v>C11453 : 2-C-Methyl-D-erythritol 2,4-cyclodiphosphate</v>
      </c>
    </row>
    <row r="699" spans="1:4" x14ac:dyDescent="0.45">
      <c r="A699" t="s">
        <v>13954</v>
      </c>
      <c r="B699" s="9" t="s">
        <v>14783</v>
      </c>
      <c r="C699" s="19" t="str">
        <f t="shared" si="27"/>
        <v>C11475 : 1</v>
      </c>
      <c r="D699" s="21" t="str">
        <f t="shared" si="26"/>
        <v>C11475 : DNA containing guanine</v>
      </c>
    </row>
    <row r="700" spans="1:4" x14ac:dyDescent="0.45">
      <c r="A700" t="s">
        <v>13955</v>
      </c>
      <c r="B700" s="9" t="s">
        <v>14784</v>
      </c>
      <c r="C700" s="19" t="str">
        <f t="shared" si="27"/>
        <v>C11477 : 1</v>
      </c>
      <c r="D700" s="21" t="str">
        <f t="shared" si="26"/>
        <v>C11477 : Sugar</v>
      </c>
    </row>
    <row r="701" spans="1:4" x14ac:dyDescent="0.45">
      <c r="A701" t="s">
        <v>13956</v>
      </c>
      <c r="B701" s="9" t="s">
        <v>14785</v>
      </c>
      <c r="C701" s="19" t="str">
        <f t="shared" si="27"/>
        <v>C11478 : 1</v>
      </c>
      <c r="D701" s="21" t="str">
        <f t="shared" si="26"/>
        <v>C11478 : tRNA containing 5-(aminomethyl)-2-thiouridine</v>
      </c>
    </row>
    <row r="702" spans="1:4" x14ac:dyDescent="0.45">
      <c r="A702" t="s">
        <v>13957</v>
      </c>
      <c r="B702" s="9" t="s">
        <v>14786</v>
      </c>
      <c r="C702" s="19" t="str">
        <f t="shared" si="27"/>
        <v>C11538 : 1</v>
      </c>
      <c r="D702" s="21" t="str">
        <f t="shared" si="26"/>
        <v>C11538 : Cobalt-sirohydrochlorin</v>
      </c>
    </row>
    <row r="703" spans="1:4" x14ac:dyDescent="0.45">
      <c r="A703" t="s">
        <v>13958</v>
      </c>
      <c r="B703" s="9" t="s">
        <v>14787</v>
      </c>
      <c r="C703" s="19" t="str">
        <f t="shared" si="27"/>
        <v>C11539 : 1</v>
      </c>
      <c r="D703" s="21" t="str">
        <f t="shared" si="26"/>
        <v>C11539 : Cobalt-precorrin 3</v>
      </c>
    </row>
    <row r="704" spans="1:4" x14ac:dyDescent="0.45">
      <c r="A704" t="s">
        <v>13959</v>
      </c>
      <c r="B704" s="9" t="s">
        <v>14788</v>
      </c>
      <c r="C704" s="19" t="str">
        <f t="shared" si="27"/>
        <v>C11540 : 1</v>
      </c>
      <c r="D704" s="21" t="str">
        <f t="shared" si="26"/>
        <v>C11540 : Cobalt-precorrin 4</v>
      </c>
    </row>
    <row r="705" spans="1:4" x14ac:dyDescent="0.45">
      <c r="A705" t="s">
        <v>13960</v>
      </c>
      <c r="B705" s="9" t="s">
        <v>14789</v>
      </c>
      <c r="C705" s="19" t="str">
        <f t="shared" si="27"/>
        <v>C11542 : 1</v>
      </c>
      <c r="D705" s="21" t="str">
        <f t="shared" si="26"/>
        <v>C11542 : Cobalt-precorrin 6</v>
      </c>
    </row>
    <row r="706" spans="1:4" x14ac:dyDescent="0.45">
      <c r="A706" t="s">
        <v>13961</v>
      </c>
      <c r="B706" s="9" t="s">
        <v>14790</v>
      </c>
      <c r="C706" s="19" t="str">
        <f t="shared" si="27"/>
        <v>C11544 : 1</v>
      </c>
      <c r="D706" s="21" t="str">
        <f t="shared" si="26"/>
        <v>C11544 : 2-O-(alpha-D-Mannosyl)-D-glycerate</v>
      </c>
    </row>
    <row r="707" spans="1:4" x14ac:dyDescent="0.45">
      <c r="A707" t="s">
        <v>13036</v>
      </c>
      <c r="B707" s="9" t="s">
        <v>14791</v>
      </c>
      <c r="C707" s="19" t="str">
        <f t="shared" si="27"/>
        <v>C11545 : 1</v>
      </c>
      <c r="D707" s="21" t="str">
        <f t="shared" ref="D707:D770" si="28">CONCATENATE(A707," : ",B707)</f>
        <v>C11545 : Cobalt-precorrin 8</v>
      </c>
    </row>
    <row r="708" spans="1:4" x14ac:dyDescent="0.45">
      <c r="A708" t="s">
        <v>13962</v>
      </c>
      <c r="B708" s="9" t="s">
        <v>14792</v>
      </c>
      <c r="C708" s="19" t="str">
        <f t="shared" si="27"/>
        <v>C11811 : 1</v>
      </c>
      <c r="D708" s="21" t="str">
        <f t="shared" si="28"/>
        <v>C11811 : 1-Hydroxy-2-methyl-2-butenyl 4-diphosphate</v>
      </c>
    </row>
    <row r="709" spans="1:4" x14ac:dyDescent="0.45">
      <c r="A709" t="s">
        <v>13963</v>
      </c>
      <c r="B709" s="9" t="s">
        <v>14793</v>
      </c>
      <c r="C709" s="19" t="str">
        <f t="shared" si="27"/>
        <v>C11823 : 1</v>
      </c>
      <c r="D709" s="21" t="str">
        <f t="shared" si="28"/>
        <v>C11823 : 2,3-Ene acid</v>
      </c>
    </row>
    <row r="710" spans="1:4" x14ac:dyDescent="0.45">
      <c r="A710" t="s">
        <v>13964</v>
      </c>
      <c r="B710" s="9" t="s">
        <v>14794</v>
      </c>
      <c r="C710" s="19" t="str">
        <f t="shared" si="27"/>
        <v>C11838 : 1</v>
      </c>
      <c r="D710" s="21" t="str">
        <f t="shared" si="28"/>
        <v>C11838 : (S)-4,5-Dihydroxypentane-2,3-dione</v>
      </c>
    </row>
    <row r="711" spans="1:4" x14ac:dyDescent="0.45">
      <c r="A711" t="s">
        <v>12908</v>
      </c>
      <c r="B711" s="9" t="s">
        <v>14795</v>
      </c>
      <c r="C711" s="19" t="str">
        <f t="shared" si="27"/>
        <v>C11907 : 1</v>
      </c>
      <c r="D711" s="21" t="str">
        <f t="shared" si="28"/>
        <v>C11907 : dTDP-4-oxo-6-deoxy-D-glucose</v>
      </c>
    </row>
    <row r="712" spans="1:4" x14ac:dyDescent="0.45">
      <c r="A712" t="s">
        <v>13965</v>
      </c>
      <c r="B712" s="9" t="s">
        <v>14796</v>
      </c>
      <c r="C712" s="19" t="str">
        <f t="shared" si="27"/>
        <v>C12214 : 1</v>
      </c>
      <c r="D712" s="21" t="str">
        <f t="shared" si="28"/>
        <v>C12214 : Aminofructose 6-phosphate</v>
      </c>
    </row>
    <row r="713" spans="1:4" x14ac:dyDescent="0.45">
      <c r="A713" t="s">
        <v>13966</v>
      </c>
      <c r="B713" s="9" t="s">
        <v>14797</v>
      </c>
      <c r="C713" s="19" t="str">
        <f t="shared" si="27"/>
        <v>C12215 : 1</v>
      </c>
      <c r="D713" s="21" t="str">
        <f t="shared" si="28"/>
        <v>C12215 : Iminoerythrose 4-phosphate</v>
      </c>
    </row>
    <row r="714" spans="1:4" x14ac:dyDescent="0.45">
      <c r="A714" t="s">
        <v>13967</v>
      </c>
      <c r="B714" s="9" t="s">
        <v>14798</v>
      </c>
      <c r="C714" s="19" t="str">
        <f t="shared" si="27"/>
        <v>C12739 : 1</v>
      </c>
      <c r="D714" s="21" t="str">
        <f t="shared" si="28"/>
        <v>C12739 : 5'-Deoxy-5-fluorouridine</v>
      </c>
    </row>
    <row r="715" spans="1:4" x14ac:dyDescent="0.45">
      <c r="A715" t="s">
        <v>13968</v>
      </c>
      <c r="B715" s="9" t="s">
        <v>14799</v>
      </c>
      <c r="C715" s="19" t="str">
        <f t="shared" si="27"/>
        <v>C13378 : 1</v>
      </c>
      <c r="D715" s="21" t="str">
        <f t="shared" si="28"/>
        <v>C13378 : alpha,beta-Dihydroxyethyl-TPP</v>
      </c>
    </row>
    <row r="716" spans="1:4" x14ac:dyDescent="0.45">
      <c r="A716" t="s">
        <v>13969</v>
      </c>
      <c r="B716" s="9" t="s">
        <v>14800</v>
      </c>
      <c r="C716" s="19" t="str">
        <f t="shared" si="27"/>
        <v>C14089 : 1</v>
      </c>
      <c r="D716" s="21" t="str">
        <f t="shared" si="28"/>
        <v>C14089 : 1-Hydroxymethylnaphthalene</v>
      </c>
    </row>
    <row r="717" spans="1:4" x14ac:dyDescent="0.45">
      <c r="A717" t="s">
        <v>13970</v>
      </c>
      <c r="B717" s="9" t="s">
        <v>14801</v>
      </c>
      <c r="C717" s="19" t="str">
        <f t="shared" si="27"/>
        <v>C14090 : 1</v>
      </c>
      <c r="D717" s="21" t="str">
        <f t="shared" si="28"/>
        <v>C14090 : 1-Naphthaldehyde</v>
      </c>
    </row>
    <row r="718" spans="1:4" x14ac:dyDescent="0.45">
      <c r="A718" t="s">
        <v>13971</v>
      </c>
      <c r="B718" s="9" t="s">
        <v>14802</v>
      </c>
      <c r="C718" s="19" t="str">
        <f t="shared" si="27"/>
        <v>C14099 : 1</v>
      </c>
      <c r="D718" s="21" t="str">
        <f t="shared" si="28"/>
        <v>C14099 : 2-Naphthaldehyde</v>
      </c>
    </row>
    <row r="719" spans="1:4" x14ac:dyDescent="0.45">
      <c r="A719" t="s">
        <v>13972</v>
      </c>
      <c r="B719" s="9" t="s">
        <v>14803</v>
      </c>
      <c r="C719" s="19" t="str">
        <f t="shared" si="27"/>
        <v>C14145 : 1</v>
      </c>
      <c r="D719" s="21" t="str">
        <f t="shared" si="28"/>
        <v>C14145 : (3S)-3-Hydroxyadipyl-CoA</v>
      </c>
    </row>
    <row r="720" spans="1:4" x14ac:dyDescent="0.45">
      <c r="A720" t="s">
        <v>10546</v>
      </c>
      <c r="B720" s="9" t="s">
        <v>14804</v>
      </c>
      <c r="C720" s="19" t="str">
        <f t="shared" si="27"/>
        <v>C14463 : 1</v>
      </c>
      <c r="D720" s="21" t="str">
        <f t="shared" si="28"/>
        <v>C14463 : (R)-3-Hydroxy-3-methyl-2-oxopentanoate</v>
      </c>
    </row>
    <row r="721" spans="1:4" x14ac:dyDescent="0.45">
      <c r="A721" t="s">
        <v>13973</v>
      </c>
      <c r="B721" s="9" t="s">
        <v>14805</v>
      </c>
      <c r="C721" s="19" t="str">
        <f t="shared" si="27"/>
        <v>C14818 : 1</v>
      </c>
      <c r="D721" s="21" t="str">
        <f t="shared" si="28"/>
        <v>C14818 : Fe2+</v>
      </c>
    </row>
    <row r="722" spans="1:4" x14ac:dyDescent="0.45">
      <c r="A722" t="s">
        <v>13974</v>
      </c>
      <c r="B722" s="9" t="s">
        <v>14806</v>
      </c>
      <c r="C722" s="19" t="str">
        <f t="shared" si="27"/>
        <v>C15489 : 1</v>
      </c>
      <c r="D722" s="21" t="str">
        <f t="shared" si="28"/>
        <v>C15489 : S-2-(Indol-3-yl)acetyl-CoA</v>
      </c>
    </row>
    <row r="723" spans="1:4" x14ac:dyDescent="0.45">
      <c r="A723" t="s">
        <v>13975</v>
      </c>
      <c r="B723" s="9" t="s">
        <v>14807</v>
      </c>
      <c r="C723" s="19" t="str">
        <f t="shared" si="27"/>
        <v>C15498 : 1</v>
      </c>
      <c r="D723" s="21" t="str">
        <f t="shared" si="28"/>
        <v>C15498 : Hydroperoxide</v>
      </c>
    </row>
    <row r="724" spans="1:4" x14ac:dyDescent="0.45">
      <c r="A724" t="s">
        <v>13976</v>
      </c>
      <c r="B724" s="9" t="s">
        <v>14808</v>
      </c>
      <c r="C724" s="19" t="str">
        <f t="shared" si="27"/>
        <v>C15527 : 1</v>
      </c>
      <c r="D724" s="21" t="str">
        <f t="shared" si="28"/>
        <v>C15527 : Precorrin 1</v>
      </c>
    </row>
    <row r="725" spans="1:4" x14ac:dyDescent="0.45">
      <c r="A725" t="s">
        <v>13977</v>
      </c>
      <c r="B725" s="9" t="s">
        <v>14809</v>
      </c>
      <c r="C725" s="19" t="str">
        <f t="shared" si="27"/>
        <v>C15556 : 1</v>
      </c>
      <c r="D725" s="21" t="str">
        <f t="shared" si="28"/>
        <v>C15556 : L-3,4-Dihydroxybutan-2-one 4-phosphate</v>
      </c>
    </row>
    <row r="726" spans="1:4" x14ac:dyDescent="0.45">
      <c r="A726" t="s">
        <v>13978</v>
      </c>
      <c r="B726" s="9" t="s">
        <v>14810</v>
      </c>
      <c r="C726" s="19" t="str">
        <f t="shared" si="27"/>
        <v>C15586 : 1</v>
      </c>
      <c r="D726" s="21" t="str">
        <f t="shared" si="28"/>
        <v>C15586 : N-D-Ribosylpurine</v>
      </c>
    </row>
    <row r="727" spans="1:4" x14ac:dyDescent="0.45">
      <c r="A727" t="s">
        <v>13979</v>
      </c>
      <c r="B727" s="9" t="s">
        <v>14811</v>
      </c>
      <c r="C727" s="19" t="str">
        <f t="shared" si="27"/>
        <v>C15587 : 1</v>
      </c>
      <c r="D727" s="21" t="str">
        <f t="shared" si="28"/>
        <v>C15587 : Purine</v>
      </c>
    </row>
    <row r="728" spans="1:4" x14ac:dyDescent="0.45">
      <c r="A728" t="s">
        <v>13030</v>
      </c>
      <c r="B728" s="9" t="s">
        <v>14812</v>
      </c>
      <c r="C728" s="19" t="str">
        <f t="shared" si="27"/>
        <v>C15667 : 1</v>
      </c>
      <c r="D728" s="21" t="str">
        <f t="shared" si="28"/>
        <v>C15667 : 5-Carboxyamino-1-(5-phospho-D-ribosyl)imidazole</v>
      </c>
    </row>
    <row r="729" spans="1:4" x14ac:dyDescent="0.45">
      <c r="A729" t="s">
        <v>13980</v>
      </c>
      <c r="B729" s="9" t="s">
        <v>14813</v>
      </c>
      <c r="C729" s="19" t="str">
        <f t="shared" si="27"/>
        <v>C15809 : 1</v>
      </c>
      <c r="D729" s="21" t="str">
        <f t="shared" si="28"/>
        <v>C15809 : Iminoglycine</v>
      </c>
    </row>
    <row r="730" spans="1:4" x14ac:dyDescent="0.45">
      <c r="A730" t="s">
        <v>13981</v>
      </c>
      <c r="B730" s="9" t="s">
        <v>14814</v>
      </c>
      <c r="C730" s="19" t="str">
        <f t="shared" si="27"/>
        <v>C15810 : 1</v>
      </c>
      <c r="D730" s="21" t="str">
        <f t="shared" si="28"/>
        <v>C15810 : Sulfur-carrier protein</v>
      </c>
    </row>
    <row r="731" spans="1:4" x14ac:dyDescent="0.45">
      <c r="A731" t="s">
        <v>13982</v>
      </c>
      <c r="B731" s="9" t="s">
        <v>14815</v>
      </c>
      <c r="C731" s="19" t="str">
        <f t="shared" ref="C731:C794" si="29">CONCATENATE(A731," : 1")</f>
        <v>C15811 : 1</v>
      </c>
      <c r="D731" s="21" t="str">
        <f t="shared" si="28"/>
        <v>C15811 : [Enzyme]-cysteine</v>
      </c>
    </row>
    <row r="732" spans="1:4" x14ac:dyDescent="0.45">
      <c r="A732" t="s">
        <v>13983</v>
      </c>
      <c r="B732" s="9" t="s">
        <v>14816</v>
      </c>
      <c r="C732" s="19" t="str">
        <f t="shared" si="29"/>
        <v>C15812 : 1</v>
      </c>
      <c r="D732" s="21" t="str">
        <f t="shared" si="28"/>
        <v>C15812 : [Enzyme]-S-sulfanylcysteine</v>
      </c>
    </row>
    <row r="733" spans="1:4" x14ac:dyDescent="0.45">
      <c r="A733" t="s">
        <v>13984</v>
      </c>
      <c r="B733" s="9" t="s">
        <v>14817</v>
      </c>
      <c r="C733" s="19" t="str">
        <f t="shared" si="29"/>
        <v>C15813 : 1</v>
      </c>
      <c r="D733" s="21" t="str">
        <f t="shared" si="28"/>
        <v>C15813 : Adenylyl-[sulfur-carrier protein]</v>
      </c>
    </row>
    <row r="734" spans="1:4" x14ac:dyDescent="0.45">
      <c r="A734" t="s">
        <v>13985</v>
      </c>
      <c r="B734" s="9" t="s">
        <v>14818</v>
      </c>
      <c r="C734" s="19" t="str">
        <f t="shared" si="29"/>
        <v>C15814 : 1</v>
      </c>
      <c r="D734" s="21" t="str">
        <f t="shared" si="28"/>
        <v>C15814 : Thiocarboxy-[sulfur-carrier protein]</v>
      </c>
    </row>
    <row r="735" spans="1:4" x14ac:dyDescent="0.45">
      <c r="A735" t="s">
        <v>13986</v>
      </c>
      <c r="B735" s="9" t="s">
        <v>14819</v>
      </c>
      <c r="C735" s="19" t="str">
        <f t="shared" si="29"/>
        <v>C15972 : 1</v>
      </c>
      <c r="D735" s="21" t="str">
        <f t="shared" si="28"/>
        <v>C15972 : Enzyme N6-(lipoyl)lysine</v>
      </c>
    </row>
    <row r="736" spans="1:4" x14ac:dyDescent="0.45">
      <c r="A736" t="s">
        <v>13987</v>
      </c>
      <c r="B736" s="9" t="s">
        <v>14820</v>
      </c>
      <c r="C736" s="19" t="str">
        <f t="shared" si="29"/>
        <v>C15973 : 1</v>
      </c>
      <c r="D736" s="21" t="str">
        <f t="shared" si="28"/>
        <v>C15973 : Enzyme N6-(dihydrolipoyl)lysine</v>
      </c>
    </row>
    <row r="737" spans="1:4" x14ac:dyDescent="0.45">
      <c r="A737" t="s">
        <v>13988</v>
      </c>
      <c r="B737" s="9" t="s">
        <v>14821</v>
      </c>
      <c r="C737" s="19" t="str">
        <f t="shared" si="29"/>
        <v>C15999 : 1</v>
      </c>
      <c r="D737" s="21" t="str">
        <f t="shared" si="28"/>
        <v>C15999 : L-Methionine (S)-S-oxide</v>
      </c>
    </row>
    <row r="738" spans="1:4" x14ac:dyDescent="0.45">
      <c r="A738" t="s">
        <v>13989</v>
      </c>
      <c r="B738" s="9" t="s">
        <v>14822</v>
      </c>
      <c r="C738" s="19" t="str">
        <f t="shared" si="29"/>
        <v>C16219 : 1</v>
      </c>
      <c r="D738" s="21" t="str">
        <f t="shared" si="28"/>
        <v>C16219 : 3-Oxostearoyl-[acp]</v>
      </c>
    </row>
    <row r="739" spans="1:4" x14ac:dyDescent="0.45">
      <c r="A739" t="s">
        <v>13990</v>
      </c>
      <c r="B739" s="9" t="s">
        <v>14823</v>
      </c>
      <c r="C739" s="19" t="str">
        <f t="shared" si="29"/>
        <v>C16220 : 1</v>
      </c>
      <c r="D739" s="21" t="str">
        <f t="shared" si="28"/>
        <v>C16220 : (3R)-3-Hydroxyoctadecanoyl-[acyl-carrier protein]</v>
      </c>
    </row>
    <row r="740" spans="1:4" x14ac:dyDescent="0.45">
      <c r="A740" t="s">
        <v>13991</v>
      </c>
      <c r="B740" s="9" t="s">
        <v>14824</v>
      </c>
      <c r="C740" s="19" t="str">
        <f t="shared" si="29"/>
        <v>C16237 : 1</v>
      </c>
      <c r="D740" s="21" t="str">
        <f t="shared" si="28"/>
        <v>C16237 : Protein N6-(lipoyl)lysine</v>
      </c>
    </row>
    <row r="741" spans="1:4" x14ac:dyDescent="0.45">
      <c r="A741" t="s">
        <v>13992</v>
      </c>
      <c r="B741" s="9" t="s">
        <v>14825</v>
      </c>
      <c r="C741" s="19" t="str">
        <f t="shared" si="29"/>
        <v>C16242 : 1</v>
      </c>
      <c r="D741" s="21" t="str">
        <f t="shared" si="28"/>
        <v>C16242 : Cobalt-precorrin 5A</v>
      </c>
    </row>
    <row r="742" spans="1:4" x14ac:dyDescent="0.45">
      <c r="A742" t="s">
        <v>13993</v>
      </c>
      <c r="B742" s="9" t="s">
        <v>14826</v>
      </c>
      <c r="C742" s="19" t="str">
        <f t="shared" si="29"/>
        <v>C16243 : 1</v>
      </c>
      <c r="D742" s="21" t="str">
        <f t="shared" si="28"/>
        <v>C16243 : Cobalt-precorrin 5B</v>
      </c>
    </row>
    <row r="743" spans="1:4" x14ac:dyDescent="0.45">
      <c r="A743" t="s">
        <v>13994</v>
      </c>
      <c r="B743" s="9" t="s">
        <v>14827</v>
      </c>
      <c r="C743" s="19" t="str">
        <f t="shared" si="29"/>
        <v>C16244 : 1</v>
      </c>
      <c r="D743" s="21" t="str">
        <f t="shared" si="28"/>
        <v>C16244 : Cobalt-precorrin 7</v>
      </c>
    </row>
    <row r="744" spans="1:4" x14ac:dyDescent="0.45">
      <c r="A744" t="s">
        <v>13995</v>
      </c>
      <c r="B744" s="9" t="s">
        <v>14828</v>
      </c>
      <c r="C744" s="19" t="str">
        <f t="shared" si="29"/>
        <v>C16310 : 1</v>
      </c>
      <c r="D744" s="21" t="str">
        <f t="shared" si="28"/>
        <v>C16310 : 3-Hexenal</v>
      </c>
    </row>
    <row r="745" spans="1:4" x14ac:dyDescent="0.45">
      <c r="A745" t="s">
        <v>13996</v>
      </c>
      <c r="B745" s="9" t="s">
        <v>14829</v>
      </c>
      <c r="C745" s="19" t="str">
        <f t="shared" si="29"/>
        <v>C16348 : 1</v>
      </c>
      <c r="D745" s="21" t="str">
        <f t="shared" si="28"/>
        <v>C16348 : cis-3-Chloroallyl aldehyde</v>
      </c>
    </row>
    <row r="746" spans="1:4" x14ac:dyDescent="0.45">
      <c r="A746" t="s">
        <v>10706</v>
      </c>
      <c r="B746" s="9" t="s">
        <v>14830</v>
      </c>
      <c r="C746" s="19" t="str">
        <f t="shared" si="29"/>
        <v>C16396 : 1</v>
      </c>
      <c r="D746" s="21" t="str">
        <f t="shared" si="28"/>
        <v>C16396 : 2,4-Diamino-6-nitrotoluene</v>
      </c>
    </row>
    <row r="747" spans="1:4" x14ac:dyDescent="0.45">
      <c r="A747" t="s">
        <v>10707</v>
      </c>
      <c r="B747" s="9" t="s">
        <v>14831</v>
      </c>
      <c r="C747" s="19" t="str">
        <f t="shared" si="29"/>
        <v>C16399 : 1</v>
      </c>
      <c r="D747" s="21" t="str">
        <f t="shared" si="28"/>
        <v>C16399 : 2,4-Diamino-6-hydroxylaminotoluene</v>
      </c>
    </row>
    <row r="748" spans="1:4" x14ac:dyDescent="0.45">
      <c r="A748" t="s">
        <v>13997</v>
      </c>
      <c r="B748" s="9" t="s">
        <v>14832</v>
      </c>
      <c r="C748" s="19" t="str">
        <f t="shared" si="29"/>
        <v>C16463 : 1</v>
      </c>
      <c r="D748" s="21" t="str">
        <f t="shared" si="28"/>
        <v>C16463 : 3',5'-Cyclic diGMP</v>
      </c>
    </row>
    <row r="749" spans="1:4" x14ac:dyDescent="0.45">
      <c r="A749" t="s">
        <v>13998</v>
      </c>
      <c r="B749" s="9" t="s">
        <v>14833</v>
      </c>
      <c r="C749" s="19" t="str">
        <f t="shared" si="29"/>
        <v>C16551 : 1</v>
      </c>
      <c r="D749" s="21" t="str">
        <f t="shared" si="28"/>
        <v>C16551 : Alcophosphamide</v>
      </c>
    </row>
    <row r="750" spans="1:4" x14ac:dyDescent="0.45">
      <c r="A750" t="s">
        <v>13999</v>
      </c>
      <c r="B750" s="9" t="s">
        <v>14834</v>
      </c>
      <c r="C750" s="19" t="str">
        <f t="shared" si="29"/>
        <v>C16565 : 1</v>
      </c>
      <c r="D750" s="21" t="str">
        <f t="shared" si="28"/>
        <v>C16565 : Aminopropylcadaverine</v>
      </c>
    </row>
    <row r="751" spans="1:4" x14ac:dyDescent="0.45">
      <c r="A751" t="s">
        <v>14000</v>
      </c>
      <c r="B751" s="9" t="s">
        <v>14835</v>
      </c>
      <c r="C751" s="19" t="str">
        <f t="shared" si="29"/>
        <v>C16586 : 1</v>
      </c>
      <c r="D751" s="21" t="str">
        <f t="shared" si="28"/>
        <v>C16586 : 2-Phenyl-1,3-propanediol monocarbamate</v>
      </c>
    </row>
    <row r="752" spans="1:4" x14ac:dyDescent="0.45">
      <c r="A752" t="s">
        <v>14001</v>
      </c>
      <c r="B752" s="9" t="s">
        <v>14836</v>
      </c>
      <c r="C752" s="19" t="str">
        <f t="shared" si="29"/>
        <v>C16587 : 1</v>
      </c>
      <c r="D752" s="21" t="str">
        <f t="shared" si="28"/>
        <v>C16587 : 3-Carbamoyl-2-phenylpropionaldehyde</v>
      </c>
    </row>
    <row r="753" spans="1:4" x14ac:dyDescent="0.45">
      <c r="A753" t="s">
        <v>14002</v>
      </c>
      <c r="B753" s="9" t="s">
        <v>14837</v>
      </c>
      <c r="C753" s="19" t="str">
        <f t="shared" si="29"/>
        <v>C16595 : 1</v>
      </c>
      <c r="D753" s="21" t="str">
        <f t="shared" si="28"/>
        <v>C16595 : 4-Hydroxy-5-phenyltetrahydro-1,3-oxazin-2-one</v>
      </c>
    </row>
    <row r="754" spans="1:4" x14ac:dyDescent="0.45">
      <c r="A754" t="s">
        <v>14003</v>
      </c>
      <c r="B754" s="9" t="s">
        <v>14838</v>
      </c>
      <c r="C754" s="19" t="str">
        <f t="shared" si="29"/>
        <v>C16596 : 1</v>
      </c>
      <c r="D754" s="21" t="str">
        <f t="shared" si="28"/>
        <v>C16596 : 5-Phenyl-1,3-oxazinane-2,4-dione</v>
      </c>
    </row>
    <row r="755" spans="1:4" x14ac:dyDescent="0.45">
      <c r="A755" t="s">
        <v>14004</v>
      </c>
      <c r="B755" s="9" t="s">
        <v>14839</v>
      </c>
      <c r="C755" s="19" t="str">
        <f t="shared" si="29"/>
        <v>C16614 : 1</v>
      </c>
      <c r="D755" s="21" t="str">
        <f t="shared" si="28"/>
        <v>C16614 : 6-Methylmercaptopurine</v>
      </c>
    </row>
    <row r="756" spans="1:4" ht="28.5" x14ac:dyDescent="0.45">
      <c r="A756" t="s">
        <v>14005</v>
      </c>
      <c r="B756" s="9" t="s">
        <v>14840</v>
      </c>
      <c r="C756" s="19" t="str">
        <f t="shared" si="29"/>
        <v>C16615 : 1</v>
      </c>
      <c r="D756" s="21" t="str">
        <f t="shared" si="28"/>
        <v>C16615 : 6-Methylthiopurine 5'-monophosphate ribonucleotide</v>
      </c>
    </row>
    <row r="757" spans="1:4" x14ac:dyDescent="0.45">
      <c r="A757" t="s">
        <v>14006</v>
      </c>
      <c r="B757" s="9" t="s">
        <v>14841</v>
      </c>
      <c r="C757" s="19" t="str">
        <f t="shared" si="29"/>
        <v>C16618 : 1</v>
      </c>
      <c r="D757" s="21" t="str">
        <f t="shared" si="28"/>
        <v>C16618 : 6-Thioxanthine 5'-monophosphate</v>
      </c>
    </row>
    <row r="758" spans="1:4" x14ac:dyDescent="0.45">
      <c r="A758" t="s">
        <v>14007</v>
      </c>
      <c r="B758" s="9" t="s">
        <v>14842</v>
      </c>
      <c r="C758" s="19" t="str">
        <f t="shared" si="29"/>
        <v>C16619 : 1</v>
      </c>
      <c r="D758" s="21" t="str">
        <f t="shared" si="28"/>
        <v>C16619 : 6-Thioguanosine monophosphate</v>
      </c>
    </row>
    <row r="759" spans="1:4" x14ac:dyDescent="0.45">
      <c r="A759" t="s">
        <v>14008</v>
      </c>
      <c r="B759" s="9" t="s">
        <v>14843</v>
      </c>
      <c r="C759" s="19" t="str">
        <f t="shared" si="29"/>
        <v>C16630 : 1</v>
      </c>
      <c r="D759" s="21" t="str">
        <f t="shared" si="28"/>
        <v>C16630 : 5,6-Dihydro-5-fluorouracil</v>
      </c>
    </row>
    <row r="760" spans="1:4" x14ac:dyDescent="0.45">
      <c r="A760" t="s">
        <v>12372</v>
      </c>
      <c r="B760" s="9" t="s">
        <v>14844</v>
      </c>
      <c r="C760" s="19" t="str">
        <f t="shared" si="29"/>
        <v>C16631 : 1</v>
      </c>
      <c r="D760" s="21" t="str">
        <f t="shared" si="28"/>
        <v>C16631 : alpha-Fluoro-beta-ureidopropionic acid</v>
      </c>
    </row>
    <row r="761" spans="1:4" x14ac:dyDescent="0.45">
      <c r="A761" t="s">
        <v>14009</v>
      </c>
      <c r="B761" s="9" t="s">
        <v>14845</v>
      </c>
      <c r="C761" s="19" t="str">
        <f t="shared" si="29"/>
        <v>C16634 : 1</v>
      </c>
      <c r="D761" s="21" t="str">
        <f t="shared" si="28"/>
        <v>C16634 : 5-Fluorouridine monophosphate</v>
      </c>
    </row>
    <row r="762" spans="1:4" x14ac:dyDescent="0.45">
      <c r="A762" t="s">
        <v>14010</v>
      </c>
      <c r="B762" s="9" t="s">
        <v>14846</v>
      </c>
      <c r="C762" s="19" t="str">
        <f t="shared" si="29"/>
        <v>C16635 : 1</v>
      </c>
      <c r="D762" s="21" t="str">
        <f t="shared" si="28"/>
        <v>C16635 : 5'-Deoxy-5-fluorocytidine</v>
      </c>
    </row>
    <row r="763" spans="1:4" x14ac:dyDescent="0.45">
      <c r="A763" t="s">
        <v>14011</v>
      </c>
      <c r="B763" s="9" t="s">
        <v>14847</v>
      </c>
      <c r="C763" s="19" t="str">
        <f t="shared" si="29"/>
        <v>C16636 : 1</v>
      </c>
      <c r="D763" s="21" t="str">
        <f t="shared" si="28"/>
        <v>C16636 : tRNA(Sec)</v>
      </c>
    </row>
    <row r="764" spans="1:4" x14ac:dyDescent="0.45">
      <c r="A764" t="s">
        <v>14012</v>
      </c>
      <c r="B764" s="9" t="s">
        <v>14848</v>
      </c>
      <c r="C764" s="19" t="str">
        <f t="shared" si="29"/>
        <v>C16663 : 1</v>
      </c>
      <c r="D764" s="21" t="str">
        <f t="shared" si="28"/>
        <v>C16663 : Tryparedoxin</v>
      </c>
    </row>
    <row r="765" spans="1:4" x14ac:dyDescent="0.45">
      <c r="A765" t="s">
        <v>14013</v>
      </c>
      <c r="B765" s="9" t="s">
        <v>14849</v>
      </c>
      <c r="C765" s="19" t="str">
        <f t="shared" si="29"/>
        <v>C16664 : 1</v>
      </c>
      <c r="D765" s="21" t="str">
        <f t="shared" si="28"/>
        <v>C16664 : Tryparedoxin disulfide</v>
      </c>
    </row>
    <row r="766" spans="1:4" x14ac:dyDescent="0.45">
      <c r="A766" t="s">
        <v>12385</v>
      </c>
      <c r="B766" s="9" t="s">
        <v>14850</v>
      </c>
      <c r="C766" s="19" t="str">
        <f t="shared" si="29"/>
        <v>C16672 : 1</v>
      </c>
      <c r="D766" s="21" t="str">
        <f t="shared" si="28"/>
        <v>C16672 : Benzylpenicilloic acid</v>
      </c>
    </row>
    <row r="767" spans="1:4" x14ac:dyDescent="0.45">
      <c r="A767" t="s">
        <v>14014</v>
      </c>
      <c r="B767" s="9" t="s">
        <v>14851</v>
      </c>
      <c r="C767" s="19" t="str">
        <f t="shared" si="29"/>
        <v>C16675 : 1</v>
      </c>
      <c r="D767" s="21" t="str">
        <f t="shared" si="28"/>
        <v>C16675 : 7-Aminomethyl-7-carbaguanine</v>
      </c>
    </row>
    <row r="768" spans="1:4" x14ac:dyDescent="0.45">
      <c r="A768" t="s">
        <v>14015</v>
      </c>
      <c r="B768" s="9" t="s">
        <v>14852</v>
      </c>
      <c r="C768" s="19" t="str">
        <f t="shared" si="29"/>
        <v>C16698 : 1</v>
      </c>
      <c r="D768" s="21" t="str">
        <f t="shared" si="28"/>
        <v>C16698 : N-Acetylmuramic acid 6-phosphate</v>
      </c>
    </row>
    <row r="769" spans="1:4" x14ac:dyDescent="0.45">
      <c r="A769" t="s">
        <v>14016</v>
      </c>
      <c r="B769" s="9" t="s">
        <v>14853</v>
      </c>
      <c r="C769" s="19" t="str">
        <f t="shared" si="29"/>
        <v>C16699 : 1</v>
      </c>
      <c r="D769" s="21" t="str">
        <f t="shared" si="28"/>
        <v>C16699 : 2-O-(6-Phospho-alpha-mannosyl)-D-glycerate</v>
      </c>
    </row>
    <row r="770" spans="1:4" x14ac:dyDescent="0.45">
      <c r="A770" t="s">
        <v>14017</v>
      </c>
      <c r="B770" s="9" t="s">
        <v>14854</v>
      </c>
      <c r="C770" s="19" t="str">
        <f t="shared" si="29"/>
        <v>C16832 : 1</v>
      </c>
      <c r="D770" s="21" t="str">
        <f t="shared" si="28"/>
        <v>C16832 : [Protein]-N6-[(R)-dihydrolipoyl]-L-lysine</v>
      </c>
    </row>
    <row r="771" spans="1:4" x14ac:dyDescent="0.45">
      <c r="A771" t="s">
        <v>14018</v>
      </c>
      <c r="B771" s="9" t="s">
        <v>14855</v>
      </c>
      <c r="C771" s="19" t="str">
        <f t="shared" si="29"/>
        <v>C17023 : 1</v>
      </c>
      <c r="D771" s="21" t="str">
        <f t="shared" ref="D771:D834" si="30">CONCATENATE(A771," : ",B771)</f>
        <v>C17023 : Sulfur donor</v>
      </c>
    </row>
    <row r="772" spans="1:4" x14ac:dyDescent="0.45">
      <c r="A772" t="s">
        <v>12794</v>
      </c>
      <c r="B772" s="9" t="s">
        <v>14856</v>
      </c>
      <c r="C772" s="19" t="str">
        <f t="shared" si="29"/>
        <v>C17234 : 1</v>
      </c>
      <c r="D772" s="21" t="str">
        <f t="shared" si="30"/>
        <v>C17234 : 2-Aminobut-2-enoate</v>
      </c>
    </row>
    <row r="773" spans="1:4" x14ac:dyDescent="0.45">
      <c r="A773" t="s">
        <v>14019</v>
      </c>
      <c r="B773" s="9" t="s">
        <v>14857</v>
      </c>
      <c r="C773" s="19" t="str">
        <f t="shared" si="29"/>
        <v>C17322 : 1</v>
      </c>
      <c r="D773" s="21" t="str">
        <f t="shared" si="30"/>
        <v>C17322 : tRNA containing 2-thiouridine</v>
      </c>
    </row>
    <row r="774" spans="1:4" x14ac:dyDescent="0.45">
      <c r="A774" t="s">
        <v>14020</v>
      </c>
      <c r="B774" s="9" t="s">
        <v>14858</v>
      </c>
      <c r="C774" s="19" t="str">
        <f t="shared" si="29"/>
        <v>C17324 : 1</v>
      </c>
      <c r="D774" s="21" t="str">
        <f t="shared" si="30"/>
        <v>C17324 : tRNA adenine</v>
      </c>
    </row>
    <row r="775" spans="1:4" x14ac:dyDescent="0.45">
      <c r="A775" t="s">
        <v>14021</v>
      </c>
      <c r="B775" s="9" t="s">
        <v>14859</v>
      </c>
      <c r="C775" s="19" t="str">
        <f t="shared" si="29"/>
        <v>C17401 : 1</v>
      </c>
      <c r="D775" s="21" t="str">
        <f t="shared" si="30"/>
        <v>C17401 : Cobalt-factor III</v>
      </c>
    </row>
    <row r="776" spans="1:4" x14ac:dyDescent="0.45">
      <c r="A776" t="s">
        <v>14022</v>
      </c>
      <c r="B776" s="9" t="s">
        <v>14860</v>
      </c>
      <c r="C776" s="19" t="str">
        <f t="shared" si="29"/>
        <v>C17556 : 1</v>
      </c>
      <c r="D776" s="21" t="str">
        <f t="shared" si="30"/>
        <v>C17556 : di-trans,poly-cis-Undecaprenyl phosphate</v>
      </c>
    </row>
    <row r="777" spans="1:4" x14ac:dyDescent="0.45">
      <c r="A777" t="s">
        <v>12222</v>
      </c>
      <c r="B777" s="9" t="s">
        <v>14861</v>
      </c>
      <c r="C777" s="19" t="str">
        <f t="shared" si="29"/>
        <v>C18076 : 1</v>
      </c>
      <c r="D777" s="21" t="str">
        <f t="shared" si="30"/>
        <v>C18076 : 5'-Phosphoguanylyl(3'-&gt;5')guanosine</v>
      </c>
    </row>
    <row r="778" spans="1:4" x14ac:dyDescent="0.45">
      <c r="A778" t="s">
        <v>12973</v>
      </c>
      <c r="B778" s="9" t="s">
        <v>14862</v>
      </c>
      <c r="C778" s="19" t="str">
        <f t="shared" si="29"/>
        <v>C18096 : 1</v>
      </c>
      <c r="D778" s="21" t="str">
        <f t="shared" si="30"/>
        <v>C18096 : D-Allulose 6-phosphate</v>
      </c>
    </row>
    <row r="779" spans="1:4" x14ac:dyDescent="0.45">
      <c r="A779" t="s">
        <v>14023</v>
      </c>
      <c r="B779" s="9" t="s">
        <v>14863</v>
      </c>
      <c r="C779" s="19" t="str">
        <f t="shared" si="29"/>
        <v>C18237 : 1</v>
      </c>
      <c r="D779" s="21" t="str">
        <f t="shared" si="30"/>
        <v>C18237 : Molybdoenzyme molybdenum cofactor</v>
      </c>
    </row>
    <row r="780" spans="1:4" x14ac:dyDescent="0.45">
      <c r="A780" t="s">
        <v>14024</v>
      </c>
      <c r="B780" s="9" t="s">
        <v>14864</v>
      </c>
      <c r="C780" s="19" t="str">
        <f t="shared" si="29"/>
        <v>C18239 : 1</v>
      </c>
      <c r="D780" s="21" t="str">
        <f t="shared" si="30"/>
        <v>C18239 : Cyclic pyranopterin monophosphate</v>
      </c>
    </row>
    <row r="781" spans="1:4" x14ac:dyDescent="0.45">
      <c r="A781" t="s">
        <v>14025</v>
      </c>
      <c r="B781" s="9" t="s">
        <v>14865</v>
      </c>
      <c r="C781" s="19" t="str">
        <f t="shared" si="29"/>
        <v>C18902 : 1</v>
      </c>
      <c r="D781" s="21" t="str">
        <f t="shared" si="30"/>
        <v>C18902 : Methylselenic acid</v>
      </c>
    </row>
    <row r="782" spans="1:4" x14ac:dyDescent="0.45">
      <c r="A782" t="s">
        <v>14026</v>
      </c>
      <c r="B782" s="9" t="s">
        <v>14866</v>
      </c>
      <c r="C782" s="19" t="str">
        <f t="shared" si="29"/>
        <v>C19078 : 1</v>
      </c>
      <c r="D782" s="21" t="str">
        <f t="shared" si="30"/>
        <v>C19078 : tRNA with a 3' cytidine</v>
      </c>
    </row>
    <row r="783" spans="1:4" x14ac:dyDescent="0.45">
      <c r="A783" t="s">
        <v>14027</v>
      </c>
      <c r="B783" s="9" t="s">
        <v>14867</v>
      </c>
      <c r="C783" s="19" t="str">
        <f t="shared" si="29"/>
        <v>C19080 : 1</v>
      </c>
      <c r="D783" s="21" t="str">
        <f t="shared" si="30"/>
        <v>C19080 : tRNA with a 3' CC end</v>
      </c>
    </row>
    <row r="784" spans="1:4" x14ac:dyDescent="0.45">
      <c r="A784" t="s">
        <v>14028</v>
      </c>
      <c r="B784" s="9" t="s">
        <v>14868</v>
      </c>
      <c r="C784" s="19" t="str">
        <f t="shared" si="29"/>
        <v>C19085 : 1</v>
      </c>
      <c r="D784" s="21" t="str">
        <f t="shared" si="30"/>
        <v>C19085 : tRNA with a 3' CCA end</v>
      </c>
    </row>
    <row r="785" spans="1:4" x14ac:dyDescent="0.45">
      <c r="A785" t="s">
        <v>14029</v>
      </c>
      <c r="B785" s="9" t="s">
        <v>14869</v>
      </c>
      <c r="C785" s="19" t="str">
        <f t="shared" si="29"/>
        <v>C19647 : 1</v>
      </c>
      <c r="D785" s="21" t="str">
        <f t="shared" si="30"/>
        <v>C19647 : Epoxyqueuosine in tRNA</v>
      </c>
    </row>
    <row r="786" spans="1:4" x14ac:dyDescent="0.45">
      <c r="A786" t="s">
        <v>14030</v>
      </c>
      <c r="B786" s="9" t="s">
        <v>14870</v>
      </c>
      <c r="C786" s="19" t="str">
        <f t="shared" si="29"/>
        <v>C19673 : 1</v>
      </c>
      <c r="D786" s="21" t="str">
        <f t="shared" si="30"/>
        <v>C19673 : Malonyl-[acp] methyl ester</v>
      </c>
    </row>
    <row r="787" spans="1:4" x14ac:dyDescent="0.45">
      <c r="A787" t="s">
        <v>14031</v>
      </c>
      <c r="B787" s="9" t="s">
        <v>14871</v>
      </c>
      <c r="C787" s="19" t="str">
        <f t="shared" si="29"/>
        <v>C19719 : 1</v>
      </c>
      <c r="D787" s="21" t="str">
        <f t="shared" si="30"/>
        <v>C19719 : D-Alanyl-D-serine</v>
      </c>
    </row>
    <row r="788" spans="1:4" x14ac:dyDescent="0.45">
      <c r="A788" t="s">
        <v>14032</v>
      </c>
      <c r="B788" s="9" t="s">
        <v>14872</v>
      </c>
      <c r="C788" s="19" t="str">
        <f t="shared" si="29"/>
        <v>C19722 : 1</v>
      </c>
      <c r="D788" s="21" t="str">
        <f t="shared" si="30"/>
        <v>C19722 : [tRNA(Ile2)]-cytidine34</v>
      </c>
    </row>
    <row r="789" spans="1:4" x14ac:dyDescent="0.45">
      <c r="A789" t="s">
        <v>14033</v>
      </c>
      <c r="B789" s="9" t="s">
        <v>14873</v>
      </c>
      <c r="C789" s="19" t="str">
        <f t="shared" si="29"/>
        <v>C19723 : 1</v>
      </c>
      <c r="D789" s="21" t="str">
        <f t="shared" si="30"/>
        <v>C19723 : [tRNA(Ile2)]-lysidine34</v>
      </c>
    </row>
    <row r="790" spans="1:4" x14ac:dyDescent="0.45">
      <c r="A790" t="s">
        <v>14034</v>
      </c>
      <c r="B790" s="9" t="s">
        <v>14874</v>
      </c>
      <c r="C790" s="19" t="str">
        <f t="shared" si="29"/>
        <v>C19769 : 1</v>
      </c>
      <c r="D790" s="21" t="str">
        <f t="shared" si="30"/>
        <v>C19769 : 1,6-Anhydro-N-acetyl-beta-muramate</v>
      </c>
    </row>
    <row r="791" spans="1:4" x14ac:dyDescent="0.45">
      <c r="A791" t="s">
        <v>14035</v>
      </c>
      <c r="B791" s="9" t="s">
        <v>14875</v>
      </c>
      <c r="C791" s="19" t="str">
        <f t="shared" si="29"/>
        <v>C19770 : 1</v>
      </c>
      <c r="D791" s="21" t="str">
        <f t="shared" si="30"/>
        <v>C19770 : N-Acetyl-beta-muramate 6-phosphate</v>
      </c>
    </row>
    <row r="792" spans="1:4" x14ac:dyDescent="0.45">
      <c r="A792" t="s">
        <v>14036</v>
      </c>
      <c r="B792" s="9" t="s">
        <v>14876</v>
      </c>
      <c r="C792" s="19" t="str">
        <f t="shared" si="29"/>
        <v>C19803 : 1</v>
      </c>
      <c r="D792" s="21" t="str">
        <f t="shared" si="30"/>
        <v>C19803 : [Protein]-L-threonine</v>
      </c>
    </row>
    <row r="793" spans="1:4" x14ac:dyDescent="0.45">
      <c r="A793" t="s">
        <v>14037</v>
      </c>
      <c r="B793" s="9" t="s">
        <v>14877</v>
      </c>
      <c r="C793" s="19" t="str">
        <f t="shared" si="29"/>
        <v>C19871 : 1</v>
      </c>
      <c r="D793" s="21" t="str">
        <f t="shared" si="30"/>
        <v>C19871 : Guanylyl molybdenum cofactor</v>
      </c>
    </row>
    <row r="794" spans="1:4" ht="28.5" x14ac:dyDescent="0.45">
      <c r="A794" t="s">
        <v>14038</v>
      </c>
      <c r="B794" s="9" t="s">
        <v>14878</v>
      </c>
      <c r="C794" s="19" t="str">
        <f t="shared" si="29"/>
        <v>C20246 : 1</v>
      </c>
      <c r="D794" s="21" t="str">
        <f t="shared" si="30"/>
        <v>C20246 : 2-[(2R,5Z)-2-Carboxy-4-methylthiazol-5(2H)-ylidene]ethyl phosphate</v>
      </c>
    </row>
    <row r="795" spans="1:4" x14ac:dyDescent="0.45">
      <c r="A795" t="s">
        <v>14039</v>
      </c>
      <c r="B795" s="9" t="s">
        <v>14879</v>
      </c>
      <c r="C795" s="19" t="str">
        <f t="shared" ref="C795:C858" si="31">CONCATENATE(A795," : 1")</f>
        <v>C20247 : 1</v>
      </c>
      <c r="D795" s="21" t="str">
        <f t="shared" si="30"/>
        <v>C20247 : 2-(2-Carboxy-4-methylthiazol-5-yl)ethyl phosphate</v>
      </c>
    </row>
    <row r="796" spans="1:4" x14ac:dyDescent="0.45">
      <c r="A796" t="s">
        <v>14040</v>
      </c>
      <c r="B796" s="9" t="s">
        <v>14880</v>
      </c>
      <c r="C796" s="19" t="str">
        <f t="shared" si="31"/>
        <v>C20258 : 1</v>
      </c>
      <c r="D796" s="21" t="str">
        <f t="shared" si="30"/>
        <v>C20258 : (2S,4S)-4-Hydroxy-2,3,4,5-tetrahydrodipicolinate</v>
      </c>
    </row>
    <row r="797" spans="1:4" ht="28.5" x14ac:dyDescent="0.45">
      <c r="A797" t="s">
        <v>14041</v>
      </c>
      <c r="B797" s="9" t="s">
        <v>14881</v>
      </c>
      <c r="C797" s="19" t="str">
        <f t="shared" si="31"/>
        <v>C20352 : 1</v>
      </c>
      <c r="D797" s="21" t="str">
        <f t="shared" si="30"/>
        <v>C20352 : trans,octacis-Decaprenylphospho-beta-D-ribofuranose 5-phosphate</v>
      </c>
    </row>
    <row r="798" spans="1:4" x14ac:dyDescent="0.45">
      <c r="A798" t="s">
        <v>14042</v>
      </c>
      <c r="B798" s="9" t="s">
        <v>14882</v>
      </c>
      <c r="C798" s="19" t="str">
        <f t="shared" si="31"/>
        <v>C20372 : 1</v>
      </c>
      <c r="D798" s="21" t="str">
        <f t="shared" si="30"/>
        <v>C20372 : 3-Ketoglutaryl-[acp] methyl ester</v>
      </c>
    </row>
    <row r="799" spans="1:4" x14ac:dyDescent="0.45">
      <c r="A799" t="s">
        <v>12728</v>
      </c>
      <c r="B799" s="9" t="s">
        <v>14883</v>
      </c>
      <c r="C799" s="19" t="str">
        <f t="shared" si="31"/>
        <v>C20373 : 1</v>
      </c>
      <c r="D799" s="21" t="str">
        <f t="shared" si="30"/>
        <v>C20373 : 3-Hydroxyglutaryl-[acp] methyl ester</v>
      </c>
    </row>
    <row r="800" spans="1:4" x14ac:dyDescent="0.45">
      <c r="A800" t="s">
        <v>14043</v>
      </c>
      <c r="B800" s="9" t="s">
        <v>14884</v>
      </c>
      <c r="C800" s="19" t="str">
        <f t="shared" si="31"/>
        <v>C20374 : 1</v>
      </c>
      <c r="D800" s="21" t="str">
        <f t="shared" si="30"/>
        <v>C20374 : Enoylglutaryl-[acp] methyl ester</v>
      </c>
    </row>
    <row r="801" spans="1:4" x14ac:dyDescent="0.45">
      <c r="A801" t="s">
        <v>14044</v>
      </c>
      <c r="B801" s="9" t="s">
        <v>14885</v>
      </c>
      <c r="C801" s="19" t="str">
        <f t="shared" si="31"/>
        <v>C20375 : 1</v>
      </c>
      <c r="D801" s="21" t="str">
        <f t="shared" si="30"/>
        <v>C20375 : Glutaryl-[acp] methyl ester</v>
      </c>
    </row>
    <row r="802" spans="1:4" x14ac:dyDescent="0.45">
      <c r="A802" t="s">
        <v>14045</v>
      </c>
      <c r="B802" s="9" t="s">
        <v>14886</v>
      </c>
      <c r="C802" s="19" t="str">
        <f t="shared" si="31"/>
        <v>C20376 : 1</v>
      </c>
      <c r="D802" s="21" t="str">
        <f t="shared" si="30"/>
        <v>C20376 : 3-Ketopimeloyl-[acp] methyl ester</v>
      </c>
    </row>
    <row r="803" spans="1:4" x14ac:dyDescent="0.45">
      <c r="A803" t="s">
        <v>12731</v>
      </c>
      <c r="B803" s="9" t="s">
        <v>14887</v>
      </c>
      <c r="C803" s="19" t="str">
        <f t="shared" si="31"/>
        <v>C20377 : 1</v>
      </c>
      <c r="D803" s="21" t="str">
        <f t="shared" si="30"/>
        <v>C20377 : 3-Hydroxypimeloyl-[acp] methyl ester</v>
      </c>
    </row>
    <row r="804" spans="1:4" x14ac:dyDescent="0.45">
      <c r="A804" t="s">
        <v>14046</v>
      </c>
      <c r="B804" s="9" t="s">
        <v>14888</v>
      </c>
      <c r="C804" s="19" t="str">
        <f t="shared" si="31"/>
        <v>C20378 : 1</v>
      </c>
      <c r="D804" s="21" t="str">
        <f t="shared" si="30"/>
        <v>C20378 : Enoylpimeloyl-[acp] methyl ester</v>
      </c>
    </row>
    <row r="805" spans="1:4" x14ac:dyDescent="0.45">
      <c r="A805" t="s">
        <v>14047</v>
      </c>
      <c r="B805" s="9" t="s">
        <v>14889</v>
      </c>
      <c r="C805" s="19" t="str">
        <f t="shared" si="31"/>
        <v>C20396 : 1</v>
      </c>
      <c r="D805" s="21" t="str">
        <f t="shared" si="30"/>
        <v>C20396 : Methylphosphonate</v>
      </c>
    </row>
    <row r="806" spans="1:4" ht="28.5" x14ac:dyDescent="0.45">
      <c r="A806" t="s">
        <v>14048</v>
      </c>
      <c r="B806" s="9" t="s">
        <v>14890</v>
      </c>
      <c r="C806" s="19" t="str">
        <f t="shared" si="31"/>
        <v>C20422 : 1</v>
      </c>
      <c r="D806" s="21" t="str">
        <f t="shared" si="30"/>
        <v>C20422 : alpha-D-Ribose 1-methylphosphonate 5-triphosphate</v>
      </c>
    </row>
    <row r="807" spans="1:4" x14ac:dyDescent="0.45">
      <c r="A807" t="s">
        <v>14049</v>
      </c>
      <c r="B807" s="9" t="s">
        <v>14891</v>
      </c>
      <c r="C807" s="19" t="str">
        <f t="shared" si="31"/>
        <v>C20423 : 1</v>
      </c>
      <c r="D807" s="21" t="str">
        <f t="shared" si="30"/>
        <v>C20423 : alpha-D-Ribose 1-methylphosphonate 5-phosphate</v>
      </c>
    </row>
    <row r="808" spans="1:4" x14ac:dyDescent="0.45">
      <c r="A808" t="s">
        <v>14050</v>
      </c>
      <c r="B808" s="9" t="s">
        <v>14892</v>
      </c>
      <c r="C808" s="19" t="str">
        <f t="shared" si="31"/>
        <v>C20446 : 1</v>
      </c>
      <c r="D808" s="21" t="str">
        <f t="shared" si="30"/>
        <v>C20446 : tRNA 7-aminomethyl-7-carbaguanine</v>
      </c>
    </row>
    <row r="809" spans="1:4" x14ac:dyDescent="0.45">
      <c r="A809" t="s">
        <v>14051</v>
      </c>
      <c r="B809" s="9" t="s">
        <v>14893</v>
      </c>
      <c r="C809" s="19" t="str">
        <f t="shared" si="31"/>
        <v>C20463 : 1</v>
      </c>
      <c r="D809" s="21" t="str">
        <f t="shared" si="30"/>
        <v>C20463 : Purine deoxyribonucleoside</v>
      </c>
    </row>
    <row r="810" spans="1:4" x14ac:dyDescent="0.45">
      <c r="A810" t="s">
        <v>14052</v>
      </c>
      <c r="B810" s="9" t="s">
        <v>14894</v>
      </c>
      <c r="C810" s="19" t="str">
        <f t="shared" si="31"/>
        <v>C20565 : 1</v>
      </c>
      <c r="D810" s="21" t="str">
        <f t="shared" si="30"/>
        <v>C20565 : Cyclic di-3',5'-adenylate</v>
      </c>
    </row>
    <row r="811" spans="1:4" x14ac:dyDescent="0.45">
      <c r="A811" t="s">
        <v>14053</v>
      </c>
      <c r="B811" s="9" t="s">
        <v>14895</v>
      </c>
      <c r="C811" s="19" t="str">
        <f t="shared" si="31"/>
        <v>C20641 : 1</v>
      </c>
      <c r="D811" s="21" t="str">
        <f t="shared" si="30"/>
        <v>C20641 : L-Threonylcarbamoyladenylate</v>
      </c>
    </row>
    <row r="812" spans="1:4" x14ac:dyDescent="0.45">
      <c r="A812" t="s">
        <v>14054</v>
      </c>
      <c r="B812" s="9" t="s">
        <v>14896</v>
      </c>
      <c r="C812" s="19" t="str">
        <f t="shared" si="31"/>
        <v>C20648 : 1</v>
      </c>
      <c r="D812" s="21" t="str">
        <f t="shared" si="30"/>
        <v>C20648 : Adenine in rRNA</v>
      </c>
    </row>
    <row r="813" spans="1:4" x14ac:dyDescent="0.45">
      <c r="A813" t="s">
        <v>14055</v>
      </c>
      <c r="B813" s="9" t="s">
        <v>14897</v>
      </c>
      <c r="C813" s="19" t="str">
        <f t="shared" si="31"/>
        <v>C20658 : 1</v>
      </c>
      <c r="D813" s="21" t="str">
        <f t="shared" si="30"/>
        <v>C20658 : O-Acetyl-ADP-ribose</v>
      </c>
    </row>
    <row r="814" spans="1:4" x14ac:dyDescent="0.45">
      <c r="A814" t="s">
        <v>14056</v>
      </c>
      <c r="B814" s="9" t="s">
        <v>14898</v>
      </c>
      <c r="C814" s="19" t="str">
        <f t="shared" si="31"/>
        <v>C20730 : 1</v>
      </c>
      <c r="D814" s="21" t="str">
        <f t="shared" si="30"/>
        <v>C20730 : [Protein]-FMN-L-Threonine</v>
      </c>
    </row>
    <row r="815" spans="1:4" x14ac:dyDescent="0.45">
      <c r="A815" t="s">
        <v>14057</v>
      </c>
      <c r="B815" s="9" t="s">
        <v>14899</v>
      </c>
      <c r="C815" s="19" t="str">
        <f t="shared" si="31"/>
        <v>C20743 : 1</v>
      </c>
      <c r="D815" s="21" t="str">
        <f t="shared" si="30"/>
        <v>C20743 : Protein N6-acetyl-L-lysine</v>
      </c>
    </row>
    <row r="816" spans="1:4" x14ac:dyDescent="0.45">
      <c r="A816" t="s">
        <v>14058</v>
      </c>
      <c r="B816" s="9" t="s">
        <v>14900</v>
      </c>
      <c r="C816" s="19" t="str">
        <f t="shared" si="31"/>
        <v>C20751 : 1</v>
      </c>
      <c r="D816" s="21" t="str">
        <f t="shared" si="30"/>
        <v>C20751 : N6-L-Threonylcarbamoyladenine in tRNA</v>
      </c>
    </row>
    <row r="817" spans="1:4" x14ac:dyDescent="0.45">
      <c r="A817" t="s">
        <v>14059</v>
      </c>
      <c r="B817" s="9" t="s">
        <v>14901</v>
      </c>
      <c r="C817" s="19" t="str">
        <f t="shared" si="31"/>
        <v>C20753 : 1</v>
      </c>
      <c r="D817" s="21" t="str">
        <f t="shared" si="30"/>
        <v>C20753 : 2-Methylthio-N6-dimethylallyladenine in tRNA</v>
      </c>
    </row>
    <row r="818" spans="1:4" x14ac:dyDescent="0.45">
      <c r="A818" t="s">
        <v>14060</v>
      </c>
      <c r="B818" s="9" t="s">
        <v>14902</v>
      </c>
      <c r="C818" s="19" t="str">
        <f t="shared" si="31"/>
        <v>C20755 : 1</v>
      </c>
      <c r="D818" s="21" t="str">
        <f t="shared" si="30"/>
        <v>C20755 : 2-Thio-N6-dimethylallyladenine in tRNA</v>
      </c>
    </row>
    <row r="819" spans="1:4" x14ac:dyDescent="0.45">
      <c r="A819" t="s">
        <v>14061</v>
      </c>
      <c r="B819" s="9" t="s">
        <v>14903</v>
      </c>
      <c r="C819" s="19" t="str">
        <f t="shared" si="31"/>
        <v>C20756 : 1</v>
      </c>
      <c r="D819" s="21" t="str">
        <f t="shared" si="30"/>
        <v>C20756 : [Ribosomal protein uS12]-L-aspartate</v>
      </c>
    </row>
    <row r="820" spans="1:4" x14ac:dyDescent="0.45">
      <c r="A820" t="s">
        <v>14062</v>
      </c>
      <c r="B820" s="9" t="s">
        <v>14904</v>
      </c>
      <c r="C820" s="19" t="str">
        <f t="shared" si="31"/>
        <v>C20758 : 1</v>
      </c>
      <c r="D820" s="21" t="str">
        <f t="shared" si="30"/>
        <v>C20758 : [Ribosomal protein uS12]-3-methylthioaspartate</v>
      </c>
    </row>
    <row r="821" spans="1:4" x14ac:dyDescent="0.45">
      <c r="A821" t="s">
        <v>14063</v>
      </c>
      <c r="B821" s="9" t="s">
        <v>14905</v>
      </c>
      <c r="C821" s="19" t="str">
        <f t="shared" si="31"/>
        <v>C20796 : 1</v>
      </c>
      <c r="D821" s="21" t="str">
        <f t="shared" si="30"/>
        <v>C20796 : rRNA containing N6-dimethyladenine</v>
      </c>
    </row>
    <row r="822" spans="1:4" x14ac:dyDescent="0.45">
      <c r="A822" t="s">
        <v>14064</v>
      </c>
      <c r="B822" s="9" t="s">
        <v>14906</v>
      </c>
      <c r="C822" s="19" t="str">
        <f t="shared" si="31"/>
        <v>C20858 : 1</v>
      </c>
      <c r="D822" s="21" t="str">
        <f t="shared" si="30"/>
        <v>C20858 : Protein N5-methyl-L-glutamine</v>
      </c>
    </row>
    <row r="823" spans="1:4" x14ac:dyDescent="0.45">
      <c r="A823" t="s">
        <v>14065</v>
      </c>
      <c r="B823" s="9" t="s">
        <v>14907</v>
      </c>
      <c r="C823" s="19" t="str">
        <f t="shared" si="31"/>
        <v>C20864 : 1</v>
      </c>
      <c r="D823" s="21" t="str">
        <f t="shared" si="30"/>
        <v>C20864 : 5'-Triphospho-[mRNA]</v>
      </c>
    </row>
    <row r="824" spans="1:4" x14ac:dyDescent="0.45">
      <c r="A824" t="s">
        <v>12783</v>
      </c>
      <c r="B824" s="9" t="s">
        <v>14908</v>
      </c>
      <c r="C824" s="19" t="str">
        <f t="shared" si="31"/>
        <v>C20904 : 1</v>
      </c>
      <c r="D824" s="21" t="str">
        <f t="shared" si="30"/>
        <v>C20904 : 2-Iminopropanoate</v>
      </c>
    </row>
    <row r="825" spans="1:4" x14ac:dyDescent="0.45">
      <c r="A825" t="s">
        <v>12795</v>
      </c>
      <c r="B825" s="9" t="s">
        <v>14909</v>
      </c>
      <c r="C825" s="19" t="str">
        <f t="shared" si="31"/>
        <v>C20905 : 1</v>
      </c>
      <c r="D825" s="21" t="str">
        <f t="shared" si="30"/>
        <v>C20905 : 2-Iminobutanoate</v>
      </c>
    </row>
    <row r="826" spans="1:4" x14ac:dyDescent="0.45">
      <c r="A826" t="s">
        <v>14066</v>
      </c>
      <c r="B826" s="9" t="s">
        <v>14910</v>
      </c>
      <c r="C826" s="19" t="str">
        <f t="shared" si="31"/>
        <v>C20969 : 1</v>
      </c>
      <c r="D826" s="21" t="str">
        <f t="shared" si="30"/>
        <v>C20969 : Carboxyphosphate</v>
      </c>
    </row>
    <row r="827" spans="1:4" x14ac:dyDescent="0.45">
      <c r="A827" t="s">
        <v>14067</v>
      </c>
      <c r="B827" s="9" t="s">
        <v>14911</v>
      </c>
      <c r="C827" s="19" t="str">
        <f t="shared" si="31"/>
        <v>C21028 : 1</v>
      </c>
      <c r="D827" s="21" t="str">
        <f t="shared" si="30"/>
        <v>C21028 : (R)-5,6-Dihydrothymine</v>
      </c>
    </row>
    <row r="828" spans="1:4" x14ac:dyDescent="0.45">
      <c r="A828" t="s">
        <v>12369</v>
      </c>
      <c r="B828" s="9" t="s">
        <v>14912</v>
      </c>
      <c r="C828" s="19" t="str">
        <f t="shared" si="31"/>
        <v>C21029 : 1</v>
      </c>
      <c r="D828" s="21" t="str">
        <f t="shared" si="30"/>
        <v>C21029 : (R)-3-Ureidoisobutyrate</v>
      </c>
    </row>
    <row r="829" spans="1:4" x14ac:dyDescent="0.45">
      <c r="A829" t="s">
        <v>11975</v>
      </c>
      <c r="B829" s="9" t="s">
        <v>14913</v>
      </c>
      <c r="C829" s="19" t="str">
        <f t="shared" si="31"/>
        <v>C21031 : 1</v>
      </c>
      <c r="D829" s="21" t="str">
        <f t="shared" si="30"/>
        <v>C21031 : 5-Hydroxymethylcytosine in DNA</v>
      </c>
    </row>
    <row r="830" spans="1:4" x14ac:dyDescent="0.45">
      <c r="A830" t="s">
        <v>12651</v>
      </c>
      <c r="B830" s="9" t="s">
        <v>14914</v>
      </c>
      <c r="C830" s="19" t="str">
        <f t="shared" si="31"/>
        <v>C21089 : 1</v>
      </c>
      <c r="D830" s="21" t="str">
        <f t="shared" si="30"/>
        <v>C21089 : (R)-2-Hydroxyisocaproyl-CoA</v>
      </c>
    </row>
    <row r="831" spans="1:4" x14ac:dyDescent="0.45">
      <c r="A831" t="s">
        <v>14068</v>
      </c>
      <c r="B831" s="9" t="s">
        <v>14915</v>
      </c>
      <c r="C831" s="19" t="str">
        <f t="shared" si="31"/>
        <v>C21090 : 1</v>
      </c>
      <c r="D831" s="21" t="str">
        <f t="shared" si="30"/>
        <v>C21090 : Isocaprenoyl-CoA</v>
      </c>
    </row>
    <row r="832" spans="1:4" x14ac:dyDescent="0.45">
      <c r="A832" t="s">
        <v>14069</v>
      </c>
      <c r="B832" s="9" t="s">
        <v>14916</v>
      </c>
      <c r="C832" s="19" t="str">
        <f t="shared" si="31"/>
        <v>C21101 : 1</v>
      </c>
      <c r="D832" s="21" t="str">
        <f t="shared" si="30"/>
        <v>C21101 : Protein N(omega)-phospho-L-arginine</v>
      </c>
    </row>
    <row r="833" spans="1:4" x14ac:dyDescent="0.45">
      <c r="A833" t="s">
        <v>14070</v>
      </c>
      <c r="B833" s="9" t="s">
        <v>14917</v>
      </c>
      <c r="C833" s="19" t="str">
        <f t="shared" si="31"/>
        <v>C21153 : 1</v>
      </c>
      <c r="D833" s="21" t="str">
        <f t="shared" si="30"/>
        <v>C21153 : Adenosylcobalamin 5'-phosphate</v>
      </c>
    </row>
    <row r="834" spans="1:4" ht="28.5" x14ac:dyDescent="0.45">
      <c r="A834" t="s">
        <v>14071</v>
      </c>
      <c r="B834" s="9" t="s">
        <v>14918</v>
      </c>
      <c r="C834" s="19" t="str">
        <f t="shared" si="31"/>
        <v>C21310 : 1</v>
      </c>
      <c r="D834" s="21" t="str">
        <f t="shared" si="30"/>
        <v>C21310 : (8S)-3',8-Cyclo-7,8-dihydroguanosine 5'-triphosphate</v>
      </c>
    </row>
    <row r="835" spans="1:4" x14ac:dyDescent="0.45">
      <c r="A835" t="s">
        <v>14072</v>
      </c>
      <c r="B835" s="9" t="s">
        <v>14919</v>
      </c>
      <c r="C835" s="19" t="str">
        <f t="shared" si="31"/>
        <v>C21440 : 1</v>
      </c>
      <c r="D835" s="21" t="str">
        <f t="shared" ref="D835:D881" si="32">CONCATENATE(A835," : ",B835)</f>
        <v>C21440 : [Protein]-S-sulfanyl-L-cysteine</v>
      </c>
    </row>
    <row r="836" spans="1:4" x14ac:dyDescent="0.45">
      <c r="A836" t="s">
        <v>14073</v>
      </c>
      <c r="B836" s="9" t="s">
        <v>14920</v>
      </c>
      <c r="C836" s="19" t="str">
        <f t="shared" si="31"/>
        <v>C21485 : 1</v>
      </c>
      <c r="D836" s="21" t="str">
        <f t="shared" si="32"/>
        <v>C21485 : Cytidylyl molybdenum cofactor</v>
      </c>
    </row>
    <row r="837" spans="1:4" ht="28.5" x14ac:dyDescent="0.45">
      <c r="A837" t="s">
        <v>14074</v>
      </c>
      <c r="B837" s="9" t="s">
        <v>14921</v>
      </c>
      <c r="C837" s="19" t="str">
        <f t="shared" si="31"/>
        <v>C21747 : 1</v>
      </c>
      <c r="D837" s="21" t="str">
        <f t="shared" si="32"/>
        <v>C21747 : N-Acetyl-beta-D-glucosaminyl-(1-&gt;4)-D-glucosamine</v>
      </c>
    </row>
    <row r="838" spans="1:4" x14ac:dyDescent="0.45">
      <c r="A838" t="s">
        <v>14075</v>
      </c>
      <c r="B838" s="9" t="s">
        <v>14922</v>
      </c>
      <c r="C838" s="19" t="str">
        <f t="shared" si="31"/>
        <v>C21748 : 1</v>
      </c>
      <c r="D838" s="21" t="str">
        <f t="shared" si="32"/>
        <v>C21748 : 5-Fluorouridine diphosphate</v>
      </c>
    </row>
    <row r="839" spans="1:4" x14ac:dyDescent="0.45">
      <c r="A839" t="s">
        <v>14076</v>
      </c>
      <c r="B839" s="9" t="s">
        <v>14923</v>
      </c>
      <c r="C839" s="19" t="str">
        <f t="shared" si="31"/>
        <v>C21750 : 1</v>
      </c>
      <c r="D839" s="21" t="str">
        <f t="shared" si="32"/>
        <v>C21750 : 5-Fluorodeoxyuridine diphosphate</v>
      </c>
    </row>
    <row r="840" spans="1:4" x14ac:dyDescent="0.45">
      <c r="A840" t="s">
        <v>14077</v>
      </c>
      <c r="B840" s="9" t="s">
        <v>14924</v>
      </c>
      <c r="C840" s="19" t="str">
        <f t="shared" si="31"/>
        <v>C21751 : 1</v>
      </c>
      <c r="D840" s="21" t="str">
        <f t="shared" si="32"/>
        <v>C21751 : 5-Fluorodeoxyuridine triphosphate</v>
      </c>
    </row>
    <row r="841" spans="1:4" x14ac:dyDescent="0.45">
      <c r="A841" t="s">
        <v>14078</v>
      </c>
      <c r="B841" s="9" t="s">
        <v>14925</v>
      </c>
      <c r="C841" s="19" t="str">
        <f t="shared" si="31"/>
        <v>C22288 : 1</v>
      </c>
      <c r="D841" s="21" t="str">
        <f t="shared" si="32"/>
        <v>C22288 : 5-Deoxy-D-ribose</v>
      </c>
    </row>
    <row r="842" spans="1:4" x14ac:dyDescent="0.45">
      <c r="A842" t="s">
        <v>12608</v>
      </c>
      <c r="B842" s="9" t="s">
        <v>14926</v>
      </c>
      <c r="C842" s="19" t="str">
        <f t="shared" si="31"/>
        <v>C22382 : 1</v>
      </c>
      <c r="D842" s="21" t="str">
        <f t="shared" si="32"/>
        <v>C22382 : Aceneuramate</v>
      </c>
    </row>
    <row r="843" spans="1:4" x14ac:dyDescent="0.45">
      <c r="A843" t="s">
        <v>12827</v>
      </c>
      <c r="B843" s="9" t="s">
        <v>14927</v>
      </c>
      <c r="C843" s="19" t="str">
        <f t="shared" si="31"/>
        <v>C22395 : 1</v>
      </c>
      <c r="D843" s="21" t="str">
        <f t="shared" si="32"/>
        <v>C22395 : N6-Succino-2-amino-2'-deoxyadenylate</v>
      </c>
    </row>
    <row r="844" spans="1:4" x14ac:dyDescent="0.45">
      <c r="A844" t="s">
        <v>14079</v>
      </c>
      <c r="B844" s="9" t="s">
        <v>14928</v>
      </c>
      <c r="C844" s="19" t="str">
        <f t="shared" si="31"/>
        <v>C22438 : 1</v>
      </c>
      <c r="D844" s="21" t="str">
        <f t="shared" si="32"/>
        <v>C22438 : 3,5-Dehydroshikimate</v>
      </c>
    </row>
    <row r="845" spans="1:4" x14ac:dyDescent="0.45">
      <c r="A845" t="s">
        <v>14080</v>
      </c>
      <c r="B845" s="9" t="s">
        <v>14929</v>
      </c>
      <c r="C845" s="19" t="str">
        <f t="shared" si="31"/>
        <v>C22441 : 1</v>
      </c>
      <c r="D845" s="21" t="str">
        <f t="shared" si="32"/>
        <v>C22441 : 2-Amino-2'-deoxyadenosine 5'-monophosphate</v>
      </c>
    </row>
    <row r="846" spans="1:4" x14ac:dyDescent="0.45">
      <c r="A846" t="s">
        <v>14081</v>
      </c>
      <c r="B846" s="9" t="s">
        <v>14930</v>
      </c>
      <c r="C846" s="19" t="str">
        <f t="shared" si="31"/>
        <v>C22442 : 1</v>
      </c>
      <c r="D846" s="21" t="str">
        <f t="shared" si="32"/>
        <v>C22442 : 2-Amino-2'-deoxyadenosine 5'-diphosphate</v>
      </c>
    </row>
    <row r="847" spans="1:4" x14ac:dyDescent="0.45">
      <c r="A847" t="s">
        <v>14082</v>
      </c>
      <c r="B847" s="9" t="s">
        <v>14931</v>
      </c>
      <c r="C847" s="19" t="str">
        <f t="shared" si="31"/>
        <v>C22499 : 1</v>
      </c>
      <c r="D847" s="21" t="str">
        <f t="shared" si="32"/>
        <v>C22499 : 8-Hydroxyadenine</v>
      </c>
    </row>
    <row r="848" spans="1:4" x14ac:dyDescent="0.45">
      <c r="A848" t="s">
        <v>14083</v>
      </c>
      <c r="B848" s="9" t="s">
        <v>14932</v>
      </c>
      <c r="C848" s="19" t="str">
        <f t="shared" si="31"/>
        <v>C22500 : 1</v>
      </c>
      <c r="D848" s="21" t="str">
        <f t="shared" si="32"/>
        <v>C22500 : 2,8-Dihydroxyadenine</v>
      </c>
    </row>
    <row r="849" spans="1:4" x14ac:dyDescent="0.45">
      <c r="A849" t="s">
        <v>12959</v>
      </c>
      <c r="B849" s="9" t="s">
        <v>14933</v>
      </c>
      <c r="C849" s="19" t="str">
        <f t="shared" si="31"/>
        <v>C22501 : 1</v>
      </c>
      <c r="D849" s="21" t="str">
        <f t="shared" si="32"/>
        <v>C22501 : alpha-D-Xylulofuranose</v>
      </c>
    </row>
    <row r="850" spans="1:4" x14ac:dyDescent="0.45">
      <c r="A850" t="s">
        <v>12961</v>
      </c>
      <c r="B850" s="9" t="s">
        <v>14934</v>
      </c>
      <c r="C850" s="19" t="str">
        <f t="shared" si="31"/>
        <v>C22502 : 1</v>
      </c>
      <c r="D850" s="21" t="str">
        <f t="shared" si="32"/>
        <v>C22502 : alpha-D-Fructofuranose</v>
      </c>
    </row>
    <row r="851" spans="1:4" x14ac:dyDescent="0.45">
      <c r="A851" t="s">
        <v>14084</v>
      </c>
      <c r="B851" s="9" t="s">
        <v>14935</v>
      </c>
      <c r="C851" s="19" t="str">
        <f t="shared" si="31"/>
        <v>C22881 : 1</v>
      </c>
      <c r="D851" s="21" t="str">
        <f t="shared" si="32"/>
        <v>C22881 : Iron(III) oxide-hydroxide</v>
      </c>
    </row>
    <row r="852" spans="1:4" x14ac:dyDescent="0.45">
      <c r="A852" t="s">
        <v>14085</v>
      </c>
      <c r="B852" s="9" t="s">
        <v>14231</v>
      </c>
      <c r="C852" s="19" t="str">
        <f t="shared" si="31"/>
        <v>G00275 : 1</v>
      </c>
      <c r="D852" s="21" t="str">
        <f t="shared" si="32"/>
        <v>G00275 : Maltose</v>
      </c>
    </row>
    <row r="853" spans="1:4" x14ac:dyDescent="0.45">
      <c r="A853" t="s">
        <v>14086</v>
      </c>
      <c r="B853" s="9" t="s">
        <v>14166</v>
      </c>
      <c r="C853" s="19" t="str">
        <f t="shared" si="31"/>
        <v>G00370 : 1</v>
      </c>
      <c r="D853" s="21" t="str">
        <f t="shared" si="32"/>
        <v>G00370 : Sucrose</v>
      </c>
    </row>
    <row r="854" spans="1:4" x14ac:dyDescent="0.45">
      <c r="A854" t="s">
        <v>14087</v>
      </c>
      <c r="B854" s="9" t="s">
        <v>14370</v>
      </c>
      <c r="C854" s="19" t="str">
        <f t="shared" si="31"/>
        <v>G09795 : 1</v>
      </c>
      <c r="D854" s="21" t="str">
        <f t="shared" si="32"/>
        <v>G09795 : Trehalose 6-phosphate</v>
      </c>
    </row>
    <row r="855" spans="1:4" x14ac:dyDescent="0.45">
      <c r="A855" t="s">
        <v>14088</v>
      </c>
      <c r="B855" s="9" t="s">
        <v>14936</v>
      </c>
      <c r="C855" s="19" t="str">
        <f t="shared" si="31"/>
        <v>G10495 : 1</v>
      </c>
      <c r="D855" s="21" t="str">
        <f t="shared" si="32"/>
        <v>G10495 : 1,4-alpha-D-Glucan</v>
      </c>
    </row>
    <row r="856" spans="1:4" x14ac:dyDescent="0.45">
      <c r="A856" t="s">
        <v>14089</v>
      </c>
      <c r="B856" s="9" t="s">
        <v>14937</v>
      </c>
      <c r="C856" s="19" t="str">
        <f t="shared" si="31"/>
        <v>G10518 : 1</v>
      </c>
      <c r="D856" s="21" t="str">
        <f t="shared" si="32"/>
        <v>G10518 : (Glc)2 (P)1</v>
      </c>
    </row>
    <row r="857" spans="1:4" x14ac:dyDescent="0.45">
      <c r="A857" t="s">
        <v>14090</v>
      </c>
      <c r="B857" s="9" t="s">
        <v>14295</v>
      </c>
      <c r="C857" s="19" t="str">
        <f t="shared" si="31"/>
        <v>G10545 : 1</v>
      </c>
      <c r="D857" s="21" t="str">
        <f t="shared" si="32"/>
        <v>G10545 : Starch</v>
      </c>
    </row>
    <row r="858" spans="1:4" ht="28.5" x14ac:dyDescent="0.45">
      <c r="A858" t="s">
        <v>14091</v>
      </c>
      <c r="B858" s="9" t="s">
        <v>14938</v>
      </c>
      <c r="C858" s="19" t="str">
        <f t="shared" si="31"/>
        <v>G10550 : 1</v>
      </c>
      <c r="D858" s="21" t="str">
        <f t="shared" si="32"/>
        <v>G10550 : (GlcNAc)1 (MurNAc)1 (D-Ala-D-Ala-Lys-D-Glu-Ala)1 (PP-Und)1</v>
      </c>
    </row>
    <row r="859" spans="1:4" x14ac:dyDescent="0.45">
      <c r="A859" t="s">
        <v>14092</v>
      </c>
      <c r="B859" s="9" t="s">
        <v>14939</v>
      </c>
      <c r="C859" s="19" t="str">
        <f t="shared" ref="C859:C881" si="33">CONCATENATE(A859," : 1")</f>
        <v>G10551 : 1</v>
      </c>
      <c r="D859" s="21" t="str">
        <f t="shared" si="32"/>
        <v>G10551 : (MurNAc)1 (D-Ala-D-Ala-Lys-D-Glu-Ala)1 (PP-Und)1</v>
      </c>
    </row>
    <row r="860" spans="1:4" ht="28.5" x14ac:dyDescent="0.45">
      <c r="A860" t="s">
        <v>14093</v>
      </c>
      <c r="B860" s="9" t="s">
        <v>14940</v>
      </c>
      <c r="C860" s="19" t="str">
        <f t="shared" si="33"/>
        <v>G10552 : 1</v>
      </c>
      <c r="D860" s="21" t="str">
        <f t="shared" si="32"/>
        <v>G10552 : (MurNAc)1 (D-Ala-D-Ala-Lys-gamma-D-Glu-Ala)1 (PP-Und)1</v>
      </c>
    </row>
    <row r="861" spans="1:4" ht="28.5" x14ac:dyDescent="0.45">
      <c r="A861" t="s">
        <v>14094</v>
      </c>
      <c r="B861" s="9" t="s">
        <v>14941</v>
      </c>
      <c r="C861" s="19" t="str">
        <f t="shared" si="33"/>
        <v>G10553 : 1</v>
      </c>
      <c r="D861" s="21" t="str">
        <f t="shared" si="32"/>
        <v>G10553 : (GlcNAc)1 (MurNAc)1 (D-Ala-D-Ala-Lys-gamma-D-Glu-Ala)1 (PP-Und)1</v>
      </c>
    </row>
    <row r="862" spans="1:4" ht="28.5" x14ac:dyDescent="0.45">
      <c r="A862" t="s">
        <v>14095</v>
      </c>
      <c r="B862" s="9" t="s">
        <v>14942</v>
      </c>
      <c r="C862" s="19" t="str">
        <f t="shared" si="33"/>
        <v>G10555 : 1</v>
      </c>
      <c r="D862" s="21" t="str">
        <f t="shared" si="32"/>
        <v>G10555 : (GlcNAc)1 (MurNAc)1 (D-Ala-D-Ala-A2pm-gamma-D-Glu-Ala)1 (PP-Und)1</v>
      </c>
    </row>
    <row r="863" spans="1:4" ht="28.5" x14ac:dyDescent="0.45">
      <c r="A863" t="s">
        <v>14096</v>
      </c>
      <c r="B863" s="9" t="s">
        <v>14943</v>
      </c>
      <c r="C863" s="19" t="str">
        <f t="shared" si="33"/>
        <v>G10556 : 1</v>
      </c>
      <c r="D863" s="21" t="str">
        <f t="shared" si="32"/>
        <v>G10556 : (MurNAc)1 (D-Ala-D-Ala-A2pm-gamma-D-Glu-Ala)1 (PP-Und)1</v>
      </c>
    </row>
    <row r="864" spans="1:4" x14ac:dyDescent="0.45">
      <c r="A864" t="s">
        <v>14097</v>
      </c>
      <c r="B864" s="9" t="s">
        <v>14944</v>
      </c>
      <c r="C864" s="19" t="str">
        <f t="shared" si="33"/>
        <v>G10610 : 1</v>
      </c>
      <c r="D864" s="21" t="str">
        <f t="shared" si="32"/>
        <v>G10610 : UDP-N-acetyl-D-glucosamine</v>
      </c>
    </row>
    <row r="865" spans="1:4" x14ac:dyDescent="0.45">
      <c r="A865" t="s">
        <v>14098</v>
      </c>
      <c r="B865" s="9" t="s">
        <v>14120</v>
      </c>
      <c r="C865" s="19" t="str">
        <f t="shared" si="33"/>
        <v>G10619 : 1</v>
      </c>
      <c r="D865" s="21" t="str">
        <f t="shared" si="32"/>
        <v>G10619 : UDP</v>
      </c>
    </row>
    <row r="866" spans="1:4" x14ac:dyDescent="0.45">
      <c r="A866" t="s">
        <v>14099</v>
      </c>
      <c r="B866" s="9" t="s">
        <v>14327</v>
      </c>
      <c r="C866" s="19" t="str">
        <f t="shared" si="33"/>
        <v>G11109 : 1</v>
      </c>
      <c r="D866" s="21" t="str">
        <f t="shared" si="32"/>
        <v>G11109 : ADP-glucose</v>
      </c>
    </row>
    <row r="867" spans="1:4" x14ac:dyDescent="0.45">
      <c r="A867" t="s">
        <v>14100</v>
      </c>
      <c r="B867" s="9" t="s">
        <v>14116</v>
      </c>
      <c r="C867" s="19" t="str">
        <f t="shared" si="33"/>
        <v>G11113 : 1</v>
      </c>
      <c r="D867" s="21" t="str">
        <f t="shared" si="32"/>
        <v>G11113 : ADP</v>
      </c>
    </row>
    <row r="868" spans="1:4" x14ac:dyDescent="0.45">
      <c r="A868" t="s">
        <v>14101</v>
      </c>
      <c r="B868" s="9" t="s">
        <v>14945</v>
      </c>
      <c r="C868" s="19" t="str">
        <f t="shared" si="33"/>
        <v>G13167 : 1</v>
      </c>
      <c r="D868" s="21" t="str">
        <f t="shared" si="32"/>
        <v>G13167 : alpha-Glycosylated WTA</v>
      </c>
    </row>
    <row r="869" spans="1:4" x14ac:dyDescent="0.45">
      <c r="A869" t="s">
        <v>14102</v>
      </c>
      <c r="B869" s="9" t="s">
        <v>14946</v>
      </c>
      <c r="C869" s="19" t="str">
        <f t="shared" si="33"/>
        <v>G13170 : 1</v>
      </c>
      <c r="D869" s="21" t="str">
        <f t="shared" si="32"/>
        <v>G13170 : beta-Glycosylated WTA</v>
      </c>
    </row>
    <row r="870" spans="1:4" ht="28.5" x14ac:dyDescent="0.45">
      <c r="A870" t="s">
        <v>14103</v>
      </c>
      <c r="B870" s="9" t="s">
        <v>14947</v>
      </c>
      <c r="C870" s="19" t="str">
        <f t="shared" si="33"/>
        <v>G13171 : 1</v>
      </c>
      <c r="D870" s="21" t="str">
        <f t="shared" si="32"/>
        <v>G13171 : (Ala)1 (Glc)1 (GlcNAc)1 (Gro)1 (ManNAc)1 (Rib-ol)2 (*)1 (P)3 (PP-Und)1</v>
      </c>
    </row>
    <row r="871" spans="1:4" x14ac:dyDescent="0.45">
      <c r="A871" t="s">
        <v>14104</v>
      </c>
      <c r="B871" s="9" t="s">
        <v>14948</v>
      </c>
      <c r="C871" s="19" t="str">
        <f t="shared" si="33"/>
        <v>G13174 : 1</v>
      </c>
      <c r="D871" s="21" t="str">
        <f t="shared" si="32"/>
        <v>G13174 : alpha-O-GlcNAcylated WTA</v>
      </c>
    </row>
    <row r="872" spans="1:4" ht="28.5" x14ac:dyDescent="0.45">
      <c r="A872" t="s">
        <v>14105</v>
      </c>
      <c r="B872" s="9" t="s">
        <v>14949</v>
      </c>
      <c r="C872" s="19" t="str">
        <f t="shared" si="33"/>
        <v>G13175 : 1</v>
      </c>
      <c r="D872" s="21" t="str">
        <f t="shared" si="32"/>
        <v>G13175 : (Ala)1 (GlcNAc)2 (Gro)2 (ManNAc)1 (Rib-ol)1 (*)1 (P)3 (PP-Und)1</v>
      </c>
    </row>
    <row r="873" spans="1:4" x14ac:dyDescent="0.45">
      <c r="A873" t="s">
        <v>14106</v>
      </c>
      <c r="B873" s="9" t="s">
        <v>14950</v>
      </c>
      <c r="C873" s="19" t="str">
        <f t="shared" si="33"/>
        <v>G13176 : 1</v>
      </c>
      <c r="D873" s="21" t="str">
        <f t="shared" si="32"/>
        <v>G13176 : beta-O-GlcNAcylated WTA</v>
      </c>
    </row>
    <row r="874" spans="1:4" ht="28.5" x14ac:dyDescent="0.45">
      <c r="A874" t="s">
        <v>14107</v>
      </c>
      <c r="B874" s="9" t="s">
        <v>14949</v>
      </c>
      <c r="C874" s="19" t="str">
        <f t="shared" si="33"/>
        <v>G13177 : 1</v>
      </c>
      <c r="D874" s="21" t="str">
        <f t="shared" si="32"/>
        <v>G13177 : (Ala)1 (GlcNAc)2 (Gro)2 (ManNAc)1 (Rib-ol)1 (*)1 (P)3 (PP-Und)1</v>
      </c>
    </row>
    <row r="875" spans="1:4" ht="28.5" x14ac:dyDescent="0.45">
      <c r="A875" t="s">
        <v>14108</v>
      </c>
      <c r="B875" s="9" t="s">
        <v>14951</v>
      </c>
      <c r="C875" s="19" t="str">
        <f t="shared" si="33"/>
        <v>G13178 : 1</v>
      </c>
      <c r="D875" s="21" t="str">
        <f t="shared" si="32"/>
        <v>G13178 : (GlcNAc)2 (Gro)2 (ManNAc)1 (Rib-ol)1 (*)1 (P)3 (PP-Und)1</v>
      </c>
    </row>
    <row r="876" spans="1:4" ht="28.5" x14ac:dyDescent="0.45">
      <c r="A876" t="s">
        <v>14109</v>
      </c>
      <c r="B876" s="9" t="s">
        <v>14949</v>
      </c>
      <c r="C876" s="19" t="str">
        <f t="shared" si="33"/>
        <v>G13179 : 1</v>
      </c>
      <c r="D876" s="21" t="str">
        <f t="shared" si="32"/>
        <v>G13179 : (Ala)1 (GlcNAc)2 (Gro)2 (ManNAc)1 (Rib-ol)1 (*)1 (P)3 (PP-Und)1</v>
      </c>
    </row>
    <row r="877" spans="1:4" ht="28.5" x14ac:dyDescent="0.45">
      <c r="A877" t="s">
        <v>14110</v>
      </c>
      <c r="B877" s="9" t="s">
        <v>14952</v>
      </c>
      <c r="C877" s="19" t="str">
        <f t="shared" si="33"/>
        <v>G13180 : 1</v>
      </c>
      <c r="D877" s="21" t="str">
        <f t="shared" si="32"/>
        <v>G13180 : (Ala)1 (Glc)1 (GlcNAc)1 (Gro)2 (ManNAc)1 (*)1 (P)2 (PP-Und)1</v>
      </c>
    </row>
    <row r="878" spans="1:4" x14ac:dyDescent="0.45">
      <c r="A878" t="s">
        <v>14111</v>
      </c>
      <c r="B878" s="9" t="s">
        <v>14953</v>
      </c>
      <c r="C878" s="19" t="str">
        <f t="shared" si="33"/>
        <v>G13185 : 1</v>
      </c>
      <c r="D878" s="21" t="str">
        <f t="shared" si="32"/>
        <v>G13185 : (DAG)1 (Glc)2 (GlcNAc)1 (Gro)2 (*)1 (P)2</v>
      </c>
    </row>
    <row r="879" spans="1:4" x14ac:dyDescent="0.45">
      <c r="A879" t="s">
        <v>14112</v>
      </c>
      <c r="B879" s="9" t="s">
        <v>14954</v>
      </c>
      <c r="C879" s="19" t="str">
        <f t="shared" si="33"/>
        <v>G13186 : 1</v>
      </c>
      <c r="D879" s="21" t="str">
        <f t="shared" si="32"/>
        <v>G13186 : (Ala)1 (DAG)1 (Glc)2 (GlcNAc)1 (Gro)2 (*)1 (P)2</v>
      </c>
    </row>
    <row r="880" spans="1:4" x14ac:dyDescent="0.45">
      <c r="A880" t="s">
        <v>14113</v>
      </c>
      <c r="B880" s="9" t="s">
        <v>14955</v>
      </c>
      <c r="C880" s="19" t="str">
        <f t="shared" si="33"/>
        <v>G13192 : 1</v>
      </c>
      <c r="D880" s="21" t="str">
        <f t="shared" si="32"/>
        <v>G13192 : (DAG)1 (Gal)2 (Glc)1 (Gro)2 (*)1 (P)2</v>
      </c>
    </row>
    <row r="881" spans="1:4" x14ac:dyDescent="0.45">
      <c r="A881" t="s">
        <v>14114</v>
      </c>
      <c r="B881" s="9" t="s">
        <v>14956</v>
      </c>
      <c r="C881" s="19" t="str">
        <f t="shared" si="33"/>
        <v>G13193 : 1</v>
      </c>
      <c r="D881" s="21" t="str">
        <f t="shared" si="32"/>
        <v>G13193 : (Ala)1 (DAG)1 (Gal)2 (Glc)1 (Gro)2 (*)1 (P)2</v>
      </c>
    </row>
  </sheetData>
  <autoFilter ref="A1:D881" xr:uid="{B835960C-3461-4426-8057-9F444EBBA1CE}">
    <sortState xmlns:xlrd2="http://schemas.microsoft.com/office/spreadsheetml/2017/richdata2" ref="A2:D881">
      <sortCondition ref="A1:A881"/>
    </sortState>
  </autoFilter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19767-A42A-4102-B18C-CEF9BBF9BEC7}">
  <dimension ref="A1:N387"/>
  <sheetViews>
    <sheetView workbookViewId="0">
      <pane ySplit="1" topLeftCell="A2" activePane="bottomLeft" state="frozen"/>
      <selection activeCell="C9" sqref="C9"/>
      <selection pane="bottomLeft"/>
    </sheetView>
  </sheetViews>
  <sheetFormatPr defaultRowHeight="14.25" x14ac:dyDescent="0.45"/>
  <cols>
    <col min="2" max="2" width="10.33203125" bestFit="1" customWidth="1"/>
    <col min="3" max="3" width="15.86328125" bestFit="1" customWidth="1"/>
    <col min="4" max="4" width="10.1328125" bestFit="1" customWidth="1"/>
    <col min="5" max="5" width="19.1328125" style="30" bestFit="1" customWidth="1"/>
    <col min="6" max="6" width="15.59765625" style="31" bestFit="1" customWidth="1"/>
    <col min="7" max="7" width="33.1328125" style="21" bestFit="1" customWidth="1"/>
    <col min="8" max="8" width="21.59765625" style="32" bestFit="1" customWidth="1"/>
    <col min="9" max="9" width="18.796875" style="33" bestFit="1" customWidth="1"/>
    <col min="10" max="10" width="20.86328125" style="34" customWidth="1"/>
    <col min="11" max="11" width="32.265625" style="35" bestFit="1" customWidth="1"/>
    <col min="12" max="12" width="46.73046875" style="30" bestFit="1" customWidth="1"/>
    <col min="13" max="13" width="53.9296875" style="36" bestFit="1" customWidth="1"/>
    <col min="14" max="14" width="86.46484375" style="21" bestFit="1" customWidth="1"/>
  </cols>
  <sheetData>
    <row r="1" spans="1:14" s="11" customFormat="1" ht="28.5" x14ac:dyDescent="0.45">
      <c r="A1" s="6" t="s">
        <v>10287</v>
      </c>
      <c r="B1" s="6" t="s">
        <v>14958</v>
      </c>
      <c r="C1" s="6" t="s">
        <v>10288</v>
      </c>
      <c r="D1" s="6" t="s">
        <v>10289</v>
      </c>
      <c r="E1" s="23" t="s">
        <v>10290</v>
      </c>
      <c r="F1" s="24" t="s">
        <v>10291</v>
      </c>
      <c r="G1" s="20" t="s">
        <v>10292</v>
      </c>
      <c r="H1" s="25" t="s">
        <v>10293</v>
      </c>
      <c r="I1" s="26" t="s">
        <v>10294</v>
      </c>
      <c r="J1" s="27" t="s">
        <v>10295</v>
      </c>
      <c r="K1" s="28" t="s">
        <v>10296</v>
      </c>
      <c r="L1" s="23" t="s">
        <v>10297</v>
      </c>
      <c r="M1" s="29" t="s">
        <v>10298</v>
      </c>
      <c r="N1" s="20" t="s">
        <v>10299</v>
      </c>
    </row>
    <row r="2" spans="1:14" x14ac:dyDescent="0.45">
      <c r="A2">
        <v>1</v>
      </c>
      <c r="B2" t="s">
        <v>14959</v>
      </c>
      <c r="C2" t="str">
        <f>CONCATENATE(D2,"_mRNA")</f>
        <v>E1_1_1_1_mRNA</v>
      </c>
      <c r="D2" t="str">
        <f t="shared" ref="D2:D65" si="0">CONCATENATE("E",B2)</f>
        <v>E1_1_1_1</v>
      </c>
      <c r="E2" s="30" t="str">
        <f>CONCATENATE("E",B2,"_kcat : 13.7")</f>
        <v>E1_1_1_1_kcat : 13.7</v>
      </c>
      <c r="F2" s="31" t="str">
        <f>CONCATENATE("E",B2,"_km : 1")</f>
        <v>E1_1_1_1_km : 1</v>
      </c>
      <c r="G2" s="21" t="str">
        <f>CONCATENATE(C2, " : ",C2)</f>
        <v>E1_1_1_1_mRNA : E1_1_1_1_mRNA</v>
      </c>
      <c r="H2" s="32" t="str">
        <f>CONCATENATE(D2," : ",D2)</f>
        <v>E1_1_1_1 : E1_1_1_1</v>
      </c>
      <c r="I2" s="33" t="str">
        <f>CONCATENATE(C2," : ","0")</f>
        <v>E1_1_1_1_mRNA : 0</v>
      </c>
      <c r="J2" s="34" t="str">
        <f>CONCATENATE(D2," : ","0")</f>
        <v>E1_1_1_1 : 0</v>
      </c>
      <c r="K2" s="35" t="str">
        <f>CONCATENATE("0.00292 - (0.0093 * ",C2,")")</f>
        <v>0.00292 - (0.0093 * E1_1_1_1_mRNA)</v>
      </c>
      <c r="L2" s="30" t="str">
        <f>CONCATENATE("(0.278 * ",C2,")"," - (0.00000278 * ",D2,")")</f>
        <v>(0.278 * E1_1_1_1_mRNA) - (0.00000278 * E1_1_1_1)</v>
      </c>
      <c r="M2" s="36" t="str">
        <f>CONCATENATE("mRNA",A2,": -&gt; ",C2," | ","0.00292"," - ","(","0.0093"," * ",C2,")")</f>
        <v>mRNA1: -&gt; E1_1_1_1_mRNA | 0.00292 - (0.0093 * E1_1_1_1_mRNA)</v>
      </c>
      <c r="N2" s="21" t="str">
        <f>CONCATENATE("Peptide",A2,":  ",C2," -&gt; ",D2," | ","(","0.278"," * ",C2,")"," - ","(","0.00000278"," * ",D2,")")</f>
        <v>Peptide1:  E1_1_1_1_mRNA -&gt; E1_1_1_1 | (0.278 * E1_1_1_1_mRNA) - (0.00000278 * E1_1_1_1)</v>
      </c>
    </row>
    <row r="3" spans="1:14" x14ac:dyDescent="0.45">
      <c r="A3">
        <v>2</v>
      </c>
      <c r="B3" t="s">
        <v>14960</v>
      </c>
      <c r="C3" t="str">
        <f t="shared" ref="C3:C66" si="1">CONCATENATE(D3,"_mRNA")</f>
        <v>E1_1_1_100_mRNA</v>
      </c>
      <c r="D3" t="str">
        <f t="shared" si="0"/>
        <v>E1_1_1_100</v>
      </c>
      <c r="E3" s="30" t="str">
        <f t="shared" ref="E3:E66" si="2">CONCATENATE("E",B3,"_kcat : 13.7")</f>
        <v>E1_1_1_100_kcat : 13.7</v>
      </c>
      <c r="F3" s="31" t="str">
        <f t="shared" ref="F3:F66" si="3">CONCATENATE("E",B3,"_km : 1")</f>
        <v>E1_1_1_100_km : 1</v>
      </c>
      <c r="G3" s="21" t="str">
        <f t="shared" ref="G3:G66" si="4">CONCATENATE(C3, " : ",C3)</f>
        <v>E1_1_1_100_mRNA : E1_1_1_100_mRNA</v>
      </c>
      <c r="H3" s="32" t="str">
        <f t="shared" ref="H3:H66" si="5">CONCATENATE(D3," : ",D3)</f>
        <v>E1_1_1_100 : E1_1_1_100</v>
      </c>
      <c r="I3" s="33" t="str">
        <f t="shared" ref="I3:I66" si="6">CONCATENATE(C3," : ","0")</f>
        <v>E1_1_1_100_mRNA : 0</v>
      </c>
      <c r="J3" s="34" t="str">
        <f t="shared" ref="J3:J66" si="7">CONCATENATE(D3," : ","0")</f>
        <v>E1_1_1_100 : 0</v>
      </c>
      <c r="K3" s="35" t="str">
        <f t="shared" ref="K3:K66" si="8">CONCATENATE("0.00292 - (0.0093 * ",C3,")")</f>
        <v>0.00292 - (0.0093 * E1_1_1_100_mRNA)</v>
      </c>
      <c r="L3" s="30" t="str">
        <f t="shared" ref="L3:L66" si="9">CONCATENATE("(0.278 * ",C3,")"," - (0.00000278 * ",D3,")")</f>
        <v>(0.278 * E1_1_1_100_mRNA) - (0.00000278 * E1_1_1_100)</v>
      </c>
      <c r="M3" s="36" t="str">
        <f t="shared" ref="M3:M66" si="10">CONCATENATE("mRNA",A3,": -&gt; ",C3," | ","0.00292"," - ","(","0.0093"," * ",C3,")")</f>
        <v>mRNA2: -&gt; E1_1_1_100_mRNA | 0.00292 - (0.0093 * E1_1_1_100_mRNA)</v>
      </c>
      <c r="N3" s="21" t="str">
        <f t="shared" ref="N3:N66" si="11">CONCATENATE("Peptide",A3,":  ",C3," -&gt; ",D3," | ","(","0.278"," * ",C3,")"," - ","(","0.00000278"," * ",D3,")")</f>
        <v>Peptide2:  E1_1_1_100_mRNA -&gt; E1_1_1_100 | (0.278 * E1_1_1_100_mRNA) - (0.00000278 * E1_1_1_100)</v>
      </c>
    </row>
    <row r="4" spans="1:14" x14ac:dyDescent="0.45">
      <c r="A4">
        <v>3</v>
      </c>
      <c r="B4" t="s">
        <v>14961</v>
      </c>
      <c r="C4" t="str">
        <f t="shared" si="1"/>
        <v>E1_1_1_133_mRNA</v>
      </c>
      <c r="D4" t="str">
        <f t="shared" si="0"/>
        <v>E1_1_1_133</v>
      </c>
      <c r="E4" s="30" t="str">
        <f t="shared" si="2"/>
        <v>E1_1_1_133_kcat : 13.7</v>
      </c>
      <c r="F4" s="31" t="str">
        <f t="shared" si="3"/>
        <v>E1_1_1_133_km : 1</v>
      </c>
      <c r="G4" s="21" t="str">
        <f t="shared" si="4"/>
        <v>E1_1_1_133_mRNA : E1_1_1_133_mRNA</v>
      </c>
      <c r="H4" s="32" t="str">
        <f t="shared" si="5"/>
        <v>E1_1_1_133 : E1_1_1_133</v>
      </c>
      <c r="I4" s="33" t="str">
        <f t="shared" si="6"/>
        <v>E1_1_1_133_mRNA : 0</v>
      </c>
      <c r="J4" s="34" t="str">
        <f t="shared" si="7"/>
        <v>E1_1_1_133 : 0</v>
      </c>
      <c r="K4" s="35" t="str">
        <f t="shared" si="8"/>
        <v>0.00292 - (0.0093 * E1_1_1_133_mRNA)</v>
      </c>
      <c r="L4" s="30" t="str">
        <f t="shared" si="9"/>
        <v>(0.278 * E1_1_1_133_mRNA) - (0.00000278 * E1_1_1_133)</v>
      </c>
      <c r="M4" s="36" t="str">
        <f t="shared" si="10"/>
        <v>mRNA3: -&gt; E1_1_1_133_mRNA | 0.00292 - (0.0093 * E1_1_1_133_mRNA)</v>
      </c>
      <c r="N4" s="21" t="str">
        <f t="shared" si="11"/>
        <v>Peptide3:  E1_1_1_133_mRNA -&gt; E1_1_1_133 | (0.278 * E1_1_1_133_mRNA) - (0.00000278 * E1_1_1_133)</v>
      </c>
    </row>
    <row r="5" spans="1:14" x14ac:dyDescent="0.45">
      <c r="A5">
        <v>4</v>
      </c>
      <c r="B5" t="s">
        <v>14962</v>
      </c>
      <c r="C5" t="str">
        <f t="shared" si="1"/>
        <v>E1_1_1_140_mRNA</v>
      </c>
      <c r="D5" t="str">
        <f t="shared" si="0"/>
        <v>E1_1_1_140</v>
      </c>
      <c r="E5" s="30" t="str">
        <f t="shared" si="2"/>
        <v>E1_1_1_140_kcat : 13.7</v>
      </c>
      <c r="F5" s="31" t="str">
        <f t="shared" si="3"/>
        <v>E1_1_1_140_km : 1</v>
      </c>
      <c r="G5" s="21" t="str">
        <f t="shared" si="4"/>
        <v>E1_1_1_140_mRNA : E1_1_1_140_mRNA</v>
      </c>
      <c r="H5" s="32" t="str">
        <f t="shared" si="5"/>
        <v>E1_1_1_140 : E1_1_1_140</v>
      </c>
      <c r="I5" s="33" t="str">
        <f t="shared" si="6"/>
        <v>E1_1_1_140_mRNA : 0</v>
      </c>
      <c r="J5" s="34" t="str">
        <f t="shared" si="7"/>
        <v>E1_1_1_140 : 0</v>
      </c>
      <c r="K5" s="35" t="str">
        <f t="shared" si="8"/>
        <v>0.00292 - (0.0093 * E1_1_1_140_mRNA)</v>
      </c>
      <c r="L5" s="30" t="str">
        <f t="shared" si="9"/>
        <v>(0.278 * E1_1_1_140_mRNA) - (0.00000278 * E1_1_1_140)</v>
      </c>
      <c r="M5" s="36" t="str">
        <f t="shared" si="10"/>
        <v>mRNA4: -&gt; E1_1_1_140_mRNA | 0.00292 - (0.0093 * E1_1_1_140_mRNA)</v>
      </c>
      <c r="N5" s="21" t="str">
        <f t="shared" si="11"/>
        <v>Peptide4:  E1_1_1_140_mRNA -&gt; E1_1_1_140 | (0.278 * E1_1_1_140_mRNA) - (0.00000278 * E1_1_1_140)</v>
      </c>
    </row>
    <row r="6" spans="1:14" x14ac:dyDescent="0.45">
      <c r="A6">
        <v>5</v>
      </c>
      <c r="B6" t="s">
        <v>14963</v>
      </c>
      <c r="C6" t="str">
        <f t="shared" si="1"/>
        <v>E1_1_1_157_mRNA</v>
      </c>
      <c r="D6" t="str">
        <f t="shared" si="0"/>
        <v>E1_1_1_157</v>
      </c>
      <c r="E6" s="30" t="str">
        <f t="shared" si="2"/>
        <v>E1_1_1_157_kcat : 13.7</v>
      </c>
      <c r="F6" s="31" t="str">
        <f t="shared" si="3"/>
        <v>E1_1_1_157_km : 1</v>
      </c>
      <c r="G6" s="21" t="str">
        <f t="shared" si="4"/>
        <v>E1_1_1_157_mRNA : E1_1_1_157_mRNA</v>
      </c>
      <c r="H6" s="32" t="str">
        <f t="shared" si="5"/>
        <v>E1_1_1_157 : E1_1_1_157</v>
      </c>
      <c r="I6" s="33" t="str">
        <f t="shared" si="6"/>
        <v>E1_1_1_157_mRNA : 0</v>
      </c>
      <c r="J6" s="34" t="str">
        <f t="shared" si="7"/>
        <v>E1_1_1_157 : 0</v>
      </c>
      <c r="K6" s="35" t="str">
        <f t="shared" si="8"/>
        <v>0.00292 - (0.0093 * E1_1_1_157_mRNA)</v>
      </c>
      <c r="L6" s="30" t="str">
        <f t="shared" si="9"/>
        <v>(0.278 * E1_1_1_157_mRNA) - (0.00000278 * E1_1_1_157)</v>
      </c>
      <c r="M6" s="36" t="str">
        <f t="shared" si="10"/>
        <v>mRNA5: -&gt; E1_1_1_157_mRNA | 0.00292 - (0.0093 * E1_1_1_157_mRNA)</v>
      </c>
      <c r="N6" s="21" t="str">
        <f t="shared" si="11"/>
        <v>Peptide5:  E1_1_1_157_mRNA -&gt; E1_1_1_157 | (0.278 * E1_1_1_157_mRNA) - (0.00000278 * E1_1_1_157)</v>
      </c>
    </row>
    <row r="7" spans="1:14" x14ac:dyDescent="0.45">
      <c r="A7">
        <v>6</v>
      </c>
      <c r="B7" t="s">
        <v>14964</v>
      </c>
      <c r="C7" t="str">
        <f t="shared" si="1"/>
        <v>E1_1_1_17_mRNA</v>
      </c>
      <c r="D7" t="str">
        <f t="shared" si="0"/>
        <v>E1_1_1_17</v>
      </c>
      <c r="E7" s="30" t="str">
        <f t="shared" si="2"/>
        <v>E1_1_1_17_kcat : 13.7</v>
      </c>
      <c r="F7" s="31" t="str">
        <f t="shared" si="3"/>
        <v>E1_1_1_17_km : 1</v>
      </c>
      <c r="G7" s="21" t="str">
        <f t="shared" si="4"/>
        <v>E1_1_1_17_mRNA : E1_1_1_17_mRNA</v>
      </c>
      <c r="H7" s="32" t="str">
        <f t="shared" si="5"/>
        <v>E1_1_1_17 : E1_1_1_17</v>
      </c>
      <c r="I7" s="33" t="str">
        <f t="shared" si="6"/>
        <v>E1_1_1_17_mRNA : 0</v>
      </c>
      <c r="J7" s="34" t="str">
        <f t="shared" si="7"/>
        <v>E1_1_1_17 : 0</v>
      </c>
      <c r="K7" s="35" t="str">
        <f t="shared" si="8"/>
        <v>0.00292 - (0.0093 * E1_1_1_17_mRNA)</v>
      </c>
      <c r="L7" s="30" t="str">
        <f t="shared" si="9"/>
        <v>(0.278 * E1_1_1_17_mRNA) - (0.00000278 * E1_1_1_17)</v>
      </c>
      <c r="M7" s="36" t="str">
        <f t="shared" si="10"/>
        <v>mRNA6: -&gt; E1_1_1_17_mRNA | 0.00292 - (0.0093 * E1_1_1_17_mRNA)</v>
      </c>
      <c r="N7" s="21" t="str">
        <f t="shared" si="11"/>
        <v>Peptide6:  E1_1_1_17_mRNA -&gt; E1_1_1_17 | (0.278 * E1_1_1_17_mRNA) - (0.00000278 * E1_1_1_17)</v>
      </c>
    </row>
    <row r="8" spans="1:14" x14ac:dyDescent="0.45">
      <c r="A8">
        <v>7</v>
      </c>
      <c r="B8" t="s">
        <v>14965</v>
      </c>
      <c r="C8" t="str">
        <f t="shared" si="1"/>
        <v>E1_1_1_193_mRNA</v>
      </c>
      <c r="D8" t="str">
        <f t="shared" si="0"/>
        <v>E1_1_1_193</v>
      </c>
      <c r="E8" s="30" t="str">
        <f t="shared" si="2"/>
        <v>E1_1_1_193_kcat : 13.7</v>
      </c>
      <c r="F8" s="31" t="str">
        <f t="shared" si="3"/>
        <v>E1_1_1_193_km : 1</v>
      </c>
      <c r="G8" s="21" t="str">
        <f t="shared" si="4"/>
        <v>E1_1_1_193_mRNA : E1_1_1_193_mRNA</v>
      </c>
      <c r="H8" s="32" t="str">
        <f t="shared" si="5"/>
        <v>E1_1_1_193 : E1_1_1_193</v>
      </c>
      <c r="I8" s="33" t="str">
        <f t="shared" si="6"/>
        <v>E1_1_1_193_mRNA : 0</v>
      </c>
      <c r="J8" s="34" t="str">
        <f t="shared" si="7"/>
        <v>E1_1_1_193 : 0</v>
      </c>
      <c r="K8" s="35" t="str">
        <f t="shared" si="8"/>
        <v>0.00292 - (0.0093 * E1_1_1_193_mRNA)</v>
      </c>
      <c r="L8" s="30" t="str">
        <f t="shared" si="9"/>
        <v>(0.278 * E1_1_1_193_mRNA) - (0.00000278 * E1_1_1_193)</v>
      </c>
      <c r="M8" s="36" t="str">
        <f t="shared" si="10"/>
        <v>mRNA7: -&gt; E1_1_1_193_mRNA | 0.00292 - (0.0093 * E1_1_1_193_mRNA)</v>
      </c>
      <c r="N8" s="21" t="str">
        <f t="shared" si="11"/>
        <v>Peptide7:  E1_1_1_193_mRNA -&gt; E1_1_1_193 | (0.278 * E1_1_1_193_mRNA) - (0.00000278 * E1_1_1_193)</v>
      </c>
    </row>
    <row r="9" spans="1:14" x14ac:dyDescent="0.45">
      <c r="A9">
        <v>8</v>
      </c>
      <c r="B9" t="s">
        <v>14966</v>
      </c>
      <c r="C9" t="str">
        <f t="shared" si="1"/>
        <v>E1_1_1_205_mRNA</v>
      </c>
      <c r="D9" t="str">
        <f t="shared" si="0"/>
        <v>E1_1_1_205</v>
      </c>
      <c r="E9" s="30" t="str">
        <f t="shared" si="2"/>
        <v>E1_1_1_205_kcat : 13.7</v>
      </c>
      <c r="F9" s="31" t="str">
        <f t="shared" si="3"/>
        <v>E1_1_1_205_km : 1</v>
      </c>
      <c r="G9" s="21" t="str">
        <f t="shared" si="4"/>
        <v>E1_1_1_205_mRNA : E1_1_1_205_mRNA</v>
      </c>
      <c r="H9" s="32" t="str">
        <f t="shared" si="5"/>
        <v>E1_1_1_205 : E1_1_1_205</v>
      </c>
      <c r="I9" s="33" t="str">
        <f t="shared" si="6"/>
        <v>E1_1_1_205_mRNA : 0</v>
      </c>
      <c r="J9" s="34" t="str">
        <f t="shared" si="7"/>
        <v>E1_1_1_205 : 0</v>
      </c>
      <c r="K9" s="35" t="str">
        <f t="shared" si="8"/>
        <v>0.00292 - (0.0093 * E1_1_1_205_mRNA)</v>
      </c>
      <c r="L9" s="30" t="str">
        <f t="shared" si="9"/>
        <v>(0.278 * E1_1_1_205_mRNA) - (0.00000278 * E1_1_1_205)</v>
      </c>
      <c r="M9" s="36" t="str">
        <f t="shared" si="10"/>
        <v>mRNA8: -&gt; E1_1_1_205_mRNA | 0.00292 - (0.0093 * E1_1_1_205_mRNA)</v>
      </c>
      <c r="N9" s="21" t="str">
        <f t="shared" si="11"/>
        <v>Peptide8:  E1_1_1_205_mRNA -&gt; E1_1_1_205 | (0.278 * E1_1_1_205_mRNA) - (0.00000278 * E1_1_1_205)</v>
      </c>
    </row>
    <row r="10" spans="1:14" x14ac:dyDescent="0.45">
      <c r="A10">
        <v>9</v>
      </c>
      <c r="B10" t="s">
        <v>14967</v>
      </c>
      <c r="C10" t="str">
        <f t="shared" si="1"/>
        <v>E1_1_1_23_mRNA</v>
      </c>
      <c r="D10" t="str">
        <f t="shared" si="0"/>
        <v>E1_1_1_23</v>
      </c>
      <c r="E10" s="30" t="str">
        <f t="shared" si="2"/>
        <v>E1_1_1_23_kcat : 13.7</v>
      </c>
      <c r="F10" s="31" t="str">
        <f t="shared" si="3"/>
        <v>E1_1_1_23_km : 1</v>
      </c>
      <c r="G10" s="21" t="str">
        <f t="shared" si="4"/>
        <v>E1_1_1_23_mRNA : E1_1_1_23_mRNA</v>
      </c>
      <c r="H10" s="32" t="str">
        <f t="shared" si="5"/>
        <v>E1_1_1_23 : E1_1_1_23</v>
      </c>
      <c r="I10" s="33" t="str">
        <f t="shared" si="6"/>
        <v>E1_1_1_23_mRNA : 0</v>
      </c>
      <c r="J10" s="34" t="str">
        <f t="shared" si="7"/>
        <v>E1_1_1_23 : 0</v>
      </c>
      <c r="K10" s="35" t="str">
        <f t="shared" si="8"/>
        <v>0.00292 - (0.0093 * E1_1_1_23_mRNA)</v>
      </c>
      <c r="L10" s="30" t="str">
        <f t="shared" si="9"/>
        <v>(0.278 * E1_1_1_23_mRNA) - (0.00000278 * E1_1_1_23)</v>
      </c>
      <c r="M10" s="36" t="str">
        <f t="shared" si="10"/>
        <v>mRNA9: -&gt; E1_1_1_23_mRNA | 0.00292 - (0.0093 * E1_1_1_23_mRNA)</v>
      </c>
      <c r="N10" s="21" t="str">
        <f t="shared" si="11"/>
        <v>Peptide9:  E1_1_1_23_mRNA -&gt; E1_1_1_23 | (0.278 * E1_1_1_23_mRNA) - (0.00000278 * E1_1_1_23)</v>
      </c>
    </row>
    <row r="11" spans="1:14" x14ac:dyDescent="0.45">
      <c r="A11">
        <v>10</v>
      </c>
      <c r="B11" t="s">
        <v>14968</v>
      </c>
      <c r="C11" t="str">
        <f t="shared" si="1"/>
        <v>E1_1_1_25_mRNA</v>
      </c>
      <c r="D11" t="str">
        <f t="shared" si="0"/>
        <v>E1_1_1_25</v>
      </c>
      <c r="E11" s="30" t="str">
        <f t="shared" si="2"/>
        <v>E1_1_1_25_kcat : 13.7</v>
      </c>
      <c r="F11" s="31" t="str">
        <f t="shared" si="3"/>
        <v>E1_1_1_25_km : 1</v>
      </c>
      <c r="G11" s="21" t="str">
        <f t="shared" si="4"/>
        <v>E1_1_1_25_mRNA : E1_1_1_25_mRNA</v>
      </c>
      <c r="H11" s="32" t="str">
        <f t="shared" si="5"/>
        <v>E1_1_1_25 : E1_1_1_25</v>
      </c>
      <c r="I11" s="33" t="str">
        <f t="shared" si="6"/>
        <v>E1_1_1_25_mRNA : 0</v>
      </c>
      <c r="J11" s="34" t="str">
        <f t="shared" si="7"/>
        <v>E1_1_1_25 : 0</v>
      </c>
      <c r="K11" s="35" t="str">
        <f t="shared" si="8"/>
        <v>0.00292 - (0.0093 * E1_1_1_25_mRNA)</v>
      </c>
      <c r="L11" s="30" t="str">
        <f t="shared" si="9"/>
        <v>(0.278 * E1_1_1_25_mRNA) - (0.00000278 * E1_1_1_25)</v>
      </c>
      <c r="M11" s="36" t="str">
        <f t="shared" si="10"/>
        <v>mRNA10: -&gt; E1_1_1_25_mRNA | 0.00292 - (0.0093 * E1_1_1_25_mRNA)</v>
      </c>
      <c r="N11" s="21" t="str">
        <f t="shared" si="11"/>
        <v>Peptide10:  E1_1_1_25_mRNA -&gt; E1_1_1_25 | (0.278 * E1_1_1_25_mRNA) - (0.00000278 * E1_1_1_25)</v>
      </c>
    </row>
    <row r="12" spans="1:14" x14ac:dyDescent="0.45">
      <c r="A12">
        <v>11</v>
      </c>
      <c r="B12" t="s">
        <v>14969</v>
      </c>
      <c r="C12" t="str">
        <f t="shared" si="1"/>
        <v>E1_1_1_267_mRNA</v>
      </c>
      <c r="D12" t="str">
        <f t="shared" si="0"/>
        <v>E1_1_1_267</v>
      </c>
      <c r="E12" s="30" t="str">
        <f t="shared" si="2"/>
        <v>E1_1_1_267_kcat : 13.7</v>
      </c>
      <c r="F12" s="31" t="str">
        <f t="shared" si="3"/>
        <v>E1_1_1_267_km : 1</v>
      </c>
      <c r="G12" s="21" t="str">
        <f t="shared" si="4"/>
        <v>E1_1_1_267_mRNA : E1_1_1_267_mRNA</v>
      </c>
      <c r="H12" s="32" t="str">
        <f t="shared" si="5"/>
        <v>E1_1_1_267 : E1_1_1_267</v>
      </c>
      <c r="I12" s="33" t="str">
        <f t="shared" si="6"/>
        <v>E1_1_1_267_mRNA : 0</v>
      </c>
      <c r="J12" s="34" t="str">
        <f t="shared" si="7"/>
        <v>E1_1_1_267 : 0</v>
      </c>
      <c r="K12" s="35" t="str">
        <f t="shared" si="8"/>
        <v>0.00292 - (0.0093 * E1_1_1_267_mRNA)</v>
      </c>
      <c r="L12" s="30" t="str">
        <f t="shared" si="9"/>
        <v>(0.278 * E1_1_1_267_mRNA) - (0.00000278 * E1_1_1_267)</v>
      </c>
      <c r="M12" s="36" t="str">
        <f t="shared" si="10"/>
        <v>mRNA11: -&gt; E1_1_1_267_mRNA | 0.00292 - (0.0093 * E1_1_1_267_mRNA)</v>
      </c>
      <c r="N12" s="21" t="str">
        <f t="shared" si="11"/>
        <v>Peptide11:  E1_1_1_267_mRNA -&gt; E1_1_1_267 | (0.278 * E1_1_1_267_mRNA) - (0.00000278 * E1_1_1_267)</v>
      </c>
    </row>
    <row r="13" spans="1:14" x14ac:dyDescent="0.45">
      <c r="A13">
        <v>12</v>
      </c>
      <c r="B13" t="s">
        <v>14970</v>
      </c>
      <c r="C13" t="str">
        <f t="shared" si="1"/>
        <v>E1_1_1_27_mRNA</v>
      </c>
      <c r="D13" t="str">
        <f t="shared" si="0"/>
        <v>E1_1_1_27</v>
      </c>
      <c r="E13" s="30" t="str">
        <f t="shared" si="2"/>
        <v>E1_1_1_27_kcat : 13.7</v>
      </c>
      <c r="F13" s="31" t="str">
        <f t="shared" si="3"/>
        <v>E1_1_1_27_km : 1</v>
      </c>
      <c r="G13" s="21" t="str">
        <f t="shared" si="4"/>
        <v>E1_1_1_27_mRNA : E1_1_1_27_mRNA</v>
      </c>
      <c r="H13" s="32" t="str">
        <f t="shared" si="5"/>
        <v>E1_1_1_27 : E1_1_1_27</v>
      </c>
      <c r="I13" s="33" t="str">
        <f t="shared" si="6"/>
        <v>E1_1_1_27_mRNA : 0</v>
      </c>
      <c r="J13" s="34" t="str">
        <f t="shared" si="7"/>
        <v>E1_1_1_27 : 0</v>
      </c>
      <c r="K13" s="35" t="str">
        <f t="shared" si="8"/>
        <v>0.00292 - (0.0093 * E1_1_1_27_mRNA)</v>
      </c>
      <c r="L13" s="30" t="str">
        <f t="shared" si="9"/>
        <v>(0.278 * E1_1_1_27_mRNA) - (0.00000278 * E1_1_1_27)</v>
      </c>
      <c r="M13" s="36" t="str">
        <f t="shared" si="10"/>
        <v>mRNA12: -&gt; E1_1_1_27_mRNA | 0.00292 - (0.0093 * E1_1_1_27_mRNA)</v>
      </c>
      <c r="N13" s="21" t="str">
        <f t="shared" si="11"/>
        <v>Peptide12:  E1_1_1_27_mRNA -&gt; E1_1_1_27 | (0.278 * E1_1_1_27_mRNA) - (0.00000278 * E1_1_1_27)</v>
      </c>
    </row>
    <row r="14" spans="1:14" x14ac:dyDescent="0.45">
      <c r="A14">
        <v>13</v>
      </c>
      <c r="B14" t="s">
        <v>14971</v>
      </c>
      <c r="C14" t="str">
        <f t="shared" si="1"/>
        <v>E1_1_1_3_mRNA</v>
      </c>
      <c r="D14" t="str">
        <f t="shared" si="0"/>
        <v>E1_1_1_3</v>
      </c>
      <c r="E14" s="30" t="str">
        <f t="shared" si="2"/>
        <v>E1_1_1_3_kcat : 13.7</v>
      </c>
      <c r="F14" s="31" t="str">
        <f t="shared" si="3"/>
        <v>E1_1_1_3_km : 1</v>
      </c>
      <c r="G14" s="21" t="str">
        <f t="shared" si="4"/>
        <v>E1_1_1_3_mRNA : E1_1_1_3_mRNA</v>
      </c>
      <c r="H14" s="32" t="str">
        <f t="shared" si="5"/>
        <v>E1_1_1_3 : E1_1_1_3</v>
      </c>
      <c r="I14" s="33" t="str">
        <f t="shared" si="6"/>
        <v>E1_1_1_3_mRNA : 0</v>
      </c>
      <c r="J14" s="34" t="str">
        <f t="shared" si="7"/>
        <v>E1_1_1_3 : 0</v>
      </c>
      <c r="K14" s="35" t="str">
        <f t="shared" si="8"/>
        <v>0.00292 - (0.0093 * E1_1_1_3_mRNA)</v>
      </c>
      <c r="L14" s="30" t="str">
        <f t="shared" si="9"/>
        <v>(0.278 * E1_1_1_3_mRNA) - (0.00000278 * E1_1_1_3)</v>
      </c>
      <c r="M14" s="36" t="str">
        <f t="shared" si="10"/>
        <v>mRNA13: -&gt; E1_1_1_3_mRNA | 0.00292 - (0.0093 * E1_1_1_3_mRNA)</v>
      </c>
      <c r="N14" s="21" t="str">
        <f t="shared" si="11"/>
        <v>Peptide13:  E1_1_1_3_mRNA -&gt; E1_1_1_3 | (0.278 * E1_1_1_3_mRNA) - (0.00000278 * E1_1_1_3)</v>
      </c>
    </row>
    <row r="15" spans="1:14" x14ac:dyDescent="0.45">
      <c r="A15">
        <v>14</v>
      </c>
      <c r="B15" t="s">
        <v>14972</v>
      </c>
      <c r="C15" t="str">
        <f t="shared" si="1"/>
        <v>E1_1_1_30_mRNA</v>
      </c>
      <c r="D15" t="str">
        <f t="shared" si="0"/>
        <v>E1_1_1_30</v>
      </c>
      <c r="E15" s="30" t="str">
        <f t="shared" si="2"/>
        <v>E1_1_1_30_kcat : 13.7</v>
      </c>
      <c r="F15" s="31" t="str">
        <f t="shared" si="3"/>
        <v>E1_1_1_30_km : 1</v>
      </c>
      <c r="G15" s="21" t="str">
        <f t="shared" si="4"/>
        <v>E1_1_1_30_mRNA : E1_1_1_30_mRNA</v>
      </c>
      <c r="H15" s="32" t="str">
        <f t="shared" si="5"/>
        <v>E1_1_1_30 : E1_1_1_30</v>
      </c>
      <c r="I15" s="33" t="str">
        <f t="shared" si="6"/>
        <v>E1_1_1_30_mRNA : 0</v>
      </c>
      <c r="J15" s="34" t="str">
        <f t="shared" si="7"/>
        <v>E1_1_1_30 : 0</v>
      </c>
      <c r="K15" s="35" t="str">
        <f t="shared" si="8"/>
        <v>0.00292 - (0.0093 * E1_1_1_30_mRNA)</v>
      </c>
      <c r="L15" s="30" t="str">
        <f t="shared" si="9"/>
        <v>(0.278 * E1_1_1_30_mRNA) - (0.00000278 * E1_1_1_30)</v>
      </c>
      <c r="M15" s="36" t="str">
        <f t="shared" si="10"/>
        <v>mRNA14: -&gt; E1_1_1_30_mRNA | 0.00292 - (0.0093 * E1_1_1_30_mRNA)</v>
      </c>
      <c r="N15" s="21" t="str">
        <f t="shared" si="11"/>
        <v>Peptide14:  E1_1_1_30_mRNA -&gt; E1_1_1_30 | (0.278 * E1_1_1_30_mRNA) - (0.00000278 * E1_1_1_30)</v>
      </c>
    </row>
    <row r="16" spans="1:14" x14ac:dyDescent="0.45">
      <c r="A16">
        <v>15</v>
      </c>
      <c r="B16" t="s">
        <v>14973</v>
      </c>
      <c r="C16" t="str">
        <f t="shared" si="1"/>
        <v>E1_1_1_40_mRNA</v>
      </c>
      <c r="D16" t="str">
        <f t="shared" si="0"/>
        <v>E1_1_1_40</v>
      </c>
      <c r="E16" s="30" t="str">
        <f t="shared" si="2"/>
        <v>E1_1_1_40_kcat : 13.7</v>
      </c>
      <c r="F16" s="31" t="str">
        <f t="shared" si="3"/>
        <v>E1_1_1_40_km : 1</v>
      </c>
      <c r="G16" s="21" t="str">
        <f t="shared" si="4"/>
        <v>E1_1_1_40_mRNA : E1_1_1_40_mRNA</v>
      </c>
      <c r="H16" s="32" t="str">
        <f t="shared" si="5"/>
        <v>E1_1_1_40 : E1_1_1_40</v>
      </c>
      <c r="I16" s="33" t="str">
        <f t="shared" si="6"/>
        <v>E1_1_1_40_mRNA : 0</v>
      </c>
      <c r="J16" s="34" t="str">
        <f t="shared" si="7"/>
        <v>E1_1_1_40 : 0</v>
      </c>
      <c r="K16" s="35" t="str">
        <f t="shared" si="8"/>
        <v>0.00292 - (0.0093 * E1_1_1_40_mRNA)</v>
      </c>
      <c r="L16" s="30" t="str">
        <f t="shared" si="9"/>
        <v>(0.278 * E1_1_1_40_mRNA) - (0.00000278 * E1_1_1_40)</v>
      </c>
      <c r="M16" s="36" t="str">
        <f t="shared" si="10"/>
        <v>mRNA15: -&gt; E1_1_1_40_mRNA | 0.00292 - (0.0093 * E1_1_1_40_mRNA)</v>
      </c>
      <c r="N16" s="21" t="str">
        <f t="shared" si="11"/>
        <v>Peptide15:  E1_1_1_40_mRNA -&gt; E1_1_1_40 | (0.278 * E1_1_1_40_mRNA) - (0.00000278 * E1_1_1_40)</v>
      </c>
    </row>
    <row r="17" spans="1:14" x14ac:dyDescent="0.45">
      <c r="A17">
        <v>16</v>
      </c>
      <c r="B17" t="s">
        <v>14974</v>
      </c>
      <c r="C17" t="str">
        <f t="shared" si="1"/>
        <v>E1_1_1_60_mRNA</v>
      </c>
      <c r="D17" t="str">
        <f t="shared" si="0"/>
        <v>E1_1_1_60</v>
      </c>
      <c r="E17" s="30" t="str">
        <f t="shared" si="2"/>
        <v>E1_1_1_60_kcat : 13.7</v>
      </c>
      <c r="F17" s="31" t="str">
        <f t="shared" si="3"/>
        <v>E1_1_1_60_km : 1</v>
      </c>
      <c r="G17" s="21" t="str">
        <f t="shared" si="4"/>
        <v>E1_1_1_60_mRNA : E1_1_1_60_mRNA</v>
      </c>
      <c r="H17" s="32" t="str">
        <f t="shared" si="5"/>
        <v>E1_1_1_60 : E1_1_1_60</v>
      </c>
      <c r="I17" s="33" t="str">
        <f t="shared" si="6"/>
        <v>E1_1_1_60_mRNA : 0</v>
      </c>
      <c r="J17" s="34" t="str">
        <f t="shared" si="7"/>
        <v>E1_1_1_60 : 0</v>
      </c>
      <c r="K17" s="35" t="str">
        <f t="shared" si="8"/>
        <v>0.00292 - (0.0093 * E1_1_1_60_mRNA)</v>
      </c>
      <c r="L17" s="30" t="str">
        <f t="shared" si="9"/>
        <v>(0.278 * E1_1_1_60_mRNA) - (0.00000278 * E1_1_1_60)</v>
      </c>
      <c r="M17" s="36" t="str">
        <f t="shared" si="10"/>
        <v>mRNA16: -&gt; E1_1_1_60_mRNA | 0.00292 - (0.0093 * E1_1_1_60_mRNA)</v>
      </c>
      <c r="N17" s="21" t="str">
        <f t="shared" si="11"/>
        <v>Peptide16:  E1_1_1_60_mRNA -&gt; E1_1_1_60 | (0.278 * E1_1_1_60_mRNA) - (0.00000278 * E1_1_1_60)</v>
      </c>
    </row>
    <row r="18" spans="1:14" x14ac:dyDescent="0.45">
      <c r="A18">
        <v>17</v>
      </c>
      <c r="B18" t="s">
        <v>14975</v>
      </c>
      <c r="C18" t="str">
        <f t="shared" si="1"/>
        <v>E1_1_1_85_mRNA</v>
      </c>
      <c r="D18" t="str">
        <f t="shared" si="0"/>
        <v>E1_1_1_85</v>
      </c>
      <c r="E18" s="30" t="str">
        <f t="shared" si="2"/>
        <v>E1_1_1_85_kcat : 13.7</v>
      </c>
      <c r="F18" s="31" t="str">
        <f t="shared" si="3"/>
        <v>E1_1_1_85_km : 1</v>
      </c>
      <c r="G18" s="21" t="str">
        <f t="shared" si="4"/>
        <v>E1_1_1_85_mRNA : E1_1_1_85_mRNA</v>
      </c>
      <c r="H18" s="32" t="str">
        <f t="shared" si="5"/>
        <v>E1_1_1_85 : E1_1_1_85</v>
      </c>
      <c r="I18" s="33" t="str">
        <f t="shared" si="6"/>
        <v>E1_1_1_85_mRNA : 0</v>
      </c>
      <c r="J18" s="34" t="str">
        <f t="shared" si="7"/>
        <v>E1_1_1_85 : 0</v>
      </c>
      <c r="K18" s="35" t="str">
        <f t="shared" si="8"/>
        <v>0.00292 - (0.0093 * E1_1_1_85_mRNA)</v>
      </c>
      <c r="L18" s="30" t="str">
        <f t="shared" si="9"/>
        <v>(0.278 * E1_1_1_85_mRNA) - (0.00000278 * E1_1_1_85)</v>
      </c>
      <c r="M18" s="36" t="str">
        <f t="shared" si="10"/>
        <v>mRNA17: -&gt; E1_1_1_85_mRNA | 0.00292 - (0.0093 * E1_1_1_85_mRNA)</v>
      </c>
      <c r="N18" s="21" t="str">
        <f t="shared" si="11"/>
        <v>Peptide17:  E1_1_1_85_mRNA -&gt; E1_1_1_85 | (0.278 * E1_1_1_85_mRNA) - (0.00000278 * E1_1_1_85)</v>
      </c>
    </row>
    <row r="19" spans="1:14" x14ac:dyDescent="0.45">
      <c r="A19">
        <v>18</v>
      </c>
      <c r="B19" t="s">
        <v>14976</v>
      </c>
      <c r="C19" t="str">
        <f t="shared" si="1"/>
        <v>E1_1_1_86_mRNA</v>
      </c>
      <c r="D19" t="str">
        <f t="shared" si="0"/>
        <v>E1_1_1_86</v>
      </c>
      <c r="E19" s="30" t="str">
        <f t="shared" si="2"/>
        <v>E1_1_1_86_kcat : 13.7</v>
      </c>
      <c r="F19" s="31" t="str">
        <f t="shared" si="3"/>
        <v>E1_1_1_86_km : 1</v>
      </c>
      <c r="G19" s="21" t="str">
        <f t="shared" si="4"/>
        <v>E1_1_1_86_mRNA : E1_1_1_86_mRNA</v>
      </c>
      <c r="H19" s="32" t="str">
        <f t="shared" si="5"/>
        <v>E1_1_1_86 : E1_1_1_86</v>
      </c>
      <c r="I19" s="33" t="str">
        <f t="shared" si="6"/>
        <v>E1_1_1_86_mRNA : 0</v>
      </c>
      <c r="J19" s="34" t="str">
        <f t="shared" si="7"/>
        <v>E1_1_1_86 : 0</v>
      </c>
      <c r="K19" s="35" t="str">
        <f t="shared" si="8"/>
        <v>0.00292 - (0.0093 * E1_1_1_86_mRNA)</v>
      </c>
      <c r="L19" s="30" t="str">
        <f t="shared" si="9"/>
        <v>(0.278 * E1_1_1_86_mRNA) - (0.00000278 * E1_1_1_86)</v>
      </c>
      <c r="M19" s="36" t="str">
        <f t="shared" si="10"/>
        <v>mRNA18: -&gt; E1_1_1_86_mRNA | 0.00292 - (0.0093 * E1_1_1_86_mRNA)</v>
      </c>
      <c r="N19" s="21" t="str">
        <f t="shared" si="11"/>
        <v>Peptide18:  E1_1_1_86_mRNA -&gt; E1_1_1_86 | (0.278 * E1_1_1_86_mRNA) - (0.00000278 * E1_1_1_86)</v>
      </c>
    </row>
    <row r="20" spans="1:14" x14ac:dyDescent="0.45">
      <c r="A20">
        <v>19</v>
      </c>
      <c r="B20" t="s">
        <v>14977</v>
      </c>
      <c r="C20" t="str">
        <f t="shared" si="1"/>
        <v>E1_1_1_94_mRNA</v>
      </c>
      <c r="D20" t="str">
        <f t="shared" si="0"/>
        <v>E1_1_1_94</v>
      </c>
      <c r="E20" s="30" t="str">
        <f t="shared" si="2"/>
        <v>E1_1_1_94_kcat : 13.7</v>
      </c>
      <c r="F20" s="31" t="str">
        <f t="shared" si="3"/>
        <v>E1_1_1_94_km : 1</v>
      </c>
      <c r="G20" s="21" t="str">
        <f t="shared" si="4"/>
        <v>E1_1_1_94_mRNA : E1_1_1_94_mRNA</v>
      </c>
      <c r="H20" s="32" t="str">
        <f t="shared" si="5"/>
        <v>E1_1_1_94 : E1_1_1_94</v>
      </c>
      <c r="I20" s="33" t="str">
        <f t="shared" si="6"/>
        <v>E1_1_1_94_mRNA : 0</v>
      </c>
      <c r="J20" s="34" t="str">
        <f t="shared" si="7"/>
        <v>E1_1_1_94 : 0</v>
      </c>
      <c r="K20" s="35" t="str">
        <f t="shared" si="8"/>
        <v>0.00292 - (0.0093 * E1_1_1_94_mRNA)</v>
      </c>
      <c r="L20" s="30" t="str">
        <f t="shared" si="9"/>
        <v>(0.278 * E1_1_1_94_mRNA) - (0.00000278 * E1_1_1_94)</v>
      </c>
      <c r="M20" s="36" t="str">
        <f t="shared" si="10"/>
        <v>mRNA19: -&gt; E1_1_1_94_mRNA | 0.00292 - (0.0093 * E1_1_1_94_mRNA)</v>
      </c>
      <c r="N20" s="21" t="str">
        <f t="shared" si="11"/>
        <v>Peptide19:  E1_1_1_94_mRNA -&gt; E1_1_1_94 | (0.278 * E1_1_1_94_mRNA) - (0.00000278 * E1_1_1_94)</v>
      </c>
    </row>
    <row r="21" spans="1:14" x14ac:dyDescent="0.45">
      <c r="A21">
        <v>20</v>
      </c>
      <c r="B21" t="s">
        <v>14978</v>
      </c>
      <c r="C21" t="str">
        <f t="shared" si="1"/>
        <v>E1_11_1_1_mRNA</v>
      </c>
      <c r="D21" t="str">
        <f t="shared" si="0"/>
        <v>E1_11_1_1</v>
      </c>
      <c r="E21" s="30" t="str">
        <f t="shared" si="2"/>
        <v>E1_11_1_1_kcat : 13.7</v>
      </c>
      <c r="F21" s="31" t="str">
        <f t="shared" si="3"/>
        <v>E1_11_1_1_km : 1</v>
      </c>
      <c r="G21" s="21" t="str">
        <f t="shared" si="4"/>
        <v>E1_11_1_1_mRNA : E1_11_1_1_mRNA</v>
      </c>
      <c r="H21" s="32" t="str">
        <f t="shared" si="5"/>
        <v>E1_11_1_1 : E1_11_1_1</v>
      </c>
      <c r="I21" s="33" t="str">
        <f t="shared" si="6"/>
        <v>E1_11_1_1_mRNA : 0</v>
      </c>
      <c r="J21" s="34" t="str">
        <f t="shared" si="7"/>
        <v>E1_11_1_1 : 0</v>
      </c>
      <c r="K21" s="35" t="str">
        <f t="shared" si="8"/>
        <v>0.00292 - (0.0093 * E1_11_1_1_mRNA)</v>
      </c>
      <c r="L21" s="30" t="str">
        <f t="shared" si="9"/>
        <v>(0.278 * E1_11_1_1_mRNA) - (0.00000278 * E1_11_1_1)</v>
      </c>
      <c r="M21" s="36" t="str">
        <f t="shared" si="10"/>
        <v>mRNA20: -&gt; E1_11_1_1_mRNA | 0.00292 - (0.0093 * E1_11_1_1_mRNA)</v>
      </c>
      <c r="N21" s="21" t="str">
        <f t="shared" si="11"/>
        <v>Peptide20:  E1_11_1_1_mRNA -&gt; E1_11_1_1 | (0.278 * E1_11_1_1_mRNA) - (0.00000278 * E1_11_1_1)</v>
      </c>
    </row>
    <row r="22" spans="1:14" x14ac:dyDescent="0.45">
      <c r="A22">
        <v>21</v>
      </c>
      <c r="B22" t="s">
        <v>14979</v>
      </c>
      <c r="C22" t="str">
        <f t="shared" si="1"/>
        <v>E1_11_1_24_mRNA</v>
      </c>
      <c r="D22" t="str">
        <f t="shared" si="0"/>
        <v>E1_11_1_24</v>
      </c>
      <c r="E22" s="30" t="str">
        <f t="shared" si="2"/>
        <v>E1_11_1_24_kcat : 13.7</v>
      </c>
      <c r="F22" s="31" t="str">
        <f t="shared" si="3"/>
        <v>E1_11_1_24_km : 1</v>
      </c>
      <c r="G22" s="21" t="str">
        <f t="shared" si="4"/>
        <v>E1_11_1_24_mRNA : E1_11_1_24_mRNA</v>
      </c>
      <c r="H22" s="32" t="str">
        <f t="shared" si="5"/>
        <v>E1_11_1_24 : E1_11_1_24</v>
      </c>
      <c r="I22" s="33" t="str">
        <f t="shared" si="6"/>
        <v>E1_11_1_24_mRNA : 0</v>
      </c>
      <c r="J22" s="34" t="str">
        <f t="shared" si="7"/>
        <v>E1_11_1_24 : 0</v>
      </c>
      <c r="K22" s="35" t="str">
        <f t="shared" si="8"/>
        <v>0.00292 - (0.0093 * E1_11_1_24_mRNA)</v>
      </c>
      <c r="L22" s="30" t="str">
        <f t="shared" si="9"/>
        <v>(0.278 * E1_11_1_24_mRNA) - (0.00000278 * E1_11_1_24)</v>
      </c>
      <c r="M22" s="36" t="str">
        <f t="shared" si="10"/>
        <v>mRNA21: -&gt; E1_11_1_24_mRNA | 0.00292 - (0.0093 * E1_11_1_24_mRNA)</v>
      </c>
      <c r="N22" s="21" t="str">
        <f t="shared" si="11"/>
        <v>Peptide21:  E1_11_1_24_mRNA -&gt; E1_11_1_24 | (0.278 * E1_11_1_24_mRNA) - (0.00000278 * E1_11_1_24)</v>
      </c>
    </row>
    <row r="23" spans="1:14" x14ac:dyDescent="0.45">
      <c r="A23">
        <v>22</v>
      </c>
      <c r="B23" t="s">
        <v>14980</v>
      </c>
      <c r="C23" t="str">
        <f t="shared" si="1"/>
        <v>E1_11_1_6_mRNA</v>
      </c>
      <c r="D23" t="str">
        <f t="shared" si="0"/>
        <v>E1_11_1_6</v>
      </c>
      <c r="E23" s="30" t="str">
        <f t="shared" si="2"/>
        <v>E1_11_1_6_kcat : 13.7</v>
      </c>
      <c r="F23" s="31" t="str">
        <f t="shared" si="3"/>
        <v>E1_11_1_6_km : 1</v>
      </c>
      <c r="G23" s="21" t="str">
        <f t="shared" si="4"/>
        <v>E1_11_1_6_mRNA : E1_11_1_6_mRNA</v>
      </c>
      <c r="H23" s="32" t="str">
        <f t="shared" si="5"/>
        <v>E1_11_1_6 : E1_11_1_6</v>
      </c>
      <c r="I23" s="33" t="str">
        <f t="shared" si="6"/>
        <v>E1_11_1_6_mRNA : 0</v>
      </c>
      <c r="J23" s="34" t="str">
        <f t="shared" si="7"/>
        <v>E1_11_1_6 : 0</v>
      </c>
      <c r="K23" s="35" t="str">
        <f t="shared" si="8"/>
        <v>0.00292 - (0.0093 * E1_11_1_6_mRNA)</v>
      </c>
      <c r="L23" s="30" t="str">
        <f t="shared" si="9"/>
        <v>(0.278 * E1_11_1_6_mRNA) - (0.00000278 * E1_11_1_6)</v>
      </c>
      <c r="M23" s="36" t="str">
        <f t="shared" si="10"/>
        <v>mRNA22: -&gt; E1_11_1_6_mRNA | 0.00292 - (0.0093 * E1_11_1_6_mRNA)</v>
      </c>
      <c r="N23" s="21" t="str">
        <f t="shared" si="11"/>
        <v>Peptide22:  E1_11_1_6_mRNA -&gt; E1_11_1_6 | (0.278 * E1_11_1_6_mRNA) - (0.00000278 * E1_11_1_6)</v>
      </c>
    </row>
    <row r="24" spans="1:14" x14ac:dyDescent="0.45">
      <c r="A24">
        <v>23</v>
      </c>
      <c r="B24" t="s">
        <v>14981</v>
      </c>
      <c r="C24" t="str">
        <f t="shared" si="1"/>
        <v>E1_15_1_1_mRNA</v>
      </c>
      <c r="D24" t="str">
        <f t="shared" si="0"/>
        <v>E1_15_1_1</v>
      </c>
      <c r="E24" s="30" t="str">
        <f t="shared" si="2"/>
        <v>E1_15_1_1_kcat : 13.7</v>
      </c>
      <c r="F24" s="31" t="str">
        <f t="shared" si="3"/>
        <v>E1_15_1_1_km : 1</v>
      </c>
      <c r="G24" s="21" t="str">
        <f t="shared" si="4"/>
        <v>E1_15_1_1_mRNA : E1_15_1_1_mRNA</v>
      </c>
      <c r="H24" s="32" t="str">
        <f t="shared" si="5"/>
        <v>E1_15_1_1 : E1_15_1_1</v>
      </c>
      <c r="I24" s="33" t="str">
        <f t="shared" si="6"/>
        <v>E1_15_1_1_mRNA : 0</v>
      </c>
      <c r="J24" s="34" t="str">
        <f t="shared" si="7"/>
        <v>E1_15_1_1 : 0</v>
      </c>
      <c r="K24" s="35" t="str">
        <f t="shared" si="8"/>
        <v>0.00292 - (0.0093 * E1_15_1_1_mRNA)</v>
      </c>
      <c r="L24" s="30" t="str">
        <f t="shared" si="9"/>
        <v>(0.278 * E1_15_1_1_mRNA) - (0.00000278 * E1_15_1_1)</v>
      </c>
      <c r="M24" s="36" t="str">
        <f t="shared" si="10"/>
        <v>mRNA23: -&gt; E1_15_1_1_mRNA | 0.00292 - (0.0093 * E1_15_1_1_mRNA)</v>
      </c>
      <c r="N24" s="21" t="str">
        <f t="shared" si="11"/>
        <v>Peptide23:  E1_15_1_1_mRNA -&gt; E1_15_1_1 | (0.278 * E1_15_1_1_mRNA) - (0.00000278 * E1_15_1_1)</v>
      </c>
    </row>
    <row r="25" spans="1:14" x14ac:dyDescent="0.45">
      <c r="A25">
        <v>24</v>
      </c>
      <c r="B25" t="s">
        <v>14982</v>
      </c>
      <c r="C25" t="str">
        <f t="shared" si="1"/>
        <v>E1_16_3_2_mRNA</v>
      </c>
      <c r="D25" t="str">
        <f t="shared" si="0"/>
        <v>E1_16_3_2</v>
      </c>
      <c r="E25" s="30" t="str">
        <f t="shared" si="2"/>
        <v>E1_16_3_2_kcat : 13.7</v>
      </c>
      <c r="F25" s="31" t="str">
        <f t="shared" si="3"/>
        <v>E1_16_3_2_km : 1</v>
      </c>
      <c r="G25" s="21" t="str">
        <f t="shared" si="4"/>
        <v>E1_16_3_2_mRNA : E1_16_3_2_mRNA</v>
      </c>
      <c r="H25" s="32" t="str">
        <f t="shared" si="5"/>
        <v>E1_16_3_2 : E1_16_3_2</v>
      </c>
      <c r="I25" s="33" t="str">
        <f t="shared" si="6"/>
        <v>E1_16_3_2_mRNA : 0</v>
      </c>
      <c r="J25" s="34" t="str">
        <f t="shared" si="7"/>
        <v>E1_16_3_2 : 0</v>
      </c>
      <c r="K25" s="35" t="str">
        <f t="shared" si="8"/>
        <v>0.00292 - (0.0093 * E1_16_3_2_mRNA)</v>
      </c>
      <c r="L25" s="30" t="str">
        <f t="shared" si="9"/>
        <v>(0.278 * E1_16_3_2_mRNA) - (0.00000278 * E1_16_3_2)</v>
      </c>
      <c r="M25" s="36" t="str">
        <f t="shared" si="10"/>
        <v>mRNA24: -&gt; E1_16_3_2_mRNA | 0.00292 - (0.0093 * E1_16_3_2_mRNA)</v>
      </c>
      <c r="N25" s="21" t="str">
        <f t="shared" si="11"/>
        <v>Peptide24:  E1_16_3_2_mRNA -&gt; E1_16_3_2 | (0.278 * E1_16_3_2_mRNA) - (0.00000278 * E1_16_3_2)</v>
      </c>
    </row>
    <row r="26" spans="1:14" x14ac:dyDescent="0.45">
      <c r="A26">
        <v>25</v>
      </c>
      <c r="B26" t="s">
        <v>14983</v>
      </c>
      <c r="C26" t="str">
        <f t="shared" si="1"/>
        <v>E1_17_1_4_mRNA</v>
      </c>
      <c r="D26" t="str">
        <f t="shared" si="0"/>
        <v>E1_17_1_4</v>
      </c>
      <c r="E26" s="30" t="str">
        <f t="shared" si="2"/>
        <v>E1_17_1_4_kcat : 13.7</v>
      </c>
      <c r="F26" s="31" t="str">
        <f t="shared" si="3"/>
        <v>E1_17_1_4_km : 1</v>
      </c>
      <c r="G26" s="21" t="str">
        <f t="shared" si="4"/>
        <v>E1_17_1_4_mRNA : E1_17_1_4_mRNA</v>
      </c>
      <c r="H26" s="32" t="str">
        <f t="shared" si="5"/>
        <v>E1_17_1_4 : E1_17_1_4</v>
      </c>
      <c r="I26" s="33" t="str">
        <f t="shared" si="6"/>
        <v>E1_17_1_4_mRNA : 0</v>
      </c>
      <c r="J26" s="34" t="str">
        <f t="shared" si="7"/>
        <v>E1_17_1_4 : 0</v>
      </c>
      <c r="K26" s="35" t="str">
        <f t="shared" si="8"/>
        <v>0.00292 - (0.0093 * E1_17_1_4_mRNA)</v>
      </c>
      <c r="L26" s="30" t="str">
        <f t="shared" si="9"/>
        <v>(0.278 * E1_17_1_4_mRNA) - (0.00000278 * E1_17_1_4)</v>
      </c>
      <c r="M26" s="36" t="str">
        <f t="shared" si="10"/>
        <v>mRNA25: -&gt; E1_17_1_4_mRNA | 0.00292 - (0.0093 * E1_17_1_4_mRNA)</v>
      </c>
      <c r="N26" s="21" t="str">
        <f t="shared" si="11"/>
        <v>Peptide25:  E1_17_1_4_mRNA -&gt; E1_17_1_4 | (0.278 * E1_17_1_4_mRNA) - (0.00000278 * E1_17_1_4)</v>
      </c>
    </row>
    <row r="27" spans="1:14" x14ac:dyDescent="0.45">
      <c r="A27">
        <v>26</v>
      </c>
      <c r="B27" t="s">
        <v>14984</v>
      </c>
      <c r="C27" t="str">
        <f t="shared" si="1"/>
        <v>E1_17_1_8_mRNA</v>
      </c>
      <c r="D27" t="str">
        <f t="shared" si="0"/>
        <v>E1_17_1_8</v>
      </c>
      <c r="E27" s="30" t="str">
        <f t="shared" si="2"/>
        <v>E1_17_1_8_kcat : 13.7</v>
      </c>
      <c r="F27" s="31" t="str">
        <f t="shared" si="3"/>
        <v>E1_17_1_8_km : 1</v>
      </c>
      <c r="G27" s="21" t="str">
        <f t="shared" si="4"/>
        <v>E1_17_1_8_mRNA : E1_17_1_8_mRNA</v>
      </c>
      <c r="H27" s="32" t="str">
        <f t="shared" si="5"/>
        <v>E1_17_1_8 : E1_17_1_8</v>
      </c>
      <c r="I27" s="33" t="str">
        <f t="shared" si="6"/>
        <v>E1_17_1_8_mRNA : 0</v>
      </c>
      <c r="J27" s="34" t="str">
        <f t="shared" si="7"/>
        <v>E1_17_1_8 : 0</v>
      </c>
      <c r="K27" s="35" t="str">
        <f t="shared" si="8"/>
        <v>0.00292 - (0.0093 * E1_17_1_8_mRNA)</v>
      </c>
      <c r="L27" s="30" t="str">
        <f t="shared" si="9"/>
        <v>(0.278 * E1_17_1_8_mRNA) - (0.00000278 * E1_17_1_8)</v>
      </c>
      <c r="M27" s="36" t="str">
        <f t="shared" si="10"/>
        <v>mRNA26: -&gt; E1_17_1_8_mRNA | 0.00292 - (0.0093 * E1_17_1_8_mRNA)</v>
      </c>
      <c r="N27" s="21" t="str">
        <f t="shared" si="11"/>
        <v>Peptide26:  E1_17_1_8_mRNA -&gt; E1_17_1_8 | (0.278 * E1_17_1_8_mRNA) - (0.00000278 * E1_17_1_8)</v>
      </c>
    </row>
    <row r="28" spans="1:14" x14ac:dyDescent="0.45">
      <c r="A28">
        <v>27</v>
      </c>
      <c r="B28" t="s">
        <v>14985</v>
      </c>
      <c r="C28" t="str">
        <f t="shared" si="1"/>
        <v>E1_17_1_9_mRNA</v>
      </c>
      <c r="D28" t="str">
        <f t="shared" si="0"/>
        <v>E1_17_1_9</v>
      </c>
      <c r="E28" s="30" t="str">
        <f t="shared" si="2"/>
        <v>E1_17_1_9_kcat : 13.7</v>
      </c>
      <c r="F28" s="31" t="str">
        <f t="shared" si="3"/>
        <v>E1_17_1_9_km : 1</v>
      </c>
      <c r="G28" s="21" t="str">
        <f t="shared" si="4"/>
        <v>E1_17_1_9_mRNA : E1_17_1_9_mRNA</v>
      </c>
      <c r="H28" s="32" t="str">
        <f t="shared" si="5"/>
        <v>E1_17_1_9 : E1_17_1_9</v>
      </c>
      <c r="I28" s="33" t="str">
        <f t="shared" si="6"/>
        <v>E1_17_1_9_mRNA : 0</v>
      </c>
      <c r="J28" s="34" t="str">
        <f t="shared" si="7"/>
        <v>E1_17_1_9 : 0</v>
      </c>
      <c r="K28" s="35" t="str">
        <f t="shared" si="8"/>
        <v>0.00292 - (0.0093 * E1_17_1_9_mRNA)</v>
      </c>
      <c r="L28" s="30" t="str">
        <f t="shared" si="9"/>
        <v>(0.278 * E1_17_1_9_mRNA) - (0.00000278 * E1_17_1_9)</v>
      </c>
      <c r="M28" s="36" t="str">
        <f t="shared" si="10"/>
        <v>mRNA27: -&gt; E1_17_1_9_mRNA | 0.00292 - (0.0093 * E1_17_1_9_mRNA)</v>
      </c>
      <c r="N28" s="21" t="str">
        <f t="shared" si="11"/>
        <v>Peptide27:  E1_17_1_9_mRNA -&gt; E1_17_1_9 | (0.278 * E1_17_1_9_mRNA) - (0.00000278 * E1_17_1_9)</v>
      </c>
    </row>
    <row r="29" spans="1:14" x14ac:dyDescent="0.45">
      <c r="A29">
        <v>28</v>
      </c>
      <c r="B29" t="s">
        <v>14986</v>
      </c>
      <c r="C29" t="str">
        <f t="shared" si="1"/>
        <v>E1_17_4_1_mRNA</v>
      </c>
      <c r="D29" t="str">
        <f t="shared" si="0"/>
        <v>E1_17_4_1</v>
      </c>
      <c r="E29" s="30" t="str">
        <f t="shared" si="2"/>
        <v>E1_17_4_1_kcat : 13.7</v>
      </c>
      <c r="F29" s="31" t="str">
        <f t="shared" si="3"/>
        <v>E1_17_4_1_km : 1</v>
      </c>
      <c r="G29" s="21" t="str">
        <f t="shared" si="4"/>
        <v>E1_17_4_1_mRNA : E1_17_4_1_mRNA</v>
      </c>
      <c r="H29" s="32" t="str">
        <f t="shared" si="5"/>
        <v>E1_17_4_1 : E1_17_4_1</v>
      </c>
      <c r="I29" s="33" t="str">
        <f t="shared" si="6"/>
        <v>E1_17_4_1_mRNA : 0</v>
      </c>
      <c r="J29" s="34" t="str">
        <f t="shared" si="7"/>
        <v>E1_17_4_1 : 0</v>
      </c>
      <c r="K29" s="35" t="str">
        <f t="shared" si="8"/>
        <v>0.00292 - (0.0093 * E1_17_4_1_mRNA)</v>
      </c>
      <c r="L29" s="30" t="str">
        <f t="shared" si="9"/>
        <v>(0.278 * E1_17_4_1_mRNA) - (0.00000278 * E1_17_4_1)</v>
      </c>
      <c r="M29" s="36" t="str">
        <f t="shared" si="10"/>
        <v>mRNA28: -&gt; E1_17_4_1_mRNA | 0.00292 - (0.0093 * E1_17_4_1_mRNA)</v>
      </c>
      <c r="N29" s="21" t="str">
        <f t="shared" si="11"/>
        <v>Peptide28:  E1_17_4_1_mRNA -&gt; E1_17_4_1 | (0.278 * E1_17_4_1_mRNA) - (0.00000278 * E1_17_4_1)</v>
      </c>
    </row>
    <row r="30" spans="1:14" x14ac:dyDescent="0.45">
      <c r="A30">
        <v>29</v>
      </c>
      <c r="B30" t="s">
        <v>14987</v>
      </c>
      <c r="C30" t="str">
        <f t="shared" si="1"/>
        <v>E1_17_4_2_mRNA</v>
      </c>
      <c r="D30" t="str">
        <f t="shared" si="0"/>
        <v>E1_17_4_2</v>
      </c>
      <c r="E30" s="30" t="str">
        <f t="shared" si="2"/>
        <v>E1_17_4_2_kcat : 13.7</v>
      </c>
      <c r="F30" s="31" t="str">
        <f t="shared" si="3"/>
        <v>E1_17_4_2_km : 1</v>
      </c>
      <c r="G30" s="21" t="str">
        <f t="shared" si="4"/>
        <v>E1_17_4_2_mRNA : E1_17_4_2_mRNA</v>
      </c>
      <c r="H30" s="32" t="str">
        <f t="shared" si="5"/>
        <v>E1_17_4_2 : E1_17_4_2</v>
      </c>
      <c r="I30" s="33" t="str">
        <f t="shared" si="6"/>
        <v>E1_17_4_2_mRNA : 0</v>
      </c>
      <c r="J30" s="34" t="str">
        <f t="shared" si="7"/>
        <v>E1_17_4_2 : 0</v>
      </c>
      <c r="K30" s="35" t="str">
        <f t="shared" si="8"/>
        <v>0.00292 - (0.0093 * E1_17_4_2_mRNA)</v>
      </c>
      <c r="L30" s="30" t="str">
        <f t="shared" si="9"/>
        <v>(0.278 * E1_17_4_2_mRNA) - (0.00000278 * E1_17_4_2)</v>
      </c>
      <c r="M30" s="36" t="str">
        <f t="shared" si="10"/>
        <v>mRNA29: -&gt; E1_17_4_2_mRNA | 0.00292 - (0.0093 * E1_17_4_2_mRNA)</v>
      </c>
      <c r="N30" s="21" t="str">
        <f t="shared" si="11"/>
        <v>Peptide29:  E1_17_4_2_mRNA -&gt; E1_17_4_2 | (0.278 * E1_17_4_2_mRNA) - (0.00000278 * E1_17_4_2)</v>
      </c>
    </row>
    <row r="31" spans="1:14" x14ac:dyDescent="0.45">
      <c r="A31">
        <v>30</v>
      </c>
      <c r="B31" t="s">
        <v>14988</v>
      </c>
      <c r="C31" t="str">
        <f t="shared" si="1"/>
        <v>E1_17_7_1_mRNA</v>
      </c>
      <c r="D31" t="str">
        <f t="shared" si="0"/>
        <v>E1_17_7_1</v>
      </c>
      <c r="E31" s="30" t="str">
        <f t="shared" si="2"/>
        <v>E1_17_7_1_kcat : 13.7</v>
      </c>
      <c r="F31" s="31" t="str">
        <f t="shared" si="3"/>
        <v>E1_17_7_1_km : 1</v>
      </c>
      <c r="G31" s="21" t="str">
        <f t="shared" si="4"/>
        <v>E1_17_7_1_mRNA : E1_17_7_1_mRNA</v>
      </c>
      <c r="H31" s="32" t="str">
        <f t="shared" si="5"/>
        <v>E1_17_7_1 : E1_17_7_1</v>
      </c>
      <c r="I31" s="33" t="str">
        <f t="shared" si="6"/>
        <v>E1_17_7_1_mRNA : 0</v>
      </c>
      <c r="J31" s="34" t="str">
        <f t="shared" si="7"/>
        <v>E1_17_7_1 : 0</v>
      </c>
      <c r="K31" s="35" t="str">
        <f t="shared" si="8"/>
        <v>0.00292 - (0.0093 * E1_17_7_1_mRNA)</v>
      </c>
      <c r="L31" s="30" t="str">
        <f t="shared" si="9"/>
        <v>(0.278 * E1_17_7_1_mRNA) - (0.00000278 * E1_17_7_1)</v>
      </c>
      <c r="M31" s="36" t="str">
        <f t="shared" si="10"/>
        <v>mRNA30: -&gt; E1_17_7_1_mRNA | 0.00292 - (0.0093 * E1_17_7_1_mRNA)</v>
      </c>
      <c r="N31" s="21" t="str">
        <f t="shared" si="11"/>
        <v>Peptide30:  E1_17_7_1_mRNA -&gt; E1_17_7_1 | (0.278 * E1_17_7_1_mRNA) - (0.00000278 * E1_17_7_1)</v>
      </c>
    </row>
    <row r="32" spans="1:14" x14ac:dyDescent="0.45">
      <c r="A32">
        <v>31</v>
      </c>
      <c r="B32" t="s">
        <v>14989</v>
      </c>
      <c r="C32" t="str">
        <f t="shared" si="1"/>
        <v>E1_17_7_4_mRNA</v>
      </c>
      <c r="D32" t="str">
        <f t="shared" si="0"/>
        <v>E1_17_7_4</v>
      </c>
      <c r="E32" s="30" t="str">
        <f t="shared" si="2"/>
        <v>E1_17_7_4_kcat : 13.7</v>
      </c>
      <c r="F32" s="31" t="str">
        <f t="shared" si="3"/>
        <v>E1_17_7_4_km : 1</v>
      </c>
      <c r="G32" s="21" t="str">
        <f t="shared" si="4"/>
        <v>E1_17_7_4_mRNA : E1_17_7_4_mRNA</v>
      </c>
      <c r="H32" s="32" t="str">
        <f t="shared" si="5"/>
        <v>E1_17_7_4 : E1_17_7_4</v>
      </c>
      <c r="I32" s="33" t="str">
        <f t="shared" si="6"/>
        <v>E1_17_7_4_mRNA : 0</v>
      </c>
      <c r="J32" s="34" t="str">
        <f t="shared" si="7"/>
        <v>E1_17_7_4 : 0</v>
      </c>
      <c r="K32" s="35" t="str">
        <f t="shared" si="8"/>
        <v>0.00292 - (0.0093 * E1_17_7_4_mRNA)</v>
      </c>
      <c r="L32" s="30" t="str">
        <f t="shared" si="9"/>
        <v>(0.278 * E1_17_7_4_mRNA) - (0.00000278 * E1_17_7_4)</v>
      </c>
      <c r="M32" s="36" t="str">
        <f t="shared" si="10"/>
        <v>mRNA31: -&gt; E1_17_7_4_mRNA | 0.00292 - (0.0093 * E1_17_7_4_mRNA)</v>
      </c>
      <c r="N32" s="21" t="str">
        <f t="shared" si="11"/>
        <v>Peptide31:  E1_17_7_4_mRNA -&gt; E1_17_7_4 | (0.278 * E1_17_7_4_mRNA) - (0.00000278 * E1_17_7_4)</v>
      </c>
    </row>
    <row r="33" spans="1:14" x14ac:dyDescent="0.45">
      <c r="A33">
        <v>32</v>
      </c>
      <c r="B33" t="s">
        <v>14990</v>
      </c>
      <c r="C33" t="str">
        <f t="shared" si="1"/>
        <v>E1_17_99_6_mRNA</v>
      </c>
      <c r="D33" t="str">
        <f t="shared" si="0"/>
        <v>E1_17_99_6</v>
      </c>
      <c r="E33" s="30" t="str">
        <f t="shared" si="2"/>
        <v>E1_17_99_6_kcat : 13.7</v>
      </c>
      <c r="F33" s="31" t="str">
        <f t="shared" si="3"/>
        <v>E1_17_99_6_km : 1</v>
      </c>
      <c r="G33" s="21" t="str">
        <f t="shared" si="4"/>
        <v>E1_17_99_6_mRNA : E1_17_99_6_mRNA</v>
      </c>
      <c r="H33" s="32" t="str">
        <f t="shared" si="5"/>
        <v>E1_17_99_6 : E1_17_99_6</v>
      </c>
      <c r="I33" s="33" t="str">
        <f t="shared" si="6"/>
        <v>E1_17_99_6_mRNA : 0</v>
      </c>
      <c r="J33" s="34" t="str">
        <f t="shared" si="7"/>
        <v>E1_17_99_6 : 0</v>
      </c>
      <c r="K33" s="35" t="str">
        <f t="shared" si="8"/>
        <v>0.00292 - (0.0093 * E1_17_99_6_mRNA)</v>
      </c>
      <c r="L33" s="30" t="str">
        <f t="shared" si="9"/>
        <v>(0.278 * E1_17_99_6_mRNA) - (0.00000278 * E1_17_99_6)</v>
      </c>
      <c r="M33" s="36" t="str">
        <f t="shared" si="10"/>
        <v>mRNA32: -&gt; E1_17_99_6_mRNA | 0.00292 - (0.0093 * E1_17_99_6_mRNA)</v>
      </c>
      <c r="N33" s="21" t="str">
        <f t="shared" si="11"/>
        <v>Peptide32:  E1_17_99_6_mRNA -&gt; E1_17_99_6 | (0.278 * E1_17_99_6_mRNA) - (0.00000278 * E1_17_99_6)</v>
      </c>
    </row>
    <row r="34" spans="1:14" x14ac:dyDescent="0.45">
      <c r="A34">
        <v>33</v>
      </c>
      <c r="B34" t="s">
        <v>14991</v>
      </c>
      <c r="C34" t="str">
        <f t="shared" si="1"/>
        <v>E1_2_1_10_mRNA</v>
      </c>
      <c r="D34" t="str">
        <f t="shared" si="0"/>
        <v>E1_2_1_10</v>
      </c>
      <c r="E34" s="30" t="str">
        <f t="shared" si="2"/>
        <v>E1_2_1_10_kcat : 13.7</v>
      </c>
      <c r="F34" s="31" t="str">
        <f t="shared" si="3"/>
        <v>E1_2_1_10_km : 1</v>
      </c>
      <c r="G34" s="21" t="str">
        <f t="shared" si="4"/>
        <v>E1_2_1_10_mRNA : E1_2_1_10_mRNA</v>
      </c>
      <c r="H34" s="32" t="str">
        <f t="shared" si="5"/>
        <v>E1_2_1_10 : E1_2_1_10</v>
      </c>
      <c r="I34" s="33" t="str">
        <f t="shared" si="6"/>
        <v>E1_2_1_10_mRNA : 0</v>
      </c>
      <c r="J34" s="34" t="str">
        <f t="shared" si="7"/>
        <v>E1_2_1_10 : 0</v>
      </c>
      <c r="K34" s="35" t="str">
        <f t="shared" si="8"/>
        <v>0.00292 - (0.0093 * E1_2_1_10_mRNA)</v>
      </c>
      <c r="L34" s="30" t="str">
        <f t="shared" si="9"/>
        <v>(0.278 * E1_2_1_10_mRNA) - (0.00000278 * E1_2_1_10)</v>
      </c>
      <c r="M34" s="36" t="str">
        <f t="shared" si="10"/>
        <v>mRNA33: -&gt; E1_2_1_10_mRNA | 0.00292 - (0.0093 * E1_2_1_10_mRNA)</v>
      </c>
      <c r="N34" s="21" t="str">
        <f t="shared" si="11"/>
        <v>Peptide33:  E1_2_1_10_mRNA -&gt; E1_2_1_10 | (0.278 * E1_2_1_10_mRNA) - (0.00000278 * E1_2_1_10)</v>
      </c>
    </row>
    <row r="35" spans="1:14" x14ac:dyDescent="0.45">
      <c r="A35">
        <v>34</v>
      </c>
      <c r="B35" t="s">
        <v>14992</v>
      </c>
      <c r="C35" t="str">
        <f t="shared" si="1"/>
        <v>E1_2_1_11_mRNA</v>
      </c>
      <c r="D35" t="str">
        <f t="shared" si="0"/>
        <v>E1_2_1_11</v>
      </c>
      <c r="E35" s="30" t="str">
        <f t="shared" si="2"/>
        <v>E1_2_1_11_kcat : 13.7</v>
      </c>
      <c r="F35" s="31" t="str">
        <f t="shared" si="3"/>
        <v>E1_2_1_11_km : 1</v>
      </c>
      <c r="G35" s="21" t="str">
        <f t="shared" si="4"/>
        <v>E1_2_1_11_mRNA : E1_2_1_11_mRNA</v>
      </c>
      <c r="H35" s="32" t="str">
        <f t="shared" si="5"/>
        <v>E1_2_1_11 : E1_2_1_11</v>
      </c>
      <c r="I35" s="33" t="str">
        <f t="shared" si="6"/>
        <v>E1_2_1_11_mRNA : 0</v>
      </c>
      <c r="J35" s="34" t="str">
        <f t="shared" si="7"/>
        <v>E1_2_1_11 : 0</v>
      </c>
      <c r="K35" s="35" t="str">
        <f t="shared" si="8"/>
        <v>0.00292 - (0.0093 * E1_2_1_11_mRNA)</v>
      </c>
      <c r="L35" s="30" t="str">
        <f t="shared" si="9"/>
        <v>(0.278 * E1_2_1_11_mRNA) - (0.00000278 * E1_2_1_11)</v>
      </c>
      <c r="M35" s="36" t="str">
        <f t="shared" si="10"/>
        <v>mRNA34: -&gt; E1_2_1_11_mRNA | 0.00292 - (0.0093 * E1_2_1_11_mRNA)</v>
      </c>
      <c r="N35" s="21" t="str">
        <f t="shared" si="11"/>
        <v>Peptide34:  E1_2_1_11_mRNA -&gt; E1_2_1_11 | (0.278 * E1_2_1_11_mRNA) - (0.00000278 * E1_2_1_11)</v>
      </c>
    </row>
    <row r="36" spans="1:14" x14ac:dyDescent="0.45">
      <c r="A36">
        <v>35</v>
      </c>
      <c r="B36" t="s">
        <v>14993</v>
      </c>
      <c r="C36" t="str">
        <f t="shared" si="1"/>
        <v>E1_2_1_38_mRNA</v>
      </c>
      <c r="D36" t="str">
        <f t="shared" si="0"/>
        <v>E1_2_1_38</v>
      </c>
      <c r="E36" s="30" t="str">
        <f t="shared" si="2"/>
        <v>E1_2_1_38_kcat : 13.7</v>
      </c>
      <c r="F36" s="31" t="str">
        <f t="shared" si="3"/>
        <v>E1_2_1_38_km : 1</v>
      </c>
      <c r="G36" s="21" t="str">
        <f t="shared" si="4"/>
        <v>E1_2_1_38_mRNA : E1_2_1_38_mRNA</v>
      </c>
      <c r="H36" s="32" t="str">
        <f t="shared" si="5"/>
        <v>E1_2_1_38 : E1_2_1_38</v>
      </c>
      <c r="I36" s="33" t="str">
        <f t="shared" si="6"/>
        <v>E1_2_1_38_mRNA : 0</v>
      </c>
      <c r="J36" s="34" t="str">
        <f t="shared" si="7"/>
        <v>E1_2_1_38 : 0</v>
      </c>
      <c r="K36" s="35" t="str">
        <f t="shared" si="8"/>
        <v>0.00292 - (0.0093 * E1_2_1_38_mRNA)</v>
      </c>
      <c r="L36" s="30" t="str">
        <f t="shared" si="9"/>
        <v>(0.278 * E1_2_1_38_mRNA) - (0.00000278 * E1_2_1_38)</v>
      </c>
      <c r="M36" s="36" t="str">
        <f t="shared" si="10"/>
        <v>mRNA35: -&gt; E1_2_1_38_mRNA | 0.00292 - (0.0093 * E1_2_1_38_mRNA)</v>
      </c>
      <c r="N36" s="21" t="str">
        <f t="shared" si="11"/>
        <v>Peptide35:  E1_2_1_38_mRNA -&gt; E1_2_1_38 | (0.278 * E1_2_1_38_mRNA) - (0.00000278 * E1_2_1_38)</v>
      </c>
    </row>
    <row r="37" spans="1:14" x14ac:dyDescent="0.45">
      <c r="A37">
        <v>36</v>
      </c>
      <c r="B37" t="s">
        <v>14994</v>
      </c>
      <c r="C37" t="str">
        <f t="shared" si="1"/>
        <v>E1_2_7_4_mRNA</v>
      </c>
      <c r="D37" t="str">
        <f t="shared" si="0"/>
        <v>E1_2_7_4</v>
      </c>
      <c r="E37" s="30" t="str">
        <f t="shared" si="2"/>
        <v>E1_2_7_4_kcat : 13.7</v>
      </c>
      <c r="F37" s="31" t="str">
        <f t="shared" si="3"/>
        <v>E1_2_7_4_km : 1</v>
      </c>
      <c r="G37" s="21" t="str">
        <f t="shared" si="4"/>
        <v>E1_2_7_4_mRNA : E1_2_7_4_mRNA</v>
      </c>
      <c r="H37" s="32" t="str">
        <f t="shared" si="5"/>
        <v>E1_2_7_4 : E1_2_7_4</v>
      </c>
      <c r="I37" s="33" t="str">
        <f t="shared" si="6"/>
        <v>E1_2_7_4_mRNA : 0</v>
      </c>
      <c r="J37" s="34" t="str">
        <f t="shared" si="7"/>
        <v>E1_2_7_4 : 0</v>
      </c>
      <c r="K37" s="35" t="str">
        <f t="shared" si="8"/>
        <v>0.00292 - (0.0093 * E1_2_7_4_mRNA)</v>
      </c>
      <c r="L37" s="30" t="str">
        <f t="shared" si="9"/>
        <v>(0.278 * E1_2_7_4_mRNA) - (0.00000278 * E1_2_7_4)</v>
      </c>
      <c r="M37" s="36" t="str">
        <f t="shared" si="10"/>
        <v>mRNA36: -&gt; E1_2_7_4_mRNA | 0.00292 - (0.0093 * E1_2_7_4_mRNA)</v>
      </c>
      <c r="N37" s="21" t="str">
        <f t="shared" si="11"/>
        <v>Peptide36:  E1_2_7_4_mRNA -&gt; E1_2_7_4 | (0.278 * E1_2_7_4_mRNA) - (0.00000278 * E1_2_7_4)</v>
      </c>
    </row>
    <row r="38" spans="1:14" x14ac:dyDescent="0.45">
      <c r="A38">
        <v>37</v>
      </c>
      <c r="B38" t="s">
        <v>14995</v>
      </c>
      <c r="C38" t="str">
        <f t="shared" si="1"/>
        <v>E1_2_7_8_mRNA</v>
      </c>
      <c r="D38" t="str">
        <f t="shared" si="0"/>
        <v>E1_2_7_8</v>
      </c>
      <c r="E38" s="30" t="str">
        <f t="shared" si="2"/>
        <v>E1_2_7_8_kcat : 13.7</v>
      </c>
      <c r="F38" s="31" t="str">
        <f t="shared" si="3"/>
        <v>E1_2_7_8_km : 1</v>
      </c>
      <c r="G38" s="21" t="str">
        <f t="shared" si="4"/>
        <v>E1_2_7_8_mRNA : E1_2_7_8_mRNA</v>
      </c>
      <c r="H38" s="32" t="str">
        <f t="shared" si="5"/>
        <v>E1_2_7_8 : E1_2_7_8</v>
      </c>
      <c r="I38" s="33" t="str">
        <f t="shared" si="6"/>
        <v>E1_2_7_8_mRNA : 0</v>
      </c>
      <c r="J38" s="34" t="str">
        <f t="shared" si="7"/>
        <v>E1_2_7_8 : 0</v>
      </c>
      <c r="K38" s="35" t="str">
        <f t="shared" si="8"/>
        <v>0.00292 - (0.0093 * E1_2_7_8_mRNA)</v>
      </c>
      <c r="L38" s="30" t="str">
        <f t="shared" si="9"/>
        <v>(0.278 * E1_2_7_8_mRNA) - (0.00000278 * E1_2_7_8)</v>
      </c>
      <c r="M38" s="36" t="str">
        <f t="shared" si="10"/>
        <v>mRNA37: -&gt; E1_2_7_8_mRNA | 0.00292 - (0.0093 * E1_2_7_8_mRNA)</v>
      </c>
      <c r="N38" s="21" t="str">
        <f t="shared" si="11"/>
        <v>Peptide37:  E1_2_7_8_mRNA -&gt; E1_2_7_8 | (0.278 * E1_2_7_8_mRNA) - (0.00000278 * E1_2_7_8)</v>
      </c>
    </row>
    <row r="39" spans="1:14" x14ac:dyDescent="0.45">
      <c r="A39">
        <v>38</v>
      </c>
      <c r="B39" t="s">
        <v>14996</v>
      </c>
      <c r="C39" t="str">
        <f t="shared" si="1"/>
        <v>E1_21_4_1_mRNA</v>
      </c>
      <c r="D39" t="str">
        <f t="shared" si="0"/>
        <v>E1_21_4_1</v>
      </c>
      <c r="E39" s="30" t="str">
        <f t="shared" si="2"/>
        <v>E1_21_4_1_kcat : 13.7</v>
      </c>
      <c r="F39" s="31" t="str">
        <f t="shared" si="3"/>
        <v>E1_21_4_1_km : 1</v>
      </c>
      <c r="G39" s="21" t="str">
        <f t="shared" si="4"/>
        <v>E1_21_4_1_mRNA : E1_21_4_1_mRNA</v>
      </c>
      <c r="H39" s="32" t="str">
        <f t="shared" si="5"/>
        <v>E1_21_4_1 : E1_21_4_1</v>
      </c>
      <c r="I39" s="33" t="str">
        <f t="shared" si="6"/>
        <v>E1_21_4_1_mRNA : 0</v>
      </c>
      <c r="J39" s="34" t="str">
        <f t="shared" si="7"/>
        <v>E1_21_4_1 : 0</v>
      </c>
      <c r="K39" s="35" t="str">
        <f t="shared" si="8"/>
        <v>0.00292 - (0.0093 * E1_21_4_1_mRNA)</v>
      </c>
      <c r="L39" s="30" t="str">
        <f t="shared" si="9"/>
        <v>(0.278 * E1_21_4_1_mRNA) - (0.00000278 * E1_21_4_1)</v>
      </c>
      <c r="M39" s="36" t="str">
        <f t="shared" si="10"/>
        <v>mRNA38: -&gt; E1_21_4_1_mRNA | 0.00292 - (0.0093 * E1_21_4_1_mRNA)</v>
      </c>
      <c r="N39" s="21" t="str">
        <f t="shared" si="11"/>
        <v>Peptide38:  E1_21_4_1_mRNA -&gt; E1_21_4_1 | (0.278 * E1_21_4_1_mRNA) - (0.00000278 * E1_21_4_1)</v>
      </c>
    </row>
    <row r="40" spans="1:14" x14ac:dyDescent="0.45">
      <c r="A40">
        <v>39</v>
      </c>
      <c r="B40" t="s">
        <v>14997</v>
      </c>
      <c r="C40" t="str">
        <f t="shared" si="1"/>
        <v>E1_21_4_2_mRNA</v>
      </c>
      <c r="D40" t="str">
        <f t="shared" si="0"/>
        <v>E1_21_4_2</v>
      </c>
      <c r="E40" s="30" t="str">
        <f t="shared" si="2"/>
        <v>E1_21_4_2_kcat : 13.7</v>
      </c>
      <c r="F40" s="31" t="str">
        <f t="shared" si="3"/>
        <v>E1_21_4_2_km : 1</v>
      </c>
      <c r="G40" s="21" t="str">
        <f t="shared" si="4"/>
        <v>E1_21_4_2_mRNA : E1_21_4_2_mRNA</v>
      </c>
      <c r="H40" s="32" t="str">
        <f t="shared" si="5"/>
        <v>E1_21_4_2 : E1_21_4_2</v>
      </c>
      <c r="I40" s="33" t="str">
        <f t="shared" si="6"/>
        <v>E1_21_4_2_mRNA : 0</v>
      </c>
      <c r="J40" s="34" t="str">
        <f t="shared" si="7"/>
        <v>E1_21_4_2 : 0</v>
      </c>
      <c r="K40" s="35" t="str">
        <f t="shared" si="8"/>
        <v>0.00292 - (0.0093 * E1_21_4_2_mRNA)</v>
      </c>
      <c r="L40" s="30" t="str">
        <f t="shared" si="9"/>
        <v>(0.278 * E1_21_4_2_mRNA) - (0.00000278 * E1_21_4_2)</v>
      </c>
      <c r="M40" s="36" t="str">
        <f t="shared" si="10"/>
        <v>mRNA39: -&gt; E1_21_4_2_mRNA | 0.00292 - (0.0093 * E1_21_4_2_mRNA)</v>
      </c>
      <c r="N40" s="21" t="str">
        <f t="shared" si="11"/>
        <v>Peptide39:  E1_21_4_2_mRNA -&gt; E1_21_4_2 | (0.278 * E1_21_4_2_mRNA) - (0.00000278 * E1_21_4_2)</v>
      </c>
    </row>
    <row r="41" spans="1:14" x14ac:dyDescent="0.45">
      <c r="A41">
        <v>40</v>
      </c>
      <c r="B41" t="s">
        <v>14998</v>
      </c>
      <c r="C41" t="str">
        <f t="shared" si="1"/>
        <v>E1_21_4_3_mRNA</v>
      </c>
      <c r="D41" t="str">
        <f t="shared" si="0"/>
        <v>E1_21_4_3</v>
      </c>
      <c r="E41" s="30" t="str">
        <f t="shared" si="2"/>
        <v>E1_21_4_3_kcat : 13.7</v>
      </c>
      <c r="F41" s="31" t="str">
        <f t="shared" si="3"/>
        <v>E1_21_4_3_km : 1</v>
      </c>
      <c r="G41" s="21" t="str">
        <f t="shared" si="4"/>
        <v>E1_21_4_3_mRNA : E1_21_4_3_mRNA</v>
      </c>
      <c r="H41" s="32" t="str">
        <f t="shared" si="5"/>
        <v>E1_21_4_3 : E1_21_4_3</v>
      </c>
      <c r="I41" s="33" t="str">
        <f t="shared" si="6"/>
        <v>E1_21_4_3_mRNA : 0</v>
      </c>
      <c r="J41" s="34" t="str">
        <f t="shared" si="7"/>
        <v>E1_21_4_3 : 0</v>
      </c>
      <c r="K41" s="35" t="str">
        <f t="shared" si="8"/>
        <v>0.00292 - (0.0093 * E1_21_4_3_mRNA)</v>
      </c>
      <c r="L41" s="30" t="str">
        <f t="shared" si="9"/>
        <v>(0.278 * E1_21_4_3_mRNA) - (0.00000278 * E1_21_4_3)</v>
      </c>
      <c r="M41" s="36" t="str">
        <f t="shared" si="10"/>
        <v>mRNA40: -&gt; E1_21_4_3_mRNA | 0.00292 - (0.0093 * E1_21_4_3_mRNA)</v>
      </c>
      <c r="N41" s="21" t="str">
        <f t="shared" si="11"/>
        <v>Peptide40:  E1_21_4_3_mRNA -&gt; E1_21_4_3 | (0.278 * E1_21_4_3_mRNA) - (0.00000278 * E1_21_4_3)</v>
      </c>
    </row>
    <row r="42" spans="1:14" x14ac:dyDescent="0.45">
      <c r="A42">
        <v>41</v>
      </c>
      <c r="B42" t="s">
        <v>14999</v>
      </c>
      <c r="C42" t="str">
        <f t="shared" si="1"/>
        <v>E1_3_1_14_mRNA</v>
      </c>
      <c r="D42" t="str">
        <f t="shared" si="0"/>
        <v>E1_3_1_14</v>
      </c>
      <c r="E42" s="30" t="str">
        <f t="shared" si="2"/>
        <v>E1_3_1_14_kcat : 13.7</v>
      </c>
      <c r="F42" s="31" t="str">
        <f t="shared" si="3"/>
        <v>E1_3_1_14_km : 1</v>
      </c>
      <c r="G42" s="21" t="str">
        <f t="shared" si="4"/>
        <v>E1_3_1_14_mRNA : E1_3_1_14_mRNA</v>
      </c>
      <c r="H42" s="32" t="str">
        <f t="shared" si="5"/>
        <v>E1_3_1_14 : E1_3_1_14</v>
      </c>
      <c r="I42" s="33" t="str">
        <f t="shared" si="6"/>
        <v>E1_3_1_14_mRNA : 0</v>
      </c>
      <c r="J42" s="34" t="str">
        <f t="shared" si="7"/>
        <v>E1_3_1_14 : 0</v>
      </c>
      <c r="K42" s="35" t="str">
        <f t="shared" si="8"/>
        <v>0.00292 - (0.0093 * E1_3_1_14_mRNA)</v>
      </c>
      <c r="L42" s="30" t="str">
        <f t="shared" si="9"/>
        <v>(0.278 * E1_3_1_14_mRNA) - (0.00000278 * E1_3_1_14)</v>
      </c>
      <c r="M42" s="36" t="str">
        <f t="shared" si="10"/>
        <v>mRNA41: -&gt; E1_3_1_14_mRNA | 0.00292 - (0.0093 * E1_3_1_14_mRNA)</v>
      </c>
      <c r="N42" s="21" t="str">
        <f t="shared" si="11"/>
        <v>Peptide41:  E1_3_1_14_mRNA -&gt; E1_3_1_14 | (0.278 * E1_3_1_14_mRNA) - (0.00000278 * E1_3_1_14)</v>
      </c>
    </row>
    <row r="43" spans="1:14" x14ac:dyDescent="0.45">
      <c r="A43">
        <v>42</v>
      </c>
      <c r="B43" t="s">
        <v>15000</v>
      </c>
      <c r="C43" t="str">
        <f t="shared" si="1"/>
        <v>E1_3_1_54_mRNA</v>
      </c>
      <c r="D43" t="str">
        <f t="shared" si="0"/>
        <v>E1_3_1_54</v>
      </c>
      <c r="E43" s="30" t="str">
        <f t="shared" si="2"/>
        <v>E1_3_1_54_kcat : 13.7</v>
      </c>
      <c r="F43" s="31" t="str">
        <f t="shared" si="3"/>
        <v>E1_3_1_54_km : 1</v>
      </c>
      <c r="G43" s="21" t="str">
        <f t="shared" si="4"/>
        <v>E1_3_1_54_mRNA : E1_3_1_54_mRNA</v>
      </c>
      <c r="H43" s="32" t="str">
        <f t="shared" si="5"/>
        <v>E1_3_1_54 : E1_3_1_54</v>
      </c>
      <c r="I43" s="33" t="str">
        <f t="shared" si="6"/>
        <v>E1_3_1_54_mRNA : 0</v>
      </c>
      <c r="J43" s="34" t="str">
        <f t="shared" si="7"/>
        <v>E1_3_1_54 : 0</v>
      </c>
      <c r="K43" s="35" t="str">
        <f t="shared" si="8"/>
        <v>0.00292 - (0.0093 * E1_3_1_54_mRNA)</v>
      </c>
      <c r="L43" s="30" t="str">
        <f t="shared" si="9"/>
        <v>(0.278 * E1_3_1_54_mRNA) - (0.00000278 * E1_3_1_54)</v>
      </c>
      <c r="M43" s="36" t="str">
        <f t="shared" si="10"/>
        <v>mRNA42: -&gt; E1_3_1_54_mRNA | 0.00292 - (0.0093 * E1_3_1_54_mRNA)</v>
      </c>
      <c r="N43" s="21" t="str">
        <f t="shared" si="11"/>
        <v>Peptide42:  E1_3_1_54_mRNA -&gt; E1_3_1_54 | (0.278 * E1_3_1_54_mRNA) - (0.00000278 * E1_3_1_54)</v>
      </c>
    </row>
    <row r="44" spans="1:14" x14ac:dyDescent="0.45">
      <c r="A44">
        <v>43</v>
      </c>
      <c r="B44" t="s">
        <v>15001</v>
      </c>
      <c r="C44" t="str">
        <f t="shared" si="1"/>
        <v>E1_3_1_76_mRNA</v>
      </c>
      <c r="D44" t="str">
        <f t="shared" si="0"/>
        <v>E1_3_1_76</v>
      </c>
      <c r="E44" s="30" t="str">
        <f t="shared" si="2"/>
        <v>E1_3_1_76_kcat : 13.7</v>
      </c>
      <c r="F44" s="31" t="str">
        <f t="shared" si="3"/>
        <v>E1_3_1_76_km : 1</v>
      </c>
      <c r="G44" s="21" t="str">
        <f t="shared" si="4"/>
        <v>E1_3_1_76_mRNA : E1_3_1_76_mRNA</v>
      </c>
      <c r="H44" s="32" t="str">
        <f t="shared" si="5"/>
        <v>E1_3_1_76 : E1_3_1_76</v>
      </c>
      <c r="I44" s="33" t="str">
        <f t="shared" si="6"/>
        <v>E1_3_1_76_mRNA : 0</v>
      </c>
      <c r="J44" s="34" t="str">
        <f t="shared" si="7"/>
        <v>E1_3_1_76 : 0</v>
      </c>
      <c r="K44" s="35" t="str">
        <f t="shared" si="8"/>
        <v>0.00292 - (0.0093 * E1_3_1_76_mRNA)</v>
      </c>
      <c r="L44" s="30" t="str">
        <f t="shared" si="9"/>
        <v>(0.278 * E1_3_1_76_mRNA) - (0.00000278 * E1_3_1_76)</v>
      </c>
      <c r="M44" s="36" t="str">
        <f t="shared" si="10"/>
        <v>mRNA43: -&gt; E1_3_1_76_mRNA | 0.00292 - (0.0093 * E1_3_1_76_mRNA)</v>
      </c>
      <c r="N44" s="21" t="str">
        <f t="shared" si="11"/>
        <v>Peptide43:  E1_3_1_76_mRNA -&gt; E1_3_1_76 | (0.278 * E1_3_1_76_mRNA) - (0.00000278 * E1_3_1_76)</v>
      </c>
    </row>
    <row r="45" spans="1:14" x14ac:dyDescent="0.45">
      <c r="A45">
        <v>44</v>
      </c>
      <c r="B45" t="s">
        <v>15002</v>
      </c>
      <c r="C45" t="str">
        <f t="shared" si="1"/>
        <v>E1_3_1_95_mRNA</v>
      </c>
      <c r="D45" t="str">
        <f t="shared" si="0"/>
        <v>E1_3_1_95</v>
      </c>
      <c r="E45" s="30" t="str">
        <f t="shared" si="2"/>
        <v>E1_3_1_95_kcat : 13.7</v>
      </c>
      <c r="F45" s="31" t="str">
        <f t="shared" si="3"/>
        <v>E1_3_1_95_km : 1</v>
      </c>
      <c r="G45" s="21" t="str">
        <f t="shared" si="4"/>
        <v>E1_3_1_95_mRNA : E1_3_1_95_mRNA</v>
      </c>
      <c r="H45" s="32" t="str">
        <f t="shared" si="5"/>
        <v>E1_3_1_95 : E1_3_1_95</v>
      </c>
      <c r="I45" s="33" t="str">
        <f t="shared" si="6"/>
        <v>E1_3_1_95_mRNA : 0</v>
      </c>
      <c r="J45" s="34" t="str">
        <f t="shared" si="7"/>
        <v>E1_3_1_95 : 0</v>
      </c>
      <c r="K45" s="35" t="str">
        <f t="shared" si="8"/>
        <v>0.00292 - (0.0093 * E1_3_1_95_mRNA)</v>
      </c>
      <c r="L45" s="30" t="str">
        <f t="shared" si="9"/>
        <v>(0.278 * E1_3_1_95_mRNA) - (0.00000278 * E1_3_1_95)</v>
      </c>
      <c r="M45" s="36" t="str">
        <f t="shared" si="10"/>
        <v>mRNA44: -&gt; E1_3_1_95_mRNA | 0.00292 - (0.0093 * E1_3_1_95_mRNA)</v>
      </c>
      <c r="N45" s="21" t="str">
        <f t="shared" si="11"/>
        <v>Peptide44:  E1_3_1_95_mRNA -&gt; E1_3_1_95 | (0.278 * E1_3_1_95_mRNA) - (0.00000278 * E1_3_1_95)</v>
      </c>
    </row>
    <row r="46" spans="1:14" x14ac:dyDescent="0.45">
      <c r="A46">
        <v>45</v>
      </c>
      <c r="B46" t="s">
        <v>15003</v>
      </c>
      <c r="C46" t="str">
        <f t="shared" si="1"/>
        <v>E1_3_1_98_mRNA</v>
      </c>
      <c r="D46" t="str">
        <f t="shared" si="0"/>
        <v>E1_3_1_98</v>
      </c>
      <c r="E46" s="30" t="str">
        <f t="shared" si="2"/>
        <v>E1_3_1_98_kcat : 13.7</v>
      </c>
      <c r="F46" s="31" t="str">
        <f t="shared" si="3"/>
        <v>E1_3_1_98_km : 1</v>
      </c>
      <c r="G46" s="21" t="str">
        <f t="shared" si="4"/>
        <v>E1_3_1_98_mRNA : E1_3_1_98_mRNA</v>
      </c>
      <c r="H46" s="32" t="str">
        <f t="shared" si="5"/>
        <v>E1_3_1_98 : E1_3_1_98</v>
      </c>
      <c r="I46" s="33" t="str">
        <f t="shared" si="6"/>
        <v>E1_3_1_98_mRNA : 0</v>
      </c>
      <c r="J46" s="34" t="str">
        <f t="shared" si="7"/>
        <v>E1_3_1_98 : 0</v>
      </c>
      <c r="K46" s="35" t="str">
        <f t="shared" si="8"/>
        <v>0.00292 - (0.0093 * E1_3_1_98_mRNA)</v>
      </c>
      <c r="L46" s="30" t="str">
        <f t="shared" si="9"/>
        <v>(0.278 * E1_3_1_98_mRNA) - (0.00000278 * E1_3_1_98)</v>
      </c>
      <c r="M46" s="36" t="str">
        <f t="shared" si="10"/>
        <v>mRNA45: -&gt; E1_3_1_98_mRNA | 0.00292 - (0.0093 * E1_3_1_98_mRNA)</v>
      </c>
      <c r="N46" s="21" t="str">
        <f t="shared" si="11"/>
        <v>Peptide45:  E1_3_1_98_mRNA -&gt; E1_3_1_98 | (0.278 * E1_3_1_98_mRNA) - (0.00000278 * E1_3_1_98)</v>
      </c>
    </row>
    <row r="47" spans="1:14" x14ac:dyDescent="0.45">
      <c r="A47">
        <v>46</v>
      </c>
      <c r="B47" t="s">
        <v>15004</v>
      </c>
      <c r="C47" t="str">
        <f t="shared" si="1"/>
        <v>E1_4_1_13_mRNA</v>
      </c>
      <c r="D47" t="str">
        <f t="shared" si="0"/>
        <v>E1_4_1_13</v>
      </c>
      <c r="E47" s="30" t="str">
        <f t="shared" si="2"/>
        <v>E1_4_1_13_kcat : 13.7</v>
      </c>
      <c r="F47" s="31" t="str">
        <f t="shared" si="3"/>
        <v>E1_4_1_13_km : 1</v>
      </c>
      <c r="G47" s="21" t="str">
        <f t="shared" si="4"/>
        <v>E1_4_1_13_mRNA : E1_4_1_13_mRNA</v>
      </c>
      <c r="H47" s="32" t="str">
        <f t="shared" si="5"/>
        <v>E1_4_1_13 : E1_4_1_13</v>
      </c>
      <c r="I47" s="33" t="str">
        <f t="shared" si="6"/>
        <v>E1_4_1_13_mRNA : 0</v>
      </c>
      <c r="J47" s="34" t="str">
        <f t="shared" si="7"/>
        <v>E1_4_1_13 : 0</v>
      </c>
      <c r="K47" s="35" t="str">
        <f t="shared" si="8"/>
        <v>0.00292 - (0.0093 * E1_4_1_13_mRNA)</v>
      </c>
      <c r="L47" s="30" t="str">
        <f t="shared" si="9"/>
        <v>(0.278 * E1_4_1_13_mRNA) - (0.00000278 * E1_4_1_13)</v>
      </c>
      <c r="M47" s="36" t="str">
        <f t="shared" si="10"/>
        <v>mRNA46: -&gt; E1_4_1_13_mRNA | 0.00292 - (0.0093 * E1_4_1_13_mRNA)</v>
      </c>
      <c r="N47" s="21" t="str">
        <f t="shared" si="11"/>
        <v>Peptide46:  E1_4_1_13_mRNA -&gt; E1_4_1_13 | (0.278 * E1_4_1_13_mRNA) - (0.00000278 * E1_4_1_13)</v>
      </c>
    </row>
    <row r="48" spans="1:14" x14ac:dyDescent="0.45">
      <c r="A48">
        <v>47</v>
      </c>
      <c r="B48" t="s">
        <v>15005</v>
      </c>
      <c r="C48" t="str">
        <f t="shared" si="1"/>
        <v>E1_4_1_2_mRNA</v>
      </c>
      <c r="D48" t="str">
        <f t="shared" si="0"/>
        <v>E1_4_1_2</v>
      </c>
      <c r="E48" s="30" t="str">
        <f t="shared" si="2"/>
        <v>E1_4_1_2_kcat : 13.7</v>
      </c>
      <c r="F48" s="31" t="str">
        <f t="shared" si="3"/>
        <v>E1_4_1_2_km : 1</v>
      </c>
      <c r="G48" s="21" t="str">
        <f t="shared" si="4"/>
        <v>E1_4_1_2_mRNA : E1_4_1_2_mRNA</v>
      </c>
      <c r="H48" s="32" t="str">
        <f t="shared" si="5"/>
        <v>E1_4_1_2 : E1_4_1_2</v>
      </c>
      <c r="I48" s="33" t="str">
        <f t="shared" si="6"/>
        <v>E1_4_1_2_mRNA : 0</v>
      </c>
      <c r="J48" s="34" t="str">
        <f t="shared" si="7"/>
        <v>E1_4_1_2 : 0</v>
      </c>
      <c r="K48" s="35" t="str">
        <f t="shared" si="8"/>
        <v>0.00292 - (0.0093 * E1_4_1_2_mRNA)</v>
      </c>
      <c r="L48" s="30" t="str">
        <f t="shared" si="9"/>
        <v>(0.278 * E1_4_1_2_mRNA) - (0.00000278 * E1_4_1_2)</v>
      </c>
      <c r="M48" s="36" t="str">
        <f t="shared" si="10"/>
        <v>mRNA47: -&gt; E1_4_1_2_mRNA | 0.00292 - (0.0093 * E1_4_1_2_mRNA)</v>
      </c>
      <c r="N48" s="21" t="str">
        <f t="shared" si="11"/>
        <v>Peptide47:  E1_4_1_2_mRNA -&gt; E1_4_1_2 | (0.278 * E1_4_1_2_mRNA) - (0.00000278 * E1_4_1_2)</v>
      </c>
    </row>
    <row r="49" spans="1:14" x14ac:dyDescent="0.45">
      <c r="A49">
        <v>48</v>
      </c>
      <c r="B49" t="s">
        <v>15006</v>
      </c>
      <c r="C49" t="str">
        <f t="shared" si="1"/>
        <v>E1_4_3_16_mRNA</v>
      </c>
      <c r="D49" t="str">
        <f t="shared" si="0"/>
        <v>E1_4_3_16</v>
      </c>
      <c r="E49" s="30" t="str">
        <f t="shared" si="2"/>
        <v>E1_4_3_16_kcat : 13.7</v>
      </c>
      <c r="F49" s="31" t="str">
        <f t="shared" si="3"/>
        <v>E1_4_3_16_km : 1</v>
      </c>
      <c r="G49" s="21" t="str">
        <f t="shared" si="4"/>
        <v>E1_4_3_16_mRNA : E1_4_3_16_mRNA</v>
      </c>
      <c r="H49" s="32" t="str">
        <f t="shared" si="5"/>
        <v>E1_4_3_16 : E1_4_3_16</v>
      </c>
      <c r="I49" s="33" t="str">
        <f t="shared" si="6"/>
        <v>E1_4_3_16_mRNA : 0</v>
      </c>
      <c r="J49" s="34" t="str">
        <f t="shared" si="7"/>
        <v>E1_4_3_16 : 0</v>
      </c>
      <c r="K49" s="35" t="str">
        <f t="shared" si="8"/>
        <v>0.00292 - (0.0093 * E1_4_3_16_mRNA)</v>
      </c>
      <c r="L49" s="30" t="str">
        <f t="shared" si="9"/>
        <v>(0.278 * E1_4_3_16_mRNA) - (0.00000278 * E1_4_3_16)</v>
      </c>
      <c r="M49" s="36" t="str">
        <f t="shared" si="10"/>
        <v>mRNA48: -&gt; E1_4_3_16_mRNA | 0.00292 - (0.0093 * E1_4_3_16_mRNA)</v>
      </c>
      <c r="N49" s="21" t="str">
        <f t="shared" si="11"/>
        <v>Peptide48:  E1_4_3_16_mRNA -&gt; E1_4_3_16 | (0.278 * E1_4_3_16_mRNA) - (0.00000278 * E1_4_3_16)</v>
      </c>
    </row>
    <row r="50" spans="1:14" x14ac:dyDescent="0.45">
      <c r="A50">
        <v>49</v>
      </c>
      <c r="B50" t="s">
        <v>15007</v>
      </c>
      <c r="C50" t="str">
        <f t="shared" si="1"/>
        <v>E1_4_4_2_mRNA</v>
      </c>
      <c r="D50" t="str">
        <f t="shared" si="0"/>
        <v>E1_4_4_2</v>
      </c>
      <c r="E50" s="30" t="str">
        <f t="shared" si="2"/>
        <v>E1_4_4_2_kcat : 13.7</v>
      </c>
      <c r="F50" s="31" t="str">
        <f t="shared" si="3"/>
        <v>E1_4_4_2_km : 1</v>
      </c>
      <c r="G50" s="21" t="str">
        <f t="shared" si="4"/>
        <v>E1_4_4_2_mRNA : E1_4_4_2_mRNA</v>
      </c>
      <c r="H50" s="32" t="str">
        <f t="shared" si="5"/>
        <v>E1_4_4_2 : E1_4_4_2</v>
      </c>
      <c r="I50" s="33" t="str">
        <f t="shared" si="6"/>
        <v>E1_4_4_2_mRNA : 0</v>
      </c>
      <c r="J50" s="34" t="str">
        <f t="shared" si="7"/>
        <v>E1_4_4_2 : 0</v>
      </c>
      <c r="K50" s="35" t="str">
        <f t="shared" si="8"/>
        <v>0.00292 - (0.0093 * E1_4_4_2_mRNA)</v>
      </c>
      <c r="L50" s="30" t="str">
        <f t="shared" si="9"/>
        <v>(0.278 * E1_4_4_2_mRNA) - (0.00000278 * E1_4_4_2)</v>
      </c>
      <c r="M50" s="36" t="str">
        <f t="shared" si="10"/>
        <v>mRNA49: -&gt; E1_4_4_2_mRNA | 0.00292 - (0.0093 * E1_4_4_2_mRNA)</v>
      </c>
      <c r="N50" s="21" t="str">
        <f t="shared" si="11"/>
        <v>Peptide49:  E1_4_4_2_mRNA -&gt; E1_4_4_2 | (0.278 * E1_4_4_2_mRNA) - (0.00000278 * E1_4_4_2)</v>
      </c>
    </row>
    <row r="51" spans="1:14" x14ac:dyDescent="0.45">
      <c r="A51">
        <v>50</v>
      </c>
      <c r="B51" t="s">
        <v>15008</v>
      </c>
      <c r="C51" t="str">
        <f t="shared" si="1"/>
        <v>E1_5_1_2_mRNA</v>
      </c>
      <c r="D51" t="str">
        <f t="shared" si="0"/>
        <v>E1_5_1_2</v>
      </c>
      <c r="E51" s="30" t="str">
        <f t="shared" si="2"/>
        <v>E1_5_1_2_kcat : 13.7</v>
      </c>
      <c r="F51" s="31" t="str">
        <f t="shared" si="3"/>
        <v>E1_5_1_2_km : 1</v>
      </c>
      <c r="G51" s="21" t="str">
        <f t="shared" si="4"/>
        <v>E1_5_1_2_mRNA : E1_5_1_2_mRNA</v>
      </c>
      <c r="H51" s="32" t="str">
        <f t="shared" si="5"/>
        <v>E1_5_1_2 : E1_5_1_2</v>
      </c>
      <c r="I51" s="33" t="str">
        <f t="shared" si="6"/>
        <v>E1_5_1_2_mRNA : 0</v>
      </c>
      <c r="J51" s="34" t="str">
        <f t="shared" si="7"/>
        <v>E1_5_1_2 : 0</v>
      </c>
      <c r="K51" s="35" t="str">
        <f t="shared" si="8"/>
        <v>0.00292 - (0.0093 * E1_5_1_2_mRNA)</v>
      </c>
      <c r="L51" s="30" t="str">
        <f t="shared" si="9"/>
        <v>(0.278 * E1_5_1_2_mRNA) - (0.00000278 * E1_5_1_2)</v>
      </c>
      <c r="M51" s="36" t="str">
        <f t="shared" si="10"/>
        <v>mRNA50: -&gt; E1_5_1_2_mRNA | 0.00292 - (0.0093 * E1_5_1_2_mRNA)</v>
      </c>
      <c r="N51" s="21" t="str">
        <f t="shared" si="11"/>
        <v>Peptide50:  E1_5_1_2_mRNA -&gt; E1_5_1_2 | (0.278 * E1_5_1_2_mRNA) - (0.00000278 * E1_5_1_2)</v>
      </c>
    </row>
    <row r="52" spans="1:14" x14ac:dyDescent="0.45">
      <c r="A52">
        <v>51</v>
      </c>
      <c r="B52" t="s">
        <v>15009</v>
      </c>
      <c r="C52" t="str">
        <f t="shared" si="1"/>
        <v>E1_5_1_20_mRNA</v>
      </c>
      <c r="D52" t="str">
        <f t="shared" si="0"/>
        <v>E1_5_1_20</v>
      </c>
      <c r="E52" s="30" t="str">
        <f t="shared" si="2"/>
        <v>E1_5_1_20_kcat : 13.7</v>
      </c>
      <c r="F52" s="31" t="str">
        <f t="shared" si="3"/>
        <v>E1_5_1_20_km : 1</v>
      </c>
      <c r="G52" s="21" t="str">
        <f t="shared" si="4"/>
        <v>E1_5_1_20_mRNA : E1_5_1_20_mRNA</v>
      </c>
      <c r="H52" s="32" t="str">
        <f t="shared" si="5"/>
        <v>E1_5_1_20 : E1_5_1_20</v>
      </c>
      <c r="I52" s="33" t="str">
        <f t="shared" si="6"/>
        <v>E1_5_1_20_mRNA : 0</v>
      </c>
      <c r="J52" s="34" t="str">
        <f t="shared" si="7"/>
        <v>E1_5_1_20 : 0</v>
      </c>
      <c r="K52" s="35" t="str">
        <f t="shared" si="8"/>
        <v>0.00292 - (0.0093 * E1_5_1_20_mRNA)</v>
      </c>
      <c r="L52" s="30" t="str">
        <f t="shared" si="9"/>
        <v>(0.278 * E1_5_1_20_mRNA) - (0.00000278 * E1_5_1_20)</v>
      </c>
      <c r="M52" s="36" t="str">
        <f t="shared" si="10"/>
        <v>mRNA51: -&gt; E1_5_1_20_mRNA | 0.00292 - (0.0093 * E1_5_1_20_mRNA)</v>
      </c>
      <c r="N52" s="21" t="str">
        <f t="shared" si="11"/>
        <v>Peptide51:  E1_5_1_20_mRNA -&gt; E1_5_1_20 | (0.278 * E1_5_1_20_mRNA) - (0.00000278 * E1_5_1_20)</v>
      </c>
    </row>
    <row r="53" spans="1:14" x14ac:dyDescent="0.45">
      <c r="A53">
        <v>52</v>
      </c>
      <c r="B53" t="s">
        <v>15010</v>
      </c>
      <c r="C53" t="str">
        <f t="shared" si="1"/>
        <v>E1_5_1_3_mRNA</v>
      </c>
      <c r="D53" t="str">
        <f t="shared" si="0"/>
        <v>E1_5_1_3</v>
      </c>
      <c r="E53" s="30" t="str">
        <f t="shared" si="2"/>
        <v>E1_5_1_3_kcat : 13.7</v>
      </c>
      <c r="F53" s="31" t="str">
        <f t="shared" si="3"/>
        <v>E1_5_1_3_km : 1</v>
      </c>
      <c r="G53" s="21" t="str">
        <f t="shared" si="4"/>
        <v>E1_5_1_3_mRNA : E1_5_1_3_mRNA</v>
      </c>
      <c r="H53" s="32" t="str">
        <f t="shared" si="5"/>
        <v>E1_5_1_3 : E1_5_1_3</v>
      </c>
      <c r="I53" s="33" t="str">
        <f t="shared" si="6"/>
        <v>E1_5_1_3_mRNA : 0</v>
      </c>
      <c r="J53" s="34" t="str">
        <f t="shared" si="7"/>
        <v>E1_5_1_3 : 0</v>
      </c>
      <c r="K53" s="35" t="str">
        <f t="shared" si="8"/>
        <v>0.00292 - (0.0093 * E1_5_1_3_mRNA)</v>
      </c>
      <c r="L53" s="30" t="str">
        <f t="shared" si="9"/>
        <v>(0.278 * E1_5_1_3_mRNA) - (0.00000278 * E1_5_1_3)</v>
      </c>
      <c r="M53" s="36" t="str">
        <f t="shared" si="10"/>
        <v>mRNA52: -&gt; E1_5_1_3_mRNA | 0.00292 - (0.0093 * E1_5_1_3_mRNA)</v>
      </c>
      <c r="N53" s="21" t="str">
        <f t="shared" si="11"/>
        <v>Peptide52:  E1_5_1_3_mRNA -&gt; E1_5_1_3 | (0.278 * E1_5_1_3_mRNA) - (0.00000278 * E1_5_1_3)</v>
      </c>
    </row>
    <row r="54" spans="1:14" x14ac:dyDescent="0.45">
      <c r="A54">
        <v>53</v>
      </c>
      <c r="B54" t="s">
        <v>15011</v>
      </c>
      <c r="C54" t="str">
        <f t="shared" si="1"/>
        <v>E1_5_1_5_mRNA</v>
      </c>
      <c r="D54" t="str">
        <f t="shared" si="0"/>
        <v>E1_5_1_5</v>
      </c>
      <c r="E54" s="30" t="str">
        <f t="shared" si="2"/>
        <v>E1_5_1_5_kcat : 13.7</v>
      </c>
      <c r="F54" s="31" t="str">
        <f t="shared" si="3"/>
        <v>E1_5_1_5_km : 1</v>
      </c>
      <c r="G54" s="21" t="str">
        <f t="shared" si="4"/>
        <v>E1_5_1_5_mRNA : E1_5_1_5_mRNA</v>
      </c>
      <c r="H54" s="32" t="str">
        <f t="shared" si="5"/>
        <v>E1_5_1_5 : E1_5_1_5</v>
      </c>
      <c r="I54" s="33" t="str">
        <f t="shared" si="6"/>
        <v>E1_5_1_5_mRNA : 0</v>
      </c>
      <c r="J54" s="34" t="str">
        <f t="shared" si="7"/>
        <v>E1_5_1_5 : 0</v>
      </c>
      <c r="K54" s="35" t="str">
        <f t="shared" si="8"/>
        <v>0.00292 - (0.0093 * E1_5_1_5_mRNA)</v>
      </c>
      <c r="L54" s="30" t="str">
        <f t="shared" si="9"/>
        <v>(0.278 * E1_5_1_5_mRNA) - (0.00000278 * E1_5_1_5)</v>
      </c>
      <c r="M54" s="36" t="str">
        <f t="shared" si="10"/>
        <v>mRNA53: -&gt; E1_5_1_5_mRNA | 0.00292 - (0.0093 * E1_5_1_5_mRNA)</v>
      </c>
      <c r="N54" s="21" t="str">
        <f t="shared" si="11"/>
        <v>Peptide53:  E1_5_1_5_mRNA -&gt; E1_5_1_5 | (0.278 * E1_5_1_5_mRNA) - (0.00000278 * E1_5_1_5)</v>
      </c>
    </row>
    <row r="55" spans="1:14" x14ac:dyDescent="0.45">
      <c r="A55">
        <v>54</v>
      </c>
      <c r="B55" t="s">
        <v>15012</v>
      </c>
      <c r="C55" t="str">
        <f t="shared" si="1"/>
        <v>E1_7_99_1_mRNA</v>
      </c>
      <c r="D55" t="str">
        <f t="shared" si="0"/>
        <v>E1_7_99_1</v>
      </c>
      <c r="E55" s="30" t="str">
        <f t="shared" si="2"/>
        <v>E1_7_99_1_kcat : 13.7</v>
      </c>
      <c r="F55" s="31" t="str">
        <f t="shared" si="3"/>
        <v>E1_7_99_1_km : 1</v>
      </c>
      <c r="G55" s="21" t="str">
        <f t="shared" si="4"/>
        <v>E1_7_99_1_mRNA : E1_7_99_1_mRNA</v>
      </c>
      <c r="H55" s="32" t="str">
        <f t="shared" si="5"/>
        <v>E1_7_99_1 : E1_7_99_1</v>
      </c>
      <c r="I55" s="33" t="str">
        <f t="shared" si="6"/>
        <v>E1_7_99_1_mRNA : 0</v>
      </c>
      <c r="J55" s="34" t="str">
        <f t="shared" si="7"/>
        <v>E1_7_99_1 : 0</v>
      </c>
      <c r="K55" s="35" t="str">
        <f t="shared" si="8"/>
        <v>0.00292 - (0.0093 * E1_7_99_1_mRNA)</v>
      </c>
      <c r="L55" s="30" t="str">
        <f t="shared" si="9"/>
        <v>(0.278 * E1_7_99_1_mRNA) - (0.00000278 * E1_7_99_1)</v>
      </c>
      <c r="M55" s="36" t="str">
        <f t="shared" si="10"/>
        <v>mRNA54: -&gt; E1_7_99_1_mRNA | 0.00292 - (0.0093 * E1_7_99_1_mRNA)</v>
      </c>
      <c r="N55" s="21" t="str">
        <f t="shared" si="11"/>
        <v>Peptide54:  E1_7_99_1_mRNA -&gt; E1_7_99_1 | (0.278 * E1_7_99_1_mRNA) - (0.00000278 * E1_7_99_1)</v>
      </c>
    </row>
    <row r="56" spans="1:14" x14ac:dyDescent="0.45">
      <c r="A56">
        <v>55</v>
      </c>
      <c r="B56" t="s">
        <v>15013</v>
      </c>
      <c r="C56" t="str">
        <f t="shared" si="1"/>
        <v>E1_8_1_14_mRNA</v>
      </c>
      <c r="D56" t="str">
        <f t="shared" si="0"/>
        <v>E1_8_1_14</v>
      </c>
      <c r="E56" s="30" t="str">
        <f t="shared" si="2"/>
        <v>E1_8_1_14_kcat : 13.7</v>
      </c>
      <c r="F56" s="31" t="str">
        <f t="shared" si="3"/>
        <v>E1_8_1_14_km : 1</v>
      </c>
      <c r="G56" s="21" t="str">
        <f t="shared" si="4"/>
        <v>E1_8_1_14_mRNA : E1_8_1_14_mRNA</v>
      </c>
      <c r="H56" s="32" t="str">
        <f t="shared" si="5"/>
        <v>E1_8_1_14 : E1_8_1_14</v>
      </c>
      <c r="I56" s="33" t="str">
        <f t="shared" si="6"/>
        <v>E1_8_1_14_mRNA : 0</v>
      </c>
      <c r="J56" s="34" t="str">
        <f t="shared" si="7"/>
        <v>E1_8_1_14 : 0</v>
      </c>
      <c r="K56" s="35" t="str">
        <f t="shared" si="8"/>
        <v>0.00292 - (0.0093 * E1_8_1_14_mRNA)</v>
      </c>
      <c r="L56" s="30" t="str">
        <f t="shared" si="9"/>
        <v>(0.278 * E1_8_1_14_mRNA) - (0.00000278 * E1_8_1_14)</v>
      </c>
      <c r="M56" s="36" t="str">
        <f t="shared" si="10"/>
        <v>mRNA55: -&gt; E1_8_1_14_mRNA | 0.00292 - (0.0093 * E1_8_1_14_mRNA)</v>
      </c>
      <c r="N56" s="21" t="str">
        <f t="shared" si="11"/>
        <v>Peptide55:  E1_8_1_14_mRNA -&gt; E1_8_1_14 | (0.278 * E1_8_1_14_mRNA) - (0.00000278 * E1_8_1_14)</v>
      </c>
    </row>
    <row r="57" spans="1:14" x14ac:dyDescent="0.45">
      <c r="A57">
        <v>56</v>
      </c>
      <c r="B57" t="s">
        <v>15014</v>
      </c>
      <c r="C57" t="str">
        <f t="shared" si="1"/>
        <v>E1_8_1_4_mRNA</v>
      </c>
      <c r="D57" t="str">
        <f t="shared" si="0"/>
        <v>E1_8_1_4</v>
      </c>
      <c r="E57" s="30" t="str">
        <f t="shared" si="2"/>
        <v>E1_8_1_4_kcat : 13.7</v>
      </c>
      <c r="F57" s="31" t="str">
        <f t="shared" si="3"/>
        <v>E1_8_1_4_km : 1</v>
      </c>
      <c r="G57" s="21" t="str">
        <f t="shared" si="4"/>
        <v>E1_8_1_4_mRNA : E1_8_1_4_mRNA</v>
      </c>
      <c r="H57" s="32" t="str">
        <f t="shared" si="5"/>
        <v>E1_8_1_4 : E1_8_1_4</v>
      </c>
      <c r="I57" s="33" t="str">
        <f t="shared" si="6"/>
        <v>E1_8_1_4_mRNA : 0</v>
      </c>
      <c r="J57" s="34" t="str">
        <f t="shared" si="7"/>
        <v>E1_8_1_4 : 0</v>
      </c>
      <c r="K57" s="35" t="str">
        <f t="shared" si="8"/>
        <v>0.00292 - (0.0093 * E1_8_1_4_mRNA)</v>
      </c>
      <c r="L57" s="30" t="str">
        <f t="shared" si="9"/>
        <v>(0.278 * E1_8_1_4_mRNA) - (0.00000278 * E1_8_1_4)</v>
      </c>
      <c r="M57" s="36" t="str">
        <f t="shared" si="10"/>
        <v>mRNA56: -&gt; E1_8_1_4_mRNA | 0.00292 - (0.0093 * E1_8_1_4_mRNA)</v>
      </c>
      <c r="N57" s="21" t="str">
        <f t="shared" si="11"/>
        <v>Peptide56:  E1_8_1_4_mRNA -&gt; E1_8_1_4 | (0.278 * E1_8_1_4_mRNA) - (0.00000278 * E1_8_1_4)</v>
      </c>
    </row>
    <row r="58" spans="1:14" x14ac:dyDescent="0.45">
      <c r="A58">
        <v>57</v>
      </c>
      <c r="B58" t="s">
        <v>15015</v>
      </c>
      <c r="C58" t="str">
        <f t="shared" si="1"/>
        <v>E1_8_1_9_mRNA</v>
      </c>
      <c r="D58" t="str">
        <f t="shared" si="0"/>
        <v>E1_8_1_9</v>
      </c>
      <c r="E58" s="30" t="str">
        <f t="shared" si="2"/>
        <v>E1_8_1_9_kcat : 13.7</v>
      </c>
      <c r="F58" s="31" t="str">
        <f t="shared" si="3"/>
        <v>E1_8_1_9_km : 1</v>
      </c>
      <c r="G58" s="21" t="str">
        <f t="shared" si="4"/>
        <v>E1_8_1_9_mRNA : E1_8_1_9_mRNA</v>
      </c>
      <c r="H58" s="32" t="str">
        <f t="shared" si="5"/>
        <v>E1_8_1_9 : E1_8_1_9</v>
      </c>
      <c r="I58" s="33" t="str">
        <f t="shared" si="6"/>
        <v>E1_8_1_9_mRNA : 0</v>
      </c>
      <c r="J58" s="34" t="str">
        <f t="shared" si="7"/>
        <v>E1_8_1_9 : 0</v>
      </c>
      <c r="K58" s="35" t="str">
        <f t="shared" si="8"/>
        <v>0.00292 - (0.0093 * E1_8_1_9_mRNA)</v>
      </c>
      <c r="L58" s="30" t="str">
        <f t="shared" si="9"/>
        <v>(0.278 * E1_8_1_9_mRNA) - (0.00000278 * E1_8_1_9)</v>
      </c>
      <c r="M58" s="36" t="str">
        <f t="shared" si="10"/>
        <v>mRNA57: -&gt; E1_8_1_9_mRNA | 0.00292 - (0.0093 * E1_8_1_9_mRNA)</v>
      </c>
      <c r="N58" s="21" t="str">
        <f t="shared" si="11"/>
        <v>Peptide57:  E1_8_1_9_mRNA -&gt; E1_8_1_9 | (0.278 * E1_8_1_9_mRNA) - (0.00000278 * E1_8_1_9)</v>
      </c>
    </row>
    <row r="59" spans="1:14" x14ac:dyDescent="0.45">
      <c r="A59">
        <v>58</v>
      </c>
      <c r="B59" t="s">
        <v>15016</v>
      </c>
      <c r="C59" t="str">
        <f t="shared" si="1"/>
        <v>E1_8_4_11_mRNA</v>
      </c>
      <c r="D59" t="str">
        <f t="shared" si="0"/>
        <v>E1_8_4_11</v>
      </c>
      <c r="E59" s="30" t="str">
        <f t="shared" si="2"/>
        <v>E1_8_4_11_kcat : 13.7</v>
      </c>
      <c r="F59" s="31" t="str">
        <f t="shared" si="3"/>
        <v>E1_8_4_11_km : 1</v>
      </c>
      <c r="G59" s="21" t="str">
        <f t="shared" si="4"/>
        <v>E1_8_4_11_mRNA : E1_8_4_11_mRNA</v>
      </c>
      <c r="H59" s="32" t="str">
        <f t="shared" si="5"/>
        <v>E1_8_4_11 : E1_8_4_11</v>
      </c>
      <c r="I59" s="33" t="str">
        <f t="shared" si="6"/>
        <v>E1_8_4_11_mRNA : 0</v>
      </c>
      <c r="J59" s="34" t="str">
        <f t="shared" si="7"/>
        <v>E1_8_4_11 : 0</v>
      </c>
      <c r="K59" s="35" t="str">
        <f t="shared" si="8"/>
        <v>0.00292 - (0.0093 * E1_8_4_11_mRNA)</v>
      </c>
      <c r="L59" s="30" t="str">
        <f t="shared" si="9"/>
        <v>(0.278 * E1_8_4_11_mRNA) - (0.00000278 * E1_8_4_11)</v>
      </c>
      <c r="M59" s="36" t="str">
        <f t="shared" si="10"/>
        <v>mRNA58: -&gt; E1_8_4_11_mRNA | 0.00292 - (0.0093 * E1_8_4_11_mRNA)</v>
      </c>
      <c r="N59" s="21" t="str">
        <f t="shared" si="11"/>
        <v>Peptide58:  E1_8_4_11_mRNA -&gt; E1_8_4_11 | (0.278 * E1_8_4_11_mRNA) - (0.00000278 * E1_8_4_11)</v>
      </c>
    </row>
    <row r="60" spans="1:14" x14ac:dyDescent="0.45">
      <c r="A60">
        <v>59</v>
      </c>
      <c r="B60" t="s">
        <v>15017</v>
      </c>
      <c r="C60" t="str">
        <f t="shared" si="1"/>
        <v>E1_97_1_4_mRNA</v>
      </c>
      <c r="D60" t="str">
        <f t="shared" si="0"/>
        <v>E1_97_1_4</v>
      </c>
      <c r="E60" s="30" t="str">
        <f t="shared" si="2"/>
        <v>E1_97_1_4_kcat : 13.7</v>
      </c>
      <c r="F60" s="31" t="str">
        <f t="shared" si="3"/>
        <v>E1_97_1_4_km : 1</v>
      </c>
      <c r="G60" s="21" t="str">
        <f t="shared" si="4"/>
        <v>E1_97_1_4_mRNA : E1_97_1_4_mRNA</v>
      </c>
      <c r="H60" s="32" t="str">
        <f t="shared" si="5"/>
        <v>E1_97_1_4 : E1_97_1_4</v>
      </c>
      <c r="I60" s="33" t="str">
        <f t="shared" si="6"/>
        <v>E1_97_1_4_mRNA : 0</v>
      </c>
      <c r="J60" s="34" t="str">
        <f t="shared" si="7"/>
        <v>E1_97_1_4 : 0</v>
      </c>
      <c r="K60" s="35" t="str">
        <f t="shared" si="8"/>
        <v>0.00292 - (0.0093 * E1_97_1_4_mRNA)</v>
      </c>
      <c r="L60" s="30" t="str">
        <f t="shared" si="9"/>
        <v>(0.278 * E1_97_1_4_mRNA) - (0.00000278 * E1_97_1_4)</v>
      </c>
      <c r="M60" s="36" t="str">
        <f t="shared" si="10"/>
        <v>mRNA59: -&gt; E1_97_1_4_mRNA | 0.00292 - (0.0093 * E1_97_1_4_mRNA)</v>
      </c>
      <c r="N60" s="21" t="str">
        <f t="shared" si="11"/>
        <v>Peptide59:  E1_97_1_4_mRNA -&gt; E1_97_1_4 | (0.278 * E1_97_1_4_mRNA) - (0.00000278 * E1_97_1_4)</v>
      </c>
    </row>
    <row r="61" spans="1:14" x14ac:dyDescent="0.45">
      <c r="A61">
        <v>60</v>
      </c>
      <c r="B61" t="s">
        <v>15018</v>
      </c>
      <c r="C61" t="str">
        <f t="shared" si="1"/>
        <v>E2_1_1_107_mRNA</v>
      </c>
      <c r="D61" t="str">
        <f t="shared" si="0"/>
        <v>E2_1_1_107</v>
      </c>
      <c r="E61" s="30" t="str">
        <f t="shared" si="2"/>
        <v>E2_1_1_107_kcat : 13.7</v>
      </c>
      <c r="F61" s="31" t="str">
        <f t="shared" si="3"/>
        <v>E2_1_1_107_km : 1</v>
      </c>
      <c r="G61" s="21" t="str">
        <f t="shared" si="4"/>
        <v>E2_1_1_107_mRNA : E2_1_1_107_mRNA</v>
      </c>
      <c r="H61" s="32" t="str">
        <f t="shared" si="5"/>
        <v>E2_1_1_107 : E2_1_1_107</v>
      </c>
      <c r="I61" s="33" t="str">
        <f t="shared" si="6"/>
        <v>E2_1_1_107_mRNA : 0</v>
      </c>
      <c r="J61" s="34" t="str">
        <f t="shared" si="7"/>
        <v>E2_1_1_107 : 0</v>
      </c>
      <c r="K61" s="35" t="str">
        <f t="shared" si="8"/>
        <v>0.00292 - (0.0093 * E2_1_1_107_mRNA)</v>
      </c>
      <c r="L61" s="30" t="str">
        <f t="shared" si="9"/>
        <v>(0.278 * E2_1_1_107_mRNA) - (0.00000278 * E2_1_1_107)</v>
      </c>
      <c r="M61" s="36" t="str">
        <f t="shared" si="10"/>
        <v>mRNA60: -&gt; E2_1_1_107_mRNA | 0.00292 - (0.0093 * E2_1_1_107_mRNA)</v>
      </c>
      <c r="N61" s="21" t="str">
        <f t="shared" si="11"/>
        <v>Peptide60:  E2_1_1_107_mRNA -&gt; E2_1_1_107 | (0.278 * E2_1_1_107_mRNA) - (0.00000278 * E2_1_1_107)</v>
      </c>
    </row>
    <row r="62" spans="1:14" x14ac:dyDescent="0.45">
      <c r="A62">
        <v>61</v>
      </c>
      <c r="B62" t="s">
        <v>15019</v>
      </c>
      <c r="C62" t="str">
        <f t="shared" si="1"/>
        <v>E2_1_1_131_mRNA</v>
      </c>
      <c r="D62" t="str">
        <f t="shared" si="0"/>
        <v>E2_1_1_131</v>
      </c>
      <c r="E62" s="30" t="str">
        <f t="shared" si="2"/>
        <v>E2_1_1_131_kcat : 13.7</v>
      </c>
      <c r="F62" s="31" t="str">
        <f t="shared" si="3"/>
        <v>E2_1_1_131_km : 1</v>
      </c>
      <c r="G62" s="21" t="str">
        <f t="shared" si="4"/>
        <v>E2_1_1_131_mRNA : E2_1_1_131_mRNA</v>
      </c>
      <c r="H62" s="32" t="str">
        <f t="shared" si="5"/>
        <v>E2_1_1_131 : E2_1_1_131</v>
      </c>
      <c r="I62" s="33" t="str">
        <f t="shared" si="6"/>
        <v>E2_1_1_131_mRNA : 0</v>
      </c>
      <c r="J62" s="34" t="str">
        <f t="shared" si="7"/>
        <v>E2_1_1_131 : 0</v>
      </c>
      <c r="K62" s="35" t="str">
        <f t="shared" si="8"/>
        <v>0.00292 - (0.0093 * E2_1_1_131_mRNA)</v>
      </c>
      <c r="L62" s="30" t="str">
        <f t="shared" si="9"/>
        <v>(0.278 * E2_1_1_131_mRNA) - (0.00000278 * E2_1_1_131)</v>
      </c>
      <c r="M62" s="36" t="str">
        <f t="shared" si="10"/>
        <v>mRNA61: -&gt; E2_1_1_131_mRNA | 0.00292 - (0.0093 * E2_1_1_131_mRNA)</v>
      </c>
      <c r="N62" s="21" t="str">
        <f t="shared" si="11"/>
        <v>Peptide61:  E2_1_1_131_mRNA -&gt; E2_1_1_131 | (0.278 * E2_1_1_131_mRNA) - (0.00000278 * E2_1_1_131)</v>
      </c>
    </row>
    <row r="63" spans="1:14" x14ac:dyDescent="0.45">
      <c r="A63">
        <v>62</v>
      </c>
      <c r="B63" t="s">
        <v>15020</v>
      </c>
      <c r="C63" t="str">
        <f t="shared" si="1"/>
        <v>E2_1_1_151_mRNA</v>
      </c>
      <c r="D63" t="str">
        <f t="shared" si="0"/>
        <v>E2_1_1_151</v>
      </c>
      <c r="E63" s="30" t="str">
        <f t="shared" si="2"/>
        <v>E2_1_1_151_kcat : 13.7</v>
      </c>
      <c r="F63" s="31" t="str">
        <f t="shared" si="3"/>
        <v>E2_1_1_151_km : 1</v>
      </c>
      <c r="G63" s="21" t="str">
        <f t="shared" si="4"/>
        <v>E2_1_1_151_mRNA : E2_1_1_151_mRNA</v>
      </c>
      <c r="H63" s="32" t="str">
        <f t="shared" si="5"/>
        <v>E2_1_1_151 : E2_1_1_151</v>
      </c>
      <c r="I63" s="33" t="str">
        <f t="shared" si="6"/>
        <v>E2_1_1_151_mRNA : 0</v>
      </c>
      <c r="J63" s="34" t="str">
        <f t="shared" si="7"/>
        <v>E2_1_1_151 : 0</v>
      </c>
      <c r="K63" s="35" t="str">
        <f t="shared" si="8"/>
        <v>0.00292 - (0.0093 * E2_1_1_151_mRNA)</v>
      </c>
      <c r="L63" s="30" t="str">
        <f t="shared" si="9"/>
        <v>(0.278 * E2_1_1_151_mRNA) - (0.00000278 * E2_1_1_151)</v>
      </c>
      <c r="M63" s="36" t="str">
        <f t="shared" si="10"/>
        <v>mRNA62: -&gt; E2_1_1_151_mRNA | 0.00292 - (0.0093 * E2_1_1_151_mRNA)</v>
      </c>
      <c r="N63" s="21" t="str">
        <f t="shared" si="11"/>
        <v>Peptide62:  E2_1_1_151_mRNA -&gt; E2_1_1_151 | (0.278 * E2_1_1_151_mRNA) - (0.00000278 * E2_1_1_151)</v>
      </c>
    </row>
    <row r="64" spans="1:14" x14ac:dyDescent="0.45">
      <c r="A64">
        <v>63</v>
      </c>
      <c r="B64" t="s">
        <v>15021</v>
      </c>
      <c r="C64" t="str">
        <f t="shared" si="1"/>
        <v>E2_1_1_171_mRNA</v>
      </c>
      <c r="D64" t="str">
        <f t="shared" si="0"/>
        <v>E2_1_1_171</v>
      </c>
      <c r="E64" s="30" t="str">
        <f t="shared" si="2"/>
        <v>E2_1_1_171_kcat : 13.7</v>
      </c>
      <c r="F64" s="31" t="str">
        <f t="shared" si="3"/>
        <v>E2_1_1_171_km : 1</v>
      </c>
      <c r="G64" s="21" t="str">
        <f t="shared" si="4"/>
        <v>E2_1_1_171_mRNA : E2_1_1_171_mRNA</v>
      </c>
      <c r="H64" s="32" t="str">
        <f t="shared" si="5"/>
        <v>E2_1_1_171 : E2_1_1_171</v>
      </c>
      <c r="I64" s="33" t="str">
        <f t="shared" si="6"/>
        <v>E2_1_1_171_mRNA : 0</v>
      </c>
      <c r="J64" s="34" t="str">
        <f t="shared" si="7"/>
        <v>E2_1_1_171 : 0</v>
      </c>
      <c r="K64" s="35" t="str">
        <f t="shared" si="8"/>
        <v>0.00292 - (0.0093 * E2_1_1_171_mRNA)</v>
      </c>
      <c r="L64" s="30" t="str">
        <f t="shared" si="9"/>
        <v>(0.278 * E2_1_1_171_mRNA) - (0.00000278 * E2_1_1_171)</v>
      </c>
      <c r="M64" s="36" t="str">
        <f t="shared" si="10"/>
        <v>mRNA63: -&gt; E2_1_1_171_mRNA | 0.00292 - (0.0093 * E2_1_1_171_mRNA)</v>
      </c>
      <c r="N64" s="21" t="str">
        <f t="shared" si="11"/>
        <v>Peptide63:  E2_1_1_171_mRNA -&gt; E2_1_1_171 | (0.278 * E2_1_1_171_mRNA) - (0.00000278 * E2_1_1_171)</v>
      </c>
    </row>
    <row r="65" spans="1:14" x14ac:dyDescent="0.45">
      <c r="A65">
        <v>64</v>
      </c>
      <c r="B65" t="s">
        <v>15022</v>
      </c>
      <c r="C65" t="str">
        <f t="shared" si="1"/>
        <v>E2_1_1_182_mRNA</v>
      </c>
      <c r="D65" t="str">
        <f t="shared" si="0"/>
        <v>E2_1_1_182</v>
      </c>
      <c r="E65" s="30" t="str">
        <f t="shared" si="2"/>
        <v>E2_1_1_182_kcat : 13.7</v>
      </c>
      <c r="F65" s="31" t="str">
        <f t="shared" si="3"/>
        <v>E2_1_1_182_km : 1</v>
      </c>
      <c r="G65" s="21" t="str">
        <f t="shared" si="4"/>
        <v>E2_1_1_182_mRNA : E2_1_1_182_mRNA</v>
      </c>
      <c r="H65" s="32" t="str">
        <f t="shared" si="5"/>
        <v>E2_1_1_182 : E2_1_1_182</v>
      </c>
      <c r="I65" s="33" t="str">
        <f t="shared" si="6"/>
        <v>E2_1_1_182_mRNA : 0</v>
      </c>
      <c r="J65" s="34" t="str">
        <f t="shared" si="7"/>
        <v>E2_1_1_182 : 0</v>
      </c>
      <c r="K65" s="35" t="str">
        <f t="shared" si="8"/>
        <v>0.00292 - (0.0093 * E2_1_1_182_mRNA)</v>
      </c>
      <c r="L65" s="30" t="str">
        <f t="shared" si="9"/>
        <v>(0.278 * E2_1_1_182_mRNA) - (0.00000278 * E2_1_1_182)</v>
      </c>
      <c r="M65" s="36" t="str">
        <f t="shared" si="10"/>
        <v>mRNA64: -&gt; E2_1_1_182_mRNA | 0.00292 - (0.0093 * E2_1_1_182_mRNA)</v>
      </c>
      <c r="N65" s="21" t="str">
        <f t="shared" si="11"/>
        <v>Peptide64:  E2_1_1_182_mRNA -&gt; E2_1_1_182 | (0.278 * E2_1_1_182_mRNA) - (0.00000278 * E2_1_1_182)</v>
      </c>
    </row>
    <row r="66" spans="1:14" x14ac:dyDescent="0.45">
      <c r="A66">
        <v>65</v>
      </c>
      <c r="B66" t="s">
        <v>15023</v>
      </c>
      <c r="C66" t="str">
        <f t="shared" si="1"/>
        <v>E2_1_1_195_mRNA</v>
      </c>
      <c r="D66" t="str">
        <f t="shared" ref="D66:D129" si="12">CONCATENATE("E",B66)</f>
        <v>E2_1_1_195</v>
      </c>
      <c r="E66" s="30" t="str">
        <f t="shared" si="2"/>
        <v>E2_1_1_195_kcat : 13.7</v>
      </c>
      <c r="F66" s="31" t="str">
        <f t="shared" si="3"/>
        <v>E2_1_1_195_km : 1</v>
      </c>
      <c r="G66" s="21" t="str">
        <f t="shared" si="4"/>
        <v>E2_1_1_195_mRNA : E2_1_1_195_mRNA</v>
      </c>
      <c r="H66" s="32" t="str">
        <f t="shared" si="5"/>
        <v>E2_1_1_195 : E2_1_1_195</v>
      </c>
      <c r="I66" s="33" t="str">
        <f t="shared" si="6"/>
        <v>E2_1_1_195_mRNA : 0</v>
      </c>
      <c r="J66" s="34" t="str">
        <f t="shared" si="7"/>
        <v>E2_1_1_195 : 0</v>
      </c>
      <c r="K66" s="35" t="str">
        <f t="shared" si="8"/>
        <v>0.00292 - (0.0093 * E2_1_1_195_mRNA)</v>
      </c>
      <c r="L66" s="30" t="str">
        <f t="shared" si="9"/>
        <v>(0.278 * E2_1_1_195_mRNA) - (0.00000278 * E2_1_1_195)</v>
      </c>
      <c r="M66" s="36" t="str">
        <f t="shared" si="10"/>
        <v>mRNA65: -&gt; E2_1_1_195_mRNA | 0.00292 - (0.0093 * E2_1_1_195_mRNA)</v>
      </c>
      <c r="N66" s="21" t="str">
        <f t="shared" si="11"/>
        <v>Peptide65:  E2_1_1_195_mRNA -&gt; E2_1_1_195 | (0.278 * E2_1_1_195_mRNA) - (0.00000278 * E2_1_1_195)</v>
      </c>
    </row>
    <row r="67" spans="1:14" x14ac:dyDescent="0.45">
      <c r="A67">
        <v>66</v>
      </c>
      <c r="B67" t="s">
        <v>15024</v>
      </c>
      <c r="C67" t="str">
        <f t="shared" ref="C67:C130" si="13">CONCATENATE(D67,"_mRNA")</f>
        <v>E2_1_1_228_mRNA</v>
      </c>
      <c r="D67" t="str">
        <f t="shared" si="12"/>
        <v>E2_1_1_228</v>
      </c>
      <c r="E67" s="30" t="str">
        <f t="shared" ref="E67:E130" si="14">CONCATENATE("E",B67,"_kcat : 13.7")</f>
        <v>E2_1_1_228_kcat : 13.7</v>
      </c>
      <c r="F67" s="31" t="str">
        <f t="shared" ref="F67:F130" si="15">CONCATENATE("E",B67,"_km : 1")</f>
        <v>E2_1_1_228_km : 1</v>
      </c>
      <c r="G67" s="21" t="str">
        <f t="shared" ref="G67:G130" si="16">CONCATENATE(C67, " : ",C67)</f>
        <v>E2_1_1_228_mRNA : E2_1_1_228_mRNA</v>
      </c>
      <c r="H67" s="32" t="str">
        <f t="shared" ref="H67:H130" si="17">CONCATENATE(D67," : ",D67)</f>
        <v>E2_1_1_228 : E2_1_1_228</v>
      </c>
      <c r="I67" s="33" t="str">
        <f t="shared" ref="I67:I130" si="18">CONCATENATE(C67," : ","0")</f>
        <v>E2_1_1_228_mRNA : 0</v>
      </c>
      <c r="J67" s="34" t="str">
        <f t="shared" ref="J67:J130" si="19">CONCATENATE(D67," : ","0")</f>
        <v>E2_1_1_228 : 0</v>
      </c>
      <c r="K67" s="35" t="str">
        <f t="shared" ref="K67:K130" si="20">CONCATENATE("0.00292 - (0.0093 * ",C67,")")</f>
        <v>0.00292 - (0.0093 * E2_1_1_228_mRNA)</v>
      </c>
      <c r="L67" s="30" t="str">
        <f t="shared" ref="L67:L130" si="21">CONCATENATE("(0.278 * ",C67,")"," - (0.00000278 * ",D67,")")</f>
        <v>(0.278 * E2_1_1_228_mRNA) - (0.00000278 * E2_1_1_228)</v>
      </c>
      <c r="M67" s="36" t="str">
        <f t="shared" ref="M67:M130" si="22">CONCATENATE("mRNA",A67,": -&gt; ",C67," | ","0.00292"," - ","(","0.0093"," * ",C67,")")</f>
        <v>mRNA66: -&gt; E2_1_1_228_mRNA | 0.00292 - (0.0093 * E2_1_1_228_mRNA)</v>
      </c>
      <c r="N67" s="21" t="str">
        <f t="shared" ref="N67:N130" si="23">CONCATENATE("Peptide",A67,":  ",C67," -&gt; ",D67," | ","(","0.278"," * ",C67,")"," - ","(","0.00000278"," * ",D67,")")</f>
        <v>Peptide66:  E2_1_1_228_mRNA -&gt; E2_1_1_228 | (0.278 * E2_1_1_228_mRNA) - (0.00000278 * E2_1_1_228)</v>
      </c>
    </row>
    <row r="68" spans="1:14" x14ac:dyDescent="0.45">
      <c r="A68">
        <v>67</v>
      </c>
      <c r="B68" t="s">
        <v>15025</v>
      </c>
      <c r="C68" t="str">
        <f t="shared" si="13"/>
        <v>E2_1_1_271_mRNA</v>
      </c>
      <c r="D68" t="str">
        <f t="shared" si="12"/>
        <v>E2_1_1_271</v>
      </c>
      <c r="E68" s="30" t="str">
        <f t="shared" si="14"/>
        <v>E2_1_1_271_kcat : 13.7</v>
      </c>
      <c r="F68" s="31" t="str">
        <f t="shared" si="15"/>
        <v>E2_1_1_271_km : 1</v>
      </c>
      <c r="G68" s="21" t="str">
        <f t="shared" si="16"/>
        <v>E2_1_1_271_mRNA : E2_1_1_271_mRNA</v>
      </c>
      <c r="H68" s="32" t="str">
        <f t="shared" si="17"/>
        <v>E2_1_1_271 : E2_1_1_271</v>
      </c>
      <c r="I68" s="33" t="str">
        <f t="shared" si="18"/>
        <v>E2_1_1_271_mRNA : 0</v>
      </c>
      <c r="J68" s="34" t="str">
        <f t="shared" si="19"/>
        <v>E2_1_1_271 : 0</v>
      </c>
      <c r="K68" s="35" t="str">
        <f t="shared" si="20"/>
        <v>0.00292 - (0.0093 * E2_1_1_271_mRNA)</v>
      </c>
      <c r="L68" s="30" t="str">
        <f t="shared" si="21"/>
        <v>(0.278 * E2_1_1_271_mRNA) - (0.00000278 * E2_1_1_271)</v>
      </c>
      <c r="M68" s="36" t="str">
        <f t="shared" si="22"/>
        <v>mRNA67: -&gt; E2_1_1_271_mRNA | 0.00292 - (0.0093 * E2_1_1_271_mRNA)</v>
      </c>
      <c r="N68" s="21" t="str">
        <f t="shared" si="23"/>
        <v>Peptide67:  E2_1_1_271_mRNA -&gt; E2_1_1_271 | (0.278 * E2_1_1_271_mRNA) - (0.00000278 * E2_1_1_271)</v>
      </c>
    </row>
    <row r="69" spans="1:14" x14ac:dyDescent="0.45">
      <c r="A69">
        <v>68</v>
      </c>
      <c r="B69" t="s">
        <v>15026</v>
      </c>
      <c r="C69" t="str">
        <f t="shared" si="13"/>
        <v>E2_1_1_289_mRNA</v>
      </c>
      <c r="D69" t="str">
        <f t="shared" si="12"/>
        <v>E2_1_1_289</v>
      </c>
      <c r="E69" s="30" t="str">
        <f t="shared" si="14"/>
        <v>E2_1_1_289_kcat : 13.7</v>
      </c>
      <c r="F69" s="31" t="str">
        <f t="shared" si="15"/>
        <v>E2_1_1_289_km : 1</v>
      </c>
      <c r="G69" s="21" t="str">
        <f t="shared" si="16"/>
        <v>E2_1_1_289_mRNA : E2_1_1_289_mRNA</v>
      </c>
      <c r="H69" s="32" t="str">
        <f t="shared" si="17"/>
        <v>E2_1_1_289 : E2_1_1_289</v>
      </c>
      <c r="I69" s="33" t="str">
        <f t="shared" si="18"/>
        <v>E2_1_1_289_mRNA : 0</v>
      </c>
      <c r="J69" s="34" t="str">
        <f t="shared" si="19"/>
        <v>E2_1_1_289 : 0</v>
      </c>
      <c r="K69" s="35" t="str">
        <f t="shared" si="20"/>
        <v>0.00292 - (0.0093 * E2_1_1_289_mRNA)</v>
      </c>
      <c r="L69" s="30" t="str">
        <f t="shared" si="21"/>
        <v>(0.278 * E2_1_1_289_mRNA) - (0.00000278 * E2_1_1_289)</v>
      </c>
      <c r="M69" s="36" t="str">
        <f t="shared" si="22"/>
        <v>mRNA68: -&gt; E2_1_1_289_mRNA | 0.00292 - (0.0093 * E2_1_1_289_mRNA)</v>
      </c>
      <c r="N69" s="21" t="str">
        <f t="shared" si="23"/>
        <v>Peptide68:  E2_1_1_289_mRNA -&gt; E2_1_1_289 | (0.278 * E2_1_1_289_mRNA) - (0.00000278 * E2_1_1_289)</v>
      </c>
    </row>
    <row r="70" spans="1:14" x14ac:dyDescent="0.45">
      <c r="A70">
        <v>69</v>
      </c>
      <c r="B70" t="s">
        <v>15027</v>
      </c>
      <c r="C70" t="str">
        <f t="shared" si="13"/>
        <v>E2_1_1_297_mRNA</v>
      </c>
      <c r="D70" t="str">
        <f t="shared" si="12"/>
        <v>E2_1_1_297</v>
      </c>
      <c r="E70" s="30" t="str">
        <f t="shared" si="14"/>
        <v>E2_1_1_297_kcat : 13.7</v>
      </c>
      <c r="F70" s="31" t="str">
        <f t="shared" si="15"/>
        <v>E2_1_1_297_km : 1</v>
      </c>
      <c r="G70" s="21" t="str">
        <f t="shared" si="16"/>
        <v>E2_1_1_297_mRNA : E2_1_1_297_mRNA</v>
      </c>
      <c r="H70" s="32" t="str">
        <f t="shared" si="17"/>
        <v>E2_1_1_297 : E2_1_1_297</v>
      </c>
      <c r="I70" s="33" t="str">
        <f t="shared" si="18"/>
        <v>E2_1_1_297_mRNA : 0</v>
      </c>
      <c r="J70" s="34" t="str">
        <f t="shared" si="19"/>
        <v>E2_1_1_297 : 0</v>
      </c>
      <c r="K70" s="35" t="str">
        <f t="shared" si="20"/>
        <v>0.00292 - (0.0093 * E2_1_1_297_mRNA)</v>
      </c>
      <c r="L70" s="30" t="str">
        <f t="shared" si="21"/>
        <v>(0.278 * E2_1_1_297_mRNA) - (0.00000278 * E2_1_1_297)</v>
      </c>
      <c r="M70" s="36" t="str">
        <f t="shared" si="22"/>
        <v>mRNA69: -&gt; E2_1_1_297_mRNA | 0.00292 - (0.0093 * E2_1_1_297_mRNA)</v>
      </c>
      <c r="N70" s="21" t="str">
        <f t="shared" si="23"/>
        <v>Peptide69:  E2_1_1_297_mRNA -&gt; E2_1_1_297 | (0.278 * E2_1_1_297_mRNA) - (0.00000278 * E2_1_1_297)</v>
      </c>
    </row>
    <row r="71" spans="1:14" x14ac:dyDescent="0.45">
      <c r="A71">
        <v>70</v>
      </c>
      <c r="B71" t="s">
        <v>15028</v>
      </c>
      <c r="C71" t="str">
        <f t="shared" si="13"/>
        <v>E2_1_1_33_mRNA</v>
      </c>
      <c r="D71" t="str">
        <f t="shared" si="12"/>
        <v>E2_1_1_33</v>
      </c>
      <c r="E71" s="30" t="str">
        <f t="shared" si="14"/>
        <v>E2_1_1_33_kcat : 13.7</v>
      </c>
      <c r="F71" s="31" t="str">
        <f t="shared" si="15"/>
        <v>E2_1_1_33_km : 1</v>
      </c>
      <c r="G71" s="21" t="str">
        <f t="shared" si="16"/>
        <v>E2_1_1_33_mRNA : E2_1_1_33_mRNA</v>
      </c>
      <c r="H71" s="32" t="str">
        <f t="shared" si="17"/>
        <v>E2_1_1_33 : E2_1_1_33</v>
      </c>
      <c r="I71" s="33" t="str">
        <f t="shared" si="18"/>
        <v>E2_1_1_33_mRNA : 0</v>
      </c>
      <c r="J71" s="34" t="str">
        <f t="shared" si="19"/>
        <v>E2_1_1_33 : 0</v>
      </c>
      <c r="K71" s="35" t="str">
        <f t="shared" si="20"/>
        <v>0.00292 - (0.0093 * E2_1_1_33_mRNA)</v>
      </c>
      <c r="L71" s="30" t="str">
        <f t="shared" si="21"/>
        <v>(0.278 * E2_1_1_33_mRNA) - (0.00000278 * E2_1_1_33)</v>
      </c>
      <c r="M71" s="36" t="str">
        <f t="shared" si="22"/>
        <v>mRNA70: -&gt; E2_1_1_33_mRNA | 0.00292 - (0.0093 * E2_1_1_33_mRNA)</v>
      </c>
      <c r="N71" s="21" t="str">
        <f t="shared" si="23"/>
        <v>Peptide70:  E2_1_1_33_mRNA -&gt; E2_1_1_33 | (0.278 * E2_1_1_33_mRNA) - (0.00000278 * E2_1_1_33)</v>
      </c>
    </row>
    <row r="72" spans="1:14" x14ac:dyDescent="0.45">
      <c r="A72">
        <v>71</v>
      </c>
      <c r="B72" t="s">
        <v>15029</v>
      </c>
      <c r="C72" t="str">
        <f t="shared" si="13"/>
        <v>E2_1_1_45_mRNA</v>
      </c>
      <c r="D72" t="str">
        <f t="shared" si="12"/>
        <v>E2_1_1_45</v>
      </c>
      <c r="E72" s="30" t="str">
        <f t="shared" si="14"/>
        <v>E2_1_1_45_kcat : 13.7</v>
      </c>
      <c r="F72" s="31" t="str">
        <f t="shared" si="15"/>
        <v>E2_1_1_45_km : 1</v>
      </c>
      <c r="G72" s="21" t="str">
        <f t="shared" si="16"/>
        <v>E2_1_1_45_mRNA : E2_1_1_45_mRNA</v>
      </c>
      <c r="H72" s="32" t="str">
        <f t="shared" si="17"/>
        <v>E2_1_1_45 : E2_1_1_45</v>
      </c>
      <c r="I72" s="33" t="str">
        <f t="shared" si="18"/>
        <v>E2_1_1_45_mRNA : 0</v>
      </c>
      <c r="J72" s="34" t="str">
        <f t="shared" si="19"/>
        <v>E2_1_1_45 : 0</v>
      </c>
      <c r="K72" s="35" t="str">
        <f t="shared" si="20"/>
        <v>0.00292 - (0.0093 * E2_1_1_45_mRNA)</v>
      </c>
      <c r="L72" s="30" t="str">
        <f t="shared" si="21"/>
        <v>(0.278 * E2_1_1_45_mRNA) - (0.00000278 * E2_1_1_45)</v>
      </c>
      <c r="M72" s="36" t="str">
        <f t="shared" si="22"/>
        <v>mRNA71: -&gt; E2_1_1_45_mRNA | 0.00292 - (0.0093 * E2_1_1_45_mRNA)</v>
      </c>
      <c r="N72" s="21" t="str">
        <f t="shared" si="23"/>
        <v>Peptide71:  E2_1_1_45_mRNA -&gt; E2_1_1_45 | (0.278 * E2_1_1_45_mRNA) - (0.00000278 * E2_1_1_45)</v>
      </c>
    </row>
    <row r="73" spans="1:14" x14ac:dyDescent="0.45">
      <c r="A73">
        <v>72</v>
      </c>
      <c r="B73" t="s">
        <v>15030</v>
      </c>
      <c r="C73" t="str">
        <f t="shared" si="13"/>
        <v>E2_1_1_61_mRNA</v>
      </c>
      <c r="D73" t="str">
        <f t="shared" si="12"/>
        <v>E2_1_1_61</v>
      </c>
      <c r="E73" s="30" t="str">
        <f t="shared" si="14"/>
        <v>E2_1_1_61_kcat : 13.7</v>
      </c>
      <c r="F73" s="31" t="str">
        <f t="shared" si="15"/>
        <v>E2_1_1_61_km : 1</v>
      </c>
      <c r="G73" s="21" t="str">
        <f t="shared" si="16"/>
        <v>E2_1_1_61_mRNA : E2_1_1_61_mRNA</v>
      </c>
      <c r="H73" s="32" t="str">
        <f t="shared" si="17"/>
        <v>E2_1_1_61 : E2_1_1_61</v>
      </c>
      <c r="I73" s="33" t="str">
        <f t="shared" si="18"/>
        <v>E2_1_1_61_mRNA : 0</v>
      </c>
      <c r="J73" s="34" t="str">
        <f t="shared" si="19"/>
        <v>E2_1_1_61 : 0</v>
      </c>
      <c r="K73" s="35" t="str">
        <f t="shared" si="20"/>
        <v>0.00292 - (0.0093 * E2_1_1_61_mRNA)</v>
      </c>
      <c r="L73" s="30" t="str">
        <f t="shared" si="21"/>
        <v>(0.278 * E2_1_1_61_mRNA) - (0.00000278 * E2_1_1_61)</v>
      </c>
      <c r="M73" s="36" t="str">
        <f t="shared" si="22"/>
        <v>mRNA72: -&gt; E2_1_1_61_mRNA | 0.00292 - (0.0093 * E2_1_1_61_mRNA)</v>
      </c>
      <c r="N73" s="21" t="str">
        <f t="shared" si="23"/>
        <v>Peptide72:  E2_1_1_61_mRNA -&gt; E2_1_1_61 | (0.278 * E2_1_1_61_mRNA) - (0.00000278 * E2_1_1_61)</v>
      </c>
    </row>
    <row r="74" spans="1:14" x14ac:dyDescent="0.45">
      <c r="A74">
        <v>73</v>
      </c>
      <c r="B74" t="s">
        <v>15031</v>
      </c>
      <c r="C74" t="str">
        <f t="shared" si="13"/>
        <v>E2_1_1_63_mRNA</v>
      </c>
      <c r="D74" t="str">
        <f t="shared" si="12"/>
        <v>E2_1_1_63</v>
      </c>
      <c r="E74" s="30" t="str">
        <f t="shared" si="14"/>
        <v>E2_1_1_63_kcat : 13.7</v>
      </c>
      <c r="F74" s="31" t="str">
        <f t="shared" si="15"/>
        <v>E2_1_1_63_km : 1</v>
      </c>
      <c r="G74" s="21" t="str">
        <f t="shared" si="16"/>
        <v>E2_1_1_63_mRNA : E2_1_1_63_mRNA</v>
      </c>
      <c r="H74" s="32" t="str">
        <f t="shared" si="17"/>
        <v>E2_1_1_63 : E2_1_1_63</v>
      </c>
      <c r="I74" s="33" t="str">
        <f t="shared" si="18"/>
        <v>E2_1_1_63_mRNA : 0</v>
      </c>
      <c r="J74" s="34" t="str">
        <f t="shared" si="19"/>
        <v>E2_1_1_63 : 0</v>
      </c>
      <c r="K74" s="35" t="str">
        <f t="shared" si="20"/>
        <v>0.00292 - (0.0093 * E2_1_1_63_mRNA)</v>
      </c>
      <c r="L74" s="30" t="str">
        <f t="shared" si="21"/>
        <v>(0.278 * E2_1_1_63_mRNA) - (0.00000278 * E2_1_1_63)</v>
      </c>
      <c r="M74" s="36" t="str">
        <f t="shared" si="22"/>
        <v>mRNA73: -&gt; E2_1_1_63_mRNA | 0.00292 - (0.0093 * E2_1_1_63_mRNA)</v>
      </c>
      <c r="N74" s="21" t="str">
        <f t="shared" si="23"/>
        <v>Peptide73:  E2_1_1_63_mRNA -&gt; E2_1_1_63 | (0.278 * E2_1_1_63_mRNA) - (0.00000278 * E2_1_1_63)</v>
      </c>
    </row>
    <row r="75" spans="1:14" x14ac:dyDescent="0.45">
      <c r="A75">
        <v>74</v>
      </c>
      <c r="B75" t="s">
        <v>15032</v>
      </c>
      <c r="C75" t="str">
        <f t="shared" si="13"/>
        <v>E2_1_2_1_mRNA</v>
      </c>
      <c r="D75" t="str">
        <f t="shared" si="12"/>
        <v>E2_1_2_1</v>
      </c>
      <c r="E75" s="30" t="str">
        <f t="shared" si="14"/>
        <v>E2_1_2_1_kcat : 13.7</v>
      </c>
      <c r="F75" s="31" t="str">
        <f t="shared" si="15"/>
        <v>E2_1_2_1_km : 1</v>
      </c>
      <c r="G75" s="21" t="str">
        <f t="shared" si="16"/>
        <v>E2_1_2_1_mRNA : E2_1_2_1_mRNA</v>
      </c>
      <c r="H75" s="32" t="str">
        <f t="shared" si="17"/>
        <v>E2_1_2_1 : E2_1_2_1</v>
      </c>
      <c r="I75" s="33" t="str">
        <f t="shared" si="18"/>
        <v>E2_1_2_1_mRNA : 0</v>
      </c>
      <c r="J75" s="34" t="str">
        <f t="shared" si="19"/>
        <v>E2_1_2_1 : 0</v>
      </c>
      <c r="K75" s="35" t="str">
        <f t="shared" si="20"/>
        <v>0.00292 - (0.0093 * E2_1_2_1_mRNA)</v>
      </c>
      <c r="L75" s="30" t="str">
        <f t="shared" si="21"/>
        <v>(0.278 * E2_1_2_1_mRNA) - (0.00000278 * E2_1_2_1)</v>
      </c>
      <c r="M75" s="36" t="str">
        <f t="shared" si="22"/>
        <v>mRNA74: -&gt; E2_1_2_1_mRNA | 0.00292 - (0.0093 * E2_1_2_1_mRNA)</v>
      </c>
      <c r="N75" s="21" t="str">
        <f t="shared" si="23"/>
        <v>Peptide74:  E2_1_2_1_mRNA -&gt; E2_1_2_1 | (0.278 * E2_1_2_1_mRNA) - (0.00000278 * E2_1_2_1)</v>
      </c>
    </row>
    <row r="76" spans="1:14" x14ac:dyDescent="0.45">
      <c r="A76">
        <v>75</v>
      </c>
      <c r="B76" t="s">
        <v>15033</v>
      </c>
      <c r="C76" t="str">
        <f t="shared" si="13"/>
        <v>E2_1_2_11_mRNA</v>
      </c>
      <c r="D76" t="str">
        <f t="shared" si="12"/>
        <v>E2_1_2_11</v>
      </c>
      <c r="E76" s="30" t="str">
        <f t="shared" si="14"/>
        <v>E2_1_2_11_kcat : 13.7</v>
      </c>
      <c r="F76" s="31" t="str">
        <f t="shared" si="15"/>
        <v>E2_1_2_11_km : 1</v>
      </c>
      <c r="G76" s="21" t="str">
        <f t="shared" si="16"/>
        <v>E2_1_2_11_mRNA : E2_1_2_11_mRNA</v>
      </c>
      <c r="H76" s="32" t="str">
        <f t="shared" si="17"/>
        <v>E2_1_2_11 : E2_1_2_11</v>
      </c>
      <c r="I76" s="33" t="str">
        <f t="shared" si="18"/>
        <v>E2_1_2_11_mRNA : 0</v>
      </c>
      <c r="J76" s="34" t="str">
        <f t="shared" si="19"/>
        <v>E2_1_2_11 : 0</v>
      </c>
      <c r="K76" s="35" t="str">
        <f t="shared" si="20"/>
        <v>0.00292 - (0.0093 * E2_1_2_11_mRNA)</v>
      </c>
      <c r="L76" s="30" t="str">
        <f t="shared" si="21"/>
        <v>(0.278 * E2_1_2_11_mRNA) - (0.00000278 * E2_1_2_11)</v>
      </c>
      <c r="M76" s="36" t="str">
        <f t="shared" si="22"/>
        <v>mRNA75: -&gt; E2_1_2_11_mRNA | 0.00292 - (0.0093 * E2_1_2_11_mRNA)</v>
      </c>
      <c r="N76" s="21" t="str">
        <f t="shared" si="23"/>
        <v>Peptide75:  E2_1_2_11_mRNA -&gt; E2_1_2_11 | (0.278 * E2_1_2_11_mRNA) - (0.00000278 * E2_1_2_11)</v>
      </c>
    </row>
    <row r="77" spans="1:14" x14ac:dyDescent="0.45">
      <c r="A77">
        <v>76</v>
      </c>
      <c r="B77" t="s">
        <v>15034</v>
      </c>
      <c r="C77" t="str">
        <f t="shared" si="13"/>
        <v>E2_1_2_2_mRNA</v>
      </c>
      <c r="D77" t="str">
        <f t="shared" si="12"/>
        <v>E2_1_2_2</v>
      </c>
      <c r="E77" s="30" t="str">
        <f t="shared" si="14"/>
        <v>E2_1_2_2_kcat : 13.7</v>
      </c>
      <c r="F77" s="31" t="str">
        <f t="shared" si="15"/>
        <v>E2_1_2_2_km : 1</v>
      </c>
      <c r="G77" s="21" t="str">
        <f t="shared" si="16"/>
        <v>E2_1_2_2_mRNA : E2_1_2_2_mRNA</v>
      </c>
      <c r="H77" s="32" t="str">
        <f t="shared" si="17"/>
        <v>E2_1_2_2 : E2_1_2_2</v>
      </c>
      <c r="I77" s="33" t="str">
        <f t="shared" si="18"/>
        <v>E2_1_2_2_mRNA : 0</v>
      </c>
      <c r="J77" s="34" t="str">
        <f t="shared" si="19"/>
        <v>E2_1_2_2 : 0</v>
      </c>
      <c r="K77" s="35" t="str">
        <f t="shared" si="20"/>
        <v>0.00292 - (0.0093 * E2_1_2_2_mRNA)</v>
      </c>
      <c r="L77" s="30" t="str">
        <f t="shared" si="21"/>
        <v>(0.278 * E2_1_2_2_mRNA) - (0.00000278 * E2_1_2_2)</v>
      </c>
      <c r="M77" s="36" t="str">
        <f t="shared" si="22"/>
        <v>mRNA76: -&gt; E2_1_2_2_mRNA | 0.00292 - (0.0093 * E2_1_2_2_mRNA)</v>
      </c>
      <c r="N77" s="21" t="str">
        <f t="shared" si="23"/>
        <v>Peptide76:  E2_1_2_2_mRNA -&gt; E2_1_2_2 | (0.278 * E2_1_2_2_mRNA) - (0.00000278 * E2_1_2_2)</v>
      </c>
    </row>
    <row r="78" spans="1:14" x14ac:dyDescent="0.45">
      <c r="A78">
        <v>77</v>
      </c>
      <c r="B78" t="s">
        <v>15035</v>
      </c>
      <c r="C78" t="str">
        <f t="shared" si="13"/>
        <v>E2_1_2_3_mRNA</v>
      </c>
      <c r="D78" t="str">
        <f t="shared" si="12"/>
        <v>E2_1_2_3</v>
      </c>
      <c r="E78" s="30" t="str">
        <f t="shared" si="14"/>
        <v>E2_1_2_3_kcat : 13.7</v>
      </c>
      <c r="F78" s="31" t="str">
        <f t="shared" si="15"/>
        <v>E2_1_2_3_km : 1</v>
      </c>
      <c r="G78" s="21" t="str">
        <f t="shared" si="16"/>
        <v>E2_1_2_3_mRNA : E2_1_2_3_mRNA</v>
      </c>
      <c r="H78" s="32" t="str">
        <f t="shared" si="17"/>
        <v>E2_1_2_3 : E2_1_2_3</v>
      </c>
      <c r="I78" s="33" t="str">
        <f t="shared" si="18"/>
        <v>E2_1_2_3_mRNA : 0</v>
      </c>
      <c r="J78" s="34" t="str">
        <f t="shared" si="19"/>
        <v>E2_1_2_3 : 0</v>
      </c>
      <c r="K78" s="35" t="str">
        <f t="shared" si="20"/>
        <v>0.00292 - (0.0093 * E2_1_2_3_mRNA)</v>
      </c>
      <c r="L78" s="30" t="str">
        <f t="shared" si="21"/>
        <v>(0.278 * E2_1_2_3_mRNA) - (0.00000278 * E2_1_2_3)</v>
      </c>
      <c r="M78" s="36" t="str">
        <f t="shared" si="22"/>
        <v>mRNA77: -&gt; E2_1_2_3_mRNA | 0.00292 - (0.0093 * E2_1_2_3_mRNA)</v>
      </c>
      <c r="N78" s="21" t="str">
        <f t="shared" si="23"/>
        <v>Peptide77:  E2_1_2_3_mRNA -&gt; E2_1_2_3 | (0.278 * E2_1_2_3_mRNA) - (0.00000278 * E2_1_2_3)</v>
      </c>
    </row>
    <row r="79" spans="1:14" x14ac:dyDescent="0.45">
      <c r="A79">
        <v>78</v>
      </c>
      <c r="B79" t="s">
        <v>15036</v>
      </c>
      <c r="C79" t="str">
        <f t="shared" si="13"/>
        <v>E2_1_2_9_mRNA</v>
      </c>
      <c r="D79" t="str">
        <f t="shared" si="12"/>
        <v>E2_1_2_9</v>
      </c>
      <c r="E79" s="30" t="str">
        <f t="shared" si="14"/>
        <v>E2_1_2_9_kcat : 13.7</v>
      </c>
      <c r="F79" s="31" t="str">
        <f t="shared" si="15"/>
        <v>E2_1_2_9_km : 1</v>
      </c>
      <c r="G79" s="21" t="str">
        <f t="shared" si="16"/>
        <v>E2_1_2_9_mRNA : E2_1_2_9_mRNA</v>
      </c>
      <c r="H79" s="32" t="str">
        <f t="shared" si="17"/>
        <v>E2_1_2_9 : E2_1_2_9</v>
      </c>
      <c r="I79" s="33" t="str">
        <f t="shared" si="18"/>
        <v>E2_1_2_9_mRNA : 0</v>
      </c>
      <c r="J79" s="34" t="str">
        <f t="shared" si="19"/>
        <v>E2_1_2_9 : 0</v>
      </c>
      <c r="K79" s="35" t="str">
        <f t="shared" si="20"/>
        <v>0.00292 - (0.0093 * E2_1_2_9_mRNA)</v>
      </c>
      <c r="L79" s="30" t="str">
        <f t="shared" si="21"/>
        <v>(0.278 * E2_1_2_9_mRNA) - (0.00000278 * E2_1_2_9)</v>
      </c>
      <c r="M79" s="36" t="str">
        <f t="shared" si="22"/>
        <v>mRNA78: -&gt; E2_1_2_9_mRNA | 0.00292 - (0.0093 * E2_1_2_9_mRNA)</v>
      </c>
      <c r="N79" s="21" t="str">
        <f t="shared" si="23"/>
        <v>Peptide78:  E2_1_2_9_mRNA -&gt; E2_1_2_9 | (0.278 * E2_1_2_9_mRNA) - (0.00000278 * E2_1_2_9)</v>
      </c>
    </row>
    <row r="80" spans="1:14" x14ac:dyDescent="0.45">
      <c r="A80">
        <v>79</v>
      </c>
      <c r="B80" t="s">
        <v>15037</v>
      </c>
      <c r="C80" t="str">
        <f t="shared" si="13"/>
        <v>E2_1_3_2_mRNA</v>
      </c>
      <c r="D80" t="str">
        <f t="shared" si="12"/>
        <v>E2_1_3_2</v>
      </c>
      <c r="E80" s="30" t="str">
        <f t="shared" si="14"/>
        <v>E2_1_3_2_kcat : 13.7</v>
      </c>
      <c r="F80" s="31" t="str">
        <f t="shared" si="15"/>
        <v>E2_1_3_2_km : 1</v>
      </c>
      <c r="G80" s="21" t="str">
        <f t="shared" si="16"/>
        <v>E2_1_3_2_mRNA : E2_1_3_2_mRNA</v>
      </c>
      <c r="H80" s="32" t="str">
        <f t="shared" si="17"/>
        <v>E2_1_3_2 : E2_1_3_2</v>
      </c>
      <c r="I80" s="33" t="str">
        <f t="shared" si="18"/>
        <v>E2_1_3_2_mRNA : 0</v>
      </c>
      <c r="J80" s="34" t="str">
        <f t="shared" si="19"/>
        <v>E2_1_3_2 : 0</v>
      </c>
      <c r="K80" s="35" t="str">
        <f t="shared" si="20"/>
        <v>0.00292 - (0.0093 * E2_1_3_2_mRNA)</v>
      </c>
      <c r="L80" s="30" t="str">
        <f t="shared" si="21"/>
        <v>(0.278 * E2_1_3_2_mRNA) - (0.00000278 * E2_1_3_2)</v>
      </c>
      <c r="M80" s="36" t="str">
        <f t="shared" si="22"/>
        <v>mRNA79: -&gt; E2_1_3_2_mRNA | 0.00292 - (0.0093 * E2_1_3_2_mRNA)</v>
      </c>
      <c r="N80" s="21" t="str">
        <f t="shared" si="23"/>
        <v>Peptide79:  E2_1_3_2_mRNA -&gt; E2_1_3_2 | (0.278 * E2_1_3_2_mRNA) - (0.00000278 * E2_1_3_2)</v>
      </c>
    </row>
    <row r="81" spans="1:14" x14ac:dyDescent="0.45">
      <c r="A81">
        <v>80</v>
      </c>
      <c r="B81" t="s">
        <v>15038</v>
      </c>
      <c r="C81" t="str">
        <f t="shared" si="13"/>
        <v>E2_1_3_3_mRNA</v>
      </c>
      <c r="D81" t="str">
        <f t="shared" si="12"/>
        <v>E2_1_3_3</v>
      </c>
      <c r="E81" s="30" t="str">
        <f t="shared" si="14"/>
        <v>E2_1_3_3_kcat : 13.7</v>
      </c>
      <c r="F81" s="31" t="str">
        <f t="shared" si="15"/>
        <v>E2_1_3_3_km : 1</v>
      </c>
      <c r="G81" s="21" t="str">
        <f t="shared" si="16"/>
        <v>E2_1_3_3_mRNA : E2_1_3_3_mRNA</v>
      </c>
      <c r="H81" s="32" t="str">
        <f t="shared" si="17"/>
        <v>E2_1_3_3 : E2_1_3_3</v>
      </c>
      <c r="I81" s="33" t="str">
        <f t="shared" si="18"/>
        <v>E2_1_3_3_mRNA : 0</v>
      </c>
      <c r="J81" s="34" t="str">
        <f t="shared" si="19"/>
        <v>E2_1_3_3 : 0</v>
      </c>
      <c r="K81" s="35" t="str">
        <f t="shared" si="20"/>
        <v>0.00292 - (0.0093 * E2_1_3_3_mRNA)</v>
      </c>
      <c r="L81" s="30" t="str">
        <f t="shared" si="21"/>
        <v>(0.278 * E2_1_3_3_mRNA) - (0.00000278 * E2_1_3_3)</v>
      </c>
      <c r="M81" s="36" t="str">
        <f t="shared" si="22"/>
        <v>mRNA80: -&gt; E2_1_3_3_mRNA | 0.00292 - (0.0093 * E2_1_3_3_mRNA)</v>
      </c>
      <c r="N81" s="21" t="str">
        <f t="shared" si="23"/>
        <v>Peptide80:  E2_1_3_3_mRNA -&gt; E2_1_3_3 | (0.278 * E2_1_3_3_mRNA) - (0.00000278 * E2_1_3_3)</v>
      </c>
    </row>
    <row r="82" spans="1:14" x14ac:dyDescent="0.45">
      <c r="A82">
        <v>81</v>
      </c>
      <c r="B82" t="s">
        <v>15039</v>
      </c>
      <c r="C82" t="str">
        <f t="shared" si="13"/>
        <v>E2_2_1_1_mRNA</v>
      </c>
      <c r="D82" t="str">
        <f t="shared" si="12"/>
        <v>E2_2_1_1</v>
      </c>
      <c r="E82" s="30" t="str">
        <f t="shared" si="14"/>
        <v>E2_2_1_1_kcat : 13.7</v>
      </c>
      <c r="F82" s="31" t="str">
        <f t="shared" si="15"/>
        <v>E2_2_1_1_km : 1</v>
      </c>
      <c r="G82" s="21" t="str">
        <f t="shared" si="16"/>
        <v>E2_2_1_1_mRNA : E2_2_1_1_mRNA</v>
      </c>
      <c r="H82" s="32" t="str">
        <f t="shared" si="17"/>
        <v>E2_2_1_1 : E2_2_1_1</v>
      </c>
      <c r="I82" s="33" t="str">
        <f t="shared" si="18"/>
        <v>E2_2_1_1_mRNA : 0</v>
      </c>
      <c r="J82" s="34" t="str">
        <f t="shared" si="19"/>
        <v>E2_2_1_1 : 0</v>
      </c>
      <c r="K82" s="35" t="str">
        <f t="shared" si="20"/>
        <v>0.00292 - (0.0093 * E2_2_1_1_mRNA)</v>
      </c>
      <c r="L82" s="30" t="str">
        <f t="shared" si="21"/>
        <v>(0.278 * E2_2_1_1_mRNA) - (0.00000278 * E2_2_1_1)</v>
      </c>
      <c r="M82" s="36" t="str">
        <f t="shared" si="22"/>
        <v>mRNA81: -&gt; E2_2_1_1_mRNA | 0.00292 - (0.0093 * E2_2_1_1_mRNA)</v>
      </c>
      <c r="N82" s="21" t="str">
        <f t="shared" si="23"/>
        <v>Peptide81:  E2_2_1_1_mRNA -&gt; E2_2_1_1 | (0.278 * E2_2_1_1_mRNA) - (0.00000278 * E2_2_1_1)</v>
      </c>
    </row>
    <row r="83" spans="1:14" x14ac:dyDescent="0.45">
      <c r="A83">
        <v>82</v>
      </c>
      <c r="B83" t="s">
        <v>15040</v>
      </c>
      <c r="C83" t="str">
        <f t="shared" si="13"/>
        <v>E2_2_1_2_mRNA</v>
      </c>
      <c r="D83" t="str">
        <f t="shared" si="12"/>
        <v>E2_2_1_2</v>
      </c>
      <c r="E83" s="30" t="str">
        <f t="shared" si="14"/>
        <v>E2_2_1_2_kcat : 13.7</v>
      </c>
      <c r="F83" s="31" t="str">
        <f t="shared" si="15"/>
        <v>E2_2_1_2_km : 1</v>
      </c>
      <c r="G83" s="21" t="str">
        <f t="shared" si="16"/>
        <v>E2_2_1_2_mRNA : E2_2_1_2_mRNA</v>
      </c>
      <c r="H83" s="32" t="str">
        <f t="shared" si="17"/>
        <v>E2_2_1_2 : E2_2_1_2</v>
      </c>
      <c r="I83" s="33" t="str">
        <f t="shared" si="18"/>
        <v>E2_2_1_2_mRNA : 0</v>
      </c>
      <c r="J83" s="34" t="str">
        <f t="shared" si="19"/>
        <v>E2_2_1_2 : 0</v>
      </c>
      <c r="K83" s="35" t="str">
        <f t="shared" si="20"/>
        <v>0.00292 - (0.0093 * E2_2_1_2_mRNA)</v>
      </c>
      <c r="L83" s="30" t="str">
        <f t="shared" si="21"/>
        <v>(0.278 * E2_2_1_2_mRNA) - (0.00000278 * E2_2_1_2)</v>
      </c>
      <c r="M83" s="36" t="str">
        <f t="shared" si="22"/>
        <v>mRNA82: -&gt; E2_2_1_2_mRNA | 0.00292 - (0.0093 * E2_2_1_2_mRNA)</v>
      </c>
      <c r="N83" s="21" t="str">
        <f t="shared" si="23"/>
        <v>Peptide82:  E2_2_1_2_mRNA -&gt; E2_2_1_2 | (0.278 * E2_2_1_2_mRNA) - (0.00000278 * E2_2_1_2)</v>
      </c>
    </row>
    <row r="84" spans="1:14" x14ac:dyDescent="0.45">
      <c r="A84">
        <v>83</v>
      </c>
      <c r="B84" t="s">
        <v>15041</v>
      </c>
      <c r="C84" t="str">
        <f t="shared" si="13"/>
        <v>E2_2_1_6_mRNA</v>
      </c>
      <c r="D84" t="str">
        <f t="shared" si="12"/>
        <v>E2_2_1_6</v>
      </c>
      <c r="E84" s="30" t="str">
        <f t="shared" si="14"/>
        <v>E2_2_1_6_kcat : 13.7</v>
      </c>
      <c r="F84" s="31" t="str">
        <f t="shared" si="15"/>
        <v>E2_2_1_6_km : 1</v>
      </c>
      <c r="G84" s="21" t="str">
        <f t="shared" si="16"/>
        <v>E2_2_1_6_mRNA : E2_2_1_6_mRNA</v>
      </c>
      <c r="H84" s="32" t="str">
        <f t="shared" si="17"/>
        <v>E2_2_1_6 : E2_2_1_6</v>
      </c>
      <c r="I84" s="33" t="str">
        <f t="shared" si="18"/>
        <v>E2_2_1_6_mRNA : 0</v>
      </c>
      <c r="J84" s="34" t="str">
        <f t="shared" si="19"/>
        <v>E2_2_1_6 : 0</v>
      </c>
      <c r="K84" s="35" t="str">
        <f t="shared" si="20"/>
        <v>0.00292 - (0.0093 * E2_2_1_6_mRNA)</v>
      </c>
      <c r="L84" s="30" t="str">
        <f t="shared" si="21"/>
        <v>(0.278 * E2_2_1_6_mRNA) - (0.00000278 * E2_2_1_6)</v>
      </c>
      <c r="M84" s="36" t="str">
        <f t="shared" si="22"/>
        <v>mRNA83: -&gt; E2_2_1_6_mRNA | 0.00292 - (0.0093 * E2_2_1_6_mRNA)</v>
      </c>
      <c r="N84" s="21" t="str">
        <f t="shared" si="23"/>
        <v>Peptide83:  E2_2_1_6_mRNA -&gt; E2_2_1_6 | (0.278 * E2_2_1_6_mRNA) - (0.00000278 * E2_2_1_6)</v>
      </c>
    </row>
    <row r="85" spans="1:14" x14ac:dyDescent="0.45">
      <c r="A85">
        <v>84</v>
      </c>
      <c r="B85" t="s">
        <v>15042</v>
      </c>
      <c r="C85" t="str">
        <f t="shared" si="13"/>
        <v>E2_2_1_7_mRNA</v>
      </c>
      <c r="D85" t="str">
        <f t="shared" si="12"/>
        <v>E2_2_1_7</v>
      </c>
      <c r="E85" s="30" t="str">
        <f t="shared" si="14"/>
        <v>E2_2_1_7_kcat : 13.7</v>
      </c>
      <c r="F85" s="31" t="str">
        <f t="shared" si="15"/>
        <v>E2_2_1_7_km : 1</v>
      </c>
      <c r="G85" s="21" t="str">
        <f t="shared" si="16"/>
        <v>E2_2_1_7_mRNA : E2_2_1_7_mRNA</v>
      </c>
      <c r="H85" s="32" t="str">
        <f t="shared" si="17"/>
        <v>E2_2_1_7 : E2_2_1_7</v>
      </c>
      <c r="I85" s="33" t="str">
        <f t="shared" si="18"/>
        <v>E2_2_1_7_mRNA : 0</v>
      </c>
      <c r="J85" s="34" t="str">
        <f t="shared" si="19"/>
        <v>E2_2_1_7 : 0</v>
      </c>
      <c r="K85" s="35" t="str">
        <f t="shared" si="20"/>
        <v>0.00292 - (0.0093 * E2_2_1_7_mRNA)</v>
      </c>
      <c r="L85" s="30" t="str">
        <f t="shared" si="21"/>
        <v>(0.278 * E2_2_1_7_mRNA) - (0.00000278 * E2_2_1_7)</v>
      </c>
      <c r="M85" s="36" t="str">
        <f t="shared" si="22"/>
        <v>mRNA84: -&gt; E2_2_1_7_mRNA | 0.00292 - (0.0093 * E2_2_1_7_mRNA)</v>
      </c>
      <c r="N85" s="21" t="str">
        <f t="shared" si="23"/>
        <v>Peptide84:  E2_2_1_7_mRNA -&gt; E2_2_1_7 | (0.278 * E2_2_1_7_mRNA) - (0.00000278 * E2_2_1_7)</v>
      </c>
    </row>
    <row r="86" spans="1:14" x14ac:dyDescent="0.45">
      <c r="A86">
        <v>85</v>
      </c>
      <c r="B86" t="s">
        <v>15043</v>
      </c>
      <c r="C86" t="str">
        <f t="shared" si="13"/>
        <v>E2_3_1_1_mRNA</v>
      </c>
      <c r="D86" t="str">
        <f t="shared" si="12"/>
        <v>E2_3_1_1</v>
      </c>
      <c r="E86" s="30" t="str">
        <f t="shared" si="14"/>
        <v>E2_3_1_1_kcat : 13.7</v>
      </c>
      <c r="F86" s="31" t="str">
        <f t="shared" si="15"/>
        <v>E2_3_1_1_km : 1</v>
      </c>
      <c r="G86" s="21" t="str">
        <f t="shared" si="16"/>
        <v>E2_3_1_1_mRNA : E2_3_1_1_mRNA</v>
      </c>
      <c r="H86" s="32" t="str">
        <f t="shared" si="17"/>
        <v>E2_3_1_1 : E2_3_1_1</v>
      </c>
      <c r="I86" s="33" t="str">
        <f t="shared" si="18"/>
        <v>E2_3_1_1_mRNA : 0</v>
      </c>
      <c r="J86" s="34" t="str">
        <f t="shared" si="19"/>
        <v>E2_3_1_1 : 0</v>
      </c>
      <c r="K86" s="35" t="str">
        <f t="shared" si="20"/>
        <v>0.00292 - (0.0093 * E2_3_1_1_mRNA)</v>
      </c>
      <c r="L86" s="30" t="str">
        <f t="shared" si="21"/>
        <v>(0.278 * E2_3_1_1_mRNA) - (0.00000278 * E2_3_1_1)</v>
      </c>
      <c r="M86" s="36" t="str">
        <f t="shared" si="22"/>
        <v>mRNA85: -&gt; E2_3_1_1_mRNA | 0.00292 - (0.0093 * E2_3_1_1_mRNA)</v>
      </c>
      <c r="N86" s="21" t="str">
        <f t="shared" si="23"/>
        <v>Peptide85:  E2_3_1_1_mRNA -&gt; E2_3_1_1 | (0.278 * E2_3_1_1_mRNA) - (0.00000278 * E2_3_1_1)</v>
      </c>
    </row>
    <row r="87" spans="1:14" x14ac:dyDescent="0.45">
      <c r="A87">
        <v>86</v>
      </c>
      <c r="B87" t="s">
        <v>15044</v>
      </c>
      <c r="C87" t="str">
        <f t="shared" si="13"/>
        <v>E2_3_1_15_mRNA</v>
      </c>
      <c r="D87" t="str">
        <f t="shared" si="12"/>
        <v>E2_3_1_15</v>
      </c>
      <c r="E87" s="30" t="str">
        <f t="shared" si="14"/>
        <v>E2_3_1_15_kcat : 13.7</v>
      </c>
      <c r="F87" s="31" t="str">
        <f t="shared" si="15"/>
        <v>E2_3_1_15_km : 1</v>
      </c>
      <c r="G87" s="21" t="str">
        <f t="shared" si="16"/>
        <v>E2_3_1_15_mRNA : E2_3_1_15_mRNA</v>
      </c>
      <c r="H87" s="32" t="str">
        <f t="shared" si="17"/>
        <v>E2_3_1_15 : E2_3_1_15</v>
      </c>
      <c r="I87" s="33" t="str">
        <f t="shared" si="18"/>
        <v>E2_3_1_15_mRNA : 0</v>
      </c>
      <c r="J87" s="34" t="str">
        <f t="shared" si="19"/>
        <v>E2_3_1_15 : 0</v>
      </c>
      <c r="K87" s="35" t="str">
        <f t="shared" si="20"/>
        <v>0.00292 - (0.0093 * E2_3_1_15_mRNA)</v>
      </c>
      <c r="L87" s="30" t="str">
        <f t="shared" si="21"/>
        <v>(0.278 * E2_3_1_15_mRNA) - (0.00000278 * E2_3_1_15)</v>
      </c>
      <c r="M87" s="36" t="str">
        <f t="shared" si="22"/>
        <v>mRNA86: -&gt; E2_3_1_15_mRNA | 0.00292 - (0.0093 * E2_3_1_15_mRNA)</v>
      </c>
      <c r="N87" s="21" t="str">
        <f t="shared" si="23"/>
        <v>Peptide86:  E2_3_1_15_mRNA -&gt; E2_3_1_15 | (0.278 * E2_3_1_15_mRNA) - (0.00000278 * E2_3_1_15)</v>
      </c>
    </row>
    <row r="88" spans="1:14" x14ac:dyDescent="0.45">
      <c r="A88">
        <v>87</v>
      </c>
      <c r="B88" t="s">
        <v>15045</v>
      </c>
      <c r="C88" t="str">
        <f t="shared" si="13"/>
        <v>E2_3_1_157_mRNA</v>
      </c>
      <c r="D88" t="str">
        <f t="shared" si="12"/>
        <v>E2_3_1_157</v>
      </c>
      <c r="E88" s="30" t="str">
        <f t="shared" si="14"/>
        <v>E2_3_1_157_kcat : 13.7</v>
      </c>
      <c r="F88" s="31" t="str">
        <f t="shared" si="15"/>
        <v>E2_3_1_157_km : 1</v>
      </c>
      <c r="G88" s="21" t="str">
        <f t="shared" si="16"/>
        <v>E2_3_1_157_mRNA : E2_3_1_157_mRNA</v>
      </c>
      <c r="H88" s="32" t="str">
        <f t="shared" si="17"/>
        <v>E2_3_1_157 : E2_3_1_157</v>
      </c>
      <c r="I88" s="33" t="str">
        <f t="shared" si="18"/>
        <v>E2_3_1_157_mRNA : 0</v>
      </c>
      <c r="J88" s="34" t="str">
        <f t="shared" si="19"/>
        <v>E2_3_1_157 : 0</v>
      </c>
      <c r="K88" s="35" t="str">
        <f t="shared" si="20"/>
        <v>0.00292 - (0.0093 * E2_3_1_157_mRNA)</v>
      </c>
      <c r="L88" s="30" t="str">
        <f t="shared" si="21"/>
        <v>(0.278 * E2_3_1_157_mRNA) - (0.00000278 * E2_3_1_157)</v>
      </c>
      <c r="M88" s="36" t="str">
        <f t="shared" si="22"/>
        <v>mRNA87: -&gt; E2_3_1_157_mRNA | 0.00292 - (0.0093 * E2_3_1_157_mRNA)</v>
      </c>
      <c r="N88" s="21" t="str">
        <f t="shared" si="23"/>
        <v>Peptide87:  E2_3_1_157_mRNA -&gt; E2_3_1_157 | (0.278 * E2_3_1_157_mRNA) - (0.00000278 * E2_3_1_157)</v>
      </c>
    </row>
    <row r="89" spans="1:14" x14ac:dyDescent="0.45">
      <c r="A89">
        <v>88</v>
      </c>
      <c r="B89" t="s">
        <v>15046</v>
      </c>
      <c r="C89" t="str">
        <f t="shared" si="13"/>
        <v>E2_3_1_169_mRNA</v>
      </c>
      <c r="D89" t="str">
        <f t="shared" si="12"/>
        <v>E2_3_1_169</v>
      </c>
      <c r="E89" s="30" t="str">
        <f t="shared" si="14"/>
        <v>E2_3_1_169_kcat : 13.7</v>
      </c>
      <c r="F89" s="31" t="str">
        <f t="shared" si="15"/>
        <v>E2_3_1_169_km : 1</v>
      </c>
      <c r="G89" s="21" t="str">
        <f t="shared" si="16"/>
        <v>E2_3_1_169_mRNA : E2_3_1_169_mRNA</v>
      </c>
      <c r="H89" s="32" t="str">
        <f t="shared" si="17"/>
        <v>E2_3_1_169 : E2_3_1_169</v>
      </c>
      <c r="I89" s="33" t="str">
        <f t="shared" si="18"/>
        <v>E2_3_1_169_mRNA : 0</v>
      </c>
      <c r="J89" s="34" t="str">
        <f t="shared" si="19"/>
        <v>E2_3_1_169 : 0</v>
      </c>
      <c r="K89" s="35" t="str">
        <f t="shared" si="20"/>
        <v>0.00292 - (0.0093 * E2_3_1_169_mRNA)</v>
      </c>
      <c r="L89" s="30" t="str">
        <f t="shared" si="21"/>
        <v>(0.278 * E2_3_1_169_mRNA) - (0.00000278 * E2_3_1_169)</v>
      </c>
      <c r="M89" s="36" t="str">
        <f t="shared" si="22"/>
        <v>mRNA88: -&gt; E2_3_1_169_mRNA | 0.00292 - (0.0093 * E2_3_1_169_mRNA)</v>
      </c>
      <c r="N89" s="21" t="str">
        <f t="shared" si="23"/>
        <v>Peptide88:  E2_3_1_169_mRNA -&gt; E2_3_1_169 | (0.278 * E2_3_1_169_mRNA) - (0.00000278 * E2_3_1_169)</v>
      </c>
    </row>
    <row r="90" spans="1:14" x14ac:dyDescent="0.45">
      <c r="A90">
        <v>89</v>
      </c>
      <c r="B90" t="s">
        <v>15047</v>
      </c>
      <c r="C90" t="str">
        <f t="shared" si="13"/>
        <v>E2_3_1_179_mRNA</v>
      </c>
      <c r="D90" t="str">
        <f t="shared" si="12"/>
        <v>E2_3_1_179</v>
      </c>
      <c r="E90" s="30" t="str">
        <f t="shared" si="14"/>
        <v>E2_3_1_179_kcat : 13.7</v>
      </c>
      <c r="F90" s="31" t="str">
        <f t="shared" si="15"/>
        <v>E2_3_1_179_km : 1</v>
      </c>
      <c r="G90" s="21" t="str">
        <f t="shared" si="16"/>
        <v>E2_3_1_179_mRNA : E2_3_1_179_mRNA</v>
      </c>
      <c r="H90" s="32" t="str">
        <f t="shared" si="17"/>
        <v>E2_3_1_179 : E2_3_1_179</v>
      </c>
      <c r="I90" s="33" t="str">
        <f t="shared" si="18"/>
        <v>E2_3_1_179_mRNA : 0</v>
      </c>
      <c r="J90" s="34" t="str">
        <f t="shared" si="19"/>
        <v>E2_3_1_179 : 0</v>
      </c>
      <c r="K90" s="35" t="str">
        <f t="shared" si="20"/>
        <v>0.00292 - (0.0093 * E2_3_1_179_mRNA)</v>
      </c>
      <c r="L90" s="30" t="str">
        <f t="shared" si="21"/>
        <v>(0.278 * E2_3_1_179_mRNA) - (0.00000278 * E2_3_1_179)</v>
      </c>
      <c r="M90" s="36" t="str">
        <f t="shared" si="22"/>
        <v>mRNA89: -&gt; E2_3_1_179_mRNA | 0.00292 - (0.0093 * E2_3_1_179_mRNA)</v>
      </c>
      <c r="N90" s="21" t="str">
        <f t="shared" si="23"/>
        <v>Peptide89:  E2_3_1_179_mRNA -&gt; E2_3_1_179 | (0.278 * E2_3_1_179_mRNA) - (0.00000278 * E2_3_1_179)</v>
      </c>
    </row>
    <row r="91" spans="1:14" x14ac:dyDescent="0.45">
      <c r="A91">
        <v>90</v>
      </c>
      <c r="B91" t="s">
        <v>15048</v>
      </c>
      <c r="C91" t="str">
        <f t="shared" si="13"/>
        <v>E2_3_1_180_mRNA</v>
      </c>
      <c r="D91" t="str">
        <f t="shared" si="12"/>
        <v>E2_3_1_180</v>
      </c>
      <c r="E91" s="30" t="str">
        <f t="shared" si="14"/>
        <v>E2_3_1_180_kcat : 13.7</v>
      </c>
      <c r="F91" s="31" t="str">
        <f t="shared" si="15"/>
        <v>E2_3_1_180_km : 1</v>
      </c>
      <c r="G91" s="21" t="str">
        <f t="shared" si="16"/>
        <v>E2_3_1_180_mRNA : E2_3_1_180_mRNA</v>
      </c>
      <c r="H91" s="32" t="str">
        <f t="shared" si="17"/>
        <v>E2_3_1_180 : E2_3_1_180</v>
      </c>
      <c r="I91" s="33" t="str">
        <f t="shared" si="18"/>
        <v>E2_3_1_180_mRNA : 0</v>
      </c>
      <c r="J91" s="34" t="str">
        <f t="shared" si="19"/>
        <v>E2_3_1_180 : 0</v>
      </c>
      <c r="K91" s="35" t="str">
        <f t="shared" si="20"/>
        <v>0.00292 - (0.0093 * E2_3_1_180_mRNA)</v>
      </c>
      <c r="L91" s="30" t="str">
        <f t="shared" si="21"/>
        <v>(0.278 * E2_3_1_180_mRNA) - (0.00000278 * E2_3_1_180)</v>
      </c>
      <c r="M91" s="36" t="str">
        <f t="shared" si="22"/>
        <v>mRNA90: -&gt; E2_3_1_180_mRNA | 0.00292 - (0.0093 * E2_3_1_180_mRNA)</v>
      </c>
      <c r="N91" s="21" t="str">
        <f t="shared" si="23"/>
        <v>Peptide90:  E2_3_1_180_mRNA -&gt; E2_3_1_180 | (0.278 * E2_3_1_180_mRNA) - (0.00000278 * E2_3_1_180)</v>
      </c>
    </row>
    <row r="92" spans="1:14" x14ac:dyDescent="0.45">
      <c r="A92">
        <v>91</v>
      </c>
      <c r="B92" t="s">
        <v>15049</v>
      </c>
      <c r="C92" t="str">
        <f t="shared" si="13"/>
        <v>E2_3_1_19_mRNA</v>
      </c>
      <c r="D92" t="str">
        <f t="shared" si="12"/>
        <v>E2_3_1_19</v>
      </c>
      <c r="E92" s="30" t="str">
        <f t="shared" si="14"/>
        <v>E2_3_1_19_kcat : 13.7</v>
      </c>
      <c r="F92" s="31" t="str">
        <f t="shared" si="15"/>
        <v>E2_3_1_19_km : 1</v>
      </c>
      <c r="G92" s="21" t="str">
        <f t="shared" si="16"/>
        <v>E2_3_1_19_mRNA : E2_3_1_19_mRNA</v>
      </c>
      <c r="H92" s="32" t="str">
        <f t="shared" si="17"/>
        <v>E2_3_1_19 : E2_3_1_19</v>
      </c>
      <c r="I92" s="33" t="str">
        <f t="shared" si="18"/>
        <v>E2_3_1_19_mRNA : 0</v>
      </c>
      <c r="J92" s="34" t="str">
        <f t="shared" si="19"/>
        <v>E2_3_1_19 : 0</v>
      </c>
      <c r="K92" s="35" t="str">
        <f t="shared" si="20"/>
        <v>0.00292 - (0.0093 * E2_3_1_19_mRNA)</v>
      </c>
      <c r="L92" s="30" t="str">
        <f t="shared" si="21"/>
        <v>(0.278 * E2_3_1_19_mRNA) - (0.00000278 * E2_3_1_19)</v>
      </c>
      <c r="M92" s="36" t="str">
        <f t="shared" si="22"/>
        <v>mRNA91: -&gt; E2_3_1_19_mRNA | 0.00292 - (0.0093 * E2_3_1_19_mRNA)</v>
      </c>
      <c r="N92" s="21" t="str">
        <f t="shared" si="23"/>
        <v>Peptide91:  E2_3_1_19_mRNA -&gt; E2_3_1_19 | (0.278 * E2_3_1_19_mRNA) - (0.00000278 * E2_3_1_19)</v>
      </c>
    </row>
    <row r="93" spans="1:14" x14ac:dyDescent="0.45">
      <c r="A93">
        <v>92</v>
      </c>
      <c r="B93" t="s">
        <v>15050</v>
      </c>
      <c r="C93" t="str">
        <f t="shared" si="13"/>
        <v>E2_3_1_222_mRNA</v>
      </c>
      <c r="D93" t="str">
        <f t="shared" si="12"/>
        <v>E2_3_1_222</v>
      </c>
      <c r="E93" s="30" t="str">
        <f t="shared" si="14"/>
        <v>E2_3_1_222_kcat : 13.7</v>
      </c>
      <c r="F93" s="31" t="str">
        <f t="shared" si="15"/>
        <v>E2_3_1_222_km : 1</v>
      </c>
      <c r="G93" s="21" t="str">
        <f t="shared" si="16"/>
        <v>E2_3_1_222_mRNA : E2_3_1_222_mRNA</v>
      </c>
      <c r="H93" s="32" t="str">
        <f t="shared" si="17"/>
        <v>E2_3_1_222 : E2_3_1_222</v>
      </c>
      <c r="I93" s="33" t="str">
        <f t="shared" si="18"/>
        <v>E2_3_1_222_mRNA : 0</v>
      </c>
      <c r="J93" s="34" t="str">
        <f t="shared" si="19"/>
        <v>E2_3_1_222 : 0</v>
      </c>
      <c r="K93" s="35" t="str">
        <f t="shared" si="20"/>
        <v>0.00292 - (0.0093 * E2_3_1_222_mRNA)</v>
      </c>
      <c r="L93" s="30" t="str">
        <f t="shared" si="21"/>
        <v>(0.278 * E2_3_1_222_mRNA) - (0.00000278 * E2_3_1_222)</v>
      </c>
      <c r="M93" s="36" t="str">
        <f t="shared" si="22"/>
        <v>mRNA92: -&gt; E2_3_1_222_mRNA | 0.00292 - (0.0093 * E2_3_1_222_mRNA)</v>
      </c>
      <c r="N93" s="21" t="str">
        <f t="shared" si="23"/>
        <v>Peptide92:  E2_3_1_222_mRNA -&gt; E2_3_1_222 | (0.278 * E2_3_1_222_mRNA) - (0.00000278 * E2_3_1_222)</v>
      </c>
    </row>
    <row r="94" spans="1:14" x14ac:dyDescent="0.45">
      <c r="A94">
        <v>93</v>
      </c>
      <c r="B94" t="s">
        <v>15051</v>
      </c>
      <c r="C94" t="str">
        <f t="shared" si="13"/>
        <v>E2_3_1_234_mRNA</v>
      </c>
      <c r="D94" t="str">
        <f t="shared" si="12"/>
        <v>E2_3_1_234</v>
      </c>
      <c r="E94" s="30" t="str">
        <f t="shared" si="14"/>
        <v>E2_3_1_234_kcat : 13.7</v>
      </c>
      <c r="F94" s="31" t="str">
        <f t="shared" si="15"/>
        <v>E2_3_1_234_km : 1</v>
      </c>
      <c r="G94" s="21" t="str">
        <f t="shared" si="16"/>
        <v>E2_3_1_234_mRNA : E2_3_1_234_mRNA</v>
      </c>
      <c r="H94" s="32" t="str">
        <f t="shared" si="17"/>
        <v>E2_3_1_234 : E2_3_1_234</v>
      </c>
      <c r="I94" s="33" t="str">
        <f t="shared" si="18"/>
        <v>E2_3_1_234_mRNA : 0</v>
      </c>
      <c r="J94" s="34" t="str">
        <f t="shared" si="19"/>
        <v>E2_3_1_234 : 0</v>
      </c>
      <c r="K94" s="35" t="str">
        <f t="shared" si="20"/>
        <v>0.00292 - (0.0093 * E2_3_1_234_mRNA)</v>
      </c>
      <c r="L94" s="30" t="str">
        <f t="shared" si="21"/>
        <v>(0.278 * E2_3_1_234_mRNA) - (0.00000278 * E2_3_1_234)</v>
      </c>
      <c r="M94" s="36" t="str">
        <f t="shared" si="22"/>
        <v>mRNA93: -&gt; E2_3_1_234_mRNA | 0.00292 - (0.0093 * E2_3_1_234_mRNA)</v>
      </c>
      <c r="N94" s="21" t="str">
        <f t="shared" si="23"/>
        <v>Peptide93:  E2_3_1_234_mRNA -&gt; E2_3_1_234 | (0.278 * E2_3_1_234_mRNA) - (0.00000278 * E2_3_1_234)</v>
      </c>
    </row>
    <row r="95" spans="1:14" x14ac:dyDescent="0.45">
      <c r="A95">
        <v>94</v>
      </c>
      <c r="B95" t="s">
        <v>15052</v>
      </c>
      <c r="C95" t="str">
        <f t="shared" si="13"/>
        <v>E2_3_1_263_mRNA</v>
      </c>
      <c r="D95" t="str">
        <f t="shared" si="12"/>
        <v>E2_3_1_263</v>
      </c>
      <c r="E95" s="30" t="str">
        <f t="shared" si="14"/>
        <v>E2_3_1_263_kcat : 13.7</v>
      </c>
      <c r="F95" s="31" t="str">
        <f t="shared" si="15"/>
        <v>E2_3_1_263_km : 1</v>
      </c>
      <c r="G95" s="21" t="str">
        <f t="shared" si="16"/>
        <v>E2_3_1_263_mRNA : E2_3_1_263_mRNA</v>
      </c>
      <c r="H95" s="32" t="str">
        <f t="shared" si="17"/>
        <v>E2_3_1_263 : E2_3_1_263</v>
      </c>
      <c r="I95" s="33" t="str">
        <f t="shared" si="18"/>
        <v>E2_3_1_263_mRNA : 0</v>
      </c>
      <c r="J95" s="34" t="str">
        <f t="shared" si="19"/>
        <v>E2_3_1_263 : 0</v>
      </c>
      <c r="K95" s="35" t="str">
        <f t="shared" si="20"/>
        <v>0.00292 - (0.0093 * E2_3_1_263_mRNA)</v>
      </c>
      <c r="L95" s="30" t="str">
        <f t="shared" si="21"/>
        <v>(0.278 * E2_3_1_263_mRNA) - (0.00000278 * E2_3_1_263)</v>
      </c>
      <c r="M95" s="36" t="str">
        <f t="shared" si="22"/>
        <v>mRNA94: -&gt; E2_3_1_263_mRNA | 0.00292 - (0.0093 * E2_3_1_263_mRNA)</v>
      </c>
      <c r="N95" s="21" t="str">
        <f t="shared" si="23"/>
        <v>Peptide94:  E2_3_1_263_mRNA -&gt; E2_3_1_263 | (0.278 * E2_3_1_263_mRNA) - (0.00000278 * E2_3_1_263)</v>
      </c>
    </row>
    <row r="96" spans="1:14" x14ac:dyDescent="0.45">
      <c r="A96">
        <v>95</v>
      </c>
      <c r="B96" t="s">
        <v>15053</v>
      </c>
      <c r="C96" t="str">
        <f t="shared" si="13"/>
        <v>E2_3_1_266_mRNA</v>
      </c>
      <c r="D96" t="str">
        <f t="shared" si="12"/>
        <v>E2_3_1_266</v>
      </c>
      <c r="E96" s="30" t="str">
        <f t="shared" si="14"/>
        <v>E2_3_1_266_kcat : 13.7</v>
      </c>
      <c r="F96" s="31" t="str">
        <f t="shared" si="15"/>
        <v>E2_3_1_266_km : 1</v>
      </c>
      <c r="G96" s="21" t="str">
        <f t="shared" si="16"/>
        <v>E2_3_1_266_mRNA : E2_3_1_266_mRNA</v>
      </c>
      <c r="H96" s="32" t="str">
        <f t="shared" si="17"/>
        <v>E2_3_1_266 : E2_3_1_266</v>
      </c>
      <c r="I96" s="33" t="str">
        <f t="shared" si="18"/>
        <v>E2_3_1_266_mRNA : 0</v>
      </c>
      <c r="J96" s="34" t="str">
        <f t="shared" si="19"/>
        <v>E2_3_1_266 : 0</v>
      </c>
      <c r="K96" s="35" t="str">
        <f t="shared" si="20"/>
        <v>0.00292 - (0.0093 * E2_3_1_266_mRNA)</v>
      </c>
      <c r="L96" s="30" t="str">
        <f t="shared" si="21"/>
        <v>(0.278 * E2_3_1_266_mRNA) - (0.00000278 * E2_3_1_266)</v>
      </c>
      <c r="M96" s="36" t="str">
        <f t="shared" si="22"/>
        <v>mRNA95: -&gt; E2_3_1_266_mRNA | 0.00292 - (0.0093 * E2_3_1_266_mRNA)</v>
      </c>
      <c r="N96" s="21" t="str">
        <f t="shared" si="23"/>
        <v>Peptide95:  E2_3_1_266_mRNA -&gt; E2_3_1_266 | (0.278 * E2_3_1_266_mRNA) - (0.00000278 * E2_3_1_266)</v>
      </c>
    </row>
    <row r="97" spans="1:14" x14ac:dyDescent="0.45">
      <c r="A97">
        <v>96</v>
      </c>
      <c r="B97" t="s">
        <v>15054</v>
      </c>
      <c r="C97" t="str">
        <f t="shared" si="13"/>
        <v>E2_3_1_274_mRNA</v>
      </c>
      <c r="D97" t="str">
        <f t="shared" si="12"/>
        <v>E2_3_1_274</v>
      </c>
      <c r="E97" s="30" t="str">
        <f t="shared" si="14"/>
        <v>E2_3_1_274_kcat : 13.7</v>
      </c>
      <c r="F97" s="31" t="str">
        <f t="shared" si="15"/>
        <v>E2_3_1_274_km : 1</v>
      </c>
      <c r="G97" s="21" t="str">
        <f t="shared" si="16"/>
        <v>E2_3_1_274_mRNA : E2_3_1_274_mRNA</v>
      </c>
      <c r="H97" s="32" t="str">
        <f t="shared" si="17"/>
        <v>E2_3_1_274 : E2_3_1_274</v>
      </c>
      <c r="I97" s="33" t="str">
        <f t="shared" si="18"/>
        <v>E2_3_1_274_mRNA : 0</v>
      </c>
      <c r="J97" s="34" t="str">
        <f t="shared" si="19"/>
        <v>E2_3_1_274 : 0</v>
      </c>
      <c r="K97" s="35" t="str">
        <f t="shared" si="20"/>
        <v>0.00292 - (0.0093 * E2_3_1_274_mRNA)</v>
      </c>
      <c r="L97" s="30" t="str">
        <f t="shared" si="21"/>
        <v>(0.278 * E2_3_1_274_mRNA) - (0.00000278 * E2_3_1_274)</v>
      </c>
      <c r="M97" s="36" t="str">
        <f t="shared" si="22"/>
        <v>mRNA96: -&gt; E2_3_1_274_mRNA | 0.00292 - (0.0093 * E2_3_1_274_mRNA)</v>
      </c>
      <c r="N97" s="21" t="str">
        <f t="shared" si="23"/>
        <v>Peptide96:  E2_3_1_274_mRNA -&gt; E2_3_1_274 | (0.278 * E2_3_1_274_mRNA) - (0.00000278 * E2_3_1_274)</v>
      </c>
    </row>
    <row r="98" spans="1:14" x14ac:dyDescent="0.45">
      <c r="A98">
        <v>97</v>
      </c>
      <c r="B98" t="s">
        <v>15055</v>
      </c>
      <c r="C98" t="str">
        <f t="shared" si="13"/>
        <v>E2_3_1_286_mRNA</v>
      </c>
      <c r="D98" t="str">
        <f t="shared" si="12"/>
        <v>E2_3_1_286</v>
      </c>
      <c r="E98" s="30" t="str">
        <f t="shared" si="14"/>
        <v>E2_3_1_286_kcat : 13.7</v>
      </c>
      <c r="F98" s="31" t="str">
        <f t="shared" si="15"/>
        <v>E2_3_1_286_km : 1</v>
      </c>
      <c r="G98" s="21" t="str">
        <f t="shared" si="16"/>
        <v>E2_3_1_286_mRNA : E2_3_1_286_mRNA</v>
      </c>
      <c r="H98" s="32" t="str">
        <f t="shared" si="17"/>
        <v>E2_3_1_286 : E2_3_1_286</v>
      </c>
      <c r="I98" s="33" t="str">
        <f t="shared" si="18"/>
        <v>E2_3_1_286_mRNA : 0</v>
      </c>
      <c r="J98" s="34" t="str">
        <f t="shared" si="19"/>
        <v>E2_3_1_286 : 0</v>
      </c>
      <c r="K98" s="35" t="str">
        <f t="shared" si="20"/>
        <v>0.00292 - (0.0093 * E2_3_1_286_mRNA)</v>
      </c>
      <c r="L98" s="30" t="str">
        <f t="shared" si="21"/>
        <v>(0.278 * E2_3_1_286_mRNA) - (0.00000278 * E2_3_1_286)</v>
      </c>
      <c r="M98" s="36" t="str">
        <f t="shared" si="22"/>
        <v>mRNA97: -&gt; E2_3_1_286_mRNA | 0.00292 - (0.0093 * E2_3_1_286_mRNA)</v>
      </c>
      <c r="N98" s="21" t="str">
        <f t="shared" si="23"/>
        <v>Peptide97:  E2_3_1_286_mRNA -&gt; E2_3_1_286 | (0.278 * E2_3_1_286_mRNA) - (0.00000278 * E2_3_1_286)</v>
      </c>
    </row>
    <row r="99" spans="1:14" x14ac:dyDescent="0.45">
      <c r="A99">
        <v>98</v>
      </c>
      <c r="B99" t="s">
        <v>15056</v>
      </c>
      <c r="C99" t="str">
        <f t="shared" si="13"/>
        <v>E2_3_1_31_mRNA</v>
      </c>
      <c r="D99" t="str">
        <f t="shared" si="12"/>
        <v>E2_3_1_31</v>
      </c>
      <c r="E99" s="30" t="str">
        <f t="shared" si="14"/>
        <v>E2_3_1_31_kcat : 13.7</v>
      </c>
      <c r="F99" s="31" t="str">
        <f t="shared" si="15"/>
        <v>E2_3_1_31_km : 1</v>
      </c>
      <c r="G99" s="21" t="str">
        <f t="shared" si="16"/>
        <v>E2_3_1_31_mRNA : E2_3_1_31_mRNA</v>
      </c>
      <c r="H99" s="32" t="str">
        <f t="shared" si="17"/>
        <v>E2_3_1_31 : E2_3_1_31</v>
      </c>
      <c r="I99" s="33" t="str">
        <f t="shared" si="18"/>
        <v>E2_3_1_31_mRNA : 0</v>
      </c>
      <c r="J99" s="34" t="str">
        <f t="shared" si="19"/>
        <v>E2_3_1_31 : 0</v>
      </c>
      <c r="K99" s="35" t="str">
        <f t="shared" si="20"/>
        <v>0.00292 - (0.0093 * E2_3_1_31_mRNA)</v>
      </c>
      <c r="L99" s="30" t="str">
        <f t="shared" si="21"/>
        <v>(0.278 * E2_3_1_31_mRNA) - (0.00000278 * E2_3_1_31)</v>
      </c>
      <c r="M99" s="36" t="str">
        <f t="shared" si="22"/>
        <v>mRNA98: -&gt; E2_3_1_31_mRNA | 0.00292 - (0.0093 * E2_3_1_31_mRNA)</v>
      </c>
      <c r="N99" s="21" t="str">
        <f t="shared" si="23"/>
        <v>Peptide98:  E2_3_1_31_mRNA -&gt; E2_3_1_31 | (0.278 * E2_3_1_31_mRNA) - (0.00000278 * E2_3_1_31)</v>
      </c>
    </row>
    <row r="100" spans="1:14" x14ac:dyDescent="0.45">
      <c r="A100">
        <v>99</v>
      </c>
      <c r="B100" t="s">
        <v>15057</v>
      </c>
      <c r="C100" t="str">
        <f t="shared" si="13"/>
        <v>E2_3_1_35_mRNA</v>
      </c>
      <c r="D100" t="str">
        <f t="shared" si="12"/>
        <v>E2_3_1_35</v>
      </c>
      <c r="E100" s="30" t="str">
        <f t="shared" si="14"/>
        <v>E2_3_1_35_kcat : 13.7</v>
      </c>
      <c r="F100" s="31" t="str">
        <f t="shared" si="15"/>
        <v>E2_3_1_35_km : 1</v>
      </c>
      <c r="G100" s="21" t="str">
        <f t="shared" si="16"/>
        <v>E2_3_1_35_mRNA : E2_3_1_35_mRNA</v>
      </c>
      <c r="H100" s="32" t="str">
        <f t="shared" si="17"/>
        <v>E2_3_1_35 : E2_3_1_35</v>
      </c>
      <c r="I100" s="33" t="str">
        <f t="shared" si="18"/>
        <v>E2_3_1_35_mRNA : 0</v>
      </c>
      <c r="J100" s="34" t="str">
        <f t="shared" si="19"/>
        <v>E2_3_1_35 : 0</v>
      </c>
      <c r="K100" s="35" t="str">
        <f t="shared" si="20"/>
        <v>0.00292 - (0.0093 * E2_3_1_35_mRNA)</v>
      </c>
      <c r="L100" s="30" t="str">
        <f t="shared" si="21"/>
        <v>(0.278 * E2_3_1_35_mRNA) - (0.00000278 * E2_3_1_35)</v>
      </c>
      <c r="M100" s="36" t="str">
        <f t="shared" si="22"/>
        <v>mRNA99: -&gt; E2_3_1_35_mRNA | 0.00292 - (0.0093 * E2_3_1_35_mRNA)</v>
      </c>
      <c r="N100" s="21" t="str">
        <f t="shared" si="23"/>
        <v>Peptide99:  E2_3_1_35_mRNA -&gt; E2_3_1_35 | (0.278 * E2_3_1_35_mRNA) - (0.00000278 * E2_3_1_35)</v>
      </c>
    </row>
    <row r="101" spans="1:14" x14ac:dyDescent="0.45">
      <c r="A101">
        <v>100</v>
      </c>
      <c r="B101" t="s">
        <v>15058</v>
      </c>
      <c r="C101" t="str">
        <f t="shared" si="13"/>
        <v>E2_3_1_39_mRNA</v>
      </c>
      <c r="D101" t="str">
        <f t="shared" si="12"/>
        <v>E2_3_1_39</v>
      </c>
      <c r="E101" s="30" t="str">
        <f t="shared" si="14"/>
        <v>E2_3_1_39_kcat : 13.7</v>
      </c>
      <c r="F101" s="31" t="str">
        <f t="shared" si="15"/>
        <v>E2_3_1_39_km : 1</v>
      </c>
      <c r="G101" s="21" t="str">
        <f t="shared" si="16"/>
        <v>E2_3_1_39_mRNA : E2_3_1_39_mRNA</v>
      </c>
      <c r="H101" s="32" t="str">
        <f t="shared" si="17"/>
        <v>E2_3_1_39 : E2_3_1_39</v>
      </c>
      <c r="I101" s="33" t="str">
        <f t="shared" si="18"/>
        <v>E2_3_1_39_mRNA : 0</v>
      </c>
      <c r="J101" s="34" t="str">
        <f t="shared" si="19"/>
        <v>E2_3_1_39 : 0</v>
      </c>
      <c r="K101" s="35" t="str">
        <f t="shared" si="20"/>
        <v>0.00292 - (0.0093 * E2_3_1_39_mRNA)</v>
      </c>
      <c r="L101" s="30" t="str">
        <f t="shared" si="21"/>
        <v>(0.278 * E2_3_1_39_mRNA) - (0.00000278 * E2_3_1_39)</v>
      </c>
      <c r="M101" s="36" t="str">
        <f t="shared" si="22"/>
        <v>mRNA100: -&gt; E2_3_1_39_mRNA | 0.00292 - (0.0093 * E2_3_1_39_mRNA)</v>
      </c>
      <c r="N101" s="21" t="str">
        <f t="shared" si="23"/>
        <v>Peptide100:  E2_3_1_39_mRNA -&gt; E2_3_1_39 | (0.278 * E2_3_1_39_mRNA) - (0.00000278 * E2_3_1_39)</v>
      </c>
    </row>
    <row r="102" spans="1:14" x14ac:dyDescent="0.45">
      <c r="A102">
        <v>101</v>
      </c>
      <c r="B102" t="s">
        <v>15059</v>
      </c>
      <c r="C102" t="str">
        <f t="shared" si="13"/>
        <v>E2_3_1_54_mRNA</v>
      </c>
      <c r="D102" t="str">
        <f t="shared" si="12"/>
        <v>E2_3_1_54</v>
      </c>
      <c r="E102" s="30" t="str">
        <f t="shared" si="14"/>
        <v>E2_3_1_54_kcat : 13.7</v>
      </c>
      <c r="F102" s="31" t="str">
        <f t="shared" si="15"/>
        <v>E2_3_1_54_km : 1</v>
      </c>
      <c r="G102" s="21" t="str">
        <f t="shared" si="16"/>
        <v>E2_3_1_54_mRNA : E2_3_1_54_mRNA</v>
      </c>
      <c r="H102" s="32" t="str">
        <f t="shared" si="17"/>
        <v>E2_3_1_54 : E2_3_1_54</v>
      </c>
      <c r="I102" s="33" t="str">
        <f t="shared" si="18"/>
        <v>E2_3_1_54_mRNA : 0</v>
      </c>
      <c r="J102" s="34" t="str">
        <f t="shared" si="19"/>
        <v>E2_3_1_54 : 0</v>
      </c>
      <c r="K102" s="35" t="str">
        <f t="shared" si="20"/>
        <v>0.00292 - (0.0093 * E2_3_1_54_mRNA)</v>
      </c>
      <c r="L102" s="30" t="str">
        <f t="shared" si="21"/>
        <v>(0.278 * E2_3_1_54_mRNA) - (0.00000278 * E2_3_1_54)</v>
      </c>
      <c r="M102" s="36" t="str">
        <f t="shared" si="22"/>
        <v>mRNA101: -&gt; E2_3_1_54_mRNA | 0.00292 - (0.0093 * E2_3_1_54_mRNA)</v>
      </c>
      <c r="N102" s="21" t="str">
        <f t="shared" si="23"/>
        <v>Peptide101:  E2_3_1_54_mRNA -&gt; E2_3_1_54 | (0.278 * E2_3_1_54_mRNA) - (0.00000278 * E2_3_1_54)</v>
      </c>
    </row>
    <row r="103" spans="1:14" x14ac:dyDescent="0.45">
      <c r="A103">
        <v>102</v>
      </c>
      <c r="B103" t="s">
        <v>15060</v>
      </c>
      <c r="C103" t="str">
        <f t="shared" si="13"/>
        <v>E2_3_1_8_mRNA</v>
      </c>
      <c r="D103" t="str">
        <f t="shared" si="12"/>
        <v>E2_3_1_8</v>
      </c>
      <c r="E103" s="30" t="str">
        <f t="shared" si="14"/>
        <v>E2_3_1_8_kcat : 13.7</v>
      </c>
      <c r="F103" s="31" t="str">
        <f t="shared" si="15"/>
        <v>E2_3_1_8_km : 1</v>
      </c>
      <c r="G103" s="21" t="str">
        <f t="shared" si="16"/>
        <v>E2_3_1_8_mRNA : E2_3_1_8_mRNA</v>
      </c>
      <c r="H103" s="32" t="str">
        <f t="shared" si="17"/>
        <v>E2_3_1_8 : E2_3_1_8</v>
      </c>
      <c r="I103" s="33" t="str">
        <f t="shared" si="18"/>
        <v>E2_3_1_8_mRNA : 0</v>
      </c>
      <c r="J103" s="34" t="str">
        <f t="shared" si="19"/>
        <v>E2_3_1_8 : 0</v>
      </c>
      <c r="K103" s="35" t="str">
        <f t="shared" si="20"/>
        <v>0.00292 - (0.0093 * E2_3_1_8_mRNA)</v>
      </c>
      <c r="L103" s="30" t="str">
        <f t="shared" si="21"/>
        <v>(0.278 * E2_3_1_8_mRNA) - (0.00000278 * E2_3_1_8)</v>
      </c>
      <c r="M103" s="36" t="str">
        <f t="shared" si="22"/>
        <v>mRNA102: -&gt; E2_3_1_8_mRNA | 0.00292 - (0.0093 * E2_3_1_8_mRNA)</v>
      </c>
      <c r="N103" s="21" t="str">
        <f t="shared" si="23"/>
        <v>Peptide102:  E2_3_1_8_mRNA -&gt; E2_3_1_8 | (0.278 * E2_3_1_8_mRNA) - (0.00000278 * E2_3_1_8)</v>
      </c>
    </row>
    <row r="104" spans="1:14" x14ac:dyDescent="0.45">
      <c r="A104">
        <v>103</v>
      </c>
      <c r="B104" t="s">
        <v>15061</v>
      </c>
      <c r="C104" t="str">
        <f t="shared" si="13"/>
        <v>E2_3_1_89_mRNA</v>
      </c>
      <c r="D104" t="str">
        <f t="shared" si="12"/>
        <v>E2_3_1_89</v>
      </c>
      <c r="E104" s="30" t="str">
        <f t="shared" si="14"/>
        <v>E2_3_1_89_kcat : 13.7</v>
      </c>
      <c r="F104" s="31" t="str">
        <f t="shared" si="15"/>
        <v>E2_3_1_89_km : 1</v>
      </c>
      <c r="G104" s="21" t="str">
        <f t="shared" si="16"/>
        <v>E2_3_1_89_mRNA : E2_3_1_89_mRNA</v>
      </c>
      <c r="H104" s="32" t="str">
        <f t="shared" si="17"/>
        <v>E2_3_1_89 : E2_3_1_89</v>
      </c>
      <c r="I104" s="33" t="str">
        <f t="shared" si="18"/>
        <v>E2_3_1_89_mRNA : 0</v>
      </c>
      <c r="J104" s="34" t="str">
        <f t="shared" si="19"/>
        <v>E2_3_1_89 : 0</v>
      </c>
      <c r="K104" s="35" t="str">
        <f t="shared" si="20"/>
        <v>0.00292 - (0.0093 * E2_3_1_89_mRNA)</v>
      </c>
      <c r="L104" s="30" t="str">
        <f t="shared" si="21"/>
        <v>(0.278 * E2_3_1_89_mRNA) - (0.00000278 * E2_3_1_89)</v>
      </c>
      <c r="M104" s="36" t="str">
        <f t="shared" si="22"/>
        <v>mRNA103: -&gt; E2_3_1_89_mRNA | 0.00292 - (0.0093 * E2_3_1_89_mRNA)</v>
      </c>
      <c r="N104" s="21" t="str">
        <f t="shared" si="23"/>
        <v>Peptide103:  E2_3_1_89_mRNA -&gt; E2_3_1_89 | (0.278 * E2_3_1_89_mRNA) - (0.00000278 * E2_3_1_89)</v>
      </c>
    </row>
    <row r="105" spans="1:14" x14ac:dyDescent="0.45">
      <c r="A105">
        <v>104</v>
      </c>
      <c r="B105" t="s">
        <v>15062</v>
      </c>
      <c r="C105" t="str">
        <f t="shared" si="13"/>
        <v>E2_3_1_9_mRNA</v>
      </c>
      <c r="D105" t="str">
        <f t="shared" si="12"/>
        <v>E2_3_1_9</v>
      </c>
      <c r="E105" s="30" t="str">
        <f t="shared" si="14"/>
        <v>E2_3_1_9_kcat : 13.7</v>
      </c>
      <c r="F105" s="31" t="str">
        <f t="shared" si="15"/>
        <v>E2_3_1_9_km : 1</v>
      </c>
      <c r="G105" s="21" t="str">
        <f t="shared" si="16"/>
        <v>E2_3_1_9_mRNA : E2_3_1_9_mRNA</v>
      </c>
      <c r="H105" s="32" t="str">
        <f t="shared" si="17"/>
        <v>E2_3_1_9 : E2_3_1_9</v>
      </c>
      <c r="I105" s="33" t="str">
        <f t="shared" si="18"/>
        <v>E2_3_1_9_mRNA : 0</v>
      </c>
      <c r="J105" s="34" t="str">
        <f t="shared" si="19"/>
        <v>E2_3_1_9 : 0</v>
      </c>
      <c r="K105" s="35" t="str">
        <f t="shared" si="20"/>
        <v>0.00292 - (0.0093 * E2_3_1_9_mRNA)</v>
      </c>
      <c r="L105" s="30" t="str">
        <f t="shared" si="21"/>
        <v>(0.278 * E2_3_1_9_mRNA) - (0.00000278 * E2_3_1_9)</v>
      </c>
      <c r="M105" s="36" t="str">
        <f t="shared" si="22"/>
        <v>mRNA104: -&gt; E2_3_1_9_mRNA | 0.00292 - (0.0093 * E2_3_1_9_mRNA)</v>
      </c>
      <c r="N105" s="21" t="str">
        <f t="shared" si="23"/>
        <v>Peptide104:  E2_3_1_9_mRNA -&gt; E2_3_1_9 | (0.278 * E2_3_1_9_mRNA) - (0.00000278 * E2_3_1_9)</v>
      </c>
    </row>
    <row r="106" spans="1:14" x14ac:dyDescent="0.45">
      <c r="A106">
        <v>105</v>
      </c>
      <c r="B106" t="s">
        <v>15063</v>
      </c>
      <c r="C106" t="str">
        <f t="shared" si="13"/>
        <v>E2_3_2_2_mRNA</v>
      </c>
      <c r="D106" t="str">
        <f t="shared" si="12"/>
        <v>E2_3_2_2</v>
      </c>
      <c r="E106" s="30" t="str">
        <f t="shared" si="14"/>
        <v>E2_3_2_2_kcat : 13.7</v>
      </c>
      <c r="F106" s="31" t="str">
        <f t="shared" si="15"/>
        <v>E2_3_2_2_km : 1</v>
      </c>
      <c r="G106" s="21" t="str">
        <f t="shared" si="16"/>
        <v>E2_3_2_2_mRNA : E2_3_2_2_mRNA</v>
      </c>
      <c r="H106" s="32" t="str">
        <f t="shared" si="17"/>
        <v>E2_3_2_2 : E2_3_2_2</v>
      </c>
      <c r="I106" s="33" t="str">
        <f t="shared" si="18"/>
        <v>E2_3_2_2_mRNA : 0</v>
      </c>
      <c r="J106" s="34" t="str">
        <f t="shared" si="19"/>
        <v>E2_3_2_2 : 0</v>
      </c>
      <c r="K106" s="35" t="str">
        <f t="shared" si="20"/>
        <v>0.00292 - (0.0093 * E2_3_2_2_mRNA)</v>
      </c>
      <c r="L106" s="30" t="str">
        <f t="shared" si="21"/>
        <v>(0.278 * E2_3_2_2_mRNA) - (0.00000278 * E2_3_2_2)</v>
      </c>
      <c r="M106" s="36" t="str">
        <f t="shared" si="22"/>
        <v>mRNA105: -&gt; E2_3_2_2_mRNA | 0.00292 - (0.0093 * E2_3_2_2_mRNA)</v>
      </c>
      <c r="N106" s="21" t="str">
        <f t="shared" si="23"/>
        <v>Peptide105:  E2_3_2_2_mRNA -&gt; E2_3_2_2 | (0.278 * E2_3_2_2_mRNA) - (0.00000278 * E2_3_2_2)</v>
      </c>
    </row>
    <row r="107" spans="1:14" x14ac:dyDescent="0.45">
      <c r="A107">
        <v>106</v>
      </c>
      <c r="B107" t="s">
        <v>15064</v>
      </c>
      <c r="C107" t="str">
        <f t="shared" si="13"/>
        <v>E2_3_3_13_mRNA</v>
      </c>
      <c r="D107" t="str">
        <f t="shared" si="12"/>
        <v>E2_3_3_13</v>
      </c>
      <c r="E107" s="30" t="str">
        <f t="shared" si="14"/>
        <v>E2_3_3_13_kcat : 13.7</v>
      </c>
      <c r="F107" s="31" t="str">
        <f t="shared" si="15"/>
        <v>E2_3_3_13_km : 1</v>
      </c>
      <c r="G107" s="21" t="str">
        <f t="shared" si="16"/>
        <v>E2_3_3_13_mRNA : E2_3_3_13_mRNA</v>
      </c>
      <c r="H107" s="32" t="str">
        <f t="shared" si="17"/>
        <v>E2_3_3_13 : E2_3_3_13</v>
      </c>
      <c r="I107" s="33" t="str">
        <f t="shared" si="18"/>
        <v>E2_3_3_13_mRNA : 0</v>
      </c>
      <c r="J107" s="34" t="str">
        <f t="shared" si="19"/>
        <v>E2_3_3_13 : 0</v>
      </c>
      <c r="K107" s="35" t="str">
        <f t="shared" si="20"/>
        <v>0.00292 - (0.0093 * E2_3_3_13_mRNA)</v>
      </c>
      <c r="L107" s="30" t="str">
        <f t="shared" si="21"/>
        <v>(0.278 * E2_3_3_13_mRNA) - (0.00000278 * E2_3_3_13)</v>
      </c>
      <c r="M107" s="36" t="str">
        <f t="shared" si="22"/>
        <v>mRNA106: -&gt; E2_3_3_13_mRNA | 0.00292 - (0.0093 * E2_3_3_13_mRNA)</v>
      </c>
      <c r="N107" s="21" t="str">
        <f t="shared" si="23"/>
        <v>Peptide106:  E2_3_3_13_mRNA -&gt; E2_3_3_13 | (0.278 * E2_3_3_13_mRNA) - (0.00000278 * E2_3_3_13)</v>
      </c>
    </row>
    <row r="108" spans="1:14" x14ac:dyDescent="0.45">
      <c r="A108">
        <v>107</v>
      </c>
      <c r="B108" t="s">
        <v>15065</v>
      </c>
      <c r="C108" t="str">
        <f t="shared" si="13"/>
        <v>E2_3_3_14_mRNA</v>
      </c>
      <c r="D108" t="str">
        <f t="shared" si="12"/>
        <v>E2_3_3_14</v>
      </c>
      <c r="E108" s="30" t="str">
        <f t="shared" si="14"/>
        <v>E2_3_3_14_kcat : 13.7</v>
      </c>
      <c r="F108" s="31" t="str">
        <f t="shared" si="15"/>
        <v>E2_3_3_14_km : 1</v>
      </c>
      <c r="G108" s="21" t="str">
        <f t="shared" si="16"/>
        <v>E2_3_3_14_mRNA : E2_3_3_14_mRNA</v>
      </c>
      <c r="H108" s="32" t="str">
        <f t="shared" si="17"/>
        <v>E2_3_3_14 : E2_3_3_14</v>
      </c>
      <c r="I108" s="33" t="str">
        <f t="shared" si="18"/>
        <v>E2_3_3_14_mRNA : 0</v>
      </c>
      <c r="J108" s="34" t="str">
        <f t="shared" si="19"/>
        <v>E2_3_3_14 : 0</v>
      </c>
      <c r="K108" s="35" t="str">
        <f t="shared" si="20"/>
        <v>0.00292 - (0.0093 * E2_3_3_14_mRNA)</v>
      </c>
      <c r="L108" s="30" t="str">
        <f t="shared" si="21"/>
        <v>(0.278 * E2_3_3_14_mRNA) - (0.00000278 * E2_3_3_14)</v>
      </c>
      <c r="M108" s="36" t="str">
        <f t="shared" si="22"/>
        <v>mRNA107: -&gt; E2_3_3_14_mRNA | 0.00292 - (0.0093 * E2_3_3_14_mRNA)</v>
      </c>
      <c r="N108" s="21" t="str">
        <f t="shared" si="23"/>
        <v>Peptide107:  E2_3_3_14_mRNA -&gt; E2_3_3_14 | (0.278 * E2_3_3_14_mRNA) - (0.00000278 * E2_3_3_14)</v>
      </c>
    </row>
    <row r="109" spans="1:14" x14ac:dyDescent="0.45">
      <c r="A109">
        <v>108</v>
      </c>
      <c r="B109" t="s">
        <v>15066</v>
      </c>
      <c r="C109" t="str">
        <f t="shared" si="13"/>
        <v>E2_4_1_1_mRNA</v>
      </c>
      <c r="D109" t="str">
        <f t="shared" si="12"/>
        <v>E2_4_1_1</v>
      </c>
      <c r="E109" s="30" t="str">
        <f t="shared" si="14"/>
        <v>E2_4_1_1_kcat : 13.7</v>
      </c>
      <c r="F109" s="31" t="str">
        <f t="shared" si="15"/>
        <v>E2_4_1_1_km : 1</v>
      </c>
      <c r="G109" s="21" t="str">
        <f t="shared" si="16"/>
        <v>E2_4_1_1_mRNA : E2_4_1_1_mRNA</v>
      </c>
      <c r="H109" s="32" t="str">
        <f t="shared" si="17"/>
        <v>E2_4_1_1 : E2_4_1_1</v>
      </c>
      <c r="I109" s="33" t="str">
        <f t="shared" si="18"/>
        <v>E2_4_1_1_mRNA : 0</v>
      </c>
      <c r="J109" s="34" t="str">
        <f t="shared" si="19"/>
        <v>E2_4_1_1 : 0</v>
      </c>
      <c r="K109" s="35" t="str">
        <f t="shared" si="20"/>
        <v>0.00292 - (0.0093 * E2_4_1_1_mRNA)</v>
      </c>
      <c r="L109" s="30" t="str">
        <f t="shared" si="21"/>
        <v>(0.278 * E2_4_1_1_mRNA) - (0.00000278 * E2_4_1_1)</v>
      </c>
      <c r="M109" s="36" t="str">
        <f t="shared" si="22"/>
        <v>mRNA108: -&gt; E2_4_1_1_mRNA | 0.00292 - (0.0093 * E2_4_1_1_mRNA)</v>
      </c>
      <c r="N109" s="21" t="str">
        <f t="shared" si="23"/>
        <v>Peptide108:  E2_4_1_1_mRNA -&gt; E2_4_1_1 | (0.278 * E2_4_1_1_mRNA) - (0.00000278 * E2_4_1_1)</v>
      </c>
    </row>
    <row r="110" spans="1:14" x14ac:dyDescent="0.45">
      <c r="A110">
        <v>109</v>
      </c>
      <c r="B110" t="s">
        <v>15067</v>
      </c>
      <c r="C110" t="str">
        <f t="shared" si="13"/>
        <v>E2_4_1_21_mRNA</v>
      </c>
      <c r="D110" t="str">
        <f t="shared" si="12"/>
        <v>E2_4_1_21</v>
      </c>
      <c r="E110" s="30" t="str">
        <f t="shared" si="14"/>
        <v>E2_4_1_21_kcat : 13.7</v>
      </c>
      <c r="F110" s="31" t="str">
        <f t="shared" si="15"/>
        <v>E2_4_1_21_km : 1</v>
      </c>
      <c r="G110" s="21" t="str">
        <f t="shared" si="16"/>
        <v>E2_4_1_21_mRNA : E2_4_1_21_mRNA</v>
      </c>
      <c r="H110" s="32" t="str">
        <f t="shared" si="17"/>
        <v>E2_4_1_21 : E2_4_1_21</v>
      </c>
      <c r="I110" s="33" t="str">
        <f t="shared" si="18"/>
        <v>E2_4_1_21_mRNA : 0</v>
      </c>
      <c r="J110" s="34" t="str">
        <f t="shared" si="19"/>
        <v>E2_4_1_21 : 0</v>
      </c>
      <c r="K110" s="35" t="str">
        <f t="shared" si="20"/>
        <v>0.00292 - (0.0093 * E2_4_1_21_mRNA)</v>
      </c>
      <c r="L110" s="30" t="str">
        <f t="shared" si="21"/>
        <v>(0.278 * E2_4_1_21_mRNA) - (0.00000278 * E2_4_1_21)</v>
      </c>
      <c r="M110" s="36" t="str">
        <f t="shared" si="22"/>
        <v>mRNA109: -&gt; E2_4_1_21_mRNA | 0.00292 - (0.0093 * E2_4_1_21_mRNA)</v>
      </c>
      <c r="N110" s="21" t="str">
        <f t="shared" si="23"/>
        <v>Peptide109:  E2_4_1_21_mRNA -&gt; E2_4_1_21 | (0.278 * E2_4_1_21_mRNA) - (0.00000278 * E2_4_1_21)</v>
      </c>
    </row>
    <row r="111" spans="1:14" x14ac:dyDescent="0.45">
      <c r="A111">
        <v>110</v>
      </c>
      <c r="B111" t="s">
        <v>15068</v>
      </c>
      <c r="C111" t="str">
        <f t="shared" si="13"/>
        <v>E2_4_1_227_mRNA</v>
      </c>
      <c r="D111" t="str">
        <f t="shared" si="12"/>
        <v>E2_4_1_227</v>
      </c>
      <c r="E111" s="30" t="str">
        <f t="shared" si="14"/>
        <v>E2_4_1_227_kcat : 13.7</v>
      </c>
      <c r="F111" s="31" t="str">
        <f t="shared" si="15"/>
        <v>E2_4_1_227_km : 1</v>
      </c>
      <c r="G111" s="21" t="str">
        <f t="shared" si="16"/>
        <v>E2_4_1_227_mRNA : E2_4_1_227_mRNA</v>
      </c>
      <c r="H111" s="32" t="str">
        <f t="shared" si="17"/>
        <v>E2_4_1_227 : E2_4_1_227</v>
      </c>
      <c r="I111" s="33" t="str">
        <f t="shared" si="18"/>
        <v>E2_4_1_227_mRNA : 0</v>
      </c>
      <c r="J111" s="34" t="str">
        <f t="shared" si="19"/>
        <v>E2_4_1_227 : 0</v>
      </c>
      <c r="K111" s="35" t="str">
        <f t="shared" si="20"/>
        <v>0.00292 - (0.0093 * E2_4_1_227_mRNA)</v>
      </c>
      <c r="L111" s="30" t="str">
        <f t="shared" si="21"/>
        <v>(0.278 * E2_4_1_227_mRNA) - (0.00000278 * E2_4_1_227)</v>
      </c>
      <c r="M111" s="36" t="str">
        <f t="shared" si="22"/>
        <v>mRNA110: -&gt; E2_4_1_227_mRNA | 0.00292 - (0.0093 * E2_4_1_227_mRNA)</v>
      </c>
      <c r="N111" s="21" t="str">
        <f t="shared" si="23"/>
        <v>Peptide110:  E2_4_1_227_mRNA -&gt; E2_4_1_227 | (0.278 * E2_4_1_227_mRNA) - (0.00000278 * E2_4_1_227)</v>
      </c>
    </row>
    <row r="112" spans="1:14" x14ac:dyDescent="0.45">
      <c r="A112">
        <v>111</v>
      </c>
      <c r="B112" t="s">
        <v>15069</v>
      </c>
      <c r="C112" t="str">
        <f t="shared" si="13"/>
        <v>E2_4_2_1_mRNA</v>
      </c>
      <c r="D112" t="str">
        <f t="shared" si="12"/>
        <v>E2_4_2_1</v>
      </c>
      <c r="E112" s="30" t="str">
        <f t="shared" si="14"/>
        <v>E2_4_2_1_kcat : 13.7</v>
      </c>
      <c r="F112" s="31" t="str">
        <f t="shared" si="15"/>
        <v>E2_4_2_1_km : 1</v>
      </c>
      <c r="G112" s="21" t="str">
        <f t="shared" si="16"/>
        <v>E2_4_2_1_mRNA : E2_4_2_1_mRNA</v>
      </c>
      <c r="H112" s="32" t="str">
        <f t="shared" si="17"/>
        <v>E2_4_2_1 : E2_4_2_1</v>
      </c>
      <c r="I112" s="33" t="str">
        <f t="shared" si="18"/>
        <v>E2_4_2_1_mRNA : 0</v>
      </c>
      <c r="J112" s="34" t="str">
        <f t="shared" si="19"/>
        <v>E2_4_2_1 : 0</v>
      </c>
      <c r="K112" s="35" t="str">
        <f t="shared" si="20"/>
        <v>0.00292 - (0.0093 * E2_4_2_1_mRNA)</v>
      </c>
      <c r="L112" s="30" t="str">
        <f t="shared" si="21"/>
        <v>(0.278 * E2_4_2_1_mRNA) - (0.00000278 * E2_4_2_1)</v>
      </c>
      <c r="M112" s="36" t="str">
        <f t="shared" si="22"/>
        <v>mRNA111: -&gt; E2_4_2_1_mRNA | 0.00292 - (0.0093 * E2_4_2_1_mRNA)</v>
      </c>
      <c r="N112" s="21" t="str">
        <f t="shared" si="23"/>
        <v>Peptide111:  E2_4_2_1_mRNA -&gt; E2_4_2_1 | (0.278 * E2_4_2_1_mRNA) - (0.00000278 * E2_4_2_1)</v>
      </c>
    </row>
    <row r="113" spans="1:14" x14ac:dyDescent="0.45">
      <c r="A113">
        <v>112</v>
      </c>
      <c r="B113" t="s">
        <v>15070</v>
      </c>
      <c r="C113" t="str">
        <f t="shared" si="13"/>
        <v>E2_4_2_10_mRNA</v>
      </c>
      <c r="D113" t="str">
        <f t="shared" si="12"/>
        <v>E2_4_2_10</v>
      </c>
      <c r="E113" s="30" t="str">
        <f t="shared" si="14"/>
        <v>E2_4_2_10_kcat : 13.7</v>
      </c>
      <c r="F113" s="31" t="str">
        <f t="shared" si="15"/>
        <v>E2_4_2_10_km : 1</v>
      </c>
      <c r="G113" s="21" t="str">
        <f t="shared" si="16"/>
        <v>E2_4_2_10_mRNA : E2_4_2_10_mRNA</v>
      </c>
      <c r="H113" s="32" t="str">
        <f t="shared" si="17"/>
        <v>E2_4_2_10 : E2_4_2_10</v>
      </c>
      <c r="I113" s="33" t="str">
        <f t="shared" si="18"/>
        <v>E2_4_2_10_mRNA : 0</v>
      </c>
      <c r="J113" s="34" t="str">
        <f t="shared" si="19"/>
        <v>E2_4_2_10 : 0</v>
      </c>
      <c r="K113" s="35" t="str">
        <f t="shared" si="20"/>
        <v>0.00292 - (0.0093 * E2_4_2_10_mRNA)</v>
      </c>
      <c r="L113" s="30" t="str">
        <f t="shared" si="21"/>
        <v>(0.278 * E2_4_2_10_mRNA) - (0.00000278 * E2_4_2_10)</v>
      </c>
      <c r="M113" s="36" t="str">
        <f t="shared" si="22"/>
        <v>mRNA112: -&gt; E2_4_2_10_mRNA | 0.00292 - (0.0093 * E2_4_2_10_mRNA)</v>
      </c>
      <c r="N113" s="21" t="str">
        <f t="shared" si="23"/>
        <v>Peptide112:  E2_4_2_10_mRNA -&gt; E2_4_2_10 | (0.278 * E2_4_2_10_mRNA) - (0.00000278 * E2_4_2_10)</v>
      </c>
    </row>
    <row r="114" spans="1:14" x14ac:dyDescent="0.45">
      <c r="A114">
        <v>113</v>
      </c>
      <c r="B114" t="s">
        <v>15071</v>
      </c>
      <c r="C114" t="str">
        <f t="shared" si="13"/>
        <v>E2_4_2_14_mRNA</v>
      </c>
      <c r="D114" t="str">
        <f t="shared" si="12"/>
        <v>E2_4_2_14</v>
      </c>
      <c r="E114" s="30" t="str">
        <f t="shared" si="14"/>
        <v>E2_4_2_14_kcat : 13.7</v>
      </c>
      <c r="F114" s="31" t="str">
        <f t="shared" si="15"/>
        <v>E2_4_2_14_km : 1</v>
      </c>
      <c r="G114" s="21" t="str">
        <f t="shared" si="16"/>
        <v>E2_4_2_14_mRNA : E2_4_2_14_mRNA</v>
      </c>
      <c r="H114" s="32" t="str">
        <f t="shared" si="17"/>
        <v>E2_4_2_14 : E2_4_2_14</v>
      </c>
      <c r="I114" s="33" t="str">
        <f t="shared" si="18"/>
        <v>E2_4_2_14_mRNA : 0</v>
      </c>
      <c r="J114" s="34" t="str">
        <f t="shared" si="19"/>
        <v>E2_4_2_14 : 0</v>
      </c>
      <c r="K114" s="35" t="str">
        <f t="shared" si="20"/>
        <v>0.00292 - (0.0093 * E2_4_2_14_mRNA)</v>
      </c>
      <c r="L114" s="30" t="str">
        <f t="shared" si="21"/>
        <v>(0.278 * E2_4_2_14_mRNA) - (0.00000278 * E2_4_2_14)</v>
      </c>
      <c r="M114" s="36" t="str">
        <f t="shared" si="22"/>
        <v>mRNA113: -&gt; E2_4_2_14_mRNA | 0.00292 - (0.0093 * E2_4_2_14_mRNA)</v>
      </c>
      <c r="N114" s="21" t="str">
        <f t="shared" si="23"/>
        <v>Peptide113:  E2_4_2_14_mRNA -&gt; E2_4_2_14 | (0.278 * E2_4_2_14_mRNA) - (0.00000278 * E2_4_2_14)</v>
      </c>
    </row>
    <row r="115" spans="1:14" x14ac:dyDescent="0.45">
      <c r="A115">
        <v>114</v>
      </c>
      <c r="B115" t="s">
        <v>15072</v>
      </c>
      <c r="C115" t="str">
        <f t="shared" si="13"/>
        <v>E2_4_2_17_mRNA</v>
      </c>
      <c r="D115" t="str">
        <f t="shared" si="12"/>
        <v>E2_4_2_17</v>
      </c>
      <c r="E115" s="30" t="str">
        <f t="shared" si="14"/>
        <v>E2_4_2_17_kcat : 13.7</v>
      </c>
      <c r="F115" s="31" t="str">
        <f t="shared" si="15"/>
        <v>E2_4_2_17_km : 1</v>
      </c>
      <c r="G115" s="21" t="str">
        <f t="shared" si="16"/>
        <v>E2_4_2_17_mRNA : E2_4_2_17_mRNA</v>
      </c>
      <c r="H115" s="32" t="str">
        <f t="shared" si="17"/>
        <v>E2_4_2_17 : E2_4_2_17</v>
      </c>
      <c r="I115" s="33" t="str">
        <f t="shared" si="18"/>
        <v>E2_4_2_17_mRNA : 0</v>
      </c>
      <c r="J115" s="34" t="str">
        <f t="shared" si="19"/>
        <v>E2_4_2_17 : 0</v>
      </c>
      <c r="K115" s="35" t="str">
        <f t="shared" si="20"/>
        <v>0.00292 - (0.0093 * E2_4_2_17_mRNA)</v>
      </c>
      <c r="L115" s="30" t="str">
        <f t="shared" si="21"/>
        <v>(0.278 * E2_4_2_17_mRNA) - (0.00000278 * E2_4_2_17)</v>
      </c>
      <c r="M115" s="36" t="str">
        <f t="shared" si="22"/>
        <v>mRNA114: -&gt; E2_4_2_17_mRNA | 0.00292 - (0.0093 * E2_4_2_17_mRNA)</v>
      </c>
      <c r="N115" s="21" t="str">
        <f t="shared" si="23"/>
        <v>Peptide114:  E2_4_2_17_mRNA -&gt; E2_4_2_17 | (0.278 * E2_4_2_17_mRNA) - (0.00000278 * E2_4_2_17)</v>
      </c>
    </row>
    <row r="116" spans="1:14" x14ac:dyDescent="0.45">
      <c r="A116">
        <v>115</v>
      </c>
      <c r="B116" t="s">
        <v>15073</v>
      </c>
      <c r="C116" t="str">
        <f t="shared" si="13"/>
        <v>E2_4_2_19_mRNA</v>
      </c>
      <c r="D116" t="str">
        <f t="shared" si="12"/>
        <v>E2_4_2_19</v>
      </c>
      <c r="E116" s="30" t="str">
        <f t="shared" si="14"/>
        <v>E2_4_2_19_kcat : 13.7</v>
      </c>
      <c r="F116" s="31" t="str">
        <f t="shared" si="15"/>
        <v>E2_4_2_19_km : 1</v>
      </c>
      <c r="G116" s="21" t="str">
        <f t="shared" si="16"/>
        <v>E2_4_2_19_mRNA : E2_4_2_19_mRNA</v>
      </c>
      <c r="H116" s="32" t="str">
        <f t="shared" si="17"/>
        <v>E2_4_2_19 : E2_4_2_19</v>
      </c>
      <c r="I116" s="33" t="str">
        <f t="shared" si="18"/>
        <v>E2_4_2_19_mRNA : 0</v>
      </c>
      <c r="J116" s="34" t="str">
        <f t="shared" si="19"/>
        <v>E2_4_2_19 : 0</v>
      </c>
      <c r="K116" s="35" t="str">
        <f t="shared" si="20"/>
        <v>0.00292 - (0.0093 * E2_4_2_19_mRNA)</v>
      </c>
      <c r="L116" s="30" t="str">
        <f t="shared" si="21"/>
        <v>(0.278 * E2_4_2_19_mRNA) - (0.00000278 * E2_4_2_19)</v>
      </c>
      <c r="M116" s="36" t="str">
        <f t="shared" si="22"/>
        <v>mRNA115: -&gt; E2_4_2_19_mRNA | 0.00292 - (0.0093 * E2_4_2_19_mRNA)</v>
      </c>
      <c r="N116" s="21" t="str">
        <f t="shared" si="23"/>
        <v>Peptide115:  E2_4_2_19_mRNA -&gt; E2_4_2_19 | (0.278 * E2_4_2_19_mRNA) - (0.00000278 * E2_4_2_19)</v>
      </c>
    </row>
    <row r="117" spans="1:14" x14ac:dyDescent="0.45">
      <c r="A117">
        <v>116</v>
      </c>
      <c r="B117" t="s">
        <v>15074</v>
      </c>
      <c r="C117" t="str">
        <f t="shared" si="13"/>
        <v>E2_4_2_2_mRNA</v>
      </c>
      <c r="D117" t="str">
        <f t="shared" si="12"/>
        <v>E2_4_2_2</v>
      </c>
      <c r="E117" s="30" t="str">
        <f t="shared" si="14"/>
        <v>E2_4_2_2_kcat : 13.7</v>
      </c>
      <c r="F117" s="31" t="str">
        <f t="shared" si="15"/>
        <v>E2_4_2_2_km : 1</v>
      </c>
      <c r="G117" s="21" t="str">
        <f t="shared" si="16"/>
        <v>E2_4_2_2_mRNA : E2_4_2_2_mRNA</v>
      </c>
      <c r="H117" s="32" t="str">
        <f t="shared" si="17"/>
        <v>E2_4_2_2 : E2_4_2_2</v>
      </c>
      <c r="I117" s="33" t="str">
        <f t="shared" si="18"/>
        <v>E2_4_2_2_mRNA : 0</v>
      </c>
      <c r="J117" s="34" t="str">
        <f t="shared" si="19"/>
        <v>E2_4_2_2 : 0</v>
      </c>
      <c r="K117" s="35" t="str">
        <f t="shared" si="20"/>
        <v>0.00292 - (0.0093 * E2_4_2_2_mRNA)</v>
      </c>
      <c r="L117" s="30" t="str">
        <f t="shared" si="21"/>
        <v>(0.278 * E2_4_2_2_mRNA) - (0.00000278 * E2_4_2_2)</v>
      </c>
      <c r="M117" s="36" t="str">
        <f t="shared" si="22"/>
        <v>mRNA116: -&gt; E2_4_2_2_mRNA | 0.00292 - (0.0093 * E2_4_2_2_mRNA)</v>
      </c>
      <c r="N117" s="21" t="str">
        <f t="shared" si="23"/>
        <v>Peptide116:  E2_4_2_2_mRNA -&gt; E2_4_2_2 | (0.278 * E2_4_2_2_mRNA) - (0.00000278 * E2_4_2_2)</v>
      </c>
    </row>
    <row r="118" spans="1:14" x14ac:dyDescent="0.45">
      <c r="A118">
        <v>117</v>
      </c>
      <c r="B118" t="s">
        <v>15075</v>
      </c>
      <c r="C118" t="str">
        <f t="shared" si="13"/>
        <v>E2_4_2_21_mRNA</v>
      </c>
      <c r="D118" t="str">
        <f t="shared" si="12"/>
        <v>E2_4_2_21</v>
      </c>
      <c r="E118" s="30" t="str">
        <f t="shared" si="14"/>
        <v>E2_4_2_21_kcat : 13.7</v>
      </c>
      <c r="F118" s="31" t="str">
        <f t="shared" si="15"/>
        <v>E2_4_2_21_km : 1</v>
      </c>
      <c r="G118" s="21" t="str">
        <f t="shared" si="16"/>
        <v>E2_4_2_21_mRNA : E2_4_2_21_mRNA</v>
      </c>
      <c r="H118" s="32" t="str">
        <f t="shared" si="17"/>
        <v>E2_4_2_21 : E2_4_2_21</v>
      </c>
      <c r="I118" s="33" t="str">
        <f t="shared" si="18"/>
        <v>E2_4_2_21_mRNA : 0</v>
      </c>
      <c r="J118" s="34" t="str">
        <f t="shared" si="19"/>
        <v>E2_4_2_21 : 0</v>
      </c>
      <c r="K118" s="35" t="str">
        <f t="shared" si="20"/>
        <v>0.00292 - (0.0093 * E2_4_2_21_mRNA)</v>
      </c>
      <c r="L118" s="30" t="str">
        <f t="shared" si="21"/>
        <v>(0.278 * E2_4_2_21_mRNA) - (0.00000278 * E2_4_2_21)</v>
      </c>
      <c r="M118" s="36" t="str">
        <f t="shared" si="22"/>
        <v>mRNA117: -&gt; E2_4_2_21_mRNA | 0.00292 - (0.0093 * E2_4_2_21_mRNA)</v>
      </c>
      <c r="N118" s="21" t="str">
        <f t="shared" si="23"/>
        <v>Peptide117:  E2_4_2_21_mRNA -&gt; E2_4_2_21 | (0.278 * E2_4_2_21_mRNA) - (0.00000278 * E2_4_2_21)</v>
      </c>
    </row>
    <row r="119" spans="1:14" x14ac:dyDescent="0.45">
      <c r="A119">
        <v>118</v>
      </c>
      <c r="B119" t="s">
        <v>15076</v>
      </c>
      <c r="C119" t="str">
        <f t="shared" si="13"/>
        <v>E2_4_2_22_mRNA</v>
      </c>
      <c r="D119" t="str">
        <f t="shared" si="12"/>
        <v>E2_4_2_22</v>
      </c>
      <c r="E119" s="30" t="str">
        <f t="shared" si="14"/>
        <v>E2_4_2_22_kcat : 13.7</v>
      </c>
      <c r="F119" s="31" t="str">
        <f t="shared" si="15"/>
        <v>E2_4_2_22_km : 1</v>
      </c>
      <c r="G119" s="21" t="str">
        <f t="shared" si="16"/>
        <v>E2_4_2_22_mRNA : E2_4_2_22_mRNA</v>
      </c>
      <c r="H119" s="32" t="str">
        <f t="shared" si="17"/>
        <v>E2_4_2_22 : E2_4_2_22</v>
      </c>
      <c r="I119" s="33" t="str">
        <f t="shared" si="18"/>
        <v>E2_4_2_22_mRNA : 0</v>
      </c>
      <c r="J119" s="34" t="str">
        <f t="shared" si="19"/>
        <v>E2_4_2_22 : 0</v>
      </c>
      <c r="K119" s="35" t="str">
        <f t="shared" si="20"/>
        <v>0.00292 - (0.0093 * E2_4_2_22_mRNA)</v>
      </c>
      <c r="L119" s="30" t="str">
        <f t="shared" si="21"/>
        <v>(0.278 * E2_4_2_22_mRNA) - (0.00000278 * E2_4_2_22)</v>
      </c>
      <c r="M119" s="36" t="str">
        <f t="shared" si="22"/>
        <v>mRNA118: -&gt; E2_4_2_22_mRNA | 0.00292 - (0.0093 * E2_4_2_22_mRNA)</v>
      </c>
      <c r="N119" s="21" t="str">
        <f t="shared" si="23"/>
        <v>Peptide118:  E2_4_2_22_mRNA -&gt; E2_4_2_22 | (0.278 * E2_4_2_22_mRNA) - (0.00000278 * E2_4_2_22)</v>
      </c>
    </row>
    <row r="120" spans="1:14" x14ac:dyDescent="0.45">
      <c r="A120">
        <v>119</v>
      </c>
      <c r="B120" t="s">
        <v>15077</v>
      </c>
      <c r="C120" t="str">
        <f t="shared" si="13"/>
        <v>E2_4_2_29_mRNA</v>
      </c>
      <c r="D120" t="str">
        <f t="shared" si="12"/>
        <v>E2_4_2_29</v>
      </c>
      <c r="E120" s="30" t="str">
        <f t="shared" si="14"/>
        <v>E2_4_2_29_kcat : 13.7</v>
      </c>
      <c r="F120" s="31" t="str">
        <f t="shared" si="15"/>
        <v>E2_4_2_29_km : 1</v>
      </c>
      <c r="G120" s="21" t="str">
        <f t="shared" si="16"/>
        <v>E2_4_2_29_mRNA : E2_4_2_29_mRNA</v>
      </c>
      <c r="H120" s="32" t="str">
        <f t="shared" si="17"/>
        <v>E2_4_2_29 : E2_4_2_29</v>
      </c>
      <c r="I120" s="33" t="str">
        <f t="shared" si="18"/>
        <v>E2_4_2_29_mRNA : 0</v>
      </c>
      <c r="J120" s="34" t="str">
        <f t="shared" si="19"/>
        <v>E2_4_2_29 : 0</v>
      </c>
      <c r="K120" s="35" t="str">
        <f t="shared" si="20"/>
        <v>0.00292 - (0.0093 * E2_4_2_29_mRNA)</v>
      </c>
      <c r="L120" s="30" t="str">
        <f t="shared" si="21"/>
        <v>(0.278 * E2_4_2_29_mRNA) - (0.00000278 * E2_4_2_29)</v>
      </c>
      <c r="M120" s="36" t="str">
        <f t="shared" si="22"/>
        <v>mRNA119: -&gt; E2_4_2_29_mRNA | 0.00292 - (0.0093 * E2_4_2_29_mRNA)</v>
      </c>
      <c r="N120" s="21" t="str">
        <f t="shared" si="23"/>
        <v>Peptide119:  E2_4_2_29_mRNA -&gt; E2_4_2_29 | (0.278 * E2_4_2_29_mRNA) - (0.00000278 * E2_4_2_29)</v>
      </c>
    </row>
    <row r="121" spans="1:14" x14ac:dyDescent="0.45">
      <c r="A121">
        <v>120</v>
      </c>
      <c r="B121" t="s">
        <v>15078</v>
      </c>
      <c r="C121" t="str">
        <f t="shared" si="13"/>
        <v>E2_4_2_45_mRNA</v>
      </c>
      <c r="D121" t="str">
        <f t="shared" si="12"/>
        <v>E2_4_2_45</v>
      </c>
      <c r="E121" s="30" t="str">
        <f t="shared" si="14"/>
        <v>E2_4_2_45_kcat : 13.7</v>
      </c>
      <c r="F121" s="31" t="str">
        <f t="shared" si="15"/>
        <v>E2_4_2_45_km : 1</v>
      </c>
      <c r="G121" s="21" t="str">
        <f t="shared" si="16"/>
        <v>E2_4_2_45_mRNA : E2_4_2_45_mRNA</v>
      </c>
      <c r="H121" s="32" t="str">
        <f t="shared" si="17"/>
        <v>E2_4_2_45 : E2_4_2_45</v>
      </c>
      <c r="I121" s="33" t="str">
        <f t="shared" si="18"/>
        <v>E2_4_2_45_mRNA : 0</v>
      </c>
      <c r="J121" s="34" t="str">
        <f t="shared" si="19"/>
        <v>E2_4_2_45 : 0</v>
      </c>
      <c r="K121" s="35" t="str">
        <f t="shared" si="20"/>
        <v>0.00292 - (0.0093 * E2_4_2_45_mRNA)</v>
      </c>
      <c r="L121" s="30" t="str">
        <f t="shared" si="21"/>
        <v>(0.278 * E2_4_2_45_mRNA) - (0.00000278 * E2_4_2_45)</v>
      </c>
      <c r="M121" s="36" t="str">
        <f t="shared" si="22"/>
        <v>mRNA120: -&gt; E2_4_2_45_mRNA | 0.00292 - (0.0093 * E2_4_2_45_mRNA)</v>
      </c>
      <c r="N121" s="21" t="str">
        <f t="shared" si="23"/>
        <v>Peptide120:  E2_4_2_45_mRNA -&gt; E2_4_2_45 | (0.278 * E2_4_2_45_mRNA) - (0.00000278 * E2_4_2_45)</v>
      </c>
    </row>
    <row r="122" spans="1:14" x14ac:dyDescent="0.45">
      <c r="A122">
        <v>121</v>
      </c>
      <c r="B122" t="s">
        <v>15079</v>
      </c>
      <c r="C122" t="str">
        <f t="shared" si="13"/>
        <v>E2_4_2_7_mRNA</v>
      </c>
      <c r="D122" t="str">
        <f t="shared" si="12"/>
        <v>E2_4_2_7</v>
      </c>
      <c r="E122" s="30" t="str">
        <f t="shared" si="14"/>
        <v>E2_4_2_7_kcat : 13.7</v>
      </c>
      <c r="F122" s="31" t="str">
        <f t="shared" si="15"/>
        <v>E2_4_2_7_km : 1</v>
      </c>
      <c r="G122" s="21" t="str">
        <f t="shared" si="16"/>
        <v>E2_4_2_7_mRNA : E2_4_2_7_mRNA</v>
      </c>
      <c r="H122" s="32" t="str">
        <f t="shared" si="17"/>
        <v>E2_4_2_7 : E2_4_2_7</v>
      </c>
      <c r="I122" s="33" t="str">
        <f t="shared" si="18"/>
        <v>E2_4_2_7_mRNA : 0</v>
      </c>
      <c r="J122" s="34" t="str">
        <f t="shared" si="19"/>
        <v>E2_4_2_7 : 0</v>
      </c>
      <c r="K122" s="35" t="str">
        <f t="shared" si="20"/>
        <v>0.00292 - (0.0093 * E2_4_2_7_mRNA)</v>
      </c>
      <c r="L122" s="30" t="str">
        <f t="shared" si="21"/>
        <v>(0.278 * E2_4_2_7_mRNA) - (0.00000278 * E2_4_2_7)</v>
      </c>
      <c r="M122" s="36" t="str">
        <f t="shared" si="22"/>
        <v>mRNA121: -&gt; E2_4_2_7_mRNA | 0.00292 - (0.0093 * E2_4_2_7_mRNA)</v>
      </c>
      <c r="N122" s="21" t="str">
        <f t="shared" si="23"/>
        <v>Peptide121:  E2_4_2_7_mRNA -&gt; E2_4_2_7 | (0.278 * E2_4_2_7_mRNA) - (0.00000278 * E2_4_2_7)</v>
      </c>
    </row>
    <row r="123" spans="1:14" x14ac:dyDescent="0.45">
      <c r="A123">
        <v>122</v>
      </c>
      <c r="B123" t="s">
        <v>15080</v>
      </c>
      <c r="C123" t="str">
        <f t="shared" si="13"/>
        <v>E2_4_2_8_mRNA</v>
      </c>
      <c r="D123" t="str">
        <f t="shared" si="12"/>
        <v>E2_4_2_8</v>
      </c>
      <c r="E123" s="30" t="str">
        <f t="shared" si="14"/>
        <v>E2_4_2_8_kcat : 13.7</v>
      </c>
      <c r="F123" s="31" t="str">
        <f t="shared" si="15"/>
        <v>E2_4_2_8_km : 1</v>
      </c>
      <c r="G123" s="21" t="str">
        <f t="shared" si="16"/>
        <v>E2_4_2_8_mRNA : E2_4_2_8_mRNA</v>
      </c>
      <c r="H123" s="32" t="str">
        <f t="shared" si="17"/>
        <v>E2_4_2_8 : E2_4_2_8</v>
      </c>
      <c r="I123" s="33" t="str">
        <f t="shared" si="18"/>
        <v>E2_4_2_8_mRNA : 0</v>
      </c>
      <c r="J123" s="34" t="str">
        <f t="shared" si="19"/>
        <v>E2_4_2_8 : 0</v>
      </c>
      <c r="K123" s="35" t="str">
        <f t="shared" si="20"/>
        <v>0.00292 - (0.0093 * E2_4_2_8_mRNA)</v>
      </c>
      <c r="L123" s="30" t="str">
        <f t="shared" si="21"/>
        <v>(0.278 * E2_4_2_8_mRNA) - (0.00000278 * E2_4_2_8)</v>
      </c>
      <c r="M123" s="36" t="str">
        <f t="shared" si="22"/>
        <v>mRNA122: -&gt; E2_4_2_8_mRNA | 0.00292 - (0.0093 * E2_4_2_8_mRNA)</v>
      </c>
      <c r="N123" s="21" t="str">
        <f t="shared" si="23"/>
        <v>Peptide122:  E2_4_2_8_mRNA -&gt; E2_4_2_8 | (0.278 * E2_4_2_8_mRNA) - (0.00000278 * E2_4_2_8)</v>
      </c>
    </row>
    <row r="124" spans="1:14" x14ac:dyDescent="0.45">
      <c r="A124">
        <v>123</v>
      </c>
      <c r="B124" t="s">
        <v>15081</v>
      </c>
      <c r="C124" t="str">
        <f t="shared" si="13"/>
        <v>E2_4_2_9_mRNA</v>
      </c>
      <c r="D124" t="str">
        <f t="shared" si="12"/>
        <v>E2_4_2_9</v>
      </c>
      <c r="E124" s="30" t="str">
        <f t="shared" si="14"/>
        <v>E2_4_2_9_kcat : 13.7</v>
      </c>
      <c r="F124" s="31" t="str">
        <f t="shared" si="15"/>
        <v>E2_4_2_9_km : 1</v>
      </c>
      <c r="G124" s="21" t="str">
        <f t="shared" si="16"/>
        <v>E2_4_2_9_mRNA : E2_4_2_9_mRNA</v>
      </c>
      <c r="H124" s="32" t="str">
        <f t="shared" si="17"/>
        <v>E2_4_2_9 : E2_4_2_9</v>
      </c>
      <c r="I124" s="33" t="str">
        <f t="shared" si="18"/>
        <v>E2_4_2_9_mRNA : 0</v>
      </c>
      <c r="J124" s="34" t="str">
        <f t="shared" si="19"/>
        <v>E2_4_2_9 : 0</v>
      </c>
      <c r="K124" s="35" t="str">
        <f t="shared" si="20"/>
        <v>0.00292 - (0.0093 * E2_4_2_9_mRNA)</v>
      </c>
      <c r="L124" s="30" t="str">
        <f t="shared" si="21"/>
        <v>(0.278 * E2_4_2_9_mRNA) - (0.00000278 * E2_4_2_9)</v>
      </c>
      <c r="M124" s="36" t="str">
        <f t="shared" si="22"/>
        <v>mRNA123: -&gt; E2_4_2_9_mRNA | 0.00292 - (0.0093 * E2_4_2_9_mRNA)</v>
      </c>
      <c r="N124" s="21" t="str">
        <f t="shared" si="23"/>
        <v>Peptide123:  E2_4_2_9_mRNA -&gt; E2_4_2_9 | (0.278 * E2_4_2_9_mRNA) - (0.00000278 * E2_4_2_9)</v>
      </c>
    </row>
    <row r="125" spans="1:14" x14ac:dyDescent="0.45">
      <c r="A125">
        <v>124</v>
      </c>
      <c r="B125" t="s">
        <v>15082</v>
      </c>
      <c r="C125" t="str">
        <f t="shared" si="13"/>
        <v>E2_4_99_17_mRNA</v>
      </c>
      <c r="D125" t="str">
        <f t="shared" si="12"/>
        <v>E2_4_99_17</v>
      </c>
      <c r="E125" s="30" t="str">
        <f t="shared" si="14"/>
        <v>E2_4_99_17_kcat : 13.7</v>
      </c>
      <c r="F125" s="31" t="str">
        <f t="shared" si="15"/>
        <v>E2_4_99_17_km : 1</v>
      </c>
      <c r="G125" s="21" t="str">
        <f t="shared" si="16"/>
        <v>E2_4_99_17_mRNA : E2_4_99_17_mRNA</v>
      </c>
      <c r="H125" s="32" t="str">
        <f t="shared" si="17"/>
        <v>E2_4_99_17 : E2_4_99_17</v>
      </c>
      <c r="I125" s="33" t="str">
        <f t="shared" si="18"/>
        <v>E2_4_99_17_mRNA : 0</v>
      </c>
      <c r="J125" s="34" t="str">
        <f t="shared" si="19"/>
        <v>E2_4_99_17 : 0</v>
      </c>
      <c r="K125" s="35" t="str">
        <f t="shared" si="20"/>
        <v>0.00292 - (0.0093 * E2_4_99_17_mRNA)</v>
      </c>
      <c r="L125" s="30" t="str">
        <f t="shared" si="21"/>
        <v>(0.278 * E2_4_99_17_mRNA) - (0.00000278 * E2_4_99_17)</v>
      </c>
      <c r="M125" s="36" t="str">
        <f t="shared" si="22"/>
        <v>mRNA124: -&gt; E2_4_99_17_mRNA | 0.00292 - (0.0093 * E2_4_99_17_mRNA)</v>
      </c>
      <c r="N125" s="21" t="str">
        <f t="shared" si="23"/>
        <v>Peptide124:  E2_4_99_17_mRNA -&gt; E2_4_99_17 | (0.278 * E2_4_99_17_mRNA) - (0.00000278 * E2_4_99_17)</v>
      </c>
    </row>
    <row r="126" spans="1:14" x14ac:dyDescent="0.45">
      <c r="A126">
        <v>125</v>
      </c>
      <c r="B126" t="s">
        <v>15083</v>
      </c>
      <c r="C126" t="str">
        <f t="shared" si="13"/>
        <v>E2_5_1_15_mRNA</v>
      </c>
      <c r="D126" t="str">
        <f t="shared" si="12"/>
        <v>E2_5_1_15</v>
      </c>
      <c r="E126" s="30" t="str">
        <f t="shared" si="14"/>
        <v>E2_5_1_15_kcat : 13.7</v>
      </c>
      <c r="F126" s="31" t="str">
        <f t="shared" si="15"/>
        <v>E2_5_1_15_km : 1</v>
      </c>
      <c r="G126" s="21" t="str">
        <f t="shared" si="16"/>
        <v>E2_5_1_15_mRNA : E2_5_1_15_mRNA</v>
      </c>
      <c r="H126" s="32" t="str">
        <f t="shared" si="17"/>
        <v>E2_5_1_15 : E2_5_1_15</v>
      </c>
      <c r="I126" s="33" t="str">
        <f t="shared" si="18"/>
        <v>E2_5_1_15_mRNA : 0</v>
      </c>
      <c r="J126" s="34" t="str">
        <f t="shared" si="19"/>
        <v>E2_5_1_15 : 0</v>
      </c>
      <c r="K126" s="35" t="str">
        <f t="shared" si="20"/>
        <v>0.00292 - (0.0093 * E2_5_1_15_mRNA)</v>
      </c>
      <c r="L126" s="30" t="str">
        <f t="shared" si="21"/>
        <v>(0.278 * E2_5_1_15_mRNA) - (0.00000278 * E2_5_1_15)</v>
      </c>
      <c r="M126" s="36" t="str">
        <f t="shared" si="22"/>
        <v>mRNA125: -&gt; E2_5_1_15_mRNA | 0.00292 - (0.0093 * E2_5_1_15_mRNA)</v>
      </c>
      <c r="N126" s="21" t="str">
        <f t="shared" si="23"/>
        <v>Peptide125:  E2_5_1_15_mRNA -&gt; E2_5_1_15 | (0.278 * E2_5_1_15_mRNA) - (0.00000278 * E2_5_1_15)</v>
      </c>
    </row>
    <row r="127" spans="1:14" x14ac:dyDescent="0.45">
      <c r="A127">
        <v>126</v>
      </c>
      <c r="B127" t="s">
        <v>15084</v>
      </c>
      <c r="C127" t="str">
        <f t="shared" si="13"/>
        <v>E2_5_1_16_mRNA</v>
      </c>
      <c r="D127" t="str">
        <f t="shared" si="12"/>
        <v>E2_5_1_16</v>
      </c>
      <c r="E127" s="30" t="str">
        <f t="shared" si="14"/>
        <v>E2_5_1_16_kcat : 13.7</v>
      </c>
      <c r="F127" s="31" t="str">
        <f t="shared" si="15"/>
        <v>E2_5_1_16_km : 1</v>
      </c>
      <c r="G127" s="21" t="str">
        <f t="shared" si="16"/>
        <v>E2_5_1_16_mRNA : E2_5_1_16_mRNA</v>
      </c>
      <c r="H127" s="32" t="str">
        <f t="shared" si="17"/>
        <v>E2_5_1_16 : E2_5_1_16</v>
      </c>
      <c r="I127" s="33" t="str">
        <f t="shared" si="18"/>
        <v>E2_5_1_16_mRNA : 0</v>
      </c>
      <c r="J127" s="34" t="str">
        <f t="shared" si="19"/>
        <v>E2_5_1_16 : 0</v>
      </c>
      <c r="K127" s="35" t="str">
        <f t="shared" si="20"/>
        <v>0.00292 - (0.0093 * E2_5_1_16_mRNA)</v>
      </c>
      <c r="L127" s="30" t="str">
        <f t="shared" si="21"/>
        <v>(0.278 * E2_5_1_16_mRNA) - (0.00000278 * E2_5_1_16)</v>
      </c>
      <c r="M127" s="36" t="str">
        <f t="shared" si="22"/>
        <v>mRNA126: -&gt; E2_5_1_16_mRNA | 0.00292 - (0.0093 * E2_5_1_16_mRNA)</v>
      </c>
      <c r="N127" s="21" t="str">
        <f t="shared" si="23"/>
        <v>Peptide126:  E2_5_1_16_mRNA -&gt; E2_5_1_16 | (0.278 * E2_5_1_16_mRNA) - (0.00000278 * E2_5_1_16)</v>
      </c>
    </row>
    <row r="128" spans="1:14" x14ac:dyDescent="0.45">
      <c r="A128">
        <v>127</v>
      </c>
      <c r="B128" t="s">
        <v>15085</v>
      </c>
      <c r="C128" t="str">
        <f t="shared" si="13"/>
        <v>E2_5_1_19_mRNA</v>
      </c>
      <c r="D128" t="str">
        <f t="shared" si="12"/>
        <v>E2_5_1_19</v>
      </c>
      <c r="E128" s="30" t="str">
        <f t="shared" si="14"/>
        <v>E2_5_1_19_kcat : 13.7</v>
      </c>
      <c r="F128" s="31" t="str">
        <f t="shared" si="15"/>
        <v>E2_5_1_19_km : 1</v>
      </c>
      <c r="G128" s="21" t="str">
        <f t="shared" si="16"/>
        <v>E2_5_1_19_mRNA : E2_5_1_19_mRNA</v>
      </c>
      <c r="H128" s="32" t="str">
        <f t="shared" si="17"/>
        <v>E2_5_1_19 : E2_5_1_19</v>
      </c>
      <c r="I128" s="33" t="str">
        <f t="shared" si="18"/>
        <v>E2_5_1_19_mRNA : 0</v>
      </c>
      <c r="J128" s="34" t="str">
        <f t="shared" si="19"/>
        <v>E2_5_1_19 : 0</v>
      </c>
      <c r="K128" s="35" t="str">
        <f t="shared" si="20"/>
        <v>0.00292 - (0.0093 * E2_5_1_19_mRNA)</v>
      </c>
      <c r="L128" s="30" t="str">
        <f t="shared" si="21"/>
        <v>(0.278 * E2_5_1_19_mRNA) - (0.00000278 * E2_5_1_19)</v>
      </c>
      <c r="M128" s="36" t="str">
        <f t="shared" si="22"/>
        <v>mRNA127: -&gt; E2_5_1_19_mRNA | 0.00292 - (0.0093 * E2_5_1_19_mRNA)</v>
      </c>
      <c r="N128" s="21" t="str">
        <f t="shared" si="23"/>
        <v>Peptide127:  E2_5_1_19_mRNA -&gt; E2_5_1_19 | (0.278 * E2_5_1_19_mRNA) - (0.00000278 * E2_5_1_19)</v>
      </c>
    </row>
    <row r="129" spans="1:14" x14ac:dyDescent="0.45">
      <c r="A129">
        <v>128</v>
      </c>
      <c r="B129" t="s">
        <v>15086</v>
      </c>
      <c r="C129" t="str">
        <f t="shared" si="13"/>
        <v>E2_5_1_3_mRNA</v>
      </c>
      <c r="D129" t="str">
        <f t="shared" si="12"/>
        <v>E2_5_1_3</v>
      </c>
      <c r="E129" s="30" t="str">
        <f t="shared" si="14"/>
        <v>E2_5_1_3_kcat : 13.7</v>
      </c>
      <c r="F129" s="31" t="str">
        <f t="shared" si="15"/>
        <v>E2_5_1_3_km : 1</v>
      </c>
      <c r="G129" s="21" t="str">
        <f t="shared" si="16"/>
        <v>E2_5_1_3_mRNA : E2_5_1_3_mRNA</v>
      </c>
      <c r="H129" s="32" t="str">
        <f t="shared" si="17"/>
        <v>E2_5_1_3 : E2_5_1_3</v>
      </c>
      <c r="I129" s="33" t="str">
        <f t="shared" si="18"/>
        <v>E2_5_1_3_mRNA : 0</v>
      </c>
      <c r="J129" s="34" t="str">
        <f t="shared" si="19"/>
        <v>E2_5_1_3 : 0</v>
      </c>
      <c r="K129" s="35" t="str">
        <f t="shared" si="20"/>
        <v>0.00292 - (0.0093 * E2_5_1_3_mRNA)</v>
      </c>
      <c r="L129" s="30" t="str">
        <f t="shared" si="21"/>
        <v>(0.278 * E2_5_1_3_mRNA) - (0.00000278 * E2_5_1_3)</v>
      </c>
      <c r="M129" s="36" t="str">
        <f t="shared" si="22"/>
        <v>mRNA128: -&gt; E2_5_1_3_mRNA | 0.00292 - (0.0093 * E2_5_1_3_mRNA)</v>
      </c>
      <c r="N129" s="21" t="str">
        <f t="shared" si="23"/>
        <v>Peptide128:  E2_5_1_3_mRNA -&gt; E2_5_1_3 | (0.278 * E2_5_1_3_mRNA) - (0.00000278 * E2_5_1_3)</v>
      </c>
    </row>
    <row r="130" spans="1:14" x14ac:dyDescent="0.45">
      <c r="A130">
        <v>129</v>
      </c>
      <c r="B130" t="s">
        <v>15087</v>
      </c>
      <c r="C130" t="str">
        <f t="shared" si="13"/>
        <v>E2_5_1_47_mRNA</v>
      </c>
      <c r="D130" t="str">
        <f t="shared" ref="D130:D193" si="24">CONCATENATE("E",B130)</f>
        <v>E2_5_1_47</v>
      </c>
      <c r="E130" s="30" t="str">
        <f t="shared" si="14"/>
        <v>E2_5_1_47_kcat : 13.7</v>
      </c>
      <c r="F130" s="31" t="str">
        <f t="shared" si="15"/>
        <v>E2_5_1_47_km : 1</v>
      </c>
      <c r="G130" s="21" t="str">
        <f t="shared" si="16"/>
        <v>E2_5_1_47_mRNA : E2_5_1_47_mRNA</v>
      </c>
      <c r="H130" s="32" t="str">
        <f t="shared" si="17"/>
        <v>E2_5_1_47 : E2_5_1_47</v>
      </c>
      <c r="I130" s="33" t="str">
        <f t="shared" si="18"/>
        <v>E2_5_1_47_mRNA : 0</v>
      </c>
      <c r="J130" s="34" t="str">
        <f t="shared" si="19"/>
        <v>E2_5_1_47 : 0</v>
      </c>
      <c r="K130" s="35" t="str">
        <f t="shared" si="20"/>
        <v>0.00292 - (0.0093 * E2_5_1_47_mRNA)</v>
      </c>
      <c r="L130" s="30" t="str">
        <f t="shared" si="21"/>
        <v>(0.278 * E2_5_1_47_mRNA) - (0.00000278 * E2_5_1_47)</v>
      </c>
      <c r="M130" s="36" t="str">
        <f t="shared" si="22"/>
        <v>mRNA129: -&gt; E2_5_1_47_mRNA | 0.00292 - (0.0093 * E2_5_1_47_mRNA)</v>
      </c>
      <c r="N130" s="21" t="str">
        <f t="shared" si="23"/>
        <v>Peptide129:  E2_5_1_47_mRNA -&gt; E2_5_1_47 | (0.278 * E2_5_1_47_mRNA) - (0.00000278 * E2_5_1_47)</v>
      </c>
    </row>
    <row r="131" spans="1:14" x14ac:dyDescent="0.45">
      <c r="A131">
        <v>130</v>
      </c>
      <c r="B131" t="s">
        <v>15088</v>
      </c>
      <c r="C131" t="str">
        <f t="shared" ref="C131:C194" si="25">CONCATENATE(D131,"_mRNA")</f>
        <v>E2_5_1_54_mRNA</v>
      </c>
      <c r="D131" t="str">
        <f t="shared" si="24"/>
        <v>E2_5_1_54</v>
      </c>
      <c r="E131" s="30" t="str">
        <f t="shared" ref="E131:E194" si="26">CONCATENATE("E",B131,"_kcat : 13.7")</f>
        <v>E2_5_1_54_kcat : 13.7</v>
      </c>
      <c r="F131" s="31" t="str">
        <f t="shared" ref="F131:F194" si="27">CONCATENATE("E",B131,"_km : 1")</f>
        <v>E2_5_1_54_km : 1</v>
      </c>
      <c r="G131" s="21" t="str">
        <f t="shared" ref="G131:G194" si="28">CONCATENATE(C131, " : ",C131)</f>
        <v>E2_5_1_54_mRNA : E2_5_1_54_mRNA</v>
      </c>
      <c r="H131" s="32" t="str">
        <f t="shared" ref="H131:H194" si="29">CONCATENATE(D131," : ",D131)</f>
        <v>E2_5_1_54 : E2_5_1_54</v>
      </c>
      <c r="I131" s="33" t="str">
        <f t="shared" ref="I131:I194" si="30">CONCATENATE(C131," : ","0")</f>
        <v>E2_5_1_54_mRNA : 0</v>
      </c>
      <c r="J131" s="34" t="str">
        <f t="shared" ref="J131:J194" si="31">CONCATENATE(D131," : ","0")</f>
        <v>E2_5_1_54 : 0</v>
      </c>
      <c r="K131" s="35" t="str">
        <f t="shared" ref="K131:K194" si="32">CONCATENATE("0.00292 - (0.0093 * ",C131,")")</f>
        <v>0.00292 - (0.0093 * E2_5_1_54_mRNA)</v>
      </c>
      <c r="L131" s="30" t="str">
        <f t="shared" ref="L131:L194" si="33">CONCATENATE("(0.278 * ",C131,")"," - (0.00000278 * ",D131,")")</f>
        <v>(0.278 * E2_5_1_54_mRNA) - (0.00000278 * E2_5_1_54)</v>
      </c>
      <c r="M131" s="36" t="str">
        <f t="shared" ref="M131:M194" si="34">CONCATENATE("mRNA",A131,": -&gt; ",C131," | ","0.00292"," - ","(","0.0093"," * ",C131,")")</f>
        <v>mRNA130: -&gt; E2_5_1_54_mRNA | 0.00292 - (0.0093 * E2_5_1_54_mRNA)</v>
      </c>
      <c r="N131" s="21" t="str">
        <f t="shared" ref="N131:N194" si="35">CONCATENATE("Peptide",A131,":  ",C131," -&gt; ",D131," | ","(","0.278"," * ",C131,")"," - ","(","0.00000278"," * ",D131,")")</f>
        <v>Peptide130:  E2_5_1_54_mRNA -&gt; E2_5_1_54 | (0.278 * E2_5_1_54_mRNA) - (0.00000278 * E2_5_1_54)</v>
      </c>
    </row>
    <row r="132" spans="1:14" x14ac:dyDescent="0.45">
      <c r="A132">
        <v>131</v>
      </c>
      <c r="B132" t="s">
        <v>15089</v>
      </c>
      <c r="C132" t="str">
        <f t="shared" si="25"/>
        <v>E2_5_1_6_mRNA</v>
      </c>
      <c r="D132" t="str">
        <f t="shared" si="24"/>
        <v>E2_5_1_6</v>
      </c>
      <c r="E132" s="30" t="str">
        <f t="shared" si="26"/>
        <v>E2_5_1_6_kcat : 13.7</v>
      </c>
      <c r="F132" s="31" t="str">
        <f t="shared" si="27"/>
        <v>E2_5_1_6_km : 1</v>
      </c>
      <c r="G132" s="21" t="str">
        <f t="shared" si="28"/>
        <v>E2_5_1_6_mRNA : E2_5_1_6_mRNA</v>
      </c>
      <c r="H132" s="32" t="str">
        <f t="shared" si="29"/>
        <v>E2_5_1_6 : E2_5_1_6</v>
      </c>
      <c r="I132" s="33" t="str">
        <f t="shared" si="30"/>
        <v>E2_5_1_6_mRNA : 0</v>
      </c>
      <c r="J132" s="34" t="str">
        <f t="shared" si="31"/>
        <v>E2_5_1_6 : 0</v>
      </c>
      <c r="K132" s="35" t="str">
        <f t="shared" si="32"/>
        <v>0.00292 - (0.0093 * E2_5_1_6_mRNA)</v>
      </c>
      <c r="L132" s="30" t="str">
        <f t="shared" si="33"/>
        <v>(0.278 * E2_5_1_6_mRNA) - (0.00000278 * E2_5_1_6)</v>
      </c>
      <c r="M132" s="36" t="str">
        <f t="shared" si="34"/>
        <v>mRNA131: -&gt; E2_5_1_6_mRNA | 0.00292 - (0.0093 * E2_5_1_6_mRNA)</v>
      </c>
      <c r="N132" s="21" t="str">
        <f t="shared" si="35"/>
        <v>Peptide131:  E2_5_1_6_mRNA -&gt; E2_5_1_6 | (0.278 * E2_5_1_6_mRNA) - (0.00000278 * E2_5_1_6)</v>
      </c>
    </row>
    <row r="133" spans="1:14" x14ac:dyDescent="0.45">
      <c r="A133">
        <v>132</v>
      </c>
      <c r="B133" t="s">
        <v>15090</v>
      </c>
      <c r="C133" t="str">
        <f t="shared" si="25"/>
        <v>E2_5_1_61_mRNA</v>
      </c>
      <c r="D133" t="str">
        <f t="shared" si="24"/>
        <v>E2_5_1_61</v>
      </c>
      <c r="E133" s="30" t="str">
        <f t="shared" si="26"/>
        <v>E2_5_1_61_kcat : 13.7</v>
      </c>
      <c r="F133" s="31" t="str">
        <f t="shared" si="27"/>
        <v>E2_5_1_61_km : 1</v>
      </c>
      <c r="G133" s="21" t="str">
        <f t="shared" si="28"/>
        <v>E2_5_1_61_mRNA : E2_5_1_61_mRNA</v>
      </c>
      <c r="H133" s="32" t="str">
        <f t="shared" si="29"/>
        <v>E2_5_1_61 : E2_5_1_61</v>
      </c>
      <c r="I133" s="33" t="str">
        <f t="shared" si="30"/>
        <v>E2_5_1_61_mRNA : 0</v>
      </c>
      <c r="J133" s="34" t="str">
        <f t="shared" si="31"/>
        <v>E2_5_1_61 : 0</v>
      </c>
      <c r="K133" s="35" t="str">
        <f t="shared" si="32"/>
        <v>0.00292 - (0.0093 * E2_5_1_61_mRNA)</v>
      </c>
      <c r="L133" s="30" t="str">
        <f t="shared" si="33"/>
        <v>(0.278 * E2_5_1_61_mRNA) - (0.00000278 * E2_5_1_61)</v>
      </c>
      <c r="M133" s="36" t="str">
        <f t="shared" si="34"/>
        <v>mRNA132: -&gt; E2_5_1_61_mRNA | 0.00292 - (0.0093 * E2_5_1_61_mRNA)</v>
      </c>
      <c r="N133" s="21" t="str">
        <f t="shared" si="35"/>
        <v>Peptide132:  E2_5_1_61_mRNA -&gt; E2_5_1_61 | (0.278 * E2_5_1_61_mRNA) - (0.00000278 * E2_5_1_61)</v>
      </c>
    </row>
    <row r="134" spans="1:14" x14ac:dyDescent="0.45">
      <c r="A134">
        <v>133</v>
      </c>
      <c r="B134" t="s">
        <v>15091</v>
      </c>
      <c r="C134" t="str">
        <f t="shared" si="25"/>
        <v>E2_5_1_7_mRNA</v>
      </c>
      <c r="D134" t="str">
        <f t="shared" si="24"/>
        <v>E2_5_1_7</v>
      </c>
      <c r="E134" s="30" t="str">
        <f t="shared" si="26"/>
        <v>E2_5_1_7_kcat : 13.7</v>
      </c>
      <c r="F134" s="31" t="str">
        <f t="shared" si="27"/>
        <v>E2_5_1_7_km : 1</v>
      </c>
      <c r="G134" s="21" t="str">
        <f t="shared" si="28"/>
        <v>E2_5_1_7_mRNA : E2_5_1_7_mRNA</v>
      </c>
      <c r="H134" s="32" t="str">
        <f t="shared" si="29"/>
        <v>E2_5_1_7 : E2_5_1_7</v>
      </c>
      <c r="I134" s="33" t="str">
        <f t="shared" si="30"/>
        <v>E2_5_1_7_mRNA : 0</v>
      </c>
      <c r="J134" s="34" t="str">
        <f t="shared" si="31"/>
        <v>E2_5_1_7 : 0</v>
      </c>
      <c r="K134" s="35" t="str">
        <f t="shared" si="32"/>
        <v>0.00292 - (0.0093 * E2_5_1_7_mRNA)</v>
      </c>
      <c r="L134" s="30" t="str">
        <f t="shared" si="33"/>
        <v>(0.278 * E2_5_1_7_mRNA) - (0.00000278 * E2_5_1_7)</v>
      </c>
      <c r="M134" s="36" t="str">
        <f t="shared" si="34"/>
        <v>mRNA133: -&gt; E2_5_1_7_mRNA | 0.00292 - (0.0093 * E2_5_1_7_mRNA)</v>
      </c>
      <c r="N134" s="21" t="str">
        <f t="shared" si="35"/>
        <v>Peptide133:  E2_5_1_7_mRNA -&gt; E2_5_1_7 | (0.278 * E2_5_1_7_mRNA) - (0.00000278 * E2_5_1_7)</v>
      </c>
    </row>
    <row r="135" spans="1:14" x14ac:dyDescent="0.45">
      <c r="A135">
        <v>134</v>
      </c>
      <c r="B135" t="s">
        <v>15092</v>
      </c>
      <c r="C135" t="str">
        <f t="shared" si="25"/>
        <v>E2_5_1_72_mRNA</v>
      </c>
      <c r="D135" t="str">
        <f t="shared" si="24"/>
        <v>E2_5_1_72</v>
      </c>
      <c r="E135" s="30" t="str">
        <f t="shared" si="26"/>
        <v>E2_5_1_72_kcat : 13.7</v>
      </c>
      <c r="F135" s="31" t="str">
        <f t="shared" si="27"/>
        <v>E2_5_1_72_km : 1</v>
      </c>
      <c r="G135" s="21" t="str">
        <f t="shared" si="28"/>
        <v>E2_5_1_72_mRNA : E2_5_1_72_mRNA</v>
      </c>
      <c r="H135" s="32" t="str">
        <f t="shared" si="29"/>
        <v>E2_5_1_72 : E2_5_1_72</v>
      </c>
      <c r="I135" s="33" t="str">
        <f t="shared" si="30"/>
        <v>E2_5_1_72_mRNA : 0</v>
      </c>
      <c r="J135" s="34" t="str">
        <f t="shared" si="31"/>
        <v>E2_5_1_72 : 0</v>
      </c>
      <c r="K135" s="35" t="str">
        <f t="shared" si="32"/>
        <v>0.00292 - (0.0093 * E2_5_1_72_mRNA)</v>
      </c>
      <c r="L135" s="30" t="str">
        <f t="shared" si="33"/>
        <v>(0.278 * E2_5_1_72_mRNA) - (0.00000278 * E2_5_1_72)</v>
      </c>
      <c r="M135" s="36" t="str">
        <f t="shared" si="34"/>
        <v>mRNA134: -&gt; E2_5_1_72_mRNA | 0.00292 - (0.0093 * E2_5_1_72_mRNA)</v>
      </c>
      <c r="N135" s="21" t="str">
        <f t="shared" si="35"/>
        <v>Peptide134:  E2_5_1_72_mRNA -&gt; E2_5_1_72 | (0.278 * E2_5_1_72_mRNA) - (0.00000278 * E2_5_1_72)</v>
      </c>
    </row>
    <row r="136" spans="1:14" x14ac:dyDescent="0.45">
      <c r="A136">
        <v>135</v>
      </c>
      <c r="B136" t="s">
        <v>15093</v>
      </c>
      <c r="C136" t="str">
        <f t="shared" si="25"/>
        <v>E2_5_1_75_mRNA</v>
      </c>
      <c r="D136" t="str">
        <f t="shared" si="24"/>
        <v>E2_5_1_75</v>
      </c>
      <c r="E136" s="30" t="str">
        <f t="shared" si="26"/>
        <v>E2_5_1_75_kcat : 13.7</v>
      </c>
      <c r="F136" s="31" t="str">
        <f t="shared" si="27"/>
        <v>E2_5_1_75_km : 1</v>
      </c>
      <c r="G136" s="21" t="str">
        <f t="shared" si="28"/>
        <v>E2_5_1_75_mRNA : E2_5_1_75_mRNA</v>
      </c>
      <c r="H136" s="32" t="str">
        <f t="shared" si="29"/>
        <v>E2_5_1_75 : E2_5_1_75</v>
      </c>
      <c r="I136" s="33" t="str">
        <f t="shared" si="30"/>
        <v>E2_5_1_75_mRNA : 0</v>
      </c>
      <c r="J136" s="34" t="str">
        <f t="shared" si="31"/>
        <v>E2_5_1_75 : 0</v>
      </c>
      <c r="K136" s="35" t="str">
        <f t="shared" si="32"/>
        <v>0.00292 - (0.0093 * E2_5_1_75_mRNA)</v>
      </c>
      <c r="L136" s="30" t="str">
        <f t="shared" si="33"/>
        <v>(0.278 * E2_5_1_75_mRNA) - (0.00000278 * E2_5_1_75)</v>
      </c>
      <c r="M136" s="36" t="str">
        <f t="shared" si="34"/>
        <v>mRNA135: -&gt; E2_5_1_75_mRNA | 0.00292 - (0.0093 * E2_5_1_75_mRNA)</v>
      </c>
      <c r="N136" s="21" t="str">
        <f t="shared" si="35"/>
        <v>Peptide135:  E2_5_1_75_mRNA -&gt; E2_5_1_75 | (0.278 * E2_5_1_75_mRNA) - (0.00000278 * E2_5_1_75)</v>
      </c>
    </row>
    <row r="137" spans="1:14" x14ac:dyDescent="0.45">
      <c r="A137">
        <v>136</v>
      </c>
      <c r="B137" t="s">
        <v>15094</v>
      </c>
      <c r="C137" t="str">
        <f t="shared" si="25"/>
        <v>E2_5_1_78_mRNA</v>
      </c>
      <c r="D137" t="str">
        <f t="shared" si="24"/>
        <v>E2_5_1_78</v>
      </c>
      <c r="E137" s="30" t="str">
        <f t="shared" si="26"/>
        <v>E2_5_1_78_kcat : 13.7</v>
      </c>
      <c r="F137" s="31" t="str">
        <f t="shared" si="27"/>
        <v>E2_5_1_78_km : 1</v>
      </c>
      <c r="G137" s="21" t="str">
        <f t="shared" si="28"/>
        <v>E2_5_1_78_mRNA : E2_5_1_78_mRNA</v>
      </c>
      <c r="H137" s="32" t="str">
        <f t="shared" si="29"/>
        <v>E2_5_1_78 : E2_5_1_78</v>
      </c>
      <c r="I137" s="33" t="str">
        <f t="shared" si="30"/>
        <v>E2_5_1_78_mRNA : 0</v>
      </c>
      <c r="J137" s="34" t="str">
        <f t="shared" si="31"/>
        <v>E2_5_1_78 : 0</v>
      </c>
      <c r="K137" s="35" t="str">
        <f t="shared" si="32"/>
        <v>0.00292 - (0.0093 * E2_5_1_78_mRNA)</v>
      </c>
      <c r="L137" s="30" t="str">
        <f t="shared" si="33"/>
        <v>(0.278 * E2_5_1_78_mRNA) - (0.00000278 * E2_5_1_78)</v>
      </c>
      <c r="M137" s="36" t="str">
        <f t="shared" si="34"/>
        <v>mRNA136: -&gt; E2_5_1_78_mRNA | 0.00292 - (0.0093 * E2_5_1_78_mRNA)</v>
      </c>
      <c r="N137" s="21" t="str">
        <f t="shared" si="35"/>
        <v>Peptide136:  E2_5_1_78_mRNA -&gt; E2_5_1_78 | (0.278 * E2_5_1_78_mRNA) - (0.00000278 * E2_5_1_78)</v>
      </c>
    </row>
    <row r="138" spans="1:14" x14ac:dyDescent="0.45">
      <c r="A138">
        <v>137</v>
      </c>
      <c r="B138" t="s">
        <v>15095</v>
      </c>
      <c r="C138" t="str">
        <f t="shared" si="25"/>
        <v>E2_5_1_9_mRNA</v>
      </c>
      <c r="D138" t="str">
        <f t="shared" si="24"/>
        <v>E2_5_1_9</v>
      </c>
      <c r="E138" s="30" t="str">
        <f t="shared" si="26"/>
        <v>E2_5_1_9_kcat : 13.7</v>
      </c>
      <c r="F138" s="31" t="str">
        <f t="shared" si="27"/>
        <v>E2_5_1_9_km : 1</v>
      </c>
      <c r="G138" s="21" t="str">
        <f t="shared" si="28"/>
        <v>E2_5_1_9_mRNA : E2_5_1_9_mRNA</v>
      </c>
      <c r="H138" s="32" t="str">
        <f t="shared" si="29"/>
        <v>E2_5_1_9 : E2_5_1_9</v>
      </c>
      <c r="I138" s="33" t="str">
        <f t="shared" si="30"/>
        <v>E2_5_1_9_mRNA : 0</v>
      </c>
      <c r="J138" s="34" t="str">
        <f t="shared" si="31"/>
        <v>E2_5_1_9 : 0</v>
      </c>
      <c r="K138" s="35" t="str">
        <f t="shared" si="32"/>
        <v>0.00292 - (0.0093 * E2_5_1_9_mRNA)</v>
      </c>
      <c r="L138" s="30" t="str">
        <f t="shared" si="33"/>
        <v>(0.278 * E2_5_1_9_mRNA) - (0.00000278 * E2_5_1_9)</v>
      </c>
      <c r="M138" s="36" t="str">
        <f t="shared" si="34"/>
        <v>mRNA137: -&gt; E2_5_1_9_mRNA | 0.00292 - (0.0093 * E2_5_1_9_mRNA)</v>
      </c>
      <c r="N138" s="21" t="str">
        <f t="shared" si="35"/>
        <v>Peptide137:  E2_5_1_9_mRNA -&gt; E2_5_1_9 | (0.278 * E2_5_1_9_mRNA) - (0.00000278 * E2_5_1_9)</v>
      </c>
    </row>
    <row r="139" spans="1:14" x14ac:dyDescent="0.45">
      <c r="A139">
        <v>138</v>
      </c>
      <c r="B139" t="s">
        <v>15096</v>
      </c>
      <c r="C139" t="str">
        <f t="shared" si="25"/>
        <v>E2_6_1_16_mRNA</v>
      </c>
      <c r="D139" t="str">
        <f t="shared" si="24"/>
        <v>E2_6_1_16</v>
      </c>
      <c r="E139" s="30" t="str">
        <f t="shared" si="26"/>
        <v>E2_6_1_16_kcat : 13.7</v>
      </c>
      <c r="F139" s="31" t="str">
        <f t="shared" si="27"/>
        <v>E2_6_1_16_km : 1</v>
      </c>
      <c r="G139" s="21" t="str">
        <f t="shared" si="28"/>
        <v>E2_6_1_16_mRNA : E2_6_1_16_mRNA</v>
      </c>
      <c r="H139" s="32" t="str">
        <f t="shared" si="29"/>
        <v>E2_6_1_16 : E2_6_1_16</v>
      </c>
      <c r="I139" s="33" t="str">
        <f t="shared" si="30"/>
        <v>E2_6_1_16_mRNA : 0</v>
      </c>
      <c r="J139" s="34" t="str">
        <f t="shared" si="31"/>
        <v>E2_6_1_16 : 0</v>
      </c>
      <c r="K139" s="35" t="str">
        <f t="shared" si="32"/>
        <v>0.00292 - (0.0093 * E2_6_1_16_mRNA)</v>
      </c>
      <c r="L139" s="30" t="str">
        <f t="shared" si="33"/>
        <v>(0.278 * E2_6_1_16_mRNA) - (0.00000278 * E2_6_1_16)</v>
      </c>
      <c r="M139" s="36" t="str">
        <f t="shared" si="34"/>
        <v>mRNA138: -&gt; E2_6_1_16_mRNA | 0.00292 - (0.0093 * E2_6_1_16_mRNA)</v>
      </c>
      <c r="N139" s="21" t="str">
        <f t="shared" si="35"/>
        <v>Peptide138:  E2_6_1_16_mRNA -&gt; E2_6_1_16 | (0.278 * E2_6_1_16_mRNA) - (0.00000278 * E2_6_1_16)</v>
      </c>
    </row>
    <row r="140" spans="1:14" x14ac:dyDescent="0.45">
      <c r="A140">
        <v>139</v>
      </c>
      <c r="B140" t="s">
        <v>15097</v>
      </c>
      <c r="C140" t="str">
        <f t="shared" si="25"/>
        <v>E2_6_1_37_mRNA</v>
      </c>
      <c r="D140" t="str">
        <f t="shared" si="24"/>
        <v>E2_6_1_37</v>
      </c>
      <c r="E140" s="30" t="str">
        <f t="shared" si="26"/>
        <v>E2_6_1_37_kcat : 13.7</v>
      </c>
      <c r="F140" s="31" t="str">
        <f t="shared" si="27"/>
        <v>E2_6_1_37_km : 1</v>
      </c>
      <c r="G140" s="21" t="str">
        <f t="shared" si="28"/>
        <v>E2_6_1_37_mRNA : E2_6_1_37_mRNA</v>
      </c>
      <c r="H140" s="32" t="str">
        <f t="shared" si="29"/>
        <v>E2_6_1_37 : E2_6_1_37</v>
      </c>
      <c r="I140" s="33" t="str">
        <f t="shared" si="30"/>
        <v>E2_6_1_37_mRNA : 0</v>
      </c>
      <c r="J140" s="34" t="str">
        <f t="shared" si="31"/>
        <v>E2_6_1_37 : 0</v>
      </c>
      <c r="K140" s="35" t="str">
        <f t="shared" si="32"/>
        <v>0.00292 - (0.0093 * E2_6_1_37_mRNA)</v>
      </c>
      <c r="L140" s="30" t="str">
        <f t="shared" si="33"/>
        <v>(0.278 * E2_6_1_37_mRNA) - (0.00000278 * E2_6_1_37)</v>
      </c>
      <c r="M140" s="36" t="str">
        <f t="shared" si="34"/>
        <v>mRNA139: -&gt; E2_6_1_37_mRNA | 0.00292 - (0.0093 * E2_6_1_37_mRNA)</v>
      </c>
      <c r="N140" s="21" t="str">
        <f t="shared" si="35"/>
        <v>Peptide139:  E2_6_1_37_mRNA -&gt; E2_6_1_37 | (0.278 * E2_6_1_37_mRNA) - (0.00000278 * E2_6_1_37)</v>
      </c>
    </row>
    <row r="141" spans="1:14" x14ac:dyDescent="0.45">
      <c r="A141">
        <v>140</v>
      </c>
      <c r="B141" t="s">
        <v>15098</v>
      </c>
      <c r="C141" t="str">
        <f t="shared" si="25"/>
        <v>E2_6_1_85_mRNA</v>
      </c>
      <c r="D141" t="str">
        <f t="shared" si="24"/>
        <v>E2_6_1_85</v>
      </c>
      <c r="E141" s="30" t="str">
        <f t="shared" si="26"/>
        <v>E2_6_1_85_kcat : 13.7</v>
      </c>
      <c r="F141" s="31" t="str">
        <f t="shared" si="27"/>
        <v>E2_6_1_85_km : 1</v>
      </c>
      <c r="G141" s="21" t="str">
        <f t="shared" si="28"/>
        <v>E2_6_1_85_mRNA : E2_6_1_85_mRNA</v>
      </c>
      <c r="H141" s="32" t="str">
        <f t="shared" si="29"/>
        <v>E2_6_1_85 : E2_6_1_85</v>
      </c>
      <c r="I141" s="33" t="str">
        <f t="shared" si="30"/>
        <v>E2_6_1_85_mRNA : 0</v>
      </c>
      <c r="J141" s="34" t="str">
        <f t="shared" si="31"/>
        <v>E2_6_1_85 : 0</v>
      </c>
      <c r="K141" s="35" t="str">
        <f t="shared" si="32"/>
        <v>0.00292 - (0.0093 * E2_6_1_85_mRNA)</v>
      </c>
      <c r="L141" s="30" t="str">
        <f t="shared" si="33"/>
        <v>(0.278 * E2_6_1_85_mRNA) - (0.00000278 * E2_6_1_85)</v>
      </c>
      <c r="M141" s="36" t="str">
        <f t="shared" si="34"/>
        <v>mRNA140: -&gt; E2_6_1_85_mRNA | 0.00292 - (0.0093 * E2_6_1_85_mRNA)</v>
      </c>
      <c r="N141" s="21" t="str">
        <f t="shared" si="35"/>
        <v>Peptide140:  E2_6_1_85_mRNA -&gt; E2_6_1_85 | (0.278 * E2_6_1_85_mRNA) - (0.00000278 * E2_6_1_85)</v>
      </c>
    </row>
    <row r="142" spans="1:14" x14ac:dyDescent="0.45">
      <c r="A142">
        <v>141</v>
      </c>
      <c r="B142" t="s">
        <v>15099</v>
      </c>
      <c r="C142" t="str">
        <f t="shared" si="25"/>
        <v>E2_6_1_9_mRNA</v>
      </c>
      <c r="D142" t="str">
        <f t="shared" si="24"/>
        <v>E2_6_1_9</v>
      </c>
      <c r="E142" s="30" t="str">
        <f t="shared" si="26"/>
        <v>E2_6_1_9_kcat : 13.7</v>
      </c>
      <c r="F142" s="31" t="str">
        <f t="shared" si="27"/>
        <v>E2_6_1_9_km : 1</v>
      </c>
      <c r="G142" s="21" t="str">
        <f t="shared" si="28"/>
        <v>E2_6_1_9_mRNA : E2_6_1_9_mRNA</v>
      </c>
      <c r="H142" s="32" t="str">
        <f t="shared" si="29"/>
        <v>E2_6_1_9 : E2_6_1_9</v>
      </c>
      <c r="I142" s="33" t="str">
        <f t="shared" si="30"/>
        <v>E2_6_1_9_mRNA : 0</v>
      </c>
      <c r="J142" s="34" t="str">
        <f t="shared" si="31"/>
        <v>E2_6_1_9 : 0</v>
      </c>
      <c r="K142" s="35" t="str">
        <f t="shared" si="32"/>
        <v>0.00292 - (0.0093 * E2_6_1_9_mRNA)</v>
      </c>
      <c r="L142" s="30" t="str">
        <f t="shared" si="33"/>
        <v>(0.278 * E2_6_1_9_mRNA) - (0.00000278 * E2_6_1_9)</v>
      </c>
      <c r="M142" s="36" t="str">
        <f t="shared" si="34"/>
        <v>mRNA141: -&gt; E2_6_1_9_mRNA | 0.00292 - (0.0093 * E2_6_1_9_mRNA)</v>
      </c>
      <c r="N142" s="21" t="str">
        <f t="shared" si="35"/>
        <v>Peptide141:  E2_6_1_9_mRNA -&gt; E2_6_1_9 | (0.278 * E2_6_1_9_mRNA) - (0.00000278 * E2_6_1_9)</v>
      </c>
    </row>
    <row r="143" spans="1:14" x14ac:dyDescent="0.45">
      <c r="A143">
        <v>142</v>
      </c>
      <c r="B143" t="s">
        <v>15100</v>
      </c>
      <c r="C143" t="str">
        <f t="shared" si="25"/>
        <v>E2_7_1_107_mRNA</v>
      </c>
      <c r="D143" t="str">
        <f t="shared" si="24"/>
        <v>E2_7_1_107</v>
      </c>
      <c r="E143" s="30" t="str">
        <f t="shared" si="26"/>
        <v>E2_7_1_107_kcat : 13.7</v>
      </c>
      <c r="F143" s="31" t="str">
        <f t="shared" si="27"/>
        <v>E2_7_1_107_km : 1</v>
      </c>
      <c r="G143" s="21" t="str">
        <f t="shared" si="28"/>
        <v>E2_7_1_107_mRNA : E2_7_1_107_mRNA</v>
      </c>
      <c r="H143" s="32" t="str">
        <f t="shared" si="29"/>
        <v>E2_7_1_107 : E2_7_1_107</v>
      </c>
      <c r="I143" s="33" t="str">
        <f t="shared" si="30"/>
        <v>E2_7_1_107_mRNA : 0</v>
      </c>
      <c r="J143" s="34" t="str">
        <f t="shared" si="31"/>
        <v>E2_7_1_107 : 0</v>
      </c>
      <c r="K143" s="35" t="str">
        <f t="shared" si="32"/>
        <v>0.00292 - (0.0093 * E2_7_1_107_mRNA)</v>
      </c>
      <c r="L143" s="30" t="str">
        <f t="shared" si="33"/>
        <v>(0.278 * E2_7_1_107_mRNA) - (0.00000278 * E2_7_1_107)</v>
      </c>
      <c r="M143" s="36" t="str">
        <f t="shared" si="34"/>
        <v>mRNA142: -&gt; E2_7_1_107_mRNA | 0.00292 - (0.0093 * E2_7_1_107_mRNA)</v>
      </c>
      <c r="N143" s="21" t="str">
        <f t="shared" si="35"/>
        <v>Peptide142:  E2_7_1_107_mRNA -&gt; E2_7_1_107 | (0.278 * E2_7_1_107_mRNA) - (0.00000278 * E2_7_1_107)</v>
      </c>
    </row>
    <row r="144" spans="1:14" x14ac:dyDescent="0.45">
      <c r="A144">
        <v>143</v>
      </c>
      <c r="B144" t="s">
        <v>15101</v>
      </c>
      <c r="C144" t="str">
        <f t="shared" si="25"/>
        <v>E2_7_1_11_mRNA</v>
      </c>
      <c r="D144" t="str">
        <f t="shared" si="24"/>
        <v>E2_7_1_11</v>
      </c>
      <c r="E144" s="30" t="str">
        <f t="shared" si="26"/>
        <v>E2_7_1_11_kcat : 13.7</v>
      </c>
      <c r="F144" s="31" t="str">
        <f t="shared" si="27"/>
        <v>E2_7_1_11_km : 1</v>
      </c>
      <c r="G144" s="21" t="str">
        <f t="shared" si="28"/>
        <v>E2_7_1_11_mRNA : E2_7_1_11_mRNA</v>
      </c>
      <c r="H144" s="32" t="str">
        <f t="shared" si="29"/>
        <v>E2_7_1_11 : E2_7_1_11</v>
      </c>
      <c r="I144" s="33" t="str">
        <f t="shared" si="30"/>
        <v>E2_7_1_11_mRNA : 0</v>
      </c>
      <c r="J144" s="34" t="str">
        <f t="shared" si="31"/>
        <v>E2_7_1_11 : 0</v>
      </c>
      <c r="K144" s="35" t="str">
        <f t="shared" si="32"/>
        <v>0.00292 - (0.0093 * E2_7_1_11_mRNA)</v>
      </c>
      <c r="L144" s="30" t="str">
        <f t="shared" si="33"/>
        <v>(0.278 * E2_7_1_11_mRNA) - (0.00000278 * E2_7_1_11)</v>
      </c>
      <c r="M144" s="36" t="str">
        <f t="shared" si="34"/>
        <v>mRNA143: -&gt; E2_7_1_11_mRNA | 0.00292 - (0.0093 * E2_7_1_11_mRNA)</v>
      </c>
      <c r="N144" s="21" t="str">
        <f t="shared" si="35"/>
        <v>Peptide143:  E2_7_1_11_mRNA -&gt; E2_7_1_11 | (0.278 * E2_7_1_11_mRNA) - (0.00000278 * E2_7_1_11)</v>
      </c>
    </row>
    <row r="145" spans="1:14" x14ac:dyDescent="0.45">
      <c r="A145">
        <v>144</v>
      </c>
      <c r="B145" t="s">
        <v>15102</v>
      </c>
      <c r="C145" t="str">
        <f t="shared" si="25"/>
        <v>E2_7_1_148_mRNA</v>
      </c>
      <c r="D145" t="str">
        <f t="shared" si="24"/>
        <v>E2_7_1_148</v>
      </c>
      <c r="E145" s="30" t="str">
        <f t="shared" si="26"/>
        <v>E2_7_1_148_kcat : 13.7</v>
      </c>
      <c r="F145" s="31" t="str">
        <f t="shared" si="27"/>
        <v>E2_7_1_148_km : 1</v>
      </c>
      <c r="G145" s="21" t="str">
        <f t="shared" si="28"/>
        <v>E2_7_1_148_mRNA : E2_7_1_148_mRNA</v>
      </c>
      <c r="H145" s="32" t="str">
        <f t="shared" si="29"/>
        <v>E2_7_1_148 : E2_7_1_148</v>
      </c>
      <c r="I145" s="33" t="str">
        <f t="shared" si="30"/>
        <v>E2_7_1_148_mRNA : 0</v>
      </c>
      <c r="J145" s="34" t="str">
        <f t="shared" si="31"/>
        <v>E2_7_1_148 : 0</v>
      </c>
      <c r="K145" s="35" t="str">
        <f t="shared" si="32"/>
        <v>0.00292 - (0.0093 * E2_7_1_148_mRNA)</v>
      </c>
      <c r="L145" s="30" t="str">
        <f t="shared" si="33"/>
        <v>(0.278 * E2_7_1_148_mRNA) - (0.00000278 * E2_7_1_148)</v>
      </c>
      <c r="M145" s="36" t="str">
        <f t="shared" si="34"/>
        <v>mRNA144: -&gt; E2_7_1_148_mRNA | 0.00292 - (0.0093 * E2_7_1_148_mRNA)</v>
      </c>
      <c r="N145" s="21" t="str">
        <f t="shared" si="35"/>
        <v>Peptide144:  E2_7_1_148_mRNA -&gt; E2_7_1_148 | (0.278 * E2_7_1_148_mRNA) - (0.00000278 * E2_7_1_148)</v>
      </c>
    </row>
    <row r="146" spans="1:14" x14ac:dyDescent="0.45">
      <c r="A146">
        <v>145</v>
      </c>
      <c r="B146" t="s">
        <v>15103</v>
      </c>
      <c r="C146" t="str">
        <f t="shared" si="25"/>
        <v>E2_7_1_15_mRNA</v>
      </c>
      <c r="D146" t="str">
        <f t="shared" si="24"/>
        <v>E2_7_1_15</v>
      </c>
      <c r="E146" s="30" t="str">
        <f t="shared" si="26"/>
        <v>E2_7_1_15_kcat : 13.7</v>
      </c>
      <c r="F146" s="31" t="str">
        <f t="shared" si="27"/>
        <v>E2_7_1_15_km : 1</v>
      </c>
      <c r="G146" s="21" t="str">
        <f t="shared" si="28"/>
        <v>E2_7_1_15_mRNA : E2_7_1_15_mRNA</v>
      </c>
      <c r="H146" s="32" t="str">
        <f t="shared" si="29"/>
        <v>E2_7_1_15 : E2_7_1_15</v>
      </c>
      <c r="I146" s="33" t="str">
        <f t="shared" si="30"/>
        <v>E2_7_1_15_mRNA : 0</v>
      </c>
      <c r="J146" s="34" t="str">
        <f t="shared" si="31"/>
        <v>E2_7_1_15 : 0</v>
      </c>
      <c r="K146" s="35" t="str">
        <f t="shared" si="32"/>
        <v>0.00292 - (0.0093 * E2_7_1_15_mRNA)</v>
      </c>
      <c r="L146" s="30" t="str">
        <f t="shared" si="33"/>
        <v>(0.278 * E2_7_1_15_mRNA) - (0.00000278 * E2_7_1_15)</v>
      </c>
      <c r="M146" s="36" t="str">
        <f t="shared" si="34"/>
        <v>mRNA145: -&gt; E2_7_1_15_mRNA | 0.00292 - (0.0093 * E2_7_1_15_mRNA)</v>
      </c>
      <c r="N146" s="21" t="str">
        <f t="shared" si="35"/>
        <v>Peptide145:  E2_7_1_15_mRNA -&gt; E2_7_1_15 | (0.278 * E2_7_1_15_mRNA) - (0.00000278 * E2_7_1_15)</v>
      </c>
    </row>
    <row r="147" spans="1:14" x14ac:dyDescent="0.45">
      <c r="A147">
        <v>146</v>
      </c>
      <c r="B147" t="s">
        <v>15104</v>
      </c>
      <c r="C147" t="str">
        <f t="shared" si="25"/>
        <v>E2_7_1_156_mRNA</v>
      </c>
      <c r="D147" t="str">
        <f t="shared" si="24"/>
        <v>E2_7_1_156</v>
      </c>
      <c r="E147" s="30" t="str">
        <f t="shared" si="26"/>
        <v>E2_7_1_156_kcat : 13.7</v>
      </c>
      <c r="F147" s="31" t="str">
        <f t="shared" si="27"/>
        <v>E2_7_1_156_km : 1</v>
      </c>
      <c r="G147" s="21" t="str">
        <f t="shared" si="28"/>
        <v>E2_7_1_156_mRNA : E2_7_1_156_mRNA</v>
      </c>
      <c r="H147" s="32" t="str">
        <f t="shared" si="29"/>
        <v>E2_7_1_156 : E2_7_1_156</v>
      </c>
      <c r="I147" s="33" t="str">
        <f t="shared" si="30"/>
        <v>E2_7_1_156_mRNA : 0</v>
      </c>
      <c r="J147" s="34" t="str">
        <f t="shared" si="31"/>
        <v>E2_7_1_156 : 0</v>
      </c>
      <c r="K147" s="35" t="str">
        <f t="shared" si="32"/>
        <v>0.00292 - (0.0093 * E2_7_1_156_mRNA)</v>
      </c>
      <c r="L147" s="30" t="str">
        <f t="shared" si="33"/>
        <v>(0.278 * E2_7_1_156_mRNA) - (0.00000278 * E2_7_1_156)</v>
      </c>
      <c r="M147" s="36" t="str">
        <f t="shared" si="34"/>
        <v>mRNA146: -&gt; E2_7_1_156_mRNA | 0.00292 - (0.0093 * E2_7_1_156_mRNA)</v>
      </c>
      <c r="N147" s="21" t="str">
        <f t="shared" si="35"/>
        <v>Peptide146:  E2_7_1_156_mRNA -&gt; E2_7_1_156 | (0.278 * E2_7_1_156_mRNA) - (0.00000278 * E2_7_1_156)</v>
      </c>
    </row>
    <row r="148" spans="1:14" x14ac:dyDescent="0.45">
      <c r="A148">
        <v>147</v>
      </c>
      <c r="B148" t="s">
        <v>15105</v>
      </c>
      <c r="C148" t="str">
        <f t="shared" si="25"/>
        <v>E2_7_1_17_mRNA</v>
      </c>
      <c r="D148" t="str">
        <f t="shared" si="24"/>
        <v>E2_7_1_17</v>
      </c>
      <c r="E148" s="30" t="str">
        <f t="shared" si="26"/>
        <v>E2_7_1_17_kcat : 13.7</v>
      </c>
      <c r="F148" s="31" t="str">
        <f t="shared" si="27"/>
        <v>E2_7_1_17_km : 1</v>
      </c>
      <c r="G148" s="21" t="str">
        <f t="shared" si="28"/>
        <v>E2_7_1_17_mRNA : E2_7_1_17_mRNA</v>
      </c>
      <c r="H148" s="32" t="str">
        <f t="shared" si="29"/>
        <v>E2_7_1_17 : E2_7_1_17</v>
      </c>
      <c r="I148" s="33" t="str">
        <f t="shared" si="30"/>
        <v>E2_7_1_17_mRNA : 0</v>
      </c>
      <c r="J148" s="34" t="str">
        <f t="shared" si="31"/>
        <v>E2_7_1_17 : 0</v>
      </c>
      <c r="K148" s="35" t="str">
        <f t="shared" si="32"/>
        <v>0.00292 - (0.0093 * E2_7_1_17_mRNA)</v>
      </c>
      <c r="L148" s="30" t="str">
        <f t="shared" si="33"/>
        <v>(0.278 * E2_7_1_17_mRNA) - (0.00000278 * E2_7_1_17)</v>
      </c>
      <c r="M148" s="36" t="str">
        <f t="shared" si="34"/>
        <v>mRNA147: -&gt; E2_7_1_17_mRNA | 0.00292 - (0.0093 * E2_7_1_17_mRNA)</v>
      </c>
      <c r="N148" s="21" t="str">
        <f t="shared" si="35"/>
        <v>Peptide147:  E2_7_1_17_mRNA -&gt; E2_7_1_17 | (0.278 * E2_7_1_17_mRNA) - (0.00000278 * E2_7_1_17)</v>
      </c>
    </row>
    <row r="149" spans="1:14" x14ac:dyDescent="0.45">
      <c r="A149">
        <v>148</v>
      </c>
      <c r="B149" t="s">
        <v>15106</v>
      </c>
      <c r="C149" t="str">
        <f t="shared" si="25"/>
        <v>E2_7_1_170_mRNA</v>
      </c>
      <c r="D149" t="str">
        <f t="shared" si="24"/>
        <v>E2_7_1_170</v>
      </c>
      <c r="E149" s="30" t="str">
        <f t="shared" si="26"/>
        <v>E2_7_1_170_kcat : 13.7</v>
      </c>
      <c r="F149" s="31" t="str">
        <f t="shared" si="27"/>
        <v>E2_7_1_170_km : 1</v>
      </c>
      <c r="G149" s="21" t="str">
        <f t="shared" si="28"/>
        <v>E2_7_1_170_mRNA : E2_7_1_170_mRNA</v>
      </c>
      <c r="H149" s="32" t="str">
        <f t="shared" si="29"/>
        <v>E2_7_1_170 : E2_7_1_170</v>
      </c>
      <c r="I149" s="33" t="str">
        <f t="shared" si="30"/>
        <v>E2_7_1_170_mRNA : 0</v>
      </c>
      <c r="J149" s="34" t="str">
        <f t="shared" si="31"/>
        <v>E2_7_1_170 : 0</v>
      </c>
      <c r="K149" s="35" t="str">
        <f t="shared" si="32"/>
        <v>0.00292 - (0.0093 * E2_7_1_170_mRNA)</v>
      </c>
      <c r="L149" s="30" t="str">
        <f t="shared" si="33"/>
        <v>(0.278 * E2_7_1_170_mRNA) - (0.00000278 * E2_7_1_170)</v>
      </c>
      <c r="M149" s="36" t="str">
        <f t="shared" si="34"/>
        <v>mRNA148: -&gt; E2_7_1_170_mRNA | 0.00292 - (0.0093 * E2_7_1_170_mRNA)</v>
      </c>
      <c r="N149" s="21" t="str">
        <f t="shared" si="35"/>
        <v>Peptide148:  E2_7_1_170_mRNA -&gt; E2_7_1_170 | (0.278 * E2_7_1_170_mRNA) - (0.00000278 * E2_7_1_170)</v>
      </c>
    </row>
    <row r="150" spans="1:14" x14ac:dyDescent="0.45">
      <c r="A150">
        <v>149</v>
      </c>
      <c r="B150" t="s">
        <v>15107</v>
      </c>
      <c r="C150" t="str">
        <f t="shared" si="25"/>
        <v>E2_7_1_180_mRNA</v>
      </c>
      <c r="D150" t="str">
        <f t="shared" si="24"/>
        <v>E2_7_1_180</v>
      </c>
      <c r="E150" s="30" t="str">
        <f t="shared" si="26"/>
        <v>E2_7_1_180_kcat : 13.7</v>
      </c>
      <c r="F150" s="31" t="str">
        <f t="shared" si="27"/>
        <v>E2_7_1_180_km : 1</v>
      </c>
      <c r="G150" s="21" t="str">
        <f t="shared" si="28"/>
        <v>E2_7_1_180_mRNA : E2_7_1_180_mRNA</v>
      </c>
      <c r="H150" s="32" t="str">
        <f t="shared" si="29"/>
        <v>E2_7_1_180 : E2_7_1_180</v>
      </c>
      <c r="I150" s="33" t="str">
        <f t="shared" si="30"/>
        <v>E2_7_1_180_mRNA : 0</v>
      </c>
      <c r="J150" s="34" t="str">
        <f t="shared" si="31"/>
        <v>E2_7_1_180 : 0</v>
      </c>
      <c r="K150" s="35" t="str">
        <f t="shared" si="32"/>
        <v>0.00292 - (0.0093 * E2_7_1_180_mRNA)</v>
      </c>
      <c r="L150" s="30" t="str">
        <f t="shared" si="33"/>
        <v>(0.278 * E2_7_1_180_mRNA) - (0.00000278 * E2_7_1_180)</v>
      </c>
      <c r="M150" s="36" t="str">
        <f t="shared" si="34"/>
        <v>mRNA149: -&gt; E2_7_1_180_mRNA | 0.00292 - (0.0093 * E2_7_1_180_mRNA)</v>
      </c>
      <c r="N150" s="21" t="str">
        <f t="shared" si="35"/>
        <v>Peptide149:  E2_7_1_180_mRNA -&gt; E2_7_1_180 | (0.278 * E2_7_1_180_mRNA) - (0.00000278 * E2_7_1_180)</v>
      </c>
    </row>
    <row r="151" spans="1:14" x14ac:dyDescent="0.45">
      <c r="A151">
        <v>150</v>
      </c>
      <c r="B151" t="s">
        <v>15108</v>
      </c>
      <c r="C151" t="str">
        <f t="shared" si="25"/>
        <v>E2_7_1_195_mRNA</v>
      </c>
      <c r="D151" t="str">
        <f t="shared" si="24"/>
        <v>E2_7_1_195</v>
      </c>
      <c r="E151" s="30" t="str">
        <f t="shared" si="26"/>
        <v>E2_7_1_195_kcat : 13.7</v>
      </c>
      <c r="F151" s="31" t="str">
        <f t="shared" si="27"/>
        <v>E2_7_1_195_km : 1</v>
      </c>
      <c r="G151" s="21" t="str">
        <f t="shared" si="28"/>
        <v>E2_7_1_195_mRNA : E2_7_1_195_mRNA</v>
      </c>
      <c r="H151" s="32" t="str">
        <f t="shared" si="29"/>
        <v>E2_7_1_195 : E2_7_1_195</v>
      </c>
      <c r="I151" s="33" t="str">
        <f t="shared" si="30"/>
        <v>E2_7_1_195_mRNA : 0</v>
      </c>
      <c r="J151" s="34" t="str">
        <f t="shared" si="31"/>
        <v>E2_7_1_195 : 0</v>
      </c>
      <c r="K151" s="35" t="str">
        <f t="shared" si="32"/>
        <v>0.00292 - (0.0093 * E2_7_1_195_mRNA)</v>
      </c>
      <c r="L151" s="30" t="str">
        <f t="shared" si="33"/>
        <v>(0.278 * E2_7_1_195_mRNA) - (0.00000278 * E2_7_1_195)</v>
      </c>
      <c r="M151" s="36" t="str">
        <f t="shared" si="34"/>
        <v>mRNA150: -&gt; E2_7_1_195_mRNA | 0.00292 - (0.0093 * E2_7_1_195_mRNA)</v>
      </c>
      <c r="N151" s="21" t="str">
        <f t="shared" si="35"/>
        <v>Peptide150:  E2_7_1_195_mRNA -&gt; E2_7_1_195 | (0.278 * E2_7_1_195_mRNA) - (0.00000278 * E2_7_1_195)</v>
      </c>
    </row>
    <row r="152" spans="1:14" x14ac:dyDescent="0.45">
      <c r="A152">
        <v>151</v>
      </c>
      <c r="B152" t="s">
        <v>15109</v>
      </c>
      <c r="C152" t="str">
        <f t="shared" si="25"/>
        <v>E2_7_1_199_mRNA</v>
      </c>
      <c r="D152" t="str">
        <f t="shared" si="24"/>
        <v>E2_7_1_199</v>
      </c>
      <c r="E152" s="30" t="str">
        <f t="shared" si="26"/>
        <v>E2_7_1_199_kcat : 13.7</v>
      </c>
      <c r="F152" s="31" t="str">
        <f t="shared" si="27"/>
        <v>E2_7_1_199_km : 1</v>
      </c>
      <c r="G152" s="21" t="str">
        <f t="shared" si="28"/>
        <v>E2_7_1_199_mRNA : E2_7_1_199_mRNA</v>
      </c>
      <c r="H152" s="32" t="str">
        <f t="shared" si="29"/>
        <v>E2_7_1_199 : E2_7_1_199</v>
      </c>
      <c r="I152" s="33" t="str">
        <f t="shared" si="30"/>
        <v>E2_7_1_199_mRNA : 0</v>
      </c>
      <c r="J152" s="34" t="str">
        <f t="shared" si="31"/>
        <v>E2_7_1_199 : 0</v>
      </c>
      <c r="K152" s="35" t="str">
        <f t="shared" si="32"/>
        <v>0.00292 - (0.0093 * E2_7_1_199_mRNA)</v>
      </c>
      <c r="L152" s="30" t="str">
        <f t="shared" si="33"/>
        <v>(0.278 * E2_7_1_199_mRNA) - (0.00000278 * E2_7_1_199)</v>
      </c>
      <c r="M152" s="36" t="str">
        <f t="shared" si="34"/>
        <v>mRNA151: -&gt; E2_7_1_199_mRNA | 0.00292 - (0.0093 * E2_7_1_199_mRNA)</v>
      </c>
      <c r="N152" s="21" t="str">
        <f t="shared" si="35"/>
        <v>Peptide151:  E2_7_1_199_mRNA -&gt; E2_7_1_199 | (0.278 * E2_7_1_199_mRNA) - (0.00000278 * E2_7_1_199)</v>
      </c>
    </row>
    <row r="153" spans="1:14" x14ac:dyDescent="0.45">
      <c r="A153">
        <v>152</v>
      </c>
      <c r="B153" t="s">
        <v>15110</v>
      </c>
      <c r="C153" t="str">
        <f t="shared" si="25"/>
        <v>E2_7_1_202_mRNA</v>
      </c>
      <c r="D153" t="str">
        <f t="shared" si="24"/>
        <v>E2_7_1_202</v>
      </c>
      <c r="E153" s="30" t="str">
        <f t="shared" si="26"/>
        <v>E2_7_1_202_kcat : 13.7</v>
      </c>
      <c r="F153" s="31" t="str">
        <f t="shared" si="27"/>
        <v>E2_7_1_202_km : 1</v>
      </c>
      <c r="G153" s="21" t="str">
        <f t="shared" si="28"/>
        <v>E2_7_1_202_mRNA : E2_7_1_202_mRNA</v>
      </c>
      <c r="H153" s="32" t="str">
        <f t="shared" si="29"/>
        <v>E2_7_1_202 : E2_7_1_202</v>
      </c>
      <c r="I153" s="33" t="str">
        <f t="shared" si="30"/>
        <v>E2_7_1_202_mRNA : 0</v>
      </c>
      <c r="J153" s="34" t="str">
        <f t="shared" si="31"/>
        <v>E2_7_1_202 : 0</v>
      </c>
      <c r="K153" s="35" t="str">
        <f t="shared" si="32"/>
        <v>0.00292 - (0.0093 * E2_7_1_202_mRNA)</v>
      </c>
      <c r="L153" s="30" t="str">
        <f t="shared" si="33"/>
        <v>(0.278 * E2_7_1_202_mRNA) - (0.00000278 * E2_7_1_202)</v>
      </c>
      <c r="M153" s="36" t="str">
        <f t="shared" si="34"/>
        <v>mRNA152: -&gt; E2_7_1_202_mRNA | 0.00292 - (0.0093 * E2_7_1_202_mRNA)</v>
      </c>
      <c r="N153" s="21" t="str">
        <f t="shared" si="35"/>
        <v>Peptide152:  E2_7_1_202_mRNA -&gt; E2_7_1_202 | (0.278 * E2_7_1_202_mRNA) - (0.00000278 * E2_7_1_202)</v>
      </c>
    </row>
    <row r="154" spans="1:14" x14ac:dyDescent="0.45">
      <c r="A154">
        <v>153</v>
      </c>
      <c r="B154" t="s">
        <v>15111</v>
      </c>
      <c r="C154" t="str">
        <f t="shared" si="25"/>
        <v>E2_7_1_205_mRNA</v>
      </c>
      <c r="D154" t="str">
        <f t="shared" si="24"/>
        <v>E2_7_1_205</v>
      </c>
      <c r="E154" s="30" t="str">
        <f t="shared" si="26"/>
        <v>E2_7_1_205_kcat : 13.7</v>
      </c>
      <c r="F154" s="31" t="str">
        <f t="shared" si="27"/>
        <v>E2_7_1_205_km : 1</v>
      </c>
      <c r="G154" s="21" t="str">
        <f t="shared" si="28"/>
        <v>E2_7_1_205_mRNA : E2_7_1_205_mRNA</v>
      </c>
      <c r="H154" s="32" t="str">
        <f t="shared" si="29"/>
        <v>E2_7_1_205 : E2_7_1_205</v>
      </c>
      <c r="I154" s="33" t="str">
        <f t="shared" si="30"/>
        <v>E2_7_1_205_mRNA : 0</v>
      </c>
      <c r="J154" s="34" t="str">
        <f t="shared" si="31"/>
        <v>E2_7_1_205 : 0</v>
      </c>
      <c r="K154" s="35" t="str">
        <f t="shared" si="32"/>
        <v>0.00292 - (0.0093 * E2_7_1_205_mRNA)</v>
      </c>
      <c r="L154" s="30" t="str">
        <f t="shared" si="33"/>
        <v>(0.278 * E2_7_1_205_mRNA) - (0.00000278 * E2_7_1_205)</v>
      </c>
      <c r="M154" s="36" t="str">
        <f t="shared" si="34"/>
        <v>mRNA153: -&gt; E2_7_1_205_mRNA | 0.00292 - (0.0093 * E2_7_1_205_mRNA)</v>
      </c>
      <c r="N154" s="21" t="str">
        <f t="shared" si="35"/>
        <v>Peptide153:  E2_7_1_205_mRNA -&gt; E2_7_1_205 | (0.278 * E2_7_1_205_mRNA) - (0.00000278 * E2_7_1_205)</v>
      </c>
    </row>
    <row r="155" spans="1:14" x14ac:dyDescent="0.45">
      <c r="A155">
        <v>154</v>
      </c>
      <c r="B155" t="s">
        <v>15112</v>
      </c>
      <c r="C155" t="str">
        <f t="shared" si="25"/>
        <v>E2_7_1_24_mRNA</v>
      </c>
      <c r="D155" t="str">
        <f t="shared" si="24"/>
        <v>E2_7_1_24</v>
      </c>
      <c r="E155" s="30" t="str">
        <f t="shared" si="26"/>
        <v>E2_7_1_24_kcat : 13.7</v>
      </c>
      <c r="F155" s="31" t="str">
        <f t="shared" si="27"/>
        <v>E2_7_1_24_km : 1</v>
      </c>
      <c r="G155" s="21" t="str">
        <f t="shared" si="28"/>
        <v>E2_7_1_24_mRNA : E2_7_1_24_mRNA</v>
      </c>
      <c r="H155" s="32" t="str">
        <f t="shared" si="29"/>
        <v>E2_7_1_24 : E2_7_1_24</v>
      </c>
      <c r="I155" s="33" t="str">
        <f t="shared" si="30"/>
        <v>E2_7_1_24_mRNA : 0</v>
      </c>
      <c r="J155" s="34" t="str">
        <f t="shared" si="31"/>
        <v>E2_7_1_24 : 0</v>
      </c>
      <c r="K155" s="35" t="str">
        <f t="shared" si="32"/>
        <v>0.00292 - (0.0093 * E2_7_1_24_mRNA)</v>
      </c>
      <c r="L155" s="30" t="str">
        <f t="shared" si="33"/>
        <v>(0.278 * E2_7_1_24_mRNA) - (0.00000278 * E2_7_1_24)</v>
      </c>
      <c r="M155" s="36" t="str">
        <f t="shared" si="34"/>
        <v>mRNA154: -&gt; E2_7_1_24_mRNA | 0.00292 - (0.0093 * E2_7_1_24_mRNA)</v>
      </c>
      <c r="N155" s="21" t="str">
        <f t="shared" si="35"/>
        <v>Peptide154:  E2_7_1_24_mRNA -&gt; E2_7_1_24 | (0.278 * E2_7_1_24_mRNA) - (0.00000278 * E2_7_1_24)</v>
      </c>
    </row>
    <row r="156" spans="1:14" x14ac:dyDescent="0.45">
      <c r="A156">
        <v>155</v>
      </c>
      <c r="B156" t="s">
        <v>15113</v>
      </c>
      <c r="C156" t="str">
        <f t="shared" si="25"/>
        <v>E2_7_1_26_mRNA</v>
      </c>
      <c r="D156" t="str">
        <f t="shared" si="24"/>
        <v>E2_7_1_26</v>
      </c>
      <c r="E156" s="30" t="str">
        <f t="shared" si="26"/>
        <v>E2_7_1_26_kcat : 13.7</v>
      </c>
      <c r="F156" s="31" t="str">
        <f t="shared" si="27"/>
        <v>E2_7_1_26_km : 1</v>
      </c>
      <c r="G156" s="21" t="str">
        <f t="shared" si="28"/>
        <v>E2_7_1_26_mRNA : E2_7_1_26_mRNA</v>
      </c>
      <c r="H156" s="32" t="str">
        <f t="shared" si="29"/>
        <v>E2_7_1_26 : E2_7_1_26</v>
      </c>
      <c r="I156" s="33" t="str">
        <f t="shared" si="30"/>
        <v>E2_7_1_26_mRNA : 0</v>
      </c>
      <c r="J156" s="34" t="str">
        <f t="shared" si="31"/>
        <v>E2_7_1_26 : 0</v>
      </c>
      <c r="K156" s="35" t="str">
        <f t="shared" si="32"/>
        <v>0.00292 - (0.0093 * E2_7_1_26_mRNA)</v>
      </c>
      <c r="L156" s="30" t="str">
        <f t="shared" si="33"/>
        <v>(0.278 * E2_7_1_26_mRNA) - (0.00000278 * E2_7_1_26)</v>
      </c>
      <c r="M156" s="36" t="str">
        <f t="shared" si="34"/>
        <v>mRNA155: -&gt; E2_7_1_26_mRNA | 0.00292 - (0.0093 * E2_7_1_26_mRNA)</v>
      </c>
      <c r="N156" s="21" t="str">
        <f t="shared" si="35"/>
        <v>Peptide155:  E2_7_1_26_mRNA -&gt; E2_7_1_26 | (0.278 * E2_7_1_26_mRNA) - (0.00000278 * E2_7_1_26)</v>
      </c>
    </row>
    <row r="157" spans="1:14" x14ac:dyDescent="0.45">
      <c r="A157">
        <v>156</v>
      </c>
      <c r="B157" t="s">
        <v>15114</v>
      </c>
      <c r="C157" t="str">
        <f t="shared" si="25"/>
        <v>E2_7_1_30_mRNA</v>
      </c>
      <c r="D157" t="str">
        <f t="shared" si="24"/>
        <v>E2_7_1_30</v>
      </c>
      <c r="E157" s="30" t="str">
        <f t="shared" si="26"/>
        <v>E2_7_1_30_kcat : 13.7</v>
      </c>
      <c r="F157" s="31" t="str">
        <f t="shared" si="27"/>
        <v>E2_7_1_30_km : 1</v>
      </c>
      <c r="G157" s="21" t="str">
        <f t="shared" si="28"/>
        <v>E2_7_1_30_mRNA : E2_7_1_30_mRNA</v>
      </c>
      <c r="H157" s="32" t="str">
        <f t="shared" si="29"/>
        <v>E2_7_1_30 : E2_7_1_30</v>
      </c>
      <c r="I157" s="33" t="str">
        <f t="shared" si="30"/>
        <v>E2_7_1_30_mRNA : 0</v>
      </c>
      <c r="J157" s="34" t="str">
        <f t="shared" si="31"/>
        <v>E2_7_1_30 : 0</v>
      </c>
      <c r="K157" s="35" t="str">
        <f t="shared" si="32"/>
        <v>0.00292 - (0.0093 * E2_7_1_30_mRNA)</v>
      </c>
      <c r="L157" s="30" t="str">
        <f t="shared" si="33"/>
        <v>(0.278 * E2_7_1_30_mRNA) - (0.00000278 * E2_7_1_30)</v>
      </c>
      <c r="M157" s="36" t="str">
        <f t="shared" si="34"/>
        <v>mRNA156: -&gt; E2_7_1_30_mRNA | 0.00292 - (0.0093 * E2_7_1_30_mRNA)</v>
      </c>
      <c r="N157" s="21" t="str">
        <f t="shared" si="35"/>
        <v>Peptide156:  E2_7_1_30_mRNA -&gt; E2_7_1_30 | (0.278 * E2_7_1_30_mRNA) - (0.00000278 * E2_7_1_30)</v>
      </c>
    </row>
    <row r="158" spans="1:14" x14ac:dyDescent="0.45">
      <c r="A158">
        <v>157</v>
      </c>
      <c r="B158" t="s">
        <v>15115</v>
      </c>
      <c r="C158" t="str">
        <f t="shared" si="25"/>
        <v>E2_7_1_33_mRNA</v>
      </c>
      <c r="D158" t="str">
        <f t="shared" si="24"/>
        <v>E2_7_1_33</v>
      </c>
      <c r="E158" s="30" t="str">
        <f t="shared" si="26"/>
        <v>E2_7_1_33_kcat : 13.7</v>
      </c>
      <c r="F158" s="31" t="str">
        <f t="shared" si="27"/>
        <v>E2_7_1_33_km : 1</v>
      </c>
      <c r="G158" s="21" t="str">
        <f t="shared" si="28"/>
        <v>E2_7_1_33_mRNA : E2_7_1_33_mRNA</v>
      </c>
      <c r="H158" s="32" t="str">
        <f t="shared" si="29"/>
        <v>E2_7_1_33 : E2_7_1_33</v>
      </c>
      <c r="I158" s="33" t="str">
        <f t="shared" si="30"/>
        <v>E2_7_1_33_mRNA : 0</v>
      </c>
      <c r="J158" s="34" t="str">
        <f t="shared" si="31"/>
        <v>E2_7_1_33 : 0</v>
      </c>
      <c r="K158" s="35" t="str">
        <f t="shared" si="32"/>
        <v>0.00292 - (0.0093 * E2_7_1_33_mRNA)</v>
      </c>
      <c r="L158" s="30" t="str">
        <f t="shared" si="33"/>
        <v>(0.278 * E2_7_1_33_mRNA) - (0.00000278 * E2_7_1_33)</v>
      </c>
      <c r="M158" s="36" t="str">
        <f t="shared" si="34"/>
        <v>mRNA157: -&gt; E2_7_1_33_mRNA | 0.00292 - (0.0093 * E2_7_1_33_mRNA)</v>
      </c>
      <c r="N158" s="21" t="str">
        <f t="shared" si="35"/>
        <v>Peptide157:  E2_7_1_33_mRNA -&gt; E2_7_1_33 | (0.278 * E2_7_1_33_mRNA) - (0.00000278 * E2_7_1_33)</v>
      </c>
    </row>
    <row r="159" spans="1:14" x14ac:dyDescent="0.45">
      <c r="A159">
        <v>158</v>
      </c>
      <c r="B159" t="s">
        <v>15116</v>
      </c>
      <c r="C159" t="str">
        <f t="shared" si="25"/>
        <v>E2_7_1_35_mRNA</v>
      </c>
      <c r="D159" t="str">
        <f t="shared" si="24"/>
        <v>E2_7_1_35</v>
      </c>
      <c r="E159" s="30" t="str">
        <f t="shared" si="26"/>
        <v>E2_7_1_35_kcat : 13.7</v>
      </c>
      <c r="F159" s="31" t="str">
        <f t="shared" si="27"/>
        <v>E2_7_1_35_km : 1</v>
      </c>
      <c r="G159" s="21" t="str">
        <f t="shared" si="28"/>
        <v>E2_7_1_35_mRNA : E2_7_1_35_mRNA</v>
      </c>
      <c r="H159" s="32" t="str">
        <f t="shared" si="29"/>
        <v>E2_7_1_35 : E2_7_1_35</v>
      </c>
      <c r="I159" s="33" t="str">
        <f t="shared" si="30"/>
        <v>E2_7_1_35_mRNA : 0</v>
      </c>
      <c r="J159" s="34" t="str">
        <f t="shared" si="31"/>
        <v>E2_7_1_35 : 0</v>
      </c>
      <c r="K159" s="35" t="str">
        <f t="shared" si="32"/>
        <v>0.00292 - (0.0093 * E2_7_1_35_mRNA)</v>
      </c>
      <c r="L159" s="30" t="str">
        <f t="shared" si="33"/>
        <v>(0.278 * E2_7_1_35_mRNA) - (0.00000278 * E2_7_1_35)</v>
      </c>
      <c r="M159" s="36" t="str">
        <f t="shared" si="34"/>
        <v>mRNA158: -&gt; E2_7_1_35_mRNA | 0.00292 - (0.0093 * E2_7_1_35_mRNA)</v>
      </c>
      <c r="N159" s="21" t="str">
        <f t="shared" si="35"/>
        <v>Peptide158:  E2_7_1_35_mRNA -&gt; E2_7_1_35 | (0.278 * E2_7_1_35_mRNA) - (0.00000278 * E2_7_1_35)</v>
      </c>
    </row>
    <row r="160" spans="1:14" x14ac:dyDescent="0.45">
      <c r="A160">
        <v>159</v>
      </c>
      <c r="B160" t="s">
        <v>15117</v>
      </c>
      <c r="C160" t="str">
        <f t="shared" si="25"/>
        <v>E2_7_1_39_mRNA</v>
      </c>
      <c r="D160" t="str">
        <f t="shared" si="24"/>
        <v>E2_7_1_39</v>
      </c>
      <c r="E160" s="30" t="str">
        <f t="shared" si="26"/>
        <v>E2_7_1_39_kcat : 13.7</v>
      </c>
      <c r="F160" s="31" t="str">
        <f t="shared" si="27"/>
        <v>E2_7_1_39_km : 1</v>
      </c>
      <c r="G160" s="21" t="str">
        <f t="shared" si="28"/>
        <v>E2_7_1_39_mRNA : E2_7_1_39_mRNA</v>
      </c>
      <c r="H160" s="32" t="str">
        <f t="shared" si="29"/>
        <v>E2_7_1_39 : E2_7_1_39</v>
      </c>
      <c r="I160" s="33" t="str">
        <f t="shared" si="30"/>
        <v>E2_7_1_39_mRNA : 0</v>
      </c>
      <c r="J160" s="34" t="str">
        <f t="shared" si="31"/>
        <v>E2_7_1_39 : 0</v>
      </c>
      <c r="K160" s="35" t="str">
        <f t="shared" si="32"/>
        <v>0.00292 - (0.0093 * E2_7_1_39_mRNA)</v>
      </c>
      <c r="L160" s="30" t="str">
        <f t="shared" si="33"/>
        <v>(0.278 * E2_7_1_39_mRNA) - (0.00000278 * E2_7_1_39)</v>
      </c>
      <c r="M160" s="36" t="str">
        <f t="shared" si="34"/>
        <v>mRNA159: -&gt; E2_7_1_39_mRNA | 0.00292 - (0.0093 * E2_7_1_39_mRNA)</v>
      </c>
      <c r="N160" s="21" t="str">
        <f t="shared" si="35"/>
        <v>Peptide159:  E2_7_1_39_mRNA -&gt; E2_7_1_39 | (0.278 * E2_7_1_39_mRNA) - (0.00000278 * E2_7_1_39)</v>
      </c>
    </row>
    <row r="161" spans="1:14" x14ac:dyDescent="0.45">
      <c r="A161">
        <v>160</v>
      </c>
      <c r="B161" t="s">
        <v>15118</v>
      </c>
      <c r="C161" t="str">
        <f t="shared" si="25"/>
        <v>E2_7_1_40_mRNA</v>
      </c>
      <c r="D161" t="str">
        <f t="shared" si="24"/>
        <v>E2_7_1_40</v>
      </c>
      <c r="E161" s="30" t="str">
        <f t="shared" si="26"/>
        <v>E2_7_1_40_kcat : 13.7</v>
      </c>
      <c r="F161" s="31" t="str">
        <f t="shared" si="27"/>
        <v>E2_7_1_40_km : 1</v>
      </c>
      <c r="G161" s="21" t="str">
        <f t="shared" si="28"/>
        <v>E2_7_1_40_mRNA : E2_7_1_40_mRNA</v>
      </c>
      <c r="H161" s="32" t="str">
        <f t="shared" si="29"/>
        <v>E2_7_1_40 : E2_7_1_40</v>
      </c>
      <c r="I161" s="33" t="str">
        <f t="shared" si="30"/>
        <v>E2_7_1_40_mRNA : 0</v>
      </c>
      <c r="J161" s="34" t="str">
        <f t="shared" si="31"/>
        <v>E2_7_1_40 : 0</v>
      </c>
      <c r="K161" s="35" t="str">
        <f t="shared" si="32"/>
        <v>0.00292 - (0.0093 * E2_7_1_40_mRNA)</v>
      </c>
      <c r="L161" s="30" t="str">
        <f t="shared" si="33"/>
        <v>(0.278 * E2_7_1_40_mRNA) - (0.00000278 * E2_7_1_40)</v>
      </c>
      <c r="M161" s="36" t="str">
        <f t="shared" si="34"/>
        <v>mRNA160: -&gt; E2_7_1_40_mRNA | 0.00292 - (0.0093 * E2_7_1_40_mRNA)</v>
      </c>
      <c r="N161" s="21" t="str">
        <f t="shared" si="35"/>
        <v>Peptide160:  E2_7_1_40_mRNA -&gt; E2_7_1_40 | (0.278 * E2_7_1_40_mRNA) - (0.00000278 * E2_7_1_40)</v>
      </c>
    </row>
    <row r="162" spans="1:14" x14ac:dyDescent="0.45">
      <c r="A162">
        <v>161</v>
      </c>
      <c r="B162" t="s">
        <v>15119</v>
      </c>
      <c r="C162" t="str">
        <f t="shared" si="25"/>
        <v>E2_7_1_49_mRNA</v>
      </c>
      <c r="D162" t="str">
        <f t="shared" si="24"/>
        <v>E2_7_1_49</v>
      </c>
      <c r="E162" s="30" t="str">
        <f t="shared" si="26"/>
        <v>E2_7_1_49_kcat : 13.7</v>
      </c>
      <c r="F162" s="31" t="str">
        <f t="shared" si="27"/>
        <v>E2_7_1_49_km : 1</v>
      </c>
      <c r="G162" s="21" t="str">
        <f t="shared" si="28"/>
        <v>E2_7_1_49_mRNA : E2_7_1_49_mRNA</v>
      </c>
      <c r="H162" s="32" t="str">
        <f t="shared" si="29"/>
        <v>E2_7_1_49 : E2_7_1_49</v>
      </c>
      <c r="I162" s="33" t="str">
        <f t="shared" si="30"/>
        <v>E2_7_1_49_mRNA : 0</v>
      </c>
      <c r="J162" s="34" t="str">
        <f t="shared" si="31"/>
        <v>E2_7_1_49 : 0</v>
      </c>
      <c r="K162" s="35" t="str">
        <f t="shared" si="32"/>
        <v>0.00292 - (0.0093 * E2_7_1_49_mRNA)</v>
      </c>
      <c r="L162" s="30" t="str">
        <f t="shared" si="33"/>
        <v>(0.278 * E2_7_1_49_mRNA) - (0.00000278 * E2_7_1_49)</v>
      </c>
      <c r="M162" s="36" t="str">
        <f t="shared" si="34"/>
        <v>mRNA161: -&gt; E2_7_1_49_mRNA | 0.00292 - (0.0093 * E2_7_1_49_mRNA)</v>
      </c>
      <c r="N162" s="21" t="str">
        <f t="shared" si="35"/>
        <v>Peptide161:  E2_7_1_49_mRNA -&gt; E2_7_1_49 | (0.278 * E2_7_1_49_mRNA) - (0.00000278 * E2_7_1_49)</v>
      </c>
    </row>
    <row r="163" spans="1:14" x14ac:dyDescent="0.45">
      <c r="A163">
        <v>162</v>
      </c>
      <c r="B163" t="s">
        <v>15120</v>
      </c>
      <c r="C163" t="str">
        <f t="shared" si="25"/>
        <v>E2_7_1_50_mRNA</v>
      </c>
      <c r="D163" t="str">
        <f t="shared" si="24"/>
        <v>E2_7_1_50</v>
      </c>
      <c r="E163" s="30" t="str">
        <f t="shared" si="26"/>
        <v>E2_7_1_50_kcat : 13.7</v>
      </c>
      <c r="F163" s="31" t="str">
        <f t="shared" si="27"/>
        <v>E2_7_1_50_km : 1</v>
      </c>
      <c r="G163" s="21" t="str">
        <f t="shared" si="28"/>
        <v>E2_7_1_50_mRNA : E2_7_1_50_mRNA</v>
      </c>
      <c r="H163" s="32" t="str">
        <f t="shared" si="29"/>
        <v>E2_7_1_50 : E2_7_1_50</v>
      </c>
      <c r="I163" s="33" t="str">
        <f t="shared" si="30"/>
        <v>E2_7_1_50_mRNA : 0</v>
      </c>
      <c r="J163" s="34" t="str">
        <f t="shared" si="31"/>
        <v>E2_7_1_50 : 0</v>
      </c>
      <c r="K163" s="35" t="str">
        <f t="shared" si="32"/>
        <v>0.00292 - (0.0093 * E2_7_1_50_mRNA)</v>
      </c>
      <c r="L163" s="30" t="str">
        <f t="shared" si="33"/>
        <v>(0.278 * E2_7_1_50_mRNA) - (0.00000278 * E2_7_1_50)</v>
      </c>
      <c r="M163" s="36" t="str">
        <f t="shared" si="34"/>
        <v>mRNA162: -&gt; E2_7_1_50_mRNA | 0.00292 - (0.0093 * E2_7_1_50_mRNA)</v>
      </c>
      <c r="N163" s="21" t="str">
        <f t="shared" si="35"/>
        <v>Peptide162:  E2_7_1_50_mRNA -&gt; E2_7_1_50 | (0.278 * E2_7_1_50_mRNA) - (0.00000278 * E2_7_1_50)</v>
      </c>
    </row>
    <row r="164" spans="1:14" x14ac:dyDescent="0.45">
      <c r="A164">
        <v>163</v>
      </c>
      <c r="B164" t="s">
        <v>15121</v>
      </c>
      <c r="C164" t="str">
        <f t="shared" si="25"/>
        <v>E2_7_1_56_mRNA</v>
      </c>
      <c r="D164" t="str">
        <f t="shared" si="24"/>
        <v>E2_7_1_56</v>
      </c>
      <c r="E164" s="30" t="str">
        <f t="shared" si="26"/>
        <v>E2_7_1_56_kcat : 13.7</v>
      </c>
      <c r="F164" s="31" t="str">
        <f t="shared" si="27"/>
        <v>E2_7_1_56_km : 1</v>
      </c>
      <c r="G164" s="21" t="str">
        <f t="shared" si="28"/>
        <v>E2_7_1_56_mRNA : E2_7_1_56_mRNA</v>
      </c>
      <c r="H164" s="32" t="str">
        <f t="shared" si="29"/>
        <v>E2_7_1_56 : E2_7_1_56</v>
      </c>
      <c r="I164" s="33" t="str">
        <f t="shared" si="30"/>
        <v>E2_7_1_56_mRNA : 0</v>
      </c>
      <c r="J164" s="34" t="str">
        <f t="shared" si="31"/>
        <v>E2_7_1_56 : 0</v>
      </c>
      <c r="K164" s="35" t="str">
        <f t="shared" si="32"/>
        <v>0.00292 - (0.0093 * E2_7_1_56_mRNA)</v>
      </c>
      <c r="L164" s="30" t="str">
        <f t="shared" si="33"/>
        <v>(0.278 * E2_7_1_56_mRNA) - (0.00000278 * E2_7_1_56)</v>
      </c>
      <c r="M164" s="36" t="str">
        <f t="shared" si="34"/>
        <v>mRNA163: -&gt; E2_7_1_56_mRNA | 0.00292 - (0.0093 * E2_7_1_56_mRNA)</v>
      </c>
      <c r="N164" s="21" t="str">
        <f t="shared" si="35"/>
        <v>Peptide163:  E2_7_1_56_mRNA -&gt; E2_7_1_56 | (0.278 * E2_7_1_56_mRNA) - (0.00000278 * E2_7_1_56)</v>
      </c>
    </row>
    <row r="165" spans="1:14" x14ac:dyDescent="0.45">
      <c r="A165">
        <v>164</v>
      </c>
      <c r="B165" t="s">
        <v>15122</v>
      </c>
      <c r="C165" t="str">
        <f t="shared" si="25"/>
        <v>E2_7_1_71_mRNA</v>
      </c>
      <c r="D165" t="str">
        <f t="shared" si="24"/>
        <v>E2_7_1_71</v>
      </c>
      <c r="E165" s="30" t="str">
        <f t="shared" si="26"/>
        <v>E2_7_1_71_kcat : 13.7</v>
      </c>
      <c r="F165" s="31" t="str">
        <f t="shared" si="27"/>
        <v>E2_7_1_71_km : 1</v>
      </c>
      <c r="G165" s="21" t="str">
        <f t="shared" si="28"/>
        <v>E2_7_1_71_mRNA : E2_7_1_71_mRNA</v>
      </c>
      <c r="H165" s="32" t="str">
        <f t="shared" si="29"/>
        <v>E2_7_1_71 : E2_7_1_71</v>
      </c>
      <c r="I165" s="33" t="str">
        <f t="shared" si="30"/>
        <v>E2_7_1_71_mRNA : 0</v>
      </c>
      <c r="J165" s="34" t="str">
        <f t="shared" si="31"/>
        <v>E2_7_1_71 : 0</v>
      </c>
      <c r="K165" s="35" t="str">
        <f t="shared" si="32"/>
        <v>0.00292 - (0.0093 * E2_7_1_71_mRNA)</v>
      </c>
      <c r="L165" s="30" t="str">
        <f t="shared" si="33"/>
        <v>(0.278 * E2_7_1_71_mRNA) - (0.00000278 * E2_7_1_71)</v>
      </c>
      <c r="M165" s="36" t="str">
        <f t="shared" si="34"/>
        <v>mRNA164: -&gt; E2_7_1_71_mRNA | 0.00292 - (0.0093 * E2_7_1_71_mRNA)</v>
      </c>
      <c r="N165" s="21" t="str">
        <f t="shared" si="35"/>
        <v>Peptide164:  E2_7_1_71_mRNA -&gt; E2_7_1_71 | (0.278 * E2_7_1_71_mRNA) - (0.00000278 * E2_7_1_71)</v>
      </c>
    </row>
    <row r="166" spans="1:14" x14ac:dyDescent="0.45">
      <c r="A166">
        <v>165</v>
      </c>
      <c r="B166" t="s">
        <v>15123</v>
      </c>
      <c r="C166" t="str">
        <f t="shared" si="25"/>
        <v>E2_7_11_1_mRNA</v>
      </c>
      <c r="D166" t="str">
        <f t="shared" si="24"/>
        <v>E2_7_11_1</v>
      </c>
      <c r="E166" s="30" t="str">
        <f t="shared" si="26"/>
        <v>E2_7_11_1_kcat : 13.7</v>
      </c>
      <c r="F166" s="31" t="str">
        <f t="shared" si="27"/>
        <v>E2_7_11_1_km : 1</v>
      </c>
      <c r="G166" s="21" t="str">
        <f t="shared" si="28"/>
        <v>E2_7_11_1_mRNA : E2_7_11_1_mRNA</v>
      </c>
      <c r="H166" s="32" t="str">
        <f t="shared" si="29"/>
        <v>E2_7_11_1 : E2_7_11_1</v>
      </c>
      <c r="I166" s="33" t="str">
        <f t="shared" si="30"/>
        <v>E2_7_11_1_mRNA : 0</v>
      </c>
      <c r="J166" s="34" t="str">
        <f t="shared" si="31"/>
        <v>E2_7_11_1 : 0</v>
      </c>
      <c r="K166" s="35" t="str">
        <f t="shared" si="32"/>
        <v>0.00292 - (0.0093 * E2_7_11_1_mRNA)</v>
      </c>
      <c r="L166" s="30" t="str">
        <f t="shared" si="33"/>
        <v>(0.278 * E2_7_11_1_mRNA) - (0.00000278 * E2_7_11_1)</v>
      </c>
      <c r="M166" s="36" t="str">
        <f t="shared" si="34"/>
        <v>mRNA165: -&gt; E2_7_11_1_mRNA | 0.00292 - (0.0093 * E2_7_11_1_mRNA)</v>
      </c>
      <c r="N166" s="21" t="str">
        <f t="shared" si="35"/>
        <v>Peptide165:  E2_7_11_1_mRNA -&gt; E2_7_11_1 | (0.278 * E2_7_11_1_mRNA) - (0.00000278 * E2_7_11_1)</v>
      </c>
    </row>
    <row r="167" spans="1:14" x14ac:dyDescent="0.45">
      <c r="A167">
        <v>166</v>
      </c>
      <c r="B167" t="s">
        <v>15124</v>
      </c>
      <c r="C167" t="str">
        <f t="shared" si="25"/>
        <v>E2_7_14_1_mRNA</v>
      </c>
      <c r="D167" t="str">
        <f t="shared" si="24"/>
        <v>E2_7_14_1</v>
      </c>
      <c r="E167" s="30" t="str">
        <f t="shared" si="26"/>
        <v>E2_7_14_1_kcat : 13.7</v>
      </c>
      <c r="F167" s="31" t="str">
        <f t="shared" si="27"/>
        <v>E2_7_14_1_km : 1</v>
      </c>
      <c r="G167" s="21" t="str">
        <f t="shared" si="28"/>
        <v>E2_7_14_1_mRNA : E2_7_14_1_mRNA</v>
      </c>
      <c r="H167" s="32" t="str">
        <f t="shared" si="29"/>
        <v>E2_7_14_1 : E2_7_14_1</v>
      </c>
      <c r="I167" s="33" t="str">
        <f t="shared" si="30"/>
        <v>E2_7_14_1_mRNA : 0</v>
      </c>
      <c r="J167" s="34" t="str">
        <f t="shared" si="31"/>
        <v>E2_7_14_1 : 0</v>
      </c>
      <c r="K167" s="35" t="str">
        <f t="shared" si="32"/>
        <v>0.00292 - (0.0093 * E2_7_14_1_mRNA)</v>
      </c>
      <c r="L167" s="30" t="str">
        <f t="shared" si="33"/>
        <v>(0.278 * E2_7_14_1_mRNA) - (0.00000278 * E2_7_14_1)</v>
      </c>
      <c r="M167" s="36" t="str">
        <f t="shared" si="34"/>
        <v>mRNA166: -&gt; E2_7_14_1_mRNA | 0.00292 - (0.0093 * E2_7_14_1_mRNA)</v>
      </c>
      <c r="N167" s="21" t="str">
        <f t="shared" si="35"/>
        <v>Peptide166:  E2_7_14_1_mRNA -&gt; E2_7_14_1 | (0.278 * E2_7_14_1_mRNA) - (0.00000278 * E2_7_14_1)</v>
      </c>
    </row>
    <row r="168" spans="1:14" x14ac:dyDescent="0.45">
      <c r="A168">
        <v>167</v>
      </c>
      <c r="B168" t="s">
        <v>15125</v>
      </c>
      <c r="C168" t="str">
        <f t="shared" si="25"/>
        <v>E2_7_2_3_mRNA</v>
      </c>
      <c r="D168" t="str">
        <f t="shared" si="24"/>
        <v>E2_7_2_3</v>
      </c>
      <c r="E168" s="30" t="str">
        <f t="shared" si="26"/>
        <v>E2_7_2_3_kcat : 13.7</v>
      </c>
      <c r="F168" s="31" t="str">
        <f t="shared" si="27"/>
        <v>E2_7_2_3_km : 1</v>
      </c>
      <c r="G168" s="21" t="str">
        <f t="shared" si="28"/>
        <v>E2_7_2_3_mRNA : E2_7_2_3_mRNA</v>
      </c>
      <c r="H168" s="32" t="str">
        <f t="shared" si="29"/>
        <v>E2_7_2_3 : E2_7_2_3</v>
      </c>
      <c r="I168" s="33" t="str">
        <f t="shared" si="30"/>
        <v>E2_7_2_3_mRNA : 0</v>
      </c>
      <c r="J168" s="34" t="str">
        <f t="shared" si="31"/>
        <v>E2_7_2_3 : 0</v>
      </c>
      <c r="K168" s="35" t="str">
        <f t="shared" si="32"/>
        <v>0.00292 - (0.0093 * E2_7_2_3_mRNA)</v>
      </c>
      <c r="L168" s="30" t="str">
        <f t="shared" si="33"/>
        <v>(0.278 * E2_7_2_3_mRNA) - (0.00000278 * E2_7_2_3)</v>
      </c>
      <c r="M168" s="36" t="str">
        <f t="shared" si="34"/>
        <v>mRNA167: -&gt; E2_7_2_3_mRNA | 0.00292 - (0.0093 * E2_7_2_3_mRNA)</v>
      </c>
      <c r="N168" s="21" t="str">
        <f t="shared" si="35"/>
        <v>Peptide167:  E2_7_2_3_mRNA -&gt; E2_7_2_3 | (0.278 * E2_7_2_3_mRNA) - (0.00000278 * E2_7_2_3)</v>
      </c>
    </row>
    <row r="169" spans="1:14" x14ac:dyDescent="0.45">
      <c r="A169">
        <v>168</v>
      </c>
      <c r="B169" t="s">
        <v>15126</v>
      </c>
      <c r="C169" t="str">
        <f t="shared" si="25"/>
        <v>E2_7_2_4_mRNA</v>
      </c>
      <c r="D169" t="str">
        <f t="shared" si="24"/>
        <v>E2_7_2_4</v>
      </c>
      <c r="E169" s="30" t="str">
        <f t="shared" si="26"/>
        <v>E2_7_2_4_kcat : 13.7</v>
      </c>
      <c r="F169" s="31" t="str">
        <f t="shared" si="27"/>
        <v>E2_7_2_4_km : 1</v>
      </c>
      <c r="G169" s="21" t="str">
        <f t="shared" si="28"/>
        <v>E2_7_2_4_mRNA : E2_7_2_4_mRNA</v>
      </c>
      <c r="H169" s="32" t="str">
        <f t="shared" si="29"/>
        <v>E2_7_2_4 : E2_7_2_4</v>
      </c>
      <c r="I169" s="33" t="str">
        <f t="shared" si="30"/>
        <v>E2_7_2_4_mRNA : 0</v>
      </c>
      <c r="J169" s="34" t="str">
        <f t="shared" si="31"/>
        <v>E2_7_2_4 : 0</v>
      </c>
      <c r="K169" s="35" t="str">
        <f t="shared" si="32"/>
        <v>0.00292 - (0.0093 * E2_7_2_4_mRNA)</v>
      </c>
      <c r="L169" s="30" t="str">
        <f t="shared" si="33"/>
        <v>(0.278 * E2_7_2_4_mRNA) - (0.00000278 * E2_7_2_4)</v>
      </c>
      <c r="M169" s="36" t="str">
        <f t="shared" si="34"/>
        <v>mRNA168: -&gt; E2_7_2_4_mRNA | 0.00292 - (0.0093 * E2_7_2_4_mRNA)</v>
      </c>
      <c r="N169" s="21" t="str">
        <f t="shared" si="35"/>
        <v>Peptide168:  E2_7_2_4_mRNA -&gt; E2_7_2_4 | (0.278 * E2_7_2_4_mRNA) - (0.00000278 * E2_7_2_4)</v>
      </c>
    </row>
    <row r="170" spans="1:14" x14ac:dyDescent="0.45">
      <c r="A170">
        <v>169</v>
      </c>
      <c r="B170" t="s">
        <v>15127</v>
      </c>
      <c r="C170" t="str">
        <f t="shared" si="25"/>
        <v>E2_7_2_7_mRNA</v>
      </c>
      <c r="D170" t="str">
        <f t="shared" si="24"/>
        <v>E2_7_2_7</v>
      </c>
      <c r="E170" s="30" t="str">
        <f t="shared" si="26"/>
        <v>E2_7_2_7_kcat : 13.7</v>
      </c>
      <c r="F170" s="31" t="str">
        <f t="shared" si="27"/>
        <v>E2_7_2_7_km : 1</v>
      </c>
      <c r="G170" s="21" t="str">
        <f t="shared" si="28"/>
        <v>E2_7_2_7_mRNA : E2_7_2_7_mRNA</v>
      </c>
      <c r="H170" s="32" t="str">
        <f t="shared" si="29"/>
        <v>E2_7_2_7 : E2_7_2_7</v>
      </c>
      <c r="I170" s="33" t="str">
        <f t="shared" si="30"/>
        <v>E2_7_2_7_mRNA : 0</v>
      </c>
      <c r="J170" s="34" t="str">
        <f t="shared" si="31"/>
        <v>E2_7_2_7 : 0</v>
      </c>
      <c r="K170" s="35" t="str">
        <f t="shared" si="32"/>
        <v>0.00292 - (0.0093 * E2_7_2_7_mRNA)</v>
      </c>
      <c r="L170" s="30" t="str">
        <f t="shared" si="33"/>
        <v>(0.278 * E2_7_2_7_mRNA) - (0.00000278 * E2_7_2_7)</v>
      </c>
      <c r="M170" s="36" t="str">
        <f t="shared" si="34"/>
        <v>mRNA169: -&gt; E2_7_2_7_mRNA | 0.00292 - (0.0093 * E2_7_2_7_mRNA)</v>
      </c>
      <c r="N170" s="21" t="str">
        <f t="shared" si="35"/>
        <v>Peptide169:  E2_7_2_7_mRNA -&gt; E2_7_2_7 | (0.278 * E2_7_2_7_mRNA) - (0.00000278 * E2_7_2_7)</v>
      </c>
    </row>
    <row r="171" spans="1:14" x14ac:dyDescent="0.45">
      <c r="A171">
        <v>170</v>
      </c>
      <c r="B171" t="s">
        <v>15128</v>
      </c>
      <c r="C171" t="str">
        <f t="shared" si="25"/>
        <v>E2_7_2_8_mRNA</v>
      </c>
      <c r="D171" t="str">
        <f t="shared" si="24"/>
        <v>E2_7_2_8</v>
      </c>
      <c r="E171" s="30" t="str">
        <f t="shared" si="26"/>
        <v>E2_7_2_8_kcat : 13.7</v>
      </c>
      <c r="F171" s="31" t="str">
        <f t="shared" si="27"/>
        <v>E2_7_2_8_km : 1</v>
      </c>
      <c r="G171" s="21" t="str">
        <f t="shared" si="28"/>
        <v>E2_7_2_8_mRNA : E2_7_2_8_mRNA</v>
      </c>
      <c r="H171" s="32" t="str">
        <f t="shared" si="29"/>
        <v>E2_7_2_8 : E2_7_2_8</v>
      </c>
      <c r="I171" s="33" t="str">
        <f t="shared" si="30"/>
        <v>E2_7_2_8_mRNA : 0</v>
      </c>
      <c r="J171" s="34" t="str">
        <f t="shared" si="31"/>
        <v>E2_7_2_8 : 0</v>
      </c>
      <c r="K171" s="35" t="str">
        <f t="shared" si="32"/>
        <v>0.00292 - (0.0093 * E2_7_2_8_mRNA)</v>
      </c>
      <c r="L171" s="30" t="str">
        <f t="shared" si="33"/>
        <v>(0.278 * E2_7_2_8_mRNA) - (0.00000278 * E2_7_2_8)</v>
      </c>
      <c r="M171" s="36" t="str">
        <f t="shared" si="34"/>
        <v>mRNA170: -&gt; E2_7_2_8_mRNA | 0.00292 - (0.0093 * E2_7_2_8_mRNA)</v>
      </c>
      <c r="N171" s="21" t="str">
        <f t="shared" si="35"/>
        <v>Peptide170:  E2_7_2_8_mRNA -&gt; E2_7_2_8 | (0.278 * E2_7_2_8_mRNA) - (0.00000278 * E2_7_2_8)</v>
      </c>
    </row>
    <row r="172" spans="1:14" x14ac:dyDescent="0.45">
      <c r="A172">
        <v>171</v>
      </c>
      <c r="B172" t="s">
        <v>15129</v>
      </c>
      <c r="C172" t="str">
        <f t="shared" si="25"/>
        <v>E2_7_3_9_mRNA</v>
      </c>
      <c r="D172" t="str">
        <f t="shared" si="24"/>
        <v>E2_7_3_9</v>
      </c>
      <c r="E172" s="30" t="str">
        <f t="shared" si="26"/>
        <v>E2_7_3_9_kcat : 13.7</v>
      </c>
      <c r="F172" s="31" t="str">
        <f t="shared" si="27"/>
        <v>E2_7_3_9_km : 1</v>
      </c>
      <c r="G172" s="21" t="str">
        <f t="shared" si="28"/>
        <v>E2_7_3_9_mRNA : E2_7_3_9_mRNA</v>
      </c>
      <c r="H172" s="32" t="str">
        <f t="shared" si="29"/>
        <v>E2_7_3_9 : E2_7_3_9</v>
      </c>
      <c r="I172" s="33" t="str">
        <f t="shared" si="30"/>
        <v>E2_7_3_9_mRNA : 0</v>
      </c>
      <c r="J172" s="34" t="str">
        <f t="shared" si="31"/>
        <v>E2_7_3_9 : 0</v>
      </c>
      <c r="K172" s="35" t="str">
        <f t="shared" si="32"/>
        <v>0.00292 - (0.0093 * E2_7_3_9_mRNA)</v>
      </c>
      <c r="L172" s="30" t="str">
        <f t="shared" si="33"/>
        <v>(0.278 * E2_7_3_9_mRNA) - (0.00000278 * E2_7_3_9)</v>
      </c>
      <c r="M172" s="36" t="str">
        <f t="shared" si="34"/>
        <v>mRNA171: -&gt; E2_7_3_9_mRNA | 0.00292 - (0.0093 * E2_7_3_9_mRNA)</v>
      </c>
      <c r="N172" s="21" t="str">
        <f t="shared" si="35"/>
        <v>Peptide171:  E2_7_3_9_mRNA -&gt; E2_7_3_9 | (0.278 * E2_7_3_9_mRNA) - (0.00000278 * E2_7_3_9)</v>
      </c>
    </row>
    <row r="173" spans="1:14" x14ac:dyDescent="0.45">
      <c r="A173">
        <v>172</v>
      </c>
      <c r="B173" t="s">
        <v>15130</v>
      </c>
      <c r="C173" t="str">
        <f t="shared" si="25"/>
        <v>E2_7_4_22_mRNA</v>
      </c>
      <c r="D173" t="str">
        <f t="shared" si="24"/>
        <v>E2_7_4_22</v>
      </c>
      <c r="E173" s="30" t="str">
        <f t="shared" si="26"/>
        <v>E2_7_4_22_kcat : 13.7</v>
      </c>
      <c r="F173" s="31" t="str">
        <f t="shared" si="27"/>
        <v>E2_7_4_22_km : 1</v>
      </c>
      <c r="G173" s="21" t="str">
        <f t="shared" si="28"/>
        <v>E2_7_4_22_mRNA : E2_7_4_22_mRNA</v>
      </c>
      <c r="H173" s="32" t="str">
        <f t="shared" si="29"/>
        <v>E2_7_4_22 : E2_7_4_22</v>
      </c>
      <c r="I173" s="33" t="str">
        <f t="shared" si="30"/>
        <v>E2_7_4_22_mRNA : 0</v>
      </c>
      <c r="J173" s="34" t="str">
        <f t="shared" si="31"/>
        <v>E2_7_4_22 : 0</v>
      </c>
      <c r="K173" s="35" t="str">
        <f t="shared" si="32"/>
        <v>0.00292 - (0.0093 * E2_7_4_22_mRNA)</v>
      </c>
      <c r="L173" s="30" t="str">
        <f t="shared" si="33"/>
        <v>(0.278 * E2_7_4_22_mRNA) - (0.00000278 * E2_7_4_22)</v>
      </c>
      <c r="M173" s="36" t="str">
        <f t="shared" si="34"/>
        <v>mRNA172: -&gt; E2_7_4_22_mRNA | 0.00292 - (0.0093 * E2_7_4_22_mRNA)</v>
      </c>
      <c r="N173" s="21" t="str">
        <f t="shared" si="35"/>
        <v>Peptide172:  E2_7_4_22_mRNA -&gt; E2_7_4_22 | (0.278 * E2_7_4_22_mRNA) - (0.00000278 * E2_7_4_22)</v>
      </c>
    </row>
    <row r="174" spans="1:14" x14ac:dyDescent="0.45">
      <c r="A174">
        <v>173</v>
      </c>
      <c r="B174" t="s">
        <v>15131</v>
      </c>
      <c r="C174" t="str">
        <f t="shared" si="25"/>
        <v>E2_7_4_25_mRNA</v>
      </c>
      <c r="D174" t="str">
        <f t="shared" si="24"/>
        <v>E2_7_4_25</v>
      </c>
      <c r="E174" s="30" t="str">
        <f t="shared" si="26"/>
        <v>E2_7_4_25_kcat : 13.7</v>
      </c>
      <c r="F174" s="31" t="str">
        <f t="shared" si="27"/>
        <v>E2_7_4_25_km : 1</v>
      </c>
      <c r="G174" s="21" t="str">
        <f t="shared" si="28"/>
        <v>E2_7_4_25_mRNA : E2_7_4_25_mRNA</v>
      </c>
      <c r="H174" s="32" t="str">
        <f t="shared" si="29"/>
        <v>E2_7_4_25 : E2_7_4_25</v>
      </c>
      <c r="I174" s="33" t="str">
        <f t="shared" si="30"/>
        <v>E2_7_4_25_mRNA : 0</v>
      </c>
      <c r="J174" s="34" t="str">
        <f t="shared" si="31"/>
        <v>E2_7_4_25 : 0</v>
      </c>
      <c r="K174" s="35" t="str">
        <f t="shared" si="32"/>
        <v>0.00292 - (0.0093 * E2_7_4_25_mRNA)</v>
      </c>
      <c r="L174" s="30" t="str">
        <f t="shared" si="33"/>
        <v>(0.278 * E2_7_4_25_mRNA) - (0.00000278 * E2_7_4_25)</v>
      </c>
      <c r="M174" s="36" t="str">
        <f t="shared" si="34"/>
        <v>mRNA173: -&gt; E2_7_4_25_mRNA | 0.00292 - (0.0093 * E2_7_4_25_mRNA)</v>
      </c>
      <c r="N174" s="21" t="str">
        <f t="shared" si="35"/>
        <v>Peptide173:  E2_7_4_25_mRNA -&gt; E2_7_4_25 | (0.278 * E2_7_4_25_mRNA) - (0.00000278 * E2_7_4_25)</v>
      </c>
    </row>
    <row r="175" spans="1:14" x14ac:dyDescent="0.45">
      <c r="A175">
        <v>174</v>
      </c>
      <c r="B175" t="s">
        <v>15132</v>
      </c>
      <c r="C175" t="str">
        <f t="shared" si="25"/>
        <v>E2_7_4_3_mRNA</v>
      </c>
      <c r="D175" t="str">
        <f t="shared" si="24"/>
        <v>E2_7_4_3</v>
      </c>
      <c r="E175" s="30" t="str">
        <f t="shared" si="26"/>
        <v>E2_7_4_3_kcat : 13.7</v>
      </c>
      <c r="F175" s="31" t="str">
        <f t="shared" si="27"/>
        <v>E2_7_4_3_km : 1</v>
      </c>
      <c r="G175" s="21" t="str">
        <f t="shared" si="28"/>
        <v>E2_7_4_3_mRNA : E2_7_4_3_mRNA</v>
      </c>
      <c r="H175" s="32" t="str">
        <f t="shared" si="29"/>
        <v>E2_7_4_3 : E2_7_4_3</v>
      </c>
      <c r="I175" s="33" t="str">
        <f t="shared" si="30"/>
        <v>E2_7_4_3_mRNA : 0</v>
      </c>
      <c r="J175" s="34" t="str">
        <f t="shared" si="31"/>
        <v>E2_7_4_3 : 0</v>
      </c>
      <c r="K175" s="35" t="str">
        <f t="shared" si="32"/>
        <v>0.00292 - (0.0093 * E2_7_4_3_mRNA)</v>
      </c>
      <c r="L175" s="30" t="str">
        <f t="shared" si="33"/>
        <v>(0.278 * E2_7_4_3_mRNA) - (0.00000278 * E2_7_4_3)</v>
      </c>
      <c r="M175" s="36" t="str">
        <f t="shared" si="34"/>
        <v>mRNA174: -&gt; E2_7_4_3_mRNA | 0.00292 - (0.0093 * E2_7_4_3_mRNA)</v>
      </c>
      <c r="N175" s="21" t="str">
        <f t="shared" si="35"/>
        <v>Peptide174:  E2_7_4_3_mRNA -&gt; E2_7_4_3 | (0.278 * E2_7_4_3_mRNA) - (0.00000278 * E2_7_4_3)</v>
      </c>
    </row>
    <row r="176" spans="1:14" x14ac:dyDescent="0.45">
      <c r="A176">
        <v>175</v>
      </c>
      <c r="B176" t="s">
        <v>15133</v>
      </c>
      <c r="C176" t="str">
        <f t="shared" si="25"/>
        <v>E2_7_4_7_mRNA</v>
      </c>
      <c r="D176" t="str">
        <f t="shared" si="24"/>
        <v>E2_7_4_7</v>
      </c>
      <c r="E176" s="30" t="str">
        <f t="shared" si="26"/>
        <v>E2_7_4_7_kcat : 13.7</v>
      </c>
      <c r="F176" s="31" t="str">
        <f t="shared" si="27"/>
        <v>E2_7_4_7_km : 1</v>
      </c>
      <c r="G176" s="21" t="str">
        <f t="shared" si="28"/>
        <v>E2_7_4_7_mRNA : E2_7_4_7_mRNA</v>
      </c>
      <c r="H176" s="32" t="str">
        <f t="shared" si="29"/>
        <v>E2_7_4_7 : E2_7_4_7</v>
      </c>
      <c r="I176" s="33" t="str">
        <f t="shared" si="30"/>
        <v>E2_7_4_7_mRNA : 0</v>
      </c>
      <c r="J176" s="34" t="str">
        <f t="shared" si="31"/>
        <v>E2_7_4_7 : 0</v>
      </c>
      <c r="K176" s="35" t="str">
        <f t="shared" si="32"/>
        <v>0.00292 - (0.0093 * E2_7_4_7_mRNA)</v>
      </c>
      <c r="L176" s="30" t="str">
        <f t="shared" si="33"/>
        <v>(0.278 * E2_7_4_7_mRNA) - (0.00000278 * E2_7_4_7)</v>
      </c>
      <c r="M176" s="36" t="str">
        <f t="shared" si="34"/>
        <v>mRNA175: -&gt; E2_7_4_7_mRNA | 0.00292 - (0.0093 * E2_7_4_7_mRNA)</v>
      </c>
      <c r="N176" s="21" t="str">
        <f t="shared" si="35"/>
        <v>Peptide175:  E2_7_4_7_mRNA -&gt; E2_7_4_7 | (0.278 * E2_7_4_7_mRNA) - (0.00000278 * E2_7_4_7)</v>
      </c>
    </row>
    <row r="177" spans="1:14" x14ac:dyDescent="0.45">
      <c r="A177">
        <v>176</v>
      </c>
      <c r="B177" t="s">
        <v>15134</v>
      </c>
      <c r="C177" t="str">
        <f t="shared" si="25"/>
        <v>E2_7_4_8_mRNA</v>
      </c>
      <c r="D177" t="str">
        <f t="shared" si="24"/>
        <v>E2_7_4_8</v>
      </c>
      <c r="E177" s="30" t="str">
        <f t="shared" si="26"/>
        <v>E2_7_4_8_kcat : 13.7</v>
      </c>
      <c r="F177" s="31" t="str">
        <f t="shared" si="27"/>
        <v>E2_7_4_8_km : 1</v>
      </c>
      <c r="G177" s="21" t="str">
        <f t="shared" si="28"/>
        <v>E2_7_4_8_mRNA : E2_7_4_8_mRNA</v>
      </c>
      <c r="H177" s="32" t="str">
        <f t="shared" si="29"/>
        <v>E2_7_4_8 : E2_7_4_8</v>
      </c>
      <c r="I177" s="33" t="str">
        <f t="shared" si="30"/>
        <v>E2_7_4_8_mRNA : 0</v>
      </c>
      <c r="J177" s="34" t="str">
        <f t="shared" si="31"/>
        <v>E2_7_4_8 : 0</v>
      </c>
      <c r="K177" s="35" t="str">
        <f t="shared" si="32"/>
        <v>0.00292 - (0.0093 * E2_7_4_8_mRNA)</v>
      </c>
      <c r="L177" s="30" t="str">
        <f t="shared" si="33"/>
        <v>(0.278 * E2_7_4_8_mRNA) - (0.00000278 * E2_7_4_8)</v>
      </c>
      <c r="M177" s="36" t="str">
        <f t="shared" si="34"/>
        <v>mRNA176: -&gt; E2_7_4_8_mRNA | 0.00292 - (0.0093 * E2_7_4_8_mRNA)</v>
      </c>
      <c r="N177" s="21" t="str">
        <f t="shared" si="35"/>
        <v>Peptide176:  E2_7_4_8_mRNA -&gt; E2_7_4_8 | (0.278 * E2_7_4_8_mRNA) - (0.00000278 * E2_7_4_8)</v>
      </c>
    </row>
    <row r="178" spans="1:14" x14ac:dyDescent="0.45">
      <c r="A178">
        <v>177</v>
      </c>
      <c r="B178" t="s">
        <v>15135</v>
      </c>
      <c r="C178" t="str">
        <f t="shared" si="25"/>
        <v>E2_7_4_9_mRNA</v>
      </c>
      <c r="D178" t="str">
        <f t="shared" si="24"/>
        <v>E2_7_4_9</v>
      </c>
      <c r="E178" s="30" t="str">
        <f t="shared" si="26"/>
        <v>E2_7_4_9_kcat : 13.7</v>
      </c>
      <c r="F178" s="31" t="str">
        <f t="shared" si="27"/>
        <v>E2_7_4_9_km : 1</v>
      </c>
      <c r="G178" s="21" t="str">
        <f t="shared" si="28"/>
        <v>E2_7_4_9_mRNA : E2_7_4_9_mRNA</v>
      </c>
      <c r="H178" s="32" t="str">
        <f t="shared" si="29"/>
        <v>E2_7_4_9 : E2_7_4_9</v>
      </c>
      <c r="I178" s="33" t="str">
        <f t="shared" si="30"/>
        <v>E2_7_4_9_mRNA : 0</v>
      </c>
      <c r="J178" s="34" t="str">
        <f t="shared" si="31"/>
        <v>E2_7_4_9 : 0</v>
      </c>
      <c r="K178" s="35" t="str">
        <f t="shared" si="32"/>
        <v>0.00292 - (0.0093 * E2_7_4_9_mRNA)</v>
      </c>
      <c r="L178" s="30" t="str">
        <f t="shared" si="33"/>
        <v>(0.278 * E2_7_4_9_mRNA) - (0.00000278 * E2_7_4_9)</v>
      </c>
      <c r="M178" s="36" t="str">
        <f t="shared" si="34"/>
        <v>mRNA177: -&gt; E2_7_4_9_mRNA | 0.00292 - (0.0093 * E2_7_4_9_mRNA)</v>
      </c>
      <c r="N178" s="21" t="str">
        <f t="shared" si="35"/>
        <v>Peptide177:  E2_7_4_9_mRNA -&gt; E2_7_4_9 | (0.278 * E2_7_4_9_mRNA) - (0.00000278 * E2_7_4_9)</v>
      </c>
    </row>
    <row r="179" spans="1:14" x14ac:dyDescent="0.45">
      <c r="A179">
        <v>178</v>
      </c>
      <c r="B179" t="s">
        <v>15136</v>
      </c>
      <c r="C179" t="str">
        <f t="shared" si="25"/>
        <v>E2_7_6_1_mRNA</v>
      </c>
      <c r="D179" t="str">
        <f t="shared" si="24"/>
        <v>E2_7_6_1</v>
      </c>
      <c r="E179" s="30" t="str">
        <f t="shared" si="26"/>
        <v>E2_7_6_1_kcat : 13.7</v>
      </c>
      <c r="F179" s="31" t="str">
        <f t="shared" si="27"/>
        <v>E2_7_6_1_km : 1</v>
      </c>
      <c r="G179" s="21" t="str">
        <f t="shared" si="28"/>
        <v>E2_7_6_1_mRNA : E2_7_6_1_mRNA</v>
      </c>
      <c r="H179" s="32" t="str">
        <f t="shared" si="29"/>
        <v>E2_7_6_1 : E2_7_6_1</v>
      </c>
      <c r="I179" s="33" t="str">
        <f t="shared" si="30"/>
        <v>E2_7_6_1_mRNA : 0</v>
      </c>
      <c r="J179" s="34" t="str">
        <f t="shared" si="31"/>
        <v>E2_7_6_1 : 0</v>
      </c>
      <c r="K179" s="35" t="str">
        <f t="shared" si="32"/>
        <v>0.00292 - (0.0093 * E2_7_6_1_mRNA)</v>
      </c>
      <c r="L179" s="30" t="str">
        <f t="shared" si="33"/>
        <v>(0.278 * E2_7_6_1_mRNA) - (0.00000278 * E2_7_6_1)</v>
      </c>
      <c r="M179" s="36" t="str">
        <f t="shared" si="34"/>
        <v>mRNA178: -&gt; E2_7_6_1_mRNA | 0.00292 - (0.0093 * E2_7_6_1_mRNA)</v>
      </c>
      <c r="N179" s="21" t="str">
        <f t="shared" si="35"/>
        <v>Peptide178:  E2_7_6_1_mRNA -&gt; E2_7_6_1 | (0.278 * E2_7_6_1_mRNA) - (0.00000278 * E2_7_6_1)</v>
      </c>
    </row>
    <row r="180" spans="1:14" x14ac:dyDescent="0.45">
      <c r="A180">
        <v>179</v>
      </c>
      <c r="B180" t="s">
        <v>15137</v>
      </c>
      <c r="C180" t="str">
        <f t="shared" si="25"/>
        <v>E2_7_6_2_mRNA</v>
      </c>
      <c r="D180" t="str">
        <f t="shared" si="24"/>
        <v>E2_7_6_2</v>
      </c>
      <c r="E180" s="30" t="str">
        <f t="shared" si="26"/>
        <v>E2_7_6_2_kcat : 13.7</v>
      </c>
      <c r="F180" s="31" t="str">
        <f t="shared" si="27"/>
        <v>E2_7_6_2_km : 1</v>
      </c>
      <c r="G180" s="21" t="str">
        <f t="shared" si="28"/>
        <v>E2_7_6_2_mRNA : E2_7_6_2_mRNA</v>
      </c>
      <c r="H180" s="32" t="str">
        <f t="shared" si="29"/>
        <v>E2_7_6_2 : E2_7_6_2</v>
      </c>
      <c r="I180" s="33" t="str">
        <f t="shared" si="30"/>
        <v>E2_7_6_2_mRNA : 0</v>
      </c>
      <c r="J180" s="34" t="str">
        <f t="shared" si="31"/>
        <v>E2_7_6_2 : 0</v>
      </c>
      <c r="K180" s="35" t="str">
        <f t="shared" si="32"/>
        <v>0.00292 - (0.0093 * E2_7_6_2_mRNA)</v>
      </c>
      <c r="L180" s="30" t="str">
        <f t="shared" si="33"/>
        <v>(0.278 * E2_7_6_2_mRNA) - (0.00000278 * E2_7_6_2)</v>
      </c>
      <c r="M180" s="36" t="str">
        <f t="shared" si="34"/>
        <v>mRNA179: -&gt; E2_7_6_2_mRNA | 0.00292 - (0.0093 * E2_7_6_2_mRNA)</v>
      </c>
      <c r="N180" s="21" t="str">
        <f t="shared" si="35"/>
        <v>Peptide179:  E2_7_6_2_mRNA -&gt; E2_7_6_2 | (0.278 * E2_7_6_2_mRNA) - (0.00000278 * E2_7_6_2)</v>
      </c>
    </row>
    <row r="181" spans="1:14" x14ac:dyDescent="0.45">
      <c r="A181">
        <v>180</v>
      </c>
      <c r="B181" t="s">
        <v>15138</v>
      </c>
      <c r="C181" t="str">
        <f t="shared" si="25"/>
        <v>E2_7_6_3_mRNA</v>
      </c>
      <c r="D181" t="str">
        <f t="shared" si="24"/>
        <v>E2_7_6_3</v>
      </c>
      <c r="E181" s="30" t="str">
        <f t="shared" si="26"/>
        <v>E2_7_6_3_kcat : 13.7</v>
      </c>
      <c r="F181" s="31" t="str">
        <f t="shared" si="27"/>
        <v>E2_7_6_3_km : 1</v>
      </c>
      <c r="G181" s="21" t="str">
        <f t="shared" si="28"/>
        <v>E2_7_6_3_mRNA : E2_7_6_3_mRNA</v>
      </c>
      <c r="H181" s="32" t="str">
        <f t="shared" si="29"/>
        <v>E2_7_6_3 : E2_7_6_3</v>
      </c>
      <c r="I181" s="33" t="str">
        <f t="shared" si="30"/>
        <v>E2_7_6_3_mRNA : 0</v>
      </c>
      <c r="J181" s="34" t="str">
        <f t="shared" si="31"/>
        <v>E2_7_6_3 : 0</v>
      </c>
      <c r="K181" s="35" t="str">
        <f t="shared" si="32"/>
        <v>0.00292 - (0.0093 * E2_7_6_3_mRNA)</v>
      </c>
      <c r="L181" s="30" t="str">
        <f t="shared" si="33"/>
        <v>(0.278 * E2_7_6_3_mRNA) - (0.00000278 * E2_7_6_3)</v>
      </c>
      <c r="M181" s="36" t="str">
        <f t="shared" si="34"/>
        <v>mRNA180: -&gt; E2_7_6_3_mRNA | 0.00292 - (0.0093 * E2_7_6_3_mRNA)</v>
      </c>
      <c r="N181" s="21" t="str">
        <f t="shared" si="35"/>
        <v>Peptide180:  E2_7_6_3_mRNA -&gt; E2_7_6_3 | (0.278 * E2_7_6_3_mRNA) - (0.00000278 * E2_7_6_3)</v>
      </c>
    </row>
    <row r="182" spans="1:14" x14ac:dyDescent="0.45">
      <c r="A182">
        <v>181</v>
      </c>
      <c r="B182" t="s">
        <v>15139</v>
      </c>
      <c r="C182" t="str">
        <f t="shared" si="25"/>
        <v>E2_7_6_5_mRNA</v>
      </c>
      <c r="D182" t="str">
        <f t="shared" si="24"/>
        <v>E2_7_6_5</v>
      </c>
      <c r="E182" s="30" t="str">
        <f t="shared" si="26"/>
        <v>E2_7_6_5_kcat : 13.7</v>
      </c>
      <c r="F182" s="31" t="str">
        <f t="shared" si="27"/>
        <v>E2_7_6_5_km : 1</v>
      </c>
      <c r="G182" s="21" t="str">
        <f t="shared" si="28"/>
        <v>E2_7_6_5_mRNA : E2_7_6_5_mRNA</v>
      </c>
      <c r="H182" s="32" t="str">
        <f t="shared" si="29"/>
        <v>E2_7_6_5 : E2_7_6_5</v>
      </c>
      <c r="I182" s="33" t="str">
        <f t="shared" si="30"/>
        <v>E2_7_6_5_mRNA : 0</v>
      </c>
      <c r="J182" s="34" t="str">
        <f t="shared" si="31"/>
        <v>E2_7_6_5 : 0</v>
      </c>
      <c r="K182" s="35" t="str">
        <f t="shared" si="32"/>
        <v>0.00292 - (0.0093 * E2_7_6_5_mRNA)</v>
      </c>
      <c r="L182" s="30" t="str">
        <f t="shared" si="33"/>
        <v>(0.278 * E2_7_6_5_mRNA) - (0.00000278 * E2_7_6_5)</v>
      </c>
      <c r="M182" s="36" t="str">
        <f t="shared" si="34"/>
        <v>mRNA181: -&gt; E2_7_6_5_mRNA | 0.00292 - (0.0093 * E2_7_6_5_mRNA)</v>
      </c>
      <c r="N182" s="21" t="str">
        <f t="shared" si="35"/>
        <v>Peptide181:  E2_7_6_5_mRNA -&gt; E2_7_6_5 | (0.278 * E2_7_6_5_mRNA) - (0.00000278 * E2_7_6_5)</v>
      </c>
    </row>
    <row r="183" spans="1:14" x14ac:dyDescent="0.45">
      <c r="A183">
        <v>182</v>
      </c>
      <c r="B183" t="s">
        <v>15140</v>
      </c>
      <c r="C183" t="str">
        <f t="shared" si="25"/>
        <v>E2_7_7_12_mRNA</v>
      </c>
      <c r="D183" t="str">
        <f t="shared" si="24"/>
        <v>E2_7_7_12</v>
      </c>
      <c r="E183" s="30" t="str">
        <f t="shared" si="26"/>
        <v>E2_7_7_12_kcat : 13.7</v>
      </c>
      <c r="F183" s="31" t="str">
        <f t="shared" si="27"/>
        <v>E2_7_7_12_km : 1</v>
      </c>
      <c r="G183" s="21" t="str">
        <f t="shared" si="28"/>
        <v>E2_7_7_12_mRNA : E2_7_7_12_mRNA</v>
      </c>
      <c r="H183" s="32" t="str">
        <f t="shared" si="29"/>
        <v>E2_7_7_12 : E2_7_7_12</v>
      </c>
      <c r="I183" s="33" t="str">
        <f t="shared" si="30"/>
        <v>E2_7_7_12_mRNA : 0</v>
      </c>
      <c r="J183" s="34" t="str">
        <f t="shared" si="31"/>
        <v>E2_7_7_12 : 0</v>
      </c>
      <c r="K183" s="35" t="str">
        <f t="shared" si="32"/>
        <v>0.00292 - (0.0093 * E2_7_7_12_mRNA)</v>
      </c>
      <c r="L183" s="30" t="str">
        <f t="shared" si="33"/>
        <v>(0.278 * E2_7_7_12_mRNA) - (0.00000278 * E2_7_7_12)</v>
      </c>
      <c r="M183" s="36" t="str">
        <f t="shared" si="34"/>
        <v>mRNA182: -&gt; E2_7_7_12_mRNA | 0.00292 - (0.0093 * E2_7_7_12_mRNA)</v>
      </c>
      <c r="N183" s="21" t="str">
        <f t="shared" si="35"/>
        <v>Peptide182:  E2_7_7_12_mRNA -&gt; E2_7_7_12 | (0.278 * E2_7_7_12_mRNA) - (0.00000278 * E2_7_7_12)</v>
      </c>
    </row>
    <row r="184" spans="1:14" x14ac:dyDescent="0.45">
      <c r="A184">
        <v>183</v>
      </c>
      <c r="B184" t="s">
        <v>15141</v>
      </c>
      <c r="C184" t="str">
        <f t="shared" si="25"/>
        <v>E2_7_7_18_mRNA</v>
      </c>
      <c r="D184" t="str">
        <f t="shared" si="24"/>
        <v>E2_7_7_18</v>
      </c>
      <c r="E184" s="30" t="str">
        <f t="shared" si="26"/>
        <v>E2_7_7_18_kcat : 13.7</v>
      </c>
      <c r="F184" s="31" t="str">
        <f t="shared" si="27"/>
        <v>E2_7_7_18_km : 1</v>
      </c>
      <c r="G184" s="21" t="str">
        <f t="shared" si="28"/>
        <v>E2_7_7_18_mRNA : E2_7_7_18_mRNA</v>
      </c>
      <c r="H184" s="32" t="str">
        <f t="shared" si="29"/>
        <v>E2_7_7_18 : E2_7_7_18</v>
      </c>
      <c r="I184" s="33" t="str">
        <f t="shared" si="30"/>
        <v>E2_7_7_18_mRNA : 0</v>
      </c>
      <c r="J184" s="34" t="str">
        <f t="shared" si="31"/>
        <v>E2_7_7_18 : 0</v>
      </c>
      <c r="K184" s="35" t="str">
        <f t="shared" si="32"/>
        <v>0.00292 - (0.0093 * E2_7_7_18_mRNA)</v>
      </c>
      <c r="L184" s="30" t="str">
        <f t="shared" si="33"/>
        <v>(0.278 * E2_7_7_18_mRNA) - (0.00000278 * E2_7_7_18)</v>
      </c>
      <c r="M184" s="36" t="str">
        <f t="shared" si="34"/>
        <v>mRNA183: -&gt; E2_7_7_18_mRNA | 0.00292 - (0.0093 * E2_7_7_18_mRNA)</v>
      </c>
      <c r="N184" s="21" t="str">
        <f t="shared" si="35"/>
        <v>Peptide183:  E2_7_7_18_mRNA -&gt; E2_7_7_18 | (0.278 * E2_7_7_18_mRNA) - (0.00000278 * E2_7_7_18)</v>
      </c>
    </row>
    <row r="185" spans="1:14" x14ac:dyDescent="0.45">
      <c r="A185">
        <v>184</v>
      </c>
      <c r="B185" t="s">
        <v>15142</v>
      </c>
      <c r="C185" t="str">
        <f t="shared" si="25"/>
        <v>E2_7_7_2_mRNA</v>
      </c>
      <c r="D185" t="str">
        <f t="shared" si="24"/>
        <v>E2_7_7_2</v>
      </c>
      <c r="E185" s="30" t="str">
        <f t="shared" si="26"/>
        <v>E2_7_7_2_kcat : 13.7</v>
      </c>
      <c r="F185" s="31" t="str">
        <f t="shared" si="27"/>
        <v>E2_7_7_2_km : 1</v>
      </c>
      <c r="G185" s="21" t="str">
        <f t="shared" si="28"/>
        <v>E2_7_7_2_mRNA : E2_7_7_2_mRNA</v>
      </c>
      <c r="H185" s="32" t="str">
        <f t="shared" si="29"/>
        <v>E2_7_7_2 : E2_7_7_2</v>
      </c>
      <c r="I185" s="33" t="str">
        <f t="shared" si="30"/>
        <v>E2_7_7_2_mRNA : 0</v>
      </c>
      <c r="J185" s="34" t="str">
        <f t="shared" si="31"/>
        <v>E2_7_7_2 : 0</v>
      </c>
      <c r="K185" s="35" t="str">
        <f t="shared" si="32"/>
        <v>0.00292 - (0.0093 * E2_7_7_2_mRNA)</v>
      </c>
      <c r="L185" s="30" t="str">
        <f t="shared" si="33"/>
        <v>(0.278 * E2_7_7_2_mRNA) - (0.00000278 * E2_7_7_2)</v>
      </c>
      <c r="M185" s="36" t="str">
        <f t="shared" si="34"/>
        <v>mRNA184: -&gt; E2_7_7_2_mRNA | 0.00292 - (0.0093 * E2_7_7_2_mRNA)</v>
      </c>
      <c r="N185" s="21" t="str">
        <f t="shared" si="35"/>
        <v>Peptide184:  E2_7_7_2_mRNA -&gt; E2_7_7_2 | (0.278 * E2_7_7_2_mRNA) - (0.00000278 * E2_7_7_2)</v>
      </c>
    </row>
    <row r="186" spans="1:14" x14ac:dyDescent="0.45">
      <c r="A186">
        <v>185</v>
      </c>
      <c r="B186" t="s">
        <v>15143</v>
      </c>
      <c r="C186" t="str">
        <f t="shared" si="25"/>
        <v>E2_7_7_23_mRNA</v>
      </c>
      <c r="D186" t="str">
        <f t="shared" si="24"/>
        <v>E2_7_7_23</v>
      </c>
      <c r="E186" s="30" t="str">
        <f t="shared" si="26"/>
        <v>E2_7_7_23_kcat : 13.7</v>
      </c>
      <c r="F186" s="31" t="str">
        <f t="shared" si="27"/>
        <v>E2_7_7_23_km : 1</v>
      </c>
      <c r="G186" s="21" t="str">
        <f t="shared" si="28"/>
        <v>E2_7_7_23_mRNA : E2_7_7_23_mRNA</v>
      </c>
      <c r="H186" s="32" t="str">
        <f t="shared" si="29"/>
        <v>E2_7_7_23 : E2_7_7_23</v>
      </c>
      <c r="I186" s="33" t="str">
        <f t="shared" si="30"/>
        <v>E2_7_7_23_mRNA : 0</v>
      </c>
      <c r="J186" s="34" t="str">
        <f t="shared" si="31"/>
        <v>E2_7_7_23 : 0</v>
      </c>
      <c r="K186" s="35" t="str">
        <f t="shared" si="32"/>
        <v>0.00292 - (0.0093 * E2_7_7_23_mRNA)</v>
      </c>
      <c r="L186" s="30" t="str">
        <f t="shared" si="33"/>
        <v>(0.278 * E2_7_7_23_mRNA) - (0.00000278 * E2_7_7_23)</v>
      </c>
      <c r="M186" s="36" t="str">
        <f t="shared" si="34"/>
        <v>mRNA185: -&gt; E2_7_7_23_mRNA | 0.00292 - (0.0093 * E2_7_7_23_mRNA)</v>
      </c>
      <c r="N186" s="21" t="str">
        <f t="shared" si="35"/>
        <v>Peptide185:  E2_7_7_23_mRNA -&gt; E2_7_7_23 | (0.278 * E2_7_7_23_mRNA) - (0.00000278 * E2_7_7_23)</v>
      </c>
    </row>
    <row r="187" spans="1:14" x14ac:dyDescent="0.45">
      <c r="A187">
        <v>186</v>
      </c>
      <c r="B187" t="s">
        <v>15144</v>
      </c>
      <c r="C187" t="str">
        <f t="shared" si="25"/>
        <v>E2_7_7_24_mRNA</v>
      </c>
      <c r="D187" t="str">
        <f t="shared" si="24"/>
        <v>E2_7_7_24</v>
      </c>
      <c r="E187" s="30" t="str">
        <f t="shared" si="26"/>
        <v>E2_7_7_24_kcat : 13.7</v>
      </c>
      <c r="F187" s="31" t="str">
        <f t="shared" si="27"/>
        <v>E2_7_7_24_km : 1</v>
      </c>
      <c r="G187" s="21" t="str">
        <f t="shared" si="28"/>
        <v>E2_7_7_24_mRNA : E2_7_7_24_mRNA</v>
      </c>
      <c r="H187" s="32" t="str">
        <f t="shared" si="29"/>
        <v>E2_7_7_24 : E2_7_7_24</v>
      </c>
      <c r="I187" s="33" t="str">
        <f t="shared" si="30"/>
        <v>E2_7_7_24_mRNA : 0</v>
      </c>
      <c r="J187" s="34" t="str">
        <f t="shared" si="31"/>
        <v>E2_7_7_24 : 0</v>
      </c>
      <c r="K187" s="35" t="str">
        <f t="shared" si="32"/>
        <v>0.00292 - (0.0093 * E2_7_7_24_mRNA)</v>
      </c>
      <c r="L187" s="30" t="str">
        <f t="shared" si="33"/>
        <v>(0.278 * E2_7_7_24_mRNA) - (0.00000278 * E2_7_7_24)</v>
      </c>
      <c r="M187" s="36" t="str">
        <f t="shared" si="34"/>
        <v>mRNA186: -&gt; E2_7_7_24_mRNA | 0.00292 - (0.0093 * E2_7_7_24_mRNA)</v>
      </c>
      <c r="N187" s="21" t="str">
        <f t="shared" si="35"/>
        <v>Peptide186:  E2_7_7_24_mRNA -&gt; E2_7_7_24 | (0.278 * E2_7_7_24_mRNA) - (0.00000278 * E2_7_7_24)</v>
      </c>
    </row>
    <row r="188" spans="1:14" x14ac:dyDescent="0.45">
      <c r="A188">
        <v>187</v>
      </c>
      <c r="B188" t="s">
        <v>15145</v>
      </c>
      <c r="C188" t="str">
        <f t="shared" si="25"/>
        <v>E2_7_7_27_mRNA</v>
      </c>
      <c r="D188" t="str">
        <f t="shared" si="24"/>
        <v>E2_7_7_27</v>
      </c>
      <c r="E188" s="30" t="str">
        <f t="shared" si="26"/>
        <v>E2_7_7_27_kcat : 13.7</v>
      </c>
      <c r="F188" s="31" t="str">
        <f t="shared" si="27"/>
        <v>E2_7_7_27_km : 1</v>
      </c>
      <c r="G188" s="21" t="str">
        <f t="shared" si="28"/>
        <v>E2_7_7_27_mRNA : E2_7_7_27_mRNA</v>
      </c>
      <c r="H188" s="32" t="str">
        <f t="shared" si="29"/>
        <v>E2_7_7_27 : E2_7_7_27</v>
      </c>
      <c r="I188" s="33" t="str">
        <f t="shared" si="30"/>
        <v>E2_7_7_27_mRNA : 0</v>
      </c>
      <c r="J188" s="34" t="str">
        <f t="shared" si="31"/>
        <v>E2_7_7_27 : 0</v>
      </c>
      <c r="K188" s="35" t="str">
        <f t="shared" si="32"/>
        <v>0.00292 - (0.0093 * E2_7_7_27_mRNA)</v>
      </c>
      <c r="L188" s="30" t="str">
        <f t="shared" si="33"/>
        <v>(0.278 * E2_7_7_27_mRNA) - (0.00000278 * E2_7_7_27)</v>
      </c>
      <c r="M188" s="36" t="str">
        <f t="shared" si="34"/>
        <v>mRNA187: -&gt; E2_7_7_27_mRNA | 0.00292 - (0.0093 * E2_7_7_27_mRNA)</v>
      </c>
      <c r="N188" s="21" t="str">
        <f t="shared" si="35"/>
        <v>Peptide187:  E2_7_7_27_mRNA -&gt; E2_7_7_27 | (0.278 * E2_7_7_27_mRNA) - (0.00000278 * E2_7_7_27)</v>
      </c>
    </row>
    <row r="189" spans="1:14" x14ac:dyDescent="0.45">
      <c r="A189">
        <v>188</v>
      </c>
      <c r="B189" t="s">
        <v>15146</v>
      </c>
      <c r="C189" t="str">
        <f t="shared" si="25"/>
        <v>E2_7_7_3_mRNA</v>
      </c>
      <c r="D189" t="str">
        <f t="shared" si="24"/>
        <v>E2_7_7_3</v>
      </c>
      <c r="E189" s="30" t="str">
        <f t="shared" si="26"/>
        <v>E2_7_7_3_kcat : 13.7</v>
      </c>
      <c r="F189" s="31" t="str">
        <f t="shared" si="27"/>
        <v>E2_7_7_3_km : 1</v>
      </c>
      <c r="G189" s="21" t="str">
        <f t="shared" si="28"/>
        <v>E2_7_7_3_mRNA : E2_7_7_3_mRNA</v>
      </c>
      <c r="H189" s="32" t="str">
        <f t="shared" si="29"/>
        <v>E2_7_7_3 : E2_7_7_3</v>
      </c>
      <c r="I189" s="33" t="str">
        <f t="shared" si="30"/>
        <v>E2_7_7_3_mRNA : 0</v>
      </c>
      <c r="J189" s="34" t="str">
        <f t="shared" si="31"/>
        <v>E2_7_7_3 : 0</v>
      </c>
      <c r="K189" s="35" t="str">
        <f t="shared" si="32"/>
        <v>0.00292 - (0.0093 * E2_7_7_3_mRNA)</v>
      </c>
      <c r="L189" s="30" t="str">
        <f t="shared" si="33"/>
        <v>(0.278 * E2_7_7_3_mRNA) - (0.00000278 * E2_7_7_3)</v>
      </c>
      <c r="M189" s="36" t="str">
        <f t="shared" si="34"/>
        <v>mRNA188: -&gt; E2_7_7_3_mRNA | 0.00292 - (0.0093 * E2_7_7_3_mRNA)</v>
      </c>
      <c r="N189" s="21" t="str">
        <f t="shared" si="35"/>
        <v>Peptide188:  E2_7_7_3_mRNA -&gt; E2_7_7_3 | (0.278 * E2_7_7_3_mRNA) - (0.00000278 * E2_7_7_3)</v>
      </c>
    </row>
    <row r="190" spans="1:14" x14ac:dyDescent="0.45">
      <c r="A190">
        <v>189</v>
      </c>
      <c r="B190" t="s">
        <v>15147</v>
      </c>
      <c r="C190" t="str">
        <f t="shared" si="25"/>
        <v>E2_7_7_41_mRNA</v>
      </c>
      <c r="D190" t="str">
        <f t="shared" si="24"/>
        <v>E2_7_7_41</v>
      </c>
      <c r="E190" s="30" t="str">
        <f t="shared" si="26"/>
        <v>E2_7_7_41_kcat : 13.7</v>
      </c>
      <c r="F190" s="31" t="str">
        <f t="shared" si="27"/>
        <v>E2_7_7_41_km : 1</v>
      </c>
      <c r="G190" s="21" t="str">
        <f t="shared" si="28"/>
        <v>E2_7_7_41_mRNA : E2_7_7_41_mRNA</v>
      </c>
      <c r="H190" s="32" t="str">
        <f t="shared" si="29"/>
        <v>E2_7_7_41 : E2_7_7_41</v>
      </c>
      <c r="I190" s="33" t="str">
        <f t="shared" si="30"/>
        <v>E2_7_7_41_mRNA : 0</v>
      </c>
      <c r="J190" s="34" t="str">
        <f t="shared" si="31"/>
        <v>E2_7_7_41 : 0</v>
      </c>
      <c r="K190" s="35" t="str">
        <f t="shared" si="32"/>
        <v>0.00292 - (0.0093 * E2_7_7_41_mRNA)</v>
      </c>
      <c r="L190" s="30" t="str">
        <f t="shared" si="33"/>
        <v>(0.278 * E2_7_7_41_mRNA) - (0.00000278 * E2_7_7_41)</v>
      </c>
      <c r="M190" s="36" t="str">
        <f t="shared" si="34"/>
        <v>mRNA189: -&gt; E2_7_7_41_mRNA | 0.00292 - (0.0093 * E2_7_7_41_mRNA)</v>
      </c>
      <c r="N190" s="21" t="str">
        <f t="shared" si="35"/>
        <v>Peptide189:  E2_7_7_41_mRNA -&gt; E2_7_7_41 | (0.278 * E2_7_7_41_mRNA) - (0.00000278 * E2_7_7_41)</v>
      </c>
    </row>
    <row r="191" spans="1:14" x14ac:dyDescent="0.45">
      <c r="A191">
        <v>190</v>
      </c>
      <c r="B191" t="s">
        <v>15148</v>
      </c>
      <c r="C191" t="str">
        <f t="shared" si="25"/>
        <v>E2_7_7_56_mRNA</v>
      </c>
      <c r="D191" t="str">
        <f t="shared" si="24"/>
        <v>E2_7_7_56</v>
      </c>
      <c r="E191" s="30" t="str">
        <f t="shared" si="26"/>
        <v>E2_7_7_56_kcat : 13.7</v>
      </c>
      <c r="F191" s="31" t="str">
        <f t="shared" si="27"/>
        <v>E2_7_7_56_km : 1</v>
      </c>
      <c r="G191" s="21" t="str">
        <f t="shared" si="28"/>
        <v>E2_7_7_56_mRNA : E2_7_7_56_mRNA</v>
      </c>
      <c r="H191" s="32" t="str">
        <f t="shared" si="29"/>
        <v>E2_7_7_56 : E2_7_7_56</v>
      </c>
      <c r="I191" s="33" t="str">
        <f t="shared" si="30"/>
        <v>E2_7_7_56_mRNA : 0</v>
      </c>
      <c r="J191" s="34" t="str">
        <f t="shared" si="31"/>
        <v>E2_7_7_56 : 0</v>
      </c>
      <c r="K191" s="35" t="str">
        <f t="shared" si="32"/>
        <v>0.00292 - (0.0093 * E2_7_7_56_mRNA)</v>
      </c>
      <c r="L191" s="30" t="str">
        <f t="shared" si="33"/>
        <v>(0.278 * E2_7_7_56_mRNA) - (0.00000278 * E2_7_7_56)</v>
      </c>
      <c r="M191" s="36" t="str">
        <f t="shared" si="34"/>
        <v>mRNA190: -&gt; E2_7_7_56_mRNA | 0.00292 - (0.0093 * E2_7_7_56_mRNA)</v>
      </c>
      <c r="N191" s="21" t="str">
        <f t="shared" si="35"/>
        <v>Peptide190:  E2_7_7_56_mRNA -&gt; E2_7_7_56 | (0.278 * E2_7_7_56_mRNA) - (0.00000278 * E2_7_7_56)</v>
      </c>
    </row>
    <row r="192" spans="1:14" x14ac:dyDescent="0.45">
      <c r="A192">
        <v>191</v>
      </c>
      <c r="B192" t="s">
        <v>15149</v>
      </c>
      <c r="C192" t="str">
        <f t="shared" si="25"/>
        <v>E2_7_7_6_mRNA</v>
      </c>
      <c r="D192" t="str">
        <f t="shared" si="24"/>
        <v>E2_7_7_6</v>
      </c>
      <c r="E192" s="30" t="str">
        <f t="shared" si="26"/>
        <v>E2_7_7_6_kcat : 13.7</v>
      </c>
      <c r="F192" s="31" t="str">
        <f t="shared" si="27"/>
        <v>E2_7_7_6_km : 1</v>
      </c>
      <c r="G192" s="21" t="str">
        <f t="shared" si="28"/>
        <v>E2_7_7_6_mRNA : E2_7_7_6_mRNA</v>
      </c>
      <c r="H192" s="32" t="str">
        <f t="shared" si="29"/>
        <v>E2_7_7_6 : E2_7_7_6</v>
      </c>
      <c r="I192" s="33" t="str">
        <f t="shared" si="30"/>
        <v>E2_7_7_6_mRNA : 0</v>
      </c>
      <c r="J192" s="34" t="str">
        <f t="shared" si="31"/>
        <v>E2_7_7_6 : 0</v>
      </c>
      <c r="K192" s="35" t="str">
        <f t="shared" si="32"/>
        <v>0.00292 - (0.0093 * E2_7_7_6_mRNA)</v>
      </c>
      <c r="L192" s="30" t="str">
        <f t="shared" si="33"/>
        <v>(0.278 * E2_7_7_6_mRNA) - (0.00000278 * E2_7_7_6)</v>
      </c>
      <c r="M192" s="36" t="str">
        <f t="shared" si="34"/>
        <v>mRNA191: -&gt; E2_7_7_6_mRNA | 0.00292 - (0.0093 * E2_7_7_6_mRNA)</v>
      </c>
      <c r="N192" s="21" t="str">
        <f t="shared" si="35"/>
        <v>Peptide191:  E2_7_7_6_mRNA -&gt; E2_7_7_6 | (0.278 * E2_7_7_6_mRNA) - (0.00000278 * E2_7_7_6)</v>
      </c>
    </row>
    <row r="193" spans="1:14" x14ac:dyDescent="0.45">
      <c r="A193">
        <v>192</v>
      </c>
      <c r="B193" t="s">
        <v>15150</v>
      </c>
      <c r="C193" t="str">
        <f t="shared" si="25"/>
        <v>E2_7_7_60_mRNA</v>
      </c>
      <c r="D193" t="str">
        <f t="shared" si="24"/>
        <v>E2_7_7_60</v>
      </c>
      <c r="E193" s="30" t="str">
        <f t="shared" si="26"/>
        <v>E2_7_7_60_kcat : 13.7</v>
      </c>
      <c r="F193" s="31" t="str">
        <f t="shared" si="27"/>
        <v>E2_7_7_60_km : 1</v>
      </c>
      <c r="G193" s="21" t="str">
        <f t="shared" si="28"/>
        <v>E2_7_7_60_mRNA : E2_7_7_60_mRNA</v>
      </c>
      <c r="H193" s="32" t="str">
        <f t="shared" si="29"/>
        <v>E2_7_7_60 : E2_7_7_60</v>
      </c>
      <c r="I193" s="33" t="str">
        <f t="shared" si="30"/>
        <v>E2_7_7_60_mRNA : 0</v>
      </c>
      <c r="J193" s="34" t="str">
        <f t="shared" si="31"/>
        <v>E2_7_7_60 : 0</v>
      </c>
      <c r="K193" s="35" t="str">
        <f t="shared" si="32"/>
        <v>0.00292 - (0.0093 * E2_7_7_60_mRNA)</v>
      </c>
      <c r="L193" s="30" t="str">
        <f t="shared" si="33"/>
        <v>(0.278 * E2_7_7_60_mRNA) - (0.00000278 * E2_7_7_60)</v>
      </c>
      <c r="M193" s="36" t="str">
        <f t="shared" si="34"/>
        <v>mRNA192: -&gt; E2_7_7_60_mRNA | 0.00292 - (0.0093 * E2_7_7_60_mRNA)</v>
      </c>
      <c r="N193" s="21" t="str">
        <f t="shared" si="35"/>
        <v>Peptide192:  E2_7_7_60_mRNA -&gt; E2_7_7_60 | (0.278 * E2_7_7_60_mRNA) - (0.00000278 * E2_7_7_60)</v>
      </c>
    </row>
    <row r="194" spans="1:14" x14ac:dyDescent="0.45">
      <c r="A194">
        <v>193</v>
      </c>
      <c r="B194" t="s">
        <v>15151</v>
      </c>
      <c r="C194" t="str">
        <f t="shared" si="25"/>
        <v>E2_7_7_62_mRNA</v>
      </c>
      <c r="D194" t="str">
        <f t="shared" ref="D194:D257" si="36">CONCATENATE("E",B194)</f>
        <v>E2_7_7_62</v>
      </c>
      <c r="E194" s="30" t="str">
        <f t="shared" si="26"/>
        <v>E2_7_7_62_kcat : 13.7</v>
      </c>
      <c r="F194" s="31" t="str">
        <f t="shared" si="27"/>
        <v>E2_7_7_62_km : 1</v>
      </c>
      <c r="G194" s="21" t="str">
        <f t="shared" si="28"/>
        <v>E2_7_7_62_mRNA : E2_7_7_62_mRNA</v>
      </c>
      <c r="H194" s="32" t="str">
        <f t="shared" si="29"/>
        <v>E2_7_7_62 : E2_7_7_62</v>
      </c>
      <c r="I194" s="33" t="str">
        <f t="shared" si="30"/>
        <v>E2_7_7_62_mRNA : 0</v>
      </c>
      <c r="J194" s="34" t="str">
        <f t="shared" si="31"/>
        <v>E2_7_7_62 : 0</v>
      </c>
      <c r="K194" s="35" t="str">
        <f t="shared" si="32"/>
        <v>0.00292 - (0.0093 * E2_7_7_62_mRNA)</v>
      </c>
      <c r="L194" s="30" t="str">
        <f t="shared" si="33"/>
        <v>(0.278 * E2_7_7_62_mRNA) - (0.00000278 * E2_7_7_62)</v>
      </c>
      <c r="M194" s="36" t="str">
        <f t="shared" si="34"/>
        <v>mRNA193: -&gt; E2_7_7_62_mRNA | 0.00292 - (0.0093 * E2_7_7_62_mRNA)</v>
      </c>
      <c r="N194" s="21" t="str">
        <f t="shared" si="35"/>
        <v>Peptide193:  E2_7_7_62_mRNA -&gt; E2_7_7_62 | (0.278 * E2_7_7_62_mRNA) - (0.00000278 * E2_7_7_62)</v>
      </c>
    </row>
    <row r="195" spans="1:14" x14ac:dyDescent="0.45">
      <c r="A195">
        <v>194</v>
      </c>
      <c r="B195" t="s">
        <v>15152</v>
      </c>
      <c r="C195" t="str">
        <f t="shared" ref="C195:C258" si="37">CONCATENATE(D195,"_mRNA")</f>
        <v>E2_7_7_65_mRNA</v>
      </c>
      <c r="D195" t="str">
        <f t="shared" si="36"/>
        <v>E2_7_7_65</v>
      </c>
      <c r="E195" s="30" t="str">
        <f t="shared" ref="E195:E258" si="38">CONCATENATE("E",B195,"_kcat : 13.7")</f>
        <v>E2_7_7_65_kcat : 13.7</v>
      </c>
      <c r="F195" s="31" t="str">
        <f t="shared" ref="F195:F258" si="39">CONCATENATE("E",B195,"_km : 1")</f>
        <v>E2_7_7_65_km : 1</v>
      </c>
      <c r="G195" s="21" t="str">
        <f t="shared" ref="G195:G258" si="40">CONCATENATE(C195, " : ",C195)</f>
        <v>E2_7_7_65_mRNA : E2_7_7_65_mRNA</v>
      </c>
      <c r="H195" s="32" t="str">
        <f t="shared" ref="H195:H258" si="41">CONCATENATE(D195," : ",D195)</f>
        <v>E2_7_7_65 : E2_7_7_65</v>
      </c>
      <c r="I195" s="33" t="str">
        <f t="shared" ref="I195:I258" si="42">CONCATENATE(C195," : ","0")</f>
        <v>E2_7_7_65_mRNA : 0</v>
      </c>
      <c r="J195" s="34" t="str">
        <f t="shared" ref="J195:J258" si="43">CONCATENATE(D195," : ","0")</f>
        <v>E2_7_7_65 : 0</v>
      </c>
      <c r="K195" s="35" t="str">
        <f t="shared" ref="K195:K258" si="44">CONCATENATE("0.00292 - (0.0093 * ",C195,")")</f>
        <v>0.00292 - (0.0093 * E2_7_7_65_mRNA)</v>
      </c>
      <c r="L195" s="30" t="str">
        <f t="shared" ref="L195:L258" si="45">CONCATENATE("(0.278 * ",C195,")"," - (0.00000278 * ",D195,")")</f>
        <v>(0.278 * E2_7_7_65_mRNA) - (0.00000278 * E2_7_7_65)</v>
      </c>
      <c r="M195" s="36" t="str">
        <f t="shared" ref="M195:M258" si="46">CONCATENATE("mRNA",A195,": -&gt; ",C195," | ","0.00292"," - ","(","0.0093"," * ",C195,")")</f>
        <v>mRNA194: -&gt; E2_7_7_65_mRNA | 0.00292 - (0.0093 * E2_7_7_65_mRNA)</v>
      </c>
      <c r="N195" s="21" t="str">
        <f t="shared" ref="N195:N258" si="47">CONCATENATE("Peptide",A195,":  ",C195," -&gt; ",D195," | ","(","0.278"," * ",C195,")"," - ","(","0.00000278"," * ",D195,")")</f>
        <v>Peptide194:  E2_7_7_65_mRNA -&gt; E2_7_7_65 | (0.278 * E2_7_7_65_mRNA) - (0.00000278 * E2_7_7_65)</v>
      </c>
    </row>
    <row r="196" spans="1:14" x14ac:dyDescent="0.45">
      <c r="A196">
        <v>195</v>
      </c>
      <c r="B196" t="s">
        <v>15153</v>
      </c>
      <c r="C196" t="str">
        <f t="shared" si="37"/>
        <v>E2_7_7_7_mRNA</v>
      </c>
      <c r="D196" t="str">
        <f t="shared" si="36"/>
        <v>E2_7_7_7</v>
      </c>
      <c r="E196" s="30" t="str">
        <f t="shared" si="38"/>
        <v>E2_7_7_7_kcat : 13.7</v>
      </c>
      <c r="F196" s="31" t="str">
        <f t="shared" si="39"/>
        <v>E2_7_7_7_km : 1</v>
      </c>
      <c r="G196" s="21" t="str">
        <f t="shared" si="40"/>
        <v>E2_7_7_7_mRNA : E2_7_7_7_mRNA</v>
      </c>
      <c r="H196" s="32" t="str">
        <f t="shared" si="41"/>
        <v>E2_7_7_7 : E2_7_7_7</v>
      </c>
      <c r="I196" s="33" t="str">
        <f t="shared" si="42"/>
        <v>E2_7_7_7_mRNA : 0</v>
      </c>
      <c r="J196" s="34" t="str">
        <f t="shared" si="43"/>
        <v>E2_7_7_7 : 0</v>
      </c>
      <c r="K196" s="35" t="str">
        <f t="shared" si="44"/>
        <v>0.00292 - (0.0093 * E2_7_7_7_mRNA)</v>
      </c>
      <c r="L196" s="30" t="str">
        <f t="shared" si="45"/>
        <v>(0.278 * E2_7_7_7_mRNA) - (0.00000278 * E2_7_7_7)</v>
      </c>
      <c r="M196" s="36" t="str">
        <f t="shared" si="46"/>
        <v>mRNA195: -&gt; E2_7_7_7_mRNA | 0.00292 - (0.0093 * E2_7_7_7_mRNA)</v>
      </c>
      <c r="N196" s="21" t="str">
        <f t="shared" si="47"/>
        <v>Peptide195:  E2_7_7_7_mRNA -&gt; E2_7_7_7 | (0.278 * E2_7_7_7_mRNA) - (0.00000278 * E2_7_7_7)</v>
      </c>
    </row>
    <row r="197" spans="1:14" x14ac:dyDescent="0.45">
      <c r="A197">
        <v>196</v>
      </c>
      <c r="B197" t="s">
        <v>15154</v>
      </c>
      <c r="C197" t="str">
        <f t="shared" si="37"/>
        <v>E2_7_7_72_mRNA</v>
      </c>
      <c r="D197" t="str">
        <f t="shared" si="36"/>
        <v>E2_7_7_72</v>
      </c>
      <c r="E197" s="30" t="str">
        <f t="shared" si="38"/>
        <v>E2_7_7_72_kcat : 13.7</v>
      </c>
      <c r="F197" s="31" t="str">
        <f t="shared" si="39"/>
        <v>E2_7_7_72_km : 1</v>
      </c>
      <c r="G197" s="21" t="str">
        <f t="shared" si="40"/>
        <v>E2_7_7_72_mRNA : E2_7_7_72_mRNA</v>
      </c>
      <c r="H197" s="32" t="str">
        <f t="shared" si="41"/>
        <v>E2_7_7_72 : E2_7_7_72</v>
      </c>
      <c r="I197" s="33" t="str">
        <f t="shared" si="42"/>
        <v>E2_7_7_72_mRNA : 0</v>
      </c>
      <c r="J197" s="34" t="str">
        <f t="shared" si="43"/>
        <v>E2_7_7_72 : 0</v>
      </c>
      <c r="K197" s="35" t="str">
        <f t="shared" si="44"/>
        <v>0.00292 - (0.0093 * E2_7_7_72_mRNA)</v>
      </c>
      <c r="L197" s="30" t="str">
        <f t="shared" si="45"/>
        <v>(0.278 * E2_7_7_72_mRNA) - (0.00000278 * E2_7_7_72)</v>
      </c>
      <c r="M197" s="36" t="str">
        <f t="shared" si="46"/>
        <v>mRNA196: -&gt; E2_7_7_72_mRNA | 0.00292 - (0.0093 * E2_7_7_72_mRNA)</v>
      </c>
      <c r="N197" s="21" t="str">
        <f t="shared" si="47"/>
        <v>Peptide196:  E2_7_7_72_mRNA -&gt; E2_7_7_72 | (0.278 * E2_7_7_72_mRNA) - (0.00000278 * E2_7_7_72)</v>
      </c>
    </row>
    <row r="198" spans="1:14" x14ac:dyDescent="0.45">
      <c r="A198">
        <v>197</v>
      </c>
      <c r="B198" t="s">
        <v>15155</v>
      </c>
      <c r="C198" t="str">
        <f t="shared" si="37"/>
        <v>E2_7_7_76_mRNA</v>
      </c>
      <c r="D198" t="str">
        <f t="shared" si="36"/>
        <v>E2_7_7_76</v>
      </c>
      <c r="E198" s="30" t="str">
        <f t="shared" si="38"/>
        <v>E2_7_7_76_kcat : 13.7</v>
      </c>
      <c r="F198" s="31" t="str">
        <f t="shared" si="39"/>
        <v>E2_7_7_76_km : 1</v>
      </c>
      <c r="G198" s="21" t="str">
        <f t="shared" si="40"/>
        <v>E2_7_7_76_mRNA : E2_7_7_76_mRNA</v>
      </c>
      <c r="H198" s="32" t="str">
        <f t="shared" si="41"/>
        <v>E2_7_7_76 : E2_7_7_76</v>
      </c>
      <c r="I198" s="33" t="str">
        <f t="shared" si="42"/>
        <v>E2_7_7_76_mRNA : 0</v>
      </c>
      <c r="J198" s="34" t="str">
        <f t="shared" si="43"/>
        <v>E2_7_7_76 : 0</v>
      </c>
      <c r="K198" s="35" t="str">
        <f t="shared" si="44"/>
        <v>0.00292 - (0.0093 * E2_7_7_76_mRNA)</v>
      </c>
      <c r="L198" s="30" t="str">
        <f t="shared" si="45"/>
        <v>(0.278 * E2_7_7_76_mRNA) - (0.00000278 * E2_7_7_76)</v>
      </c>
      <c r="M198" s="36" t="str">
        <f t="shared" si="46"/>
        <v>mRNA197: -&gt; E2_7_7_76_mRNA | 0.00292 - (0.0093 * E2_7_7_76_mRNA)</v>
      </c>
      <c r="N198" s="21" t="str">
        <f t="shared" si="47"/>
        <v>Peptide197:  E2_7_7_76_mRNA -&gt; E2_7_7_76 | (0.278 * E2_7_7_76_mRNA) - (0.00000278 * E2_7_7_76)</v>
      </c>
    </row>
    <row r="199" spans="1:14" x14ac:dyDescent="0.45">
      <c r="A199">
        <v>198</v>
      </c>
      <c r="B199" t="s">
        <v>15156</v>
      </c>
      <c r="C199" t="str">
        <f t="shared" si="37"/>
        <v>E2_7_7_77_mRNA</v>
      </c>
      <c r="D199" t="str">
        <f t="shared" si="36"/>
        <v>E2_7_7_77</v>
      </c>
      <c r="E199" s="30" t="str">
        <f t="shared" si="38"/>
        <v>E2_7_7_77_kcat : 13.7</v>
      </c>
      <c r="F199" s="31" t="str">
        <f t="shared" si="39"/>
        <v>E2_7_7_77_km : 1</v>
      </c>
      <c r="G199" s="21" t="str">
        <f t="shared" si="40"/>
        <v>E2_7_7_77_mRNA : E2_7_7_77_mRNA</v>
      </c>
      <c r="H199" s="32" t="str">
        <f t="shared" si="41"/>
        <v>E2_7_7_77 : E2_7_7_77</v>
      </c>
      <c r="I199" s="33" t="str">
        <f t="shared" si="42"/>
        <v>E2_7_7_77_mRNA : 0</v>
      </c>
      <c r="J199" s="34" t="str">
        <f t="shared" si="43"/>
        <v>E2_7_7_77 : 0</v>
      </c>
      <c r="K199" s="35" t="str">
        <f t="shared" si="44"/>
        <v>0.00292 - (0.0093 * E2_7_7_77_mRNA)</v>
      </c>
      <c r="L199" s="30" t="str">
        <f t="shared" si="45"/>
        <v>(0.278 * E2_7_7_77_mRNA) - (0.00000278 * E2_7_7_77)</v>
      </c>
      <c r="M199" s="36" t="str">
        <f t="shared" si="46"/>
        <v>mRNA198: -&gt; E2_7_7_77_mRNA | 0.00292 - (0.0093 * E2_7_7_77_mRNA)</v>
      </c>
      <c r="N199" s="21" t="str">
        <f t="shared" si="47"/>
        <v>Peptide198:  E2_7_7_77_mRNA -&gt; E2_7_7_77 | (0.278 * E2_7_7_77_mRNA) - (0.00000278 * E2_7_7_77)</v>
      </c>
    </row>
    <row r="200" spans="1:14" x14ac:dyDescent="0.45">
      <c r="A200">
        <v>199</v>
      </c>
      <c r="B200" t="s">
        <v>15157</v>
      </c>
      <c r="C200" t="str">
        <f t="shared" si="37"/>
        <v>E2_7_7_8_mRNA</v>
      </c>
      <c r="D200" t="str">
        <f t="shared" si="36"/>
        <v>E2_7_7_8</v>
      </c>
      <c r="E200" s="30" t="str">
        <f t="shared" si="38"/>
        <v>E2_7_7_8_kcat : 13.7</v>
      </c>
      <c r="F200" s="31" t="str">
        <f t="shared" si="39"/>
        <v>E2_7_7_8_km : 1</v>
      </c>
      <c r="G200" s="21" t="str">
        <f t="shared" si="40"/>
        <v>E2_7_7_8_mRNA : E2_7_7_8_mRNA</v>
      </c>
      <c r="H200" s="32" t="str">
        <f t="shared" si="41"/>
        <v>E2_7_7_8 : E2_7_7_8</v>
      </c>
      <c r="I200" s="33" t="str">
        <f t="shared" si="42"/>
        <v>E2_7_7_8_mRNA : 0</v>
      </c>
      <c r="J200" s="34" t="str">
        <f t="shared" si="43"/>
        <v>E2_7_7_8 : 0</v>
      </c>
      <c r="K200" s="35" t="str">
        <f t="shared" si="44"/>
        <v>0.00292 - (0.0093 * E2_7_7_8_mRNA)</v>
      </c>
      <c r="L200" s="30" t="str">
        <f t="shared" si="45"/>
        <v>(0.278 * E2_7_7_8_mRNA) - (0.00000278 * E2_7_7_8)</v>
      </c>
      <c r="M200" s="36" t="str">
        <f t="shared" si="46"/>
        <v>mRNA199: -&gt; E2_7_7_8_mRNA | 0.00292 - (0.0093 * E2_7_7_8_mRNA)</v>
      </c>
      <c r="N200" s="21" t="str">
        <f t="shared" si="47"/>
        <v>Peptide199:  E2_7_7_8_mRNA -&gt; E2_7_7_8 | (0.278 * E2_7_7_8_mRNA) - (0.00000278 * E2_7_7_8)</v>
      </c>
    </row>
    <row r="201" spans="1:14" x14ac:dyDescent="0.45">
      <c r="A201">
        <v>200</v>
      </c>
      <c r="B201" t="s">
        <v>15158</v>
      </c>
      <c r="C201" t="str">
        <f t="shared" si="37"/>
        <v>E2_7_7_85_mRNA</v>
      </c>
      <c r="D201" t="str">
        <f t="shared" si="36"/>
        <v>E2_7_7_85</v>
      </c>
      <c r="E201" s="30" t="str">
        <f t="shared" si="38"/>
        <v>E2_7_7_85_kcat : 13.7</v>
      </c>
      <c r="F201" s="31" t="str">
        <f t="shared" si="39"/>
        <v>E2_7_7_85_km : 1</v>
      </c>
      <c r="G201" s="21" t="str">
        <f t="shared" si="40"/>
        <v>E2_7_7_85_mRNA : E2_7_7_85_mRNA</v>
      </c>
      <c r="H201" s="32" t="str">
        <f t="shared" si="41"/>
        <v>E2_7_7_85 : E2_7_7_85</v>
      </c>
      <c r="I201" s="33" t="str">
        <f t="shared" si="42"/>
        <v>E2_7_7_85_mRNA : 0</v>
      </c>
      <c r="J201" s="34" t="str">
        <f t="shared" si="43"/>
        <v>E2_7_7_85 : 0</v>
      </c>
      <c r="K201" s="35" t="str">
        <f t="shared" si="44"/>
        <v>0.00292 - (0.0093 * E2_7_7_85_mRNA)</v>
      </c>
      <c r="L201" s="30" t="str">
        <f t="shared" si="45"/>
        <v>(0.278 * E2_7_7_85_mRNA) - (0.00000278 * E2_7_7_85)</v>
      </c>
      <c r="M201" s="36" t="str">
        <f t="shared" si="46"/>
        <v>mRNA200: -&gt; E2_7_7_85_mRNA | 0.00292 - (0.0093 * E2_7_7_85_mRNA)</v>
      </c>
      <c r="N201" s="21" t="str">
        <f t="shared" si="47"/>
        <v>Peptide200:  E2_7_7_85_mRNA -&gt; E2_7_7_85 | (0.278 * E2_7_7_85_mRNA) - (0.00000278 * E2_7_7_85)</v>
      </c>
    </row>
    <row r="202" spans="1:14" x14ac:dyDescent="0.45">
      <c r="A202">
        <v>201</v>
      </c>
      <c r="B202" t="s">
        <v>15159</v>
      </c>
      <c r="C202" t="str">
        <f t="shared" si="37"/>
        <v>E2_7_7_87_mRNA</v>
      </c>
      <c r="D202" t="str">
        <f t="shared" si="36"/>
        <v>E2_7_7_87</v>
      </c>
      <c r="E202" s="30" t="str">
        <f t="shared" si="38"/>
        <v>E2_7_7_87_kcat : 13.7</v>
      </c>
      <c r="F202" s="31" t="str">
        <f t="shared" si="39"/>
        <v>E2_7_7_87_km : 1</v>
      </c>
      <c r="G202" s="21" t="str">
        <f t="shared" si="40"/>
        <v>E2_7_7_87_mRNA : E2_7_7_87_mRNA</v>
      </c>
      <c r="H202" s="32" t="str">
        <f t="shared" si="41"/>
        <v>E2_7_7_87 : E2_7_7_87</v>
      </c>
      <c r="I202" s="33" t="str">
        <f t="shared" si="42"/>
        <v>E2_7_7_87_mRNA : 0</v>
      </c>
      <c r="J202" s="34" t="str">
        <f t="shared" si="43"/>
        <v>E2_7_7_87 : 0</v>
      </c>
      <c r="K202" s="35" t="str">
        <f t="shared" si="44"/>
        <v>0.00292 - (0.0093 * E2_7_7_87_mRNA)</v>
      </c>
      <c r="L202" s="30" t="str">
        <f t="shared" si="45"/>
        <v>(0.278 * E2_7_7_87_mRNA) - (0.00000278 * E2_7_7_87)</v>
      </c>
      <c r="M202" s="36" t="str">
        <f t="shared" si="46"/>
        <v>mRNA201: -&gt; E2_7_7_87_mRNA | 0.00292 - (0.0093 * E2_7_7_87_mRNA)</v>
      </c>
      <c r="N202" s="21" t="str">
        <f t="shared" si="47"/>
        <v>Peptide201:  E2_7_7_87_mRNA -&gt; E2_7_7_87 | (0.278 * E2_7_7_87_mRNA) - (0.00000278 * E2_7_7_87)</v>
      </c>
    </row>
    <row r="203" spans="1:14" x14ac:dyDescent="0.45">
      <c r="A203">
        <v>202</v>
      </c>
      <c r="B203" t="s">
        <v>15160</v>
      </c>
      <c r="C203" t="str">
        <f t="shared" si="37"/>
        <v>E2_7_7_9_mRNA</v>
      </c>
      <c r="D203" t="str">
        <f t="shared" si="36"/>
        <v>E2_7_7_9</v>
      </c>
      <c r="E203" s="30" t="str">
        <f t="shared" si="38"/>
        <v>E2_7_7_9_kcat : 13.7</v>
      </c>
      <c r="F203" s="31" t="str">
        <f t="shared" si="39"/>
        <v>E2_7_7_9_km : 1</v>
      </c>
      <c r="G203" s="21" t="str">
        <f t="shared" si="40"/>
        <v>E2_7_7_9_mRNA : E2_7_7_9_mRNA</v>
      </c>
      <c r="H203" s="32" t="str">
        <f t="shared" si="41"/>
        <v>E2_7_7_9 : E2_7_7_9</v>
      </c>
      <c r="I203" s="33" t="str">
        <f t="shared" si="42"/>
        <v>E2_7_7_9_mRNA : 0</v>
      </c>
      <c r="J203" s="34" t="str">
        <f t="shared" si="43"/>
        <v>E2_7_7_9 : 0</v>
      </c>
      <c r="K203" s="35" t="str">
        <f t="shared" si="44"/>
        <v>0.00292 - (0.0093 * E2_7_7_9_mRNA)</v>
      </c>
      <c r="L203" s="30" t="str">
        <f t="shared" si="45"/>
        <v>(0.278 * E2_7_7_9_mRNA) - (0.00000278 * E2_7_7_9)</v>
      </c>
      <c r="M203" s="36" t="str">
        <f t="shared" si="46"/>
        <v>mRNA202: -&gt; E2_7_7_9_mRNA | 0.00292 - (0.0093 * E2_7_7_9_mRNA)</v>
      </c>
      <c r="N203" s="21" t="str">
        <f t="shared" si="47"/>
        <v>Peptide202:  E2_7_7_9_mRNA -&gt; E2_7_7_9 | (0.278 * E2_7_7_9_mRNA) - (0.00000278 * E2_7_7_9)</v>
      </c>
    </row>
    <row r="204" spans="1:14" x14ac:dyDescent="0.45">
      <c r="A204">
        <v>203</v>
      </c>
      <c r="B204" t="s">
        <v>15161</v>
      </c>
      <c r="C204" t="str">
        <f t="shared" si="37"/>
        <v>E2_7_8_13_mRNA</v>
      </c>
      <c r="D204" t="str">
        <f t="shared" si="36"/>
        <v>E2_7_8_13</v>
      </c>
      <c r="E204" s="30" t="str">
        <f t="shared" si="38"/>
        <v>E2_7_8_13_kcat : 13.7</v>
      </c>
      <c r="F204" s="31" t="str">
        <f t="shared" si="39"/>
        <v>E2_7_8_13_km : 1</v>
      </c>
      <c r="G204" s="21" t="str">
        <f t="shared" si="40"/>
        <v>E2_7_8_13_mRNA : E2_7_8_13_mRNA</v>
      </c>
      <c r="H204" s="32" t="str">
        <f t="shared" si="41"/>
        <v>E2_7_8_13 : E2_7_8_13</v>
      </c>
      <c r="I204" s="33" t="str">
        <f t="shared" si="42"/>
        <v>E2_7_8_13_mRNA : 0</v>
      </c>
      <c r="J204" s="34" t="str">
        <f t="shared" si="43"/>
        <v>E2_7_8_13 : 0</v>
      </c>
      <c r="K204" s="35" t="str">
        <f t="shared" si="44"/>
        <v>0.00292 - (0.0093 * E2_7_8_13_mRNA)</v>
      </c>
      <c r="L204" s="30" t="str">
        <f t="shared" si="45"/>
        <v>(0.278 * E2_7_8_13_mRNA) - (0.00000278 * E2_7_8_13)</v>
      </c>
      <c r="M204" s="36" t="str">
        <f t="shared" si="46"/>
        <v>mRNA203: -&gt; E2_7_8_13_mRNA | 0.00292 - (0.0093 * E2_7_8_13_mRNA)</v>
      </c>
      <c r="N204" s="21" t="str">
        <f t="shared" si="47"/>
        <v>Peptide203:  E2_7_8_13_mRNA -&gt; E2_7_8_13 | (0.278 * E2_7_8_13_mRNA) - (0.00000278 * E2_7_8_13)</v>
      </c>
    </row>
    <row r="205" spans="1:14" x14ac:dyDescent="0.45">
      <c r="A205">
        <v>204</v>
      </c>
      <c r="B205" t="s">
        <v>15162</v>
      </c>
      <c r="C205" t="str">
        <f t="shared" si="37"/>
        <v>E2_7_8_26_mRNA</v>
      </c>
      <c r="D205" t="str">
        <f t="shared" si="36"/>
        <v>E2_7_8_26</v>
      </c>
      <c r="E205" s="30" t="str">
        <f t="shared" si="38"/>
        <v>E2_7_8_26_kcat : 13.7</v>
      </c>
      <c r="F205" s="31" t="str">
        <f t="shared" si="39"/>
        <v>E2_7_8_26_km : 1</v>
      </c>
      <c r="G205" s="21" t="str">
        <f t="shared" si="40"/>
        <v>E2_7_8_26_mRNA : E2_7_8_26_mRNA</v>
      </c>
      <c r="H205" s="32" t="str">
        <f t="shared" si="41"/>
        <v>E2_7_8_26 : E2_7_8_26</v>
      </c>
      <c r="I205" s="33" t="str">
        <f t="shared" si="42"/>
        <v>E2_7_8_26_mRNA : 0</v>
      </c>
      <c r="J205" s="34" t="str">
        <f t="shared" si="43"/>
        <v>E2_7_8_26 : 0</v>
      </c>
      <c r="K205" s="35" t="str">
        <f t="shared" si="44"/>
        <v>0.00292 - (0.0093 * E2_7_8_26_mRNA)</v>
      </c>
      <c r="L205" s="30" t="str">
        <f t="shared" si="45"/>
        <v>(0.278 * E2_7_8_26_mRNA) - (0.00000278 * E2_7_8_26)</v>
      </c>
      <c r="M205" s="36" t="str">
        <f t="shared" si="46"/>
        <v>mRNA204: -&gt; E2_7_8_26_mRNA | 0.00292 - (0.0093 * E2_7_8_26_mRNA)</v>
      </c>
      <c r="N205" s="21" t="str">
        <f t="shared" si="47"/>
        <v>Peptide204:  E2_7_8_26_mRNA -&gt; E2_7_8_26 | (0.278 * E2_7_8_26_mRNA) - (0.00000278 * E2_7_8_26)</v>
      </c>
    </row>
    <row r="206" spans="1:14" x14ac:dyDescent="0.45">
      <c r="A206">
        <v>205</v>
      </c>
      <c r="B206" t="s">
        <v>15163</v>
      </c>
      <c r="C206" t="str">
        <f t="shared" si="37"/>
        <v>E2_7_8_37_mRNA</v>
      </c>
      <c r="D206" t="str">
        <f t="shared" si="36"/>
        <v>E2_7_8_37</v>
      </c>
      <c r="E206" s="30" t="str">
        <f t="shared" si="38"/>
        <v>E2_7_8_37_kcat : 13.7</v>
      </c>
      <c r="F206" s="31" t="str">
        <f t="shared" si="39"/>
        <v>E2_7_8_37_km : 1</v>
      </c>
      <c r="G206" s="21" t="str">
        <f t="shared" si="40"/>
        <v>E2_7_8_37_mRNA : E2_7_8_37_mRNA</v>
      </c>
      <c r="H206" s="32" t="str">
        <f t="shared" si="41"/>
        <v>E2_7_8_37 : E2_7_8_37</v>
      </c>
      <c r="I206" s="33" t="str">
        <f t="shared" si="42"/>
        <v>E2_7_8_37_mRNA : 0</v>
      </c>
      <c r="J206" s="34" t="str">
        <f t="shared" si="43"/>
        <v>E2_7_8_37 : 0</v>
      </c>
      <c r="K206" s="35" t="str">
        <f t="shared" si="44"/>
        <v>0.00292 - (0.0093 * E2_7_8_37_mRNA)</v>
      </c>
      <c r="L206" s="30" t="str">
        <f t="shared" si="45"/>
        <v>(0.278 * E2_7_8_37_mRNA) - (0.00000278 * E2_7_8_37)</v>
      </c>
      <c r="M206" s="36" t="str">
        <f t="shared" si="46"/>
        <v>mRNA205: -&gt; E2_7_8_37_mRNA | 0.00292 - (0.0093 * E2_7_8_37_mRNA)</v>
      </c>
      <c r="N206" s="21" t="str">
        <f t="shared" si="47"/>
        <v>Peptide205:  E2_7_8_37_mRNA -&gt; E2_7_8_37 | (0.278 * E2_7_8_37_mRNA) - (0.00000278 * E2_7_8_37)</v>
      </c>
    </row>
    <row r="207" spans="1:14" x14ac:dyDescent="0.45">
      <c r="A207">
        <v>206</v>
      </c>
      <c r="B207" t="s">
        <v>15164</v>
      </c>
      <c r="C207" t="str">
        <f t="shared" si="37"/>
        <v>E2_7_8_5_mRNA</v>
      </c>
      <c r="D207" t="str">
        <f t="shared" si="36"/>
        <v>E2_7_8_5</v>
      </c>
      <c r="E207" s="30" t="str">
        <f t="shared" si="38"/>
        <v>E2_7_8_5_kcat : 13.7</v>
      </c>
      <c r="F207" s="31" t="str">
        <f t="shared" si="39"/>
        <v>E2_7_8_5_km : 1</v>
      </c>
      <c r="G207" s="21" t="str">
        <f t="shared" si="40"/>
        <v>E2_7_8_5_mRNA : E2_7_8_5_mRNA</v>
      </c>
      <c r="H207" s="32" t="str">
        <f t="shared" si="41"/>
        <v>E2_7_8_5 : E2_7_8_5</v>
      </c>
      <c r="I207" s="33" t="str">
        <f t="shared" si="42"/>
        <v>E2_7_8_5_mRNA : 0</v>
      </c>
      <c r="J207" s="34" t="str">
        <f t="shared" si="43"/>
        <v>E2_7_8_5 : 0</v>
      </c>
      <c r="K207" s="35" t="str">
        <f t="shared" si="44"/>
        <v>0.00292 - (0.0093 * E2_7_8_5_mRNA)</v>
      </c>
      <c r="L207" s="30" t="str">
        <f t="shared" si="45"/>
        <v>(0.278 * E2_7_8_5_mRNA) - (0.00000278 * E2_7_8_5)</v>
      </c>
      <c r="M207" s="36" t="str">
        <f t="shared" si="46"/>
        <v>mRNA206: -&gt; E2_7_8_5_mRNA | 0.00292 - (0.0093 * E2_7_8_5_mRNA)</v>
      </c>
      <c r="N207" s="21" t="str">
        <f t="shared" si="47"/>
        <v>Peptide206:  E2_7_8_5_mRNA -&gt; E2_7_8_5 | (0.278 * E2_7_8_5_mRNA) - (0.00000278 * E2_7_8_5)</v>
      </c>
    </row>
    <row r="208" spans="1:14" x14ac:dyDescent="0.45">
      <c r="A208">
        <v>207</v>
      </c>
      <c r="B208" t="s">
        <v>15165</v>
      </c>
      <c r="C208" t="str">
        <f t="shared" si="37"/>
        <v>E2_7_8_7_mRNA</v>
      </c>
      <c r="D208" t="str">
        <f t="shared" si="36"/>
        <v>E2_7_8_7</v>
      </c>
      <c r="E208" s="30" t="str">
        <f t="shared" si="38"/>
        <v>E2_7_8_7_kcat : 13.7</v>
      </c>
      <c r="F208" s="31" t="str">
        <f t="shared" si="39"/>
        <v>E2_7_8_7_km : 1</v>
      </c>
      <c r="G208" s="21" t="str">
        <f t="shared" si="40"/>
        <v>E2_7_8_7_mRNA : E2_7_8_7_mRNA</v>
      </c>
      <c r="H208" s="32" t="str">
        <f t="shared" si="41"/>
        <v>E2_7_8_7 : E2_7_8_7</v>
      </c>
      <c r="I208" s="33" t="str">
        <f t="shared" si="42"/>
        <v>E2_7_8_7_mRNA : 0</v>
      </c>
      <c r="J208" s="34" t="str">
        <f t="shared" si="43"/>
        <v>E2_7_8_7 : 0</v>
      </c>
      <c r="K208" s="35" t="str">
        <f t="shared" si="44"/>
        <v>0.00292 - (0.0093 * E2_7_8_7_mRNA)</v>
      </c>
      <c r="L208" s="30" t="str">
        <f t="shared" si="45"/>
        <v>(0.278 * E2_7_8_7_mRNA) - (0.00000278 * E2_7_8_7)</v>
      </c>
      <c r="M208" s="36" t="str">
        <f t="shared" si="46"/>
        <v>mRNA207: -&gt; E2_7_8_7_mRNA | 0.00292 - (0.0093 * E2_7_8_7_mRNA)</v>
      </c>
      <c r="N208" s="21" t="str">
        <f t="shared" si="47"/>
        <v>Peptide207:  E2_7_8_7_mRNA -&gt; E2_7_8_7 | (0.278 * E2_7_8_7_mRNA) - (0.00000278 * E2_7_8_7)</v>
      </c>
    </row>
    <row r="209" spans="1:14" x14ac:dyDescent="0.45">
      <c r="A209">
        <v>208</v>
      </c>
      <c r="B209" t="s">
        <v>15166</v>
      </c>
      <c r="C209" t="str">
        <f t="shared" si="37"/>
        <v>E2_7_9_1_mRNA</v>
      </c>
      <c r="D209" t="str">
        <f t="shared" si="36"/>
        <v>E2_7_9_1</v>
      </c>
      <c r="E209" s="30" t="str">
        <f t="shared" si="38"/>
        <v>E2_7_9_1_kcat : 13.7</v>
      </c>
      <c r="F209" s="31" t="str">
        <f t="shared" si="39"/>
        <v>E2_7_9_1_km : 1</v>
      </c>
      <c r="G209" s="21" t="str">
        <f t="shared" si="40"/>
        <v>E2_7_9_1_mRNA : E2_7_9_1_mRNA</v>
      </c>
      <c r="H209" s="32" t="str">
        <f t="shared" si="41"/>
        <v>E2_7_9_1 : E2_7_9_1</v>
      </c>
      <c r="I209" s="33" t="str">
        <f t="shared" si="42"/>
        <v>E2_7_9_1_mRNA : 0</v>
      </c>
      <c r="J209" s="34" t="str">
        <f t="shared" si="43"/>
        <v>E2_7_9_1 : 0</v>
      </c>
      <c r="K209" s="35" t="str">
        <f t="shared" si="44"/>
        <v>0.00292 - (0.0093 * E2_7_9_1_mRNA)</v>
      </c>
      <c r="L209" s="30" t="str">
        <f t="shared" si="45"/>
        <v>(0.278 * E2_7_9_1_mRNA) - (0.00000278 * E2_7_9_1)</v>
      </c>
      <c r="M209" s="36" t="str">
        <f t="shared" si="46"/>
        <v>mRNA208: -&gt; E2_7_9_1_mRNA | 0.00292 - (0.0093 * E2_7_9_1_mRNA)</v>
      </c>
      <c r="N209" s="21" t="str">
        <f t="shared" si="47"/>
        <v>Peptide208:  E2_7_9_1_mRNA -&gt; E2_7_9_1 | (0.278 * E2_7_9_1_mRNA) - (0.00000278 * E2_7_9_1)</v>
      </c>
    </row>
    <row r="210" spans="1:14" x14ac:dyDescent="0.45">
      <c r="A210">
        <v>209</v>
      </c>
      <c r="B210" t="s">
        <v>15167</v>
      </c>
      <c r="C210" t="str">
        <f t="shared" si="37"/>
        <v>E2_7_9_3_mRNA</v>
      </c>
      <c r="D210" t="str">
        <f t="shared" si="36"/>
        <v>E2_7_9_3</v>
      </c>
      <c r="E210" s="30" t="str">
        <f t="shared" si="38"/>
        <v>E2_7_9_3_kcat : 13.7</v>
      </c>
      <c r="F210" s="31" t="str">
        <f t="shared" si="39"/>
        <v>E2_7_9_3_km : 1</v>
      </c>
      <c r="G210" s="21" t="str">
        <f t="shared" si="40"/>
        <v>E2_7_9_3_mRNA : E2_7_9_3_mRNA</v>
      </c>
      <c r="H210" s="32" t="str">
        <f t="shared" si="41"/>
        <v>E2_7_9_3 : E2_7_9_3</v>
      </c>
      <c r="I210" s="33" t="str">
        <f t="shared" si="42"/>
        <v>E2_7_9_3_mRNA : 0</v>
      </c>
      <c r="J210" s="34" t="str">
        <f t="shared" si="43"/>
        <v>E2_7_9_3 : 0</v>
      </c>
      <c r="K210" s="35" t="str">
        <f t="shared" si="44"/>
        <v>0.00292 - (0.0093 * E2_7_9_3_mRNA)</v>
      </c>
      <c r="L210" s="30" t="str">
        <f t="shared" si="45"/>
        <v>(0.278 * E2_7_9_3_mRNA) - (0.00000278 * E2_7_9_3)</v>
      </c>
      <c r="M210" s="36" t="str">
        <f t="shared" si="46"/>
        <v>mRNA209: -&gt; E2_7_9_3_mRNA | 0.00292 - (0.0093 * E2_7_9_3_mRNA)</v>
      </c>
      <c r="N210" s="21" t="str">
        <f t="shared" si="47"/>
        <v>Peptide209:  E2_7_9_3_mRNA -&gt; E2_7_9_3 | (0.278 * E2_7_9_3_mRNA) - (0.00000278 * E2_7_9_3)</v>
      </c>
    </row>
    <row r="211" spans="1:14" x14ac:dyDescent="0.45">
      <c r="A211">
        <v>210</v>
      </c>
      <c r="B211" t="s">
        <v>15168</v>
      </c>
      <c r="C211" t="str">
        <f t="shared" si="37"/>
        <v>E2_8_1_10_mRNA</v>
      </c>
      <c r="D211" t="str">
        <f t="shared" si="36"/>
        <v>E2_8_1_10</v>
      </c>
      <c r="E211" s="30" t="str">
        <f t="shared" si="38"/>
        <v>E2_8_1_10_kcat : 13.7</v>
      </c>
      <c r="F211" s="31" t="str">
        <f t="shared" si="39"/>
        <v>E2_8_1_10_km : 1</v>
      </c>
      <c r="G211" s="21" t="str">
        <f t="shared" si="40"/>
        <v>E2_8_1_10_mRNA : E2_8_1_10_mRNA</v>
      </c>
      <c r="H211" s="32" t="str">
        <f t="shared" si="41"/>
        <v>E2_8_1_10 : E2_8_1_10</v>
      </c>
      <c r="I211" s="33" t="str">
        <f t="shared" si="42"/>
        <v>E2_8_1_10_mRNA : 0</v>
      </c>
      <c r="J211" s="34" t="str">
        <f t="shared" si="43"/>
        <v>E2_8_1_10 : 0</v>
      </c>
      <c r="K211" s="35" t="str">
        <f t="shared" si="44"/>
        <v>0.00292 - (0.0093 * E2_8_1_10_mRNA)</v>
      </c>
      <c r="L211" s="30" t="str">
        <f t="shared" si="45"/>
        <v>(0.278 * E2_8_1_10_mRNA) - (0.00000278 * E2_8_1_10)</v>
      </c>
      <c r="M211" s="36" t="str">
        <f t="shared" si="46"/>
        <v>mRNA210: -&gt; E2_8_1_10_mRNA | 0.00292 - (0.0093 * E2_8_1_10_mRNA)</v>
      </c>
      <c r="N211" s="21" t="str">
        <f t="shared" si="47"/>
        <v>Peptide210:  E2_8_1_10_mRNA -&gt; E2_8_1_10 | (0.278 * E2_8_1_10_mRNA) - (0.00000278 * E2_8_1_10)</v>
      </c>
    </row>
    <row r="212" spans="1:14" x14ac:dyDescent="0.45">
      <c r="A212">
        <v>211</v>
      </c>
      <c r="B212" t="s">
        <v>15169</v>
      </c>
      <c r="C212" t="str">
        <f t="shared" si="37"/>
        <v>E2_8_1_13_mRNA</v>
      </c>
      <c r="D212" t="str">
        <f t="shared" si="36"/>
        <v>E2_8_1_13</v>
      </c>
      <c r="E212" s="30" t="str">
        <f t="shared" si="38"/>
        <v>E2_8_1_13_kcat : 13.7</v>
      </c>
      <c r="F212" s="31" t="str">
        <f t="shared" si="39"/>
        <v>E2_8_1_13_km : 1</v>
      </c>
      <c r="G212" s="21" t="str">
        <f t="shared" si="40"/>
        <v>E2_8_1_13_mRNA : E2_8_1_13_mRNA</v>
      </c>
      <c r="H212" s="32" t="str">
        <f t="shared" si="41"/>
        <v>E2_8_1_13 : E2_8_1_13</v>
      </c>
      <c r="I212" s="33" t="str">
        <f t="shared" si="42"/>
        <v>E2_8_1_13_mRNA : 0</v>
      </c>
      <c r="J212" s="34" t="str">
        <f t="shared" si="43"/>
        <v>E2_8_1_13 : 0</v>
      </c>
      <c r="K212" s="35" t="str">
        <f t="shared" si="44"/>
        <v>0.00292 - (0.0093 * E2_8_1_13_mRNA)</v>
      </c>
      <c r="L212" s="30" t="str">
        <f t="shared" si="45"/>
        <v>(0.278 * E2_8_1_13_mRNA) - (0.00000278 * E2_8_1_13)</v>
      </c>
      <c r="M212" s="36" t="str">
        <f t="shared" si="46"/>
        <v>mRNA211: -&gt; E2_8_1_13_mRNA | 0.00292 - (0.0093 * E2_8_1_13_mRNA)</v>
      </c>
      <c r="N212" s="21" t="str">
        <f t="shared" si="47"/>
        <v>Peptide211:  E2_8_1_13_mRNA -&gt; E2_8_1_13 | (0.278 * E2_8_1_13_mRNA) - (0.00000278 * E2_8_1_13)</v>
      </c>
    </row>
    <row r="213" spans="1:14" x14ac:dyDescent="0.45">
      <c r="A213">
        <v>212</v>
      </c>
      <c r="B213" t="s">
        <v>15170</v>
      </c>
      <c r="C213" t="str">
        <f t="shared" si="37"/>
        <v>E2_8_1_4_mRNA</v>
      </c>
      <c r="D213" t="str">
        <f t="shared" si="36"/>
        <v>E2_8_1_4</v>
      </c>
      <c r="E213" s="30" t="str">
        <f t="shared" si="38"/>
        <v>E2_8_1_4_kcat : 13.7</v>
      </c>
      <c r="F213" s="31" t="str">
        <f t="shared" si="39"/>
        <v>E2_8_1_4_km : 1</v>
      </c>
      <c r="G213" s="21" t="str">
        <f t="shared" si="40"/>
        <v>E2_8_1_4_mRNA : E2_8_1_4_mRNA</v>
      </c>
      <c r="H213" s="32" t="str">
        <f t="shared" si="41"/>
        <v>E2_8_1_4 : E2_8_1_4</v>
      </c>
      <c r="I213" s="33" t="str">
        <f t="shared" si="42"/>
        <v>E2_8_1_4_mRNA : 0</v>
      </c>
      <c r="J213" s="34" t="str">
        <f t="shared" si="43"/>
        <v>E2_8_1_4 : 0</v>
      </c>
      <c r="K213" s="35" t="str">
        <f t="shared" si="44"/>
        <v>0.00292 - (0.0093 * E2_8_1_4_mRNA)</v>
      </c>
      <c r="L213" s="30" t="str">
        <f t="shared" si="45"/>
        <v>(0.278 * E2_8_1_4_mRNA) - (0.00000278 * E2_8_1_4)</v>
      </c>
      <c r="M213" s="36" t="str">
        <f t="shared" si="46"/>
        <v>mRNA212: -&gt; E2_8_1_4_mRNA | 0.00292 - (0.0093 * E2_8_1_4_mRNA)</v>
      </c>
      <c r="N213" s="21" t="str">
        <f t="shared" si="47"/>
        <v>Peptide212:  E2_8_1_4_mRNA -&gt; E2_8_1_4 | (0.278 * E2_8_1_4_mRNA) - (0.00000278 * E2_8_1_4)</v>
      </c>
    </row>
    <row r="214" spans="1:14" x14ac:dyDescent="0.45">
      <c r="A214">
        <v>213</v>
      </c>
      <c r="B214" t="s">
        <v>15171</v>
      </c>
      <c r="C214" t="str">
        <f t="shared" si="37"/>
        <v>E2_8_1_6_mRNA</v>
      </c>
      <c r="D214" t="str">
        <f t="shared" si="36"/>
        <v>E2_8_1_6</v>
      </c>
      <c r="E214" s="30" t="str">
        <f t="shared" si="38"/>
        <v>E2_8_1_6_kcat : 13.7</v>
      </c>
      <c r="F214" s="31" t="str">
        <f t="shared" si="39"/>
        <v>E2_8_1_6_km : 1</v>
      </c>
      <c r="G214" s="21" t="str">
        <f t="shared" si="40"/>
        <v>E2_8_1_6_mRNA : E2_8_1_6_mRNA</v>
      </c>
      <c r="H214" s="32" t="str">
        <f t="shared" si="41"/>
        <v>E2_8_1_6 : E2_8_1_6</v>
      </c>
      <c r="I214" s="33" t="str">
        <f t="shared" si="42"/>
        <v>E2_8_1_6_mRNA : 0</v>
      </c>
      <c r="J214" s="34" t="str">
        <f t="shared" si="43"/>
        <v>E2_8_1_6 : 0</v>
      </c>
      <c r="K214" s="35" t="str">
        <f t="shared" si="44"/>
        <v>0.00292 - (0.0093 * E2_8_1_6_mRNA)</v>
      </c>
      <c r="L214" s="30" t="str">
        <f t="shared" si="45"/>
        <v>(0.278 * E2_8_1_6_mRNA) - (0.00000278 * E2_8_1_6)</v>
      </c>
      <c r="M214" s="36" t="str">
        <f t="shared" si="46"/>
        <v>mRNA213: -&gt; E2_8_1_6_mRNA | 0.00292 - (0.0093 * E2_8_1_6_mRNA)</v>
      </c>
      <c r="N214" s="21" t="str">
        <f t="shared" si="47"/>
        <v>Peptide213:  E2_8_1_6_mRNA -&gt; E2_8_1_6 | (0.278 * E2_8_1_6_mRNA) - (0.00000278 * E2_8_1_6)</v>
      </c>
    </row>
    <row r="215" spans="1:14" x14ac:dyDescent="0.45">
      <c r="A215">
        <v>214</v>
      </c>
      <c r="B215" t="s">
        <v>15172</v>
      </c>
      <c r="C215" t="str">
        <f t="shared" si="37"/>
        <v>E2_8_1_7_mRNA</v>
      </c>
      <c r="D215" t="str">
        <f t="shared" si="36"/>
        <v>E2_8_1_7</v>
      </c>
      <c r="E215" s="30" t="str">
        <f t="shared" si="38"/>
        <v>E2_8_1_7_kcat : 13.7</v>
      </c>
      <c r="F215" s="31" t="str">
        <f t="shared" si="39"/>
        <v>E2_8_1_7_km : 1</v>
      </c>
      <c r="G215" s="21" t="str">
        <f t="shared" si="40"/>
        <v>E2_8_1_7_mRNA : E2_8_1_7_mRNA</v>
      </c>
      <c r="H215" s="32" t="str">
        <f t="shared" si="41"/>
        <v>E2_8_1_7 : E2_8_1_7</v>
      </c>
      <c r="I215" s="33" t="str">
        <f t="shared" si="42"/>
        <v>E2_8_1_7_mRNA : 0</v>
      </c>
      <c r="J215" s="34" t="str">
        <f t="shared" si="43"/>
        <v>E2_8_1_7 : 0</v>
      </c>
      <c r="K215" s="35" t="str">
        <f t="shared" si="44"/>
        <v>0.00292 - (0.0093 * E2_8_1_7_mRNA)</v>
      </c>
      <c r="L215" s="30" t="str">
        <f t="shared" si="45"/>
        <v>(0.278 * E2_8_1_7_mRNA) - (0.00000278 * E2_8_1_7)</v>
      </c>
      <c r="M215" s="36" t="str">
        <f t="shared" si="46"/>
        <v>mRNA214: -&gt; E2_8_1_7_mRNA | 0.00292 - (0.0093 * E2_8_1_7_mRNA)</v>
      </c>
      <c r="N215" s="21" t="str">
        <f t="shared" si="47"/>
        <v>Peptide214:  E2_8_1_7_mRNA -&gt; E2_8_1_7 | (0.278 * E2_8_1_7_mRNA) - (0.00000278 * E2_8_1_7)</v>
      </c>
    </row>
    <row r="216" spans="1:14" x14ac:dyDescent="0.45">
      <c r="A216">
        <v>215</v>
      </c>
      <c r="B216" t="s">
        <v>15173</v>
      </c>
      <c r="C216" t="str">
        <f t="shared" si="37"/>
        <v>E2_8_4_3_mRNA</v>
      </c>
      <c r="D216" t="str">
        <f t="shared" si="36"/>
        <v>E2_8_4_3</v>
      </c>
      <c r="E216" s="30" t="str">
        <f t="shared" si="38"/>
        <v>E2_8_4_3_kcat : 13.7</v>
      </c>
      <c r="F216" s="31" t="str">
        <f t="shared" si="39"/>
        <v>E2_8_4_3_km : 1</v>
      </c>
      <c r="G216" s="21" t="str">
        <f t="shared" si="40"/>
        <v>E2_8_4_3_mRNA : E2_8_4_3_mRNA</v>
      </c>
      <c r="H216" s="32" t="str">
        <f t="shared" si="41"/>
        <v>E2_8_4_3 : E2_8_4_3</v>
      </c>
      <c r="I216" s="33" t="str">
        <f t="shared" si="42"/>
        <v>E2_8_4_3_mRNA : 0</v>
      </c>
      <c r="J216" s="34" t="str">
        <f t="shared" si="43"/>
        <v>E2_8_4_3 : 0</v>
      </c>
      <c r="K216" s="35" t="str">
        <f t="shared" si="44"/>
        <v>0.00292 - (0.0093 * E2_8_4_3_mRNA)</v>
      </c>
      <c r="L216" s="30" t="str">
        <f t="shared" si="45"/>
        <v>(0.278 * E2_8_4_3_mRNA) - (0.00000278 * E2_8_4_3)</v>
      </c>
      <c r="M216" s="36" t="str">
        <f t="shared" si="46"/>
        <v>mRNA215: -&gt; E2_8_4_3_mRNA | 0.00292 - (0.0093 * E2_8_4_3_mRNA)</v>
      </c>
      <c r="N216" s="21" t="str">
        <f t="shared" si="47"/>
        <v>Peptide215:  E2_8_4_3_mRNA -&gt; E2_8_4_3 | (0.278 * E2_8_4_3_mRNA) - (0.00000278 * E2_8_4_3)</v>
      </c>
    </row>
    <row r="217" spans="1:14" x14ac:dyDescent="0.45">
      <c r="A217">
        <v>216</v>
      </c>
      <c r="B217" t="s">
        <v>15174</v>
      </c>
      <c r="C217" t="str">
        <f t="shared" si="37"/>
        <v>E2_8_4_4_mRNA</v>
      </c>
      <c r="D217" t="str">
        <f t="shared" si="36"/>
        <v>E2_8_4_4</v>
      </c>
      <c r="E217" s="30" t="str">
        <f t="shared" si="38"/>
        <v>E2_8_4_4_kcat : 13.7</v>
      </c>
      <c r="F217" s="31" t="str">
        <f t="shared" si="39"/>
        <v>E2_8_4_4_km : 1</v>
      </c>
      <c r="G217" s="21" t="str">
        <f t="shared" si="40"/>
        <v>E2_8_4_4_mRNA : E2_8_4_4_mRNA</v>
      </c>
      <c r="H217" s="32" t="str">
        <f t="shared" si="41"/>
        <v>E2_8_4_4 : E2_8_4_4</v>
      </c>
      <c r="I217" s="33" t="str">
        <f t="shared" si="42"/>
        <v>E2_8_4_4_mRNA : 0</v>
      </c>
      <c r="J217" s="34" t="str">
        <f t="shared" si="43"/>
        <v>E2_8_4_4 : 0</v>
      </c>
      <c r="K217" s="35" t="str">
        <f t="shared" si="44"/>
        <v>0.00292 - (0.0093 * E2_8_4_4_mRNA)</v>
      </c>
      <c r="L217" s="30" t="str">
        <f t="shared" si="45"/>
        <v>(0.278 * E2_8_4_4_mRNA) - (0.00000278 * E2_8_4_4)</v>
      </c>
      <c r="M217" s="36" t="str">
        <f t="shared" si="46"/>
        <v>mRNA216: -&gt; E2_8_4_4_mRNA | 0.00292 - (0.0093 * E2_8_4_4_mRNA)</v>
      </c>
      <c r="N217" s="21" t="str">
        <f t="shared" si="47"/>
        <v>Peptide216:  E2_8_4_4_mRNA -&gt; E2_8_4_4 | (0.278 * E2_8_4_4_mRNA) - (0.00000278 * E2_8_4_4)</v>
      </c>
    </row>
    <row r="218" spans="1:14" x14ac:dyDescent="0.45">
      <c r="A218">
        <v>217</v>
      </c>
      <c r="B218" t="s">
        <v>15175</v>
      </c>
      <c r="C218" t="str">
        <f t="shared" si="37"/>
        <v>E2_9_1_1_mRNA</v>
      </c>
      <c r="D218" t="str">
        <f t="shared" si="36"/>
        <v>E2_9_1_1</v>
      </c>
      <c r="E218" s="30" t="str">
        <f t="shared" si="38"/>
        <v>E2_9_1_1_kcat : 13.7</v>
      </c>
      <c r="F218" s="31" t="str">
        <f t="shared" si="39"/>
        <v>E2_9_1_1_km : 1</v>
      </c>
      <c r="G218" s="21" t="str">
        <f t="shared" si="40"/>
        <v>E2_9_1_1_mRNA : E2_9_1_1_mRNA</v>
      </c>
      <c r="H218" s="32" t="str">
        <f t="shared" si="41"/>
        <v>E2_9_1_1 : E2_9_1_1</v>
      </c>
      <c r="I218" s="33" t="str">
        <f t="shared" si="42"/>
        <v>E2_9_1_1_mRNA : 0</v>
      </c>
      <c r="J218" s="34" t="str">
        <f t="shared" si="43"/>
        <v>E2_9_1_1 : 0</v>
      </c>
      <c r="K218" s="35" t="str">
        <f t="shared" si="44"/>
        <v>0.00292 - (0.0093 * E2_9_1_1_mRNA)</v>
      </c>
      <c r="L218" s="30" t="str">
        <f t="shared" si="45"/>
        <v>(0.278 * E2_9_1_1_mRNA) - (0.00000278 * E2_9_1_1)</v>
      </c>
      <c r="M218" s="36" t="str">
        <f t="shared" si="46"/>
        <v>mRNA217: -&gt; E2_9_1_1_mRNA | 0.00292 - (0.0093 * E2_9_1_1_mRNA)</v>
      </c>
      <c r="N218" s="21" t="str">
        <f t="shared" si="47"/>
        <v>Peptide217:  E2_9_1_1_mRNA -&gt; E2_9_1_1 | (0.278 * E2_9_1_1_mRNA) - (0.00000278 * E2_9_1_1)</v>
      </c>
    </row>
    <row r="219" spans="1:14" x14ac:dyDescent="0.45">
      <c r="A219">
        <v>218</v>
      </c>
      <c r="B219" t="s">
        <v>15176</v>
      </c>
      <c r="C219" t="str">
        <f t="shared" si="37"/>
        <v>E3_1_1_29_mRNA</v>
      </c>
      <c r="D219" t="str">
        <f t="shared" si="36"/>
        <v>E3_1_1_29</v>
      </c>
      <c r="E219" s="30" t="str">
        <f t="shared" si="38"/>
        <v>E3_1_1_29_kcat : 13.7</v>
      </c>
      <c r="F219" s="31" t="str">
        <f t="shared" si="39"/>
        <v>E3_1_1_29_km : 1</v>
      </c>
      <c r="G219" s="21" t="str">
        <f t="shared" si="40"/>
        <v>E3_1_1_29_mRNA : E3_1_1_29_mRNA</v>
      </c>
      <c r="H219" s="32" t="str">
        <f t="shared" si="41"/>
        <v>E3_1_1_29 : E3_1_1_29</v>
      </c>
      <c r="I219" s="33" t="str">
        <f t="shared" si="42"/>
        <v>E3_1_1_29_mRNA : 0</v>
      </c>
      <c r="J219" s="34" t="str">
        <f t="shared" si="43"/>
        <v>E3_1_1_29 : 0</v>
      </c>
      <c r="K219" s="35" t="str">
        <f t="shared" si="44"/>
        <v>0.00292 - (0.0093 * E3_1_1_29_mRNA)</v>
      </c>
      <c r="L219" s="30" t="str">
        <f t="shared" si="45"/>
        <v>(0.278 * E3_1_1_29_mRNA) - (0.00000278 * E3_1_1_29)</v>
      </c>
      <c r="M219" s="36" t="str">
        <f t="shared" si="46"/>
        <v>mRNA218: -&gt; E3_1_1_29_mRNA | 0.00292 - (0.0093 * E3_1_1_29_mRNA)</v>
      </c>
      <c r="N219" s="21" t="str">
        <f t="shared" si="47"/>
        <v>Peptide218:  E3_1_1_29_mRNA -&gt; E3_1_1_29 | (0.278 * E3_1_1_29_mRNA) - (0.00000278 * E3_1_1_29)</v>
      </c>
    </row>
    <row r="220" spans="1:14" x14ac:dyDescent="0.45">
      <c r="A220">
        <v>219</v>
      </c>
      <c r="B220" t="s">
        <v>15177</v>
      </c>
      <c r="C220" t="str">
        <f t="shared" si="37"/>
        <v>E3_1_3_15_mRNA</v>
      </c>
      <c r="D220" t="str">
        <f t="shared" si="36"/>
        <v>E3_1_3_15</v>
      </c>
      <c r="E220" s="30" t="str">
        <f t="shared" si="38"/>
        <v>E3_1_3_15_kcat : 13.7</v>
      </c>
      <c r="F220" s="31" t="str">
        <f t="shared" si="39"/>
        <v>E3_1_3_15_km : 1</v>
      </c>
      <c r="G220" s="21" t="str">
        <f t="shared" si="40"/>
        <v>E3_1_3_15_mRNA : E3_1_3_15_mRNA</v>
      </c>
      <c r="H220" s="32" t="str">
        <f t="shared" si="41"/>
        <v>E3_1_3_15 : E3_1_3_15</v>
      </c>
      <c r="I220" s="33" t="str">
        <f t="shared" si="42"/>
        <v>E3_1_3_15_mRNA : 0</v>
      </c>
      <c r="J220" s="34" t="str">
        <f t="shared" si="43"/>
        <v>E3_1_3_15 : 0</v>
      </c>
      <c r="K220" s="35" t="str">
        <f t="shared" si="44"/>
        <v>0.00292 - (0.0093 * E3_1_3_15_mRNA)</v>
      </c>
      <c r="L220" s="30" t="str">
        <f t="shared" si="45"/>
        <v>(0.278 * E3_1_3_15_mRNA) - (0.00000278 * E3_1_3_15)</v>
      </c>
      <c r="M220" s="36" t="str">
        <f t="shared" si="46"/>
        <v>mRNA219: -&gt; E3_1_3_15_mRNA | 0.00292 - (0.0093 * E3_1_3_15_mRNA)</v>
      </c>
      <c r="N220" s="21" t="str">
        <f t="shared" si="47"/>
        <v>Peptide219:  E3_1_3_15_mRNA -&gt; E3_1_3_15 | (0.278 * E3_1_3_15_mRNA) - (0.00000278 * E3_1_3_15)</v>
      </c>
    </row>
    <row r="221" spans="1:14" x14ac:dyDescent="0.45">
      <c r="A221">
        <v>220</v>
      </c>
      <c r="B221" t="s">
        <v>15178</v>
      </c>
      <c r="C221" t="str">
        <f t="shared" si="37"/>
        <v>E3_1_3_16_mRNA</v>
      </c>
      <c r="D221" t="str">
        <f t="shared" si="36"/>
        <v>E3_1_3_16</v>
      </c>
      <c r="E221" s="30" t="str">
        <f t="shared" si="38"/>
        <v>E3_1_3_16_kcat : 13.7</v>
      </c>
      <c r="F221" s="31" t="str">
        <f t="shared" si="39"/>
        <v>E3_1_3_16_km : 1</v>
      </c>
      <c r="G221" s="21" t="str">
        <f t="shared" si="40"/>
        <v>E3_1_3_16_mRNA : E3_1_3_16_mRNA</v>
      </c>
      <c r="H221" s="32" t="str">
        <f t="shared" si="41"/>
        <v>E3_1_3_16 : E3_1_3_16</v>
      </c>
      <c r="I221" s="33" t="str">
        <f t="shared" si="42"/>
        <v>E3_1_3_16_mRNA : 0</v>
      </c>
      <c r="J221" s="34" t="str">
        <f t="shared" si="43"/>
        <v>E3_1_3_16 : 0</v>
      </c>
      <c r="K221" s="35" t="str">
        <f t="shared" si="44"/>
        <v>0.00292 - (0.0093 * E3_1_3_16_mRNA)</v>
      </c>
      <c r="L221" s="30" t="str">
        <f t="shared" si="45"/>
        <v>(0.278 * E3_1_3_16_mRNA) - (0.00000278 * E3_1_3_16)</v>
      </c>
      <c r="M221" s="36" t="str">
        <f t="shared" si="46"/>
        <v>mRNA220: -&gt; E3_1_3_16_mRNA | 0.00292 - (0.0093 * E3_1_3_16_mRNA)</v>
      </c>
      <c r="N221" s="21" t="str">
        <f t="shared" si="47"/>
        <v>Peptide220:  E3_1_3_16_mRNA -&gt; E3_1_3_16 | (0.278 * E3_1_3_16_mRNA) - (0.00000278 * E3_1_3_16)</v>
      </c>
    </row>
    <row r="222" spans="1:14" x14ac:dyDescent="0.45">
      <c r="A222">
        <v>221</v>
      </c>
      <c r="B222" t="s">
        <v>15179</v>
      </c>
      <c r="C222" t="str">
        <f t="shared" si="37"/>
        <v>E3_1_3_23_mRNA</v>
      </c>
      <c r="D222" t="str">
        <f t="shared" si="36"/>
        <v>E3_1_3_23</v>
      </c>
      <c r="E222" s="30" t="str">
        <f t="shared" si="38"/>
        <v>E3_1_3_23_kcat : 13.7</v>
      </c>
      <c r="F222" s="31" t="str">
        <f t="shared" si="39"/>
        <v>E3_1_3_23_km : 1</v>
      </c>
      <c r="G222" s="21" t="str">
        <f t="shared" si="40"/>
        <v>E3_1_3_23_mRNA : E3_1_3_23_mRNA</v>
      </c>
      <c r="H222" s="32" t="str">
        <f t="shared" si="41"/>
        <v>E3_1_3_23 : E3_1_3_23</v>
      </c>
      <c r="I222" s="33" t="str">
        <f t="shared" si="42"/>
        <v>E3_1_3_23_mRNA : 0</v>
      </c>
      <c r="J222" s="34" t="str">
        <f t="shared" si="43"/>
        <v>E3_1_3_23 : 0</v>
      </c>
      <c r="K222" s="35" t="str">
        <f t="shared" si="44"/>
        <v>0.00292 - (0.0093 * E3_1_3_23_mRNA)</v>
      </c>
      <c r="L222" s="30" t="str">
        <f t="shared" si="45"/>
        <v>(0.278 * E3_1_3_23_mRNA) - (0.00000278 * E3_1_3_23)</v>
      </c>
      <c r="M222" s="36" t="str">
        <f t="shared" si="46"/>
        <v>mRNA221: -&gt; E3_1_3_23_mRNA | 0.00292 - (0.0093 * E3_1_3_23_mRNA)</v>
      </c>
      <c r="N222" s="21" t="str">
        <f t="shared" si="47"/>
        <v>Peptide221:  E3_1_3_23_mRNA -&gt; E3_1_3_23 | (0.278 * E3_1_3_23_mRNA) - (0.00000278 * E3_1_3_23)</v>
      </c>
    </row>
    <row r="223" spans="1:14" x14ac:dyDescent="0.45">
      <c r="A223">
        <v>222</v>
      </c>
      <c r="B223" t="s">
        <v>15180</v>
      </c>
      <c r="C223" t="str">
        <f t="shared" si="37"/>
        <v>E3_1_3_48_mRNA</v>
      </c>
      <c r="D223" t="str">
        <f t="shared" si="36"/>
        <v>E3_1_3_48</v>
      </c>
      <c r="E223" s="30" t="str">
        <f t="shared" si="38"/>
        <v>E3_1_3_48_kcat : 13.7</v>
      </c>
      <c r="F223" s="31" t="str">
        <f t="shared" si="39"/>
        <v>E3_1_3_48_km : 1</v>
      </c>
      <c r="G223" s="21" t="str">
        <f t="shared" si="40"/>
        <v>E3_1_3_48_mRNA : E3_1_3_48_mRNA</v>
      </c>
      <c r="H223" s="32" t="str">
        <f t="shared" si="41"/>
        <v>E3_1_3_48 : E3_1_3_48</v>
      </c>
      <c r="I223" s="33" t="str">
        <f t="shared" si="42"/>
        <v>E3_1_3_48_mRNA : 0</v>
      </c>
      <c r="J223" s="34" t="str">
        <f t="shared" si="43"/>
        <v>E3_1_3_48 : 0</v>
      </c>
      <c r="K223" s="35" t="str">
        <f t="shared" si="44"/>
        <v>0.00292 - (0.0093 * E3_1_3_48_mRNA)</v>
      </c>
      <c r="L223" s="30" t="str">
        <f t="shared" si="45"/>
        <v>(0.278 * E3_1_3_48_mRNA) - (0.00000278 * E3_1_3_48)</v>
      </c>
      <c r="M223" s="36" t="str">
        <f t="shared" si="46"/>
        <v>mRNA222: -&gt; E3_1_3_48_mRNA | 0.00292 - (0.0093 * E3_1_3_48_mRNA)</v>
      </c>
      <c r="N223" s="21" t="str">
        <f t="shared" si="47"/>
        <v>Peptide222:  E3_1_3_48_mRNA -&gt; E3_1_3_48 | (0.278 * E3_1_3_48_mRNA) - (0.00000278 * E3_1_3_48)</v>
      </c>
    </row>
    <row r="224" spans="1:14" x14ac:dyDescent="0.45">
      <c r="A224">
        <v>223</v>
      </c>
      <c r="B224" t="s">
        <v>15181</v>
      </c>
      <c r="C224" t="str">
        <f t="shared" si="37"/>
        <v>E3_1_3_5_mRNA</v>
      </c>
      <c r="D224" t="str">
        <f t="shared" si="36"/>
        <v>E3_1_3_5</v>
      </c>
      <c r="E224" s="30" t="str">
        <f t="shared" si="38"/>
        <v>E3_1_3_5_kcat : 13.7</v>
      </c>
      <c r="F224" s="31" t="str">
        <f t="shared" si="39"/>
        <v>E3_1_3_5_km : 1</v>
      </c>
      <c r="G224" s="21" t="str">
        <f t="shared" si="40"/>
        <v>E3_1_3_5_mRNA : E3_1_3_5_mRNA</v>
      </c>
      <c r="H224" s="32" t="str">
        <f t="shared" si="41"/>
        <v>E3_1_3_5 : E3_1_3_5</v>
      </c>
      <c r="I224" s="33" t="str">
        <f t="shared" si="42"/>
        <v>E3_1_3_5_mRNA : 0</v>
      </c>
      <c r="J224" s="34" t="str">
        <f t="shared" si="43"/>
        <v>E3_1_3_5 : 0</v>
      </c>
      <c r="K224" s="35" t="str">
        <f t="shared" si="44"/>
        <v>0.00292 - (0.0093 * E3_1_3_5_mRNA)</v>
      </c>
      <c r="L224" s="30" t="str">
        <f t="shared" si="45"/>
        <v>(0.278 * E3_1_3_5_mRNA) - (0.00000278 * E3_1_3_5)</v>
      </c>
      <c r="M224" s="36" t="str">
        <f t="shared" si="46"/>
        <v>mRNA223: -&gt; E3_1_3_5_mRNA | 0.00292 - (0.0093 * E3_1_3_5_mRNA)</v>
      </c>
      <c r="N224" s="21" t="str">
        <f t="shared" si="47"/>
        <v>Peptide223:  E3_1_3_5_mRNA -&gt; E3_1_3_5 | (0.278 * E3_1_3_5_mRNA) - (0.00000278 * E3_1_3_5)</v>
      </c>
    </row>
    <row r="225" spans="1:14" x14ac:dyDescent="0.45">
      <c r="A225">
        <v>224</v>
      </c>
      <c r="B225" t="s">
        <v>15182</v>
      </c>
      <c r="C225" t="str">
        <f t="shared" si="37"/>
        <v>E3_1_4_52_mRNA</v>
      </c>
      <c r="D225" t="str">
        <f t="shared" si="36"/>
        <v>E3_1_4_52</v>
      </c>
      <c r="E225" s="30" t="str">
        <f t="shared" si="38"/>
        <v>E3_1_4_52_kcat : 13.7</v>
      </c>
      <c r="F225" s="31" t="str">
        <f t="shared" si="39"/>
        <v>E3_1_4_52_km : 1</v>
      </c>
      <c r="G225" s="21" t="str">
        <f t="shared" si="40"/>
        <v>E3_1_4_52_mRNA : E3_1_4_52_mRNA</v>
      </c>
      <c r="H225" s="32" t="str">
        <f t="shared" si="41"/>
        <v>E3_1_4_52 : E3_1_4_52</v>
      </c>
      <c r="I225" s="33" t="str">
        <f t="shared" si="42"/>
        <v>E3_1_4_52_mRNA : 0</v>
      </c>
      <c r="J225" s="34" t="str">
        <f t="shared" si="43"/>
        <v>E3_1_4_52 : 0</v>
      </c>
      <c r="K225" s="35" t="str">
        <f t="shared" si="44"/>
        <v>0.00292 - (0.0093 * E3_1_4_52_mRNA)</v>
      </c>
      <c r="L225" s="30" t="str">
        <f t="shared" si="45"/>
        <v>(0.278 * E3_1_4_52_mRNA) - (0.00000278 * E3_1_4_52)</v>
      </c>
      <c r="M225" s="36" t="str">
        <f t="shared" si="46"/>
        <v>mRNA224: -&gt; E3_1_4_52_mRNA | 0.00292 - (0.0093 * E3_1_4_52_mRNA)</v>
      </c>
      <c r="N225" s="21" t="str">
        <f t="shared" si="47"/>
        <v>Peptide224:  E3_1_4_52_mRNA -&gt; E3_1_4_52 | (0.278 * E3_1_4_52_mRNA) - (0.00000278 * E3_1_4_52)</v>
      </c>
    </row>
    <row r="226" spans="1:14" x14ac:dyDescent="0.45">
      <c r="A226">
        <v>225</v>
      </c>
      <c r="B226" t="s">
        <v>15183</v>
      </c>
      <c r="C226" t="str">
        <f t="shared" si="37"/>
        <v>E3_2_1_170_mRNA</v>
      </c>
      <c r="D226" t="str">
        <f t="shared" si="36"/>
        <v>E3_2_1_170</v>
      </c>
      <c r="E226" s="30" t="str">
        <f t="shared" si="38"/>
        <v>E3_2_1_170_kcat : 13.7</v>
      </c>
      <c r="F226" s="31" t="str">
        <f t="shared" si="39"/>
        <v>E3_2_1_170_km : 1</v>
      </c>
      <c r="G226" s="21" t="str">
        <f t="shared" si="40"/>
        <v>E3_2_1_170_mRNA : E3_2_1_170_mRNA</v>
      </c>
      <c r="H226" s="32" t="str">
        <f t="shared" si="41"/>
        <v>E3_2_1_170 : E3_2_1_170</v>
      </c>
      <c r="I226" s="33" t="str">
        <f t="shared" si="42"/>
        <v>E3_2_1_170_mRNA : 0</v>
      </c>
      <c r="J226" s="34" t="str">
        <f t="shared" si="43"/>
        <v>E3_2_1_170 : 0</v>
      </c>
      <c r="K226" s="35" t="str">
        <f t="shared" si="44"/>
        <v>0.00292 - (0.0093 * E3_2_1_170_mRNA)</v>
      </c>
      <c r="L226" s="30" t="str">
        <f t="shared" si="45"/>
        <v>(0.278 * E3_2_1_170_mRNA) - (0.00000278 * E3_2_1_170)</v>
      </c>
      <c r="M226" s="36" t="str">
        <f t="shared" si="46"/>
        <v>mRNA225: -&gt; E3_2_1_170_mRNA | 0.00292 - (0.0093 * E3_2_1_170_mRNA)</v>
      </c>
      <c r="N226" s="21" t="str">
        <f t="shared" si="47"/>
        <v>Peptide225:  E3_2_1_170_mRNA -&gt; E3_2_1_170 | (0.278 * E3_2_1_170_mRNA) - (0.00000278 * E3_2_1_170)</v>
      </c>
    </row>
    <row r="227" spans="1:14" x14ac:dyDescent="0.45">
      <c r="A227">
        <v>226</v>
      </c>
      <c r="B227" t="s">
        <v>15184</v>
      </c>
      <c r="C227" t="str">
        <f t="shared" si="37"/>
        <v>E3_2_1_20_mRNA</v>
      </c>
      <c r="D227" t="str">
        <f t="shared" si="36"/>
        <v>E3_2_1_20</v>
      </c>
      <c r="E227" s="30" t="str">
        <f t="shared" si="38"/>
        <v>E3_2_1_20_kcat : 13.7</v>
      </c>
      <c r="F227" s="31" t="str">
        <f t="shared" si="39"/>
        <v>E3_2_1_20_km : 1</v>
      </c>
      <c r="G227" s="21" t="str">
        <f t="shared" si="40"/>
        <v>E3_2_1_20_mRNA : E3_2_1_20_mRNA</v>
      </c>
      <c r="H227" s="32" t="str">
        <f t="shared" si="41"/>
        <v>E3_2_1_20 : E3_2_1_20</v>
      </c>
      <c r="I227" s="33" t="str">
        <f t="shared" si="42"/>
        <v>E3_2_1_20_mRNA : 0</v>
      </c>
      <c r="J227" s="34" t="str">
        <f t="shared" si="43"/>
        <v>E3_2_1_20 : 0</v>
      </c>
      <c r="K227" s="35" t="str">
        <f t="shared" si="44"/>
        <v>0.00292 - (0.0093 * E3_2_1_20_mRNA)</v>
      </c>
      <c r="L227" s="30" t="str">
        <f t="shared" si="45"/>
        <v>(0.278 * E3_2_1_20_mRNA) - (0.00000278 * E3_2_1_20)</v>
      </c>
      <c r="M227" s="36" t="str">
        <f t="shared" si="46"/>
        <v>mRNA226: -&gt; E3_2_1_20_mRNA | 0.00292 - (0.0093 * E3_2_1_20_mRNA)</v>
      </c>
      <c r="N227" s="21" t="str">
        <f t="shared" si="47"/>
        <v>Peptide226:  E3_2_1_20_mRNA -&gt; E3_2_1_20 | (0.278 * E3_2_1_20_mRNA) - (0.00000278 * E3_2_1_20)</v>
      </c>
    </row>
    <row r="228" spans="1:14" x14ac:dyDescent="0.45">
      <c r="A228">
        <v>227</v>
      </c>
      <c r="B228" t="s">
        <v>15185</v>
      </c>
      <c r="C228" t="str">
        <f t="shared" si="37"/>
        <v>E3_2_1_86_mRNA</v>
      </c>
      <c r="D228" t="str">
        <f t="shared" si="36"/>
        <v>E3_2_1_86</v>
      </c>
      <c r="E228" s="30" t="str">
        <f t="shared" si="38"/>
        <v>E3_2_1_86_kcat : 13.7</v>
      </c>
      <c r="F228" s="31" t="str">
        <f t="shared" si="39"/>
        <v>E3_2_1_86_km : 1</v>
      </c>
      <c r="G228" s="21" t="str">
        <f t="shared" si="40"/>
        <v>E3_2_1_86_mRNA : E3_2_1_86_mRNA</v>
      </c>
      <c r="H228" s="32" t="str">
        <f t="shared" si="41"/>
        <v>E3_2_1_86 : E3_2_1_86</v>
      </c>
      <c r="I228" s="33" t="str">
        <f t="shared" si="42"/>
        <v>E3_2_1_86_mRNA : 0</v>
      </c>
      <c r="J228" s="34" t="str">
        <f t="shared" si="43"/>
        <v>E3_2_1_86 : 0</v>
      </c>
      <c r="K228" s="35" t="str">
        <f t="shared" si="44"/>
        <v>0.00292 - (0.0093 * E3_2_1_86_mRNA)</v>
      </c>
      <c r="L228" s="30" t="str">
        <f t="shared" si="45"/>
        <v>(0.278 * E3_2_1_86_mRNA) - (0.00000278 * E3_2_1_86)</v>
      </c>
      <c r="M228" s="36" t="str">
        <f t="shared" si="46"/>
        <v>mRNA227: -&gt; E3_2_1_86_mRNA | 0.00292 - (0.0093 * E3_2_1_86_mRNA)</v>
      </c>
      <c r="N228" s="21" t="str">
        <f t="shared" si="47"/>
        <v>Peptide227:  E3_2_1_86_mRNA -&gt; E3_2_1_86 | (0.278 * E3_2_1_86_mRNA) - (0.00000278 * E3_2_1_86)</v>
      </c>
    </row>
    <row r="229" spans="1:14" x14ac:dyDescent="0.45">
      <c r="A229">
        <v>228</v>
      </c>
      <c r="B229" t="s">
        <v>15186</v>
      </c>
      <c r="C229" t="str">
        <f t="shared" si="37"/>
        <v>E3_2_1_93_mRNA</v>
      </c>
      <c r="D229" t="str">
        <f t="shared" si="36"/>
        <v>E3_2_1_93</v>
      </c>
      <c r="E229" s="30" t="str">
        <f t="shared" si="38"/>
        <v>E3_2_1_93_kcat : 13.7</v>
      </c>
      <c r="F229" s="31" t="str">
        <f t="shared" si="39"/>
        <v>E3_2_1_93_km : 1</v>
      </c>
      <c r="G229" s="21" t="str">
        <f t="shared" si="40"/>
        <v>E3_2_1_93_mRNA : E3_2_1_93_mRNA</v>
      </c>
      <c r="H229" s="32" t="str">
        <f t="shared" si="41"/>
        <v>E3_2_1_93 : E3_2_1_93</v>
      </c>
      <c r="I229" s="33" t="str">
        <f t="shared" si="42"/>
        <v>E3_2_1_93_mRNA : 0</v>
      </c>
      <c r="J229" s="34" t="str">
        <f t="shared" si="43"/>
        <v>E3_2_1_93 : 0</v>
      </c>
      <c r="K229" s="35" t="str">
        <f t="shared" si="44"/>
        <v>0.00292 - (0.0093 * E3_2_1_93_mRNA)</v>
      </c>
      <c r="L229" s="30" t="str">
        <f t="shared" si="45"/>
        <v>(0.278 * E3_2_1_93_mRNA) - (0.00000278 * E3_2_1_93)</v>
      </c>
      <c r="M229" s="36" t="str">
        <f t="shared" si="46"/>
        <v>mRNA228: -&gt; E3_2_1_93_mRNA | 0.00292 - (0.0093 * E3_2_1_93_mRNA)</v>
      </c>
      <c r="N229" s="21" t="str">
        <f t="shared" si="47"/>
        <v>Peptide228:  E3_2_1_93_mRNA -&gt; E3_2_1_93 | (0.278 * E3_2_1_93_mRNA) - (0.00000278 * E3_2_1_93)</v>
      </c>
    </row>
    <row r="230" spans="1:14" x14ac:dyDescent="0.45">
      <c r="A230">
        <v>229</v>
      </c>
      <c r="B230" t="s">
        <v>15187</v>
      </c>
      <c r="C230" t="str">
        <f t="shared" si="37"/>
        <v>E3_2_2_9_mRNA</v>
      </c>
      <c r="D230" t="str">
        <f t="shared" si="36"/>
        <v>E3_2_2_9</v>
      </c>
      <c r="E230" s="30" t="str">
        <f t="shared" si="38"/>
        <v>E3_2_2_9_kcat : 13.7</v>
      </c>
      <c r="F230" s="31" t="str">
        <f t="shared" si="39"/>
        <v>E3_2_2_9_km : 1</v>
      </c>
      <c r="G230" s="21" t="str">
        <f t="shared" si="40"/>
        <v>E3_2_2_9_mRNA : E3_2_2_9_mRNA</v>
      </c>
      <c r="H230" s="32" t="str">
        <f t="shared" si="41"/>
        <v>E3_2_2_9 : E3_2_2_9</v>
      </c>
      <c r="I230" s="33" t="str">
        <f t="shared" si="42"/>
        <v>E3_2_2_9_mRNA : 0</v>
      </c>
      <c r="J230" s="34" t="str">
        <f t="shared" si="43"/>
        <v>E3_2_2_9 : 0</v>
      </c>
      <c r="K230" s="35" t="str">
        <f t="shared" si="44"/>
        <v>0.00292 - (0.0093 * E3_2_2_9_mRNA)</v>
      </c>
      <c r="L230" s="30" t="str">
        <f t="shared" si="45"/>
        <v>(0.278 * E3_2_2_9_mRNA) - (0.00000278 * E3_2_2_9)</v>
      </c>
      <c r="M230" s="36" t="str">
        <f t="shared" si="46"/>
        <v>mRNA229: -&gt; E3_2_2_9_mRNA | 0.00292 - (0.0093 * E3_2_2_9_mRNA)</v>
      </c>
      <c r="N230" s="21" t="str">
        <f t="shared" si="47"/>
        <v>Peptide229:  E3_2_2_9_mRNA -&gt; E3_2_2_9 | (0.278 * E3_2_2_9_mRNA) - (0.00000278 * E3_2_2_9)</v>
      </c>
    </row>
    <row r="231" spans="1:14" x14ac:dyDescent="0.45">
      <c r="A231">
        <v>230</v>
      </c>
      <c r="B231" t="s">
        <v>15188</v>
      </c>
      <c r="C231" t="str">
        <f t="shared" si="37"/>
        <v>E3_4_11_1_mRNA</v>
      </c>
      <c r="D231" t="str">
        <f t="shared" si="36"/>
        <v>E3_4_11_1</v>
      </c>
      <c r="E231" s="30" t="str">
        <f t="shared" si="38"/>
        <v>E3_4_11_1_kcat : 13.7</v>
      </c>
      <c r="F231" s="31" t="str">
        <f t="shared" si="39"/>
        <v>E3_4_11_1_km : 1</v>
      </c>
      <c r="G231" s="21" t="str">
        <f t="shared" si="40"/>
        <v>E3_4_11_1_mRNA : E3_4_11_1_mRNA</v>
      </c>
      <c r="H231" s="32" t="str">
        <f t="shared" si="41"/>
        <v>E3_4_11_1 : E3_4_11_1</v>
      </c>
      <c r="I231" s="33" t="str">
        <f t="shared" si="42"/>
        <v>E3_4_11_1_mRNA : 0</v>
      </c>
      <c r="J231" s="34" t="str">
        <f t="shared" si="43"/>
        <v>E3_4_11_1 : 0</v>
      </c>
      <c r="K231" s="35" t="str">
        <f t="shared" si="44"/>
        <v>0.00292 - (0.0093 * E3_4_11_1_mRNA)</v>
      </c>
      <c r="L231" s="30" t="str">
        <f t="shared" si="45"/>
        <v>(0.278 * E3_4_11_1_mRNA) - (0.00000278 * E3_4_11_1)</v>
      </c>
      <c r="M231" s="36" t="str">
        <f t="shared" si="46"/>
        <v>mRNA230: -&gt; E3_4_11_1_mRNA | 0.00292 - (0.0093 * E3_4_11_1_mRNA)</v>
      </c>
      <c r="N231" s="21" t="str">
        <f t="shared" si="47"/>
        <v>Peptide230:  E3_4_11_1_mRNA -&gt; E3_4_11_1 | (0.278 * E3_4_11_1_mRNA) - (0.00000278 * E3_4_11_1)</v>
      </c>
    </row>
    <row r="232" spans="1:14" x14ac:dyDescent="0.45">
      <c r="A232">
        <v>231</v>
      </c>
      <c r="B232" t="s">
        <v>15189</v>
      </c>
      <c r="C232" t="str">
        <f t="shared" si="37"/>
        <v>E3_4_11_5_mRNA</v>
      </c>
      <c r="D232" t="str">
        <f t="shared" si="36"/>
        <v>E3_4_11_5</v>
      </c>
      <c r="E232" s="30" t="str">
        <f t="shared" si="38"/>
        <v>E3_4_11_5_kcat : 13.7</v>
      </c>
      <c r="F232" s="31" t="str">
        <f t="shared" si="39"/>
        <v>E3_4_11_5_km : 1</v>
      </c>
      <c r="G232" s="21" t="str">
        <f t="shared" si="40"/>
        <v>E3_4_11_5_mRNA : E3_4_11_5_mRNA</v>
      </c>
      <c r="H232" s="32" t="str">
        <f t="shared" si="41"/>
        <v>E3_4_11_5 : E3_4_11_5</v>
      </c>
      <c r="I232" s="33" t="str">
        <f t="shared" si="42"/>
        <v>E3_4_11_5_mRNA : 0</v>
      </c>
      <c r="J232" s="34" t="str">
        <f t="shared" si="43"/>
        <v>E3_4_11_5 : 0</v>
      </c>
      <c r="K232" s="35" t="str">
        <f t="shared" si="44"/>
        <v>0.00292 - (0.0093 * E3_4_11_5_mRNA)</v>
      </c>
      <c r="L232" s="30" t="str">
        <f t="shared" si="45"/>
        <v>(0.278 * E3_4_11_5_mRNA) - (0.00000278 * E3_4_11_5)</v>
      </c>
      <c r="M232" s="36" t="str">
        <f t="shared" si="46"/>
        <v>mRNA231: -&gt; E3_4_11_5_mRNA | 0.00292 - (0.0093 * E3_4_11_5_mRNA)</v>
      </c>
      <c r="N232" s="21" t="str">
        <f t="shared" si="47"/>
        <v>Peptide231:  E3_4_11_5_mRNA -&gt; E3_4_11_5 | (0.278 * E3_4_11_5_mRNA) - (0.00000278 * E3_4_11_5)</v>
      </c>
    </row>
    <row r="233" spans="1:14" x14ac:dyDescent="0.45">
      <c r="A233">
        <v>232</v>
      </c>
      <c r="B233" t="s">
        <v>15190</v>
      </c>
      <c r="C233" t="str">
        <f t="shared" si="37"/>
        <v>E3_5_1_1_mRNA</v>
      </c>
      <c r="D233" t="str">
        <f t="shared" si="36"/>
        <v>E3_5_1_1</v>
      </c>
      <c r="E233" s="30" t="str">
        <f t="shared" si="38"/>
        <v>E3_5_1_1_kcat : 13.7</v>
      </c>
      <c r="F233" s="31" t="str">
        <f t="shared" si="39"/>
        <v>E3_5_1_1_km : 1</v>
      </c>
      <c r="G233" s="21" t="str">
        <f t="shared" si="40"/>
        <v>E3_5_1_1_mRNA : E3_5_1_1_mRNA</v>
      </c>
      <c r="H233" s="32" t="str">
        <f t="shared" si="41"/>
        <v>E3_5_1_1 : E3_5_1_1</v>
      </c>
      <c r="I233" s="33" t="str">
        <f t="shared" si="42"/>
        <v>E3_5_1_1_mRNA : 0</v>
      </c>
      <c r="J233" s="34" t="str">
        <f t="shared" si="43"/>
        <v>E3_5_1_1 : 0</v>
      </c>
      <c r="K233" s="35" t="str">
        <f t="shared" si="44"/>
        <v>0.00292 - (0.0093 * E3_5_1_1_mRNA)</v>
      </c>
      <c r="L233" s="30" t="str">
        <f t="shared" si="45"/>
        <v>(0.278 * E3_5_1_1_mRNA) - (0.00000278 * E3_5_1_1)</v>
      </c>
      <c r="M233" s="36" t="str">
        <f t="shared" si="46"/>
        <v>mRNA232: -&gt; E3_5_1_1_mRNA | 0.00292 - (0.0093 * E3_5_1_1_mRNA)</v>
      </c>
      <c r="N233" s="21" t="str">
        <f t="shared" si="47"/>
        <v>Peptide232:  E3_5_1_1_mRNA -&gt; E3_5_1_1 | (0.278 * E3_5_1_1_mRNA) - (0.00000278 * E3_5_1_1)</v>
      </c>
    </row>
    <row r="234" spans="1:14" x14ac:dyDescent="0.45">
      <c r="A234">
        <v>233</v>
      </c>
      <c r="B234" t="s">
        <v>15191</v>
      </c>
      <c r="C234" t="str">
        <f t="shared" si="37"/>
        <v>E3_5_1_105_mRNA</v>
      </c>
      <c r="D234" t="str">
        <f t="shared" si="36"/>
        <v>E3_5_1_105</v>
      </c>
      <c r="E234" s="30" t="str">
        <f t="shared" si="38"/>
        <v>E3_5_1_105_kcat : 13.7</v>
      </c>
      <c r="F234" s="31" t="str">
        <f t="shared" si="39"/>
        <v>E3_5_1_105_km : 1</v>
      </c>
      <c r="G234" s="21" t="str">
        <f t="shared" si="40"/>
        <v>E3_5_1_105_mRNA : E3_5_1_105_mRNA</v>
      </c>
      <c r="H234" s="32" t="str">
        <f t="shared" si="41"/>
        <v>E3_5_1_105 : E3_5_1_105</v>
      </c>
      <c r="I234" s="33" t="str">
        <f t="shared" si="42"/>
        <v>E3_5_1_105_mRNA : 0</v>
      </c>
      <c r="J234" s="34" t="str">
        <f t="shared" si="43"/>
        <v>E3_5_1_105 : 0</v>
      </c>
      <c r="K234" s="35" t="str">
        <f t="shared" si="44"/>
        <v>0.00292 - (0.0093 * E3_5_1_105_mRNA)</v>
      </c>
      <c r="L234" s="30" t="str">
        <f t="shared" si="45"/>
        <v>(0.278 * E3_5_1_105_mRNA) - (0.00000278 * E3_5_1_105)</v>
      </c>
      <c r="M234" s="36" t="str">
        <f t="shared" si="46"/>
        <v>mRNA233: -&gt; E3_5_1_105_mRNA | 0.00292 - (0.0093 * E3_5_1_105_mRNA)</v>
      </c>
      <c r="N234" s="21" t="str">
        <f t="shared" si="47"/>
        <v>Peptide233:  E3_5_1_105_mRNA -&gt; E3_5_1_105 | (0.278 * E3_5_1_105_mRNA) - (0.00000278 * E3_5_1_105)</v>
      </c>
    </row>
    <row r="235" spans="1:14" x14ac:dyDescent="0.45">
      <c r="A235">
        <v>234</v>
      </c>
      <c r="B235" t="s">
        <v>15192</v>
      </c>
      <c r="C235" t="str">
        <f t="shared" si="37"/>
        <v>E3_5_1_2_mRNA</v>
      </c>
      <c r="D235" t="str">
        <f t="shared" si="36"/>
        <v>E3_5_1_2</v>
      </c>
      <c r="E235" s="30" t="str">
        <f t="shared" si="38"/>
        <v>E3_5_1_2_kcat : 13.7</v>
      </c>
      <c r="F235" s="31" t="str">
        <f t="shared" si="39"/>
        <v>E3_5_1_2_km : 1</v>
      </c>
      <c r="G235" s="21" t="str">
        <f t="shared" si="40"/>
        <v>E3_5_1_2_mRNA : E3_5_1_2_mRNA</v>
      </c>
      <c r="H235" s="32" t="str">
        <f t="shared" si="41"/>
        <v>E3_5_1_2 : E3_5_1_2</v>
      </c>
      <c r="I235" s="33" t="str">
        <f t="shared" si="42"/>
        <v>E3_5_1_2_mRNA : 0</v>
      </c>
      <c r="J235" s="34" t="str">
        <f t="shared" si="43"/>
        <v>E3_5_1_2 : 0</v>
      </c>
      <c r="K235" s="35" t="str">
        <f t="shared" si="44"/>
        <v>0.00292 - (0.0093 * E3_5_1_2_mRNA)</v>
      </c>
      <c r="L235" s="30" t="str">
        <f t="shared" si="45"/>
        <v>(0.278 * E3_5_1_2_mRNA) - (0.00000278 * E3_5_1_2)</v>
      </c>
      <c r="M235" s="36" t="str">
        <f t="shared" si="46"/>
        <v>mRNA234: -&gt; E3_5_1_2_mRNA | 0.00292 - (0.0093 * E3_5_1_2_mRNA)</v>
      </c>
      <c r="N235" s="21" t="str">
        <f t="shared" si="47"/>
        <v>Peptide234:  E3_5_1_2_mRNA -&gt; E3_5_1_2 | (0.278 * E3_5_1_2_mRNA) - (0.00000278 * E3_5_1_2)</v>
      </c>
    </row>
    <row r="236" spans="1:14" x14ac:dyDescent="0.45">
      <c r="A236">
        <v>235</v>
      </c>
      <c r="B236" t="s">
        <v>15193</v>
      </c>
      <c r="C236" t="str">
        <f t="shared" si="37"/>
        <v>E3_5_1_25_mRNA</v>
      </c>
      <c r="D236" t="str">
        <f t="shared" si="36"/>
        <v>E3_5_1_25</v>
      </c>
      <c r="E236" s="30" t="str">
        <f t="shared" si="38"/>
        <v>E3_5_1_25_kcat : 13.7</v>
      </c>
      <c r="F236" s="31" t="str">
        <f t="shared" si="39"/>
        <v>E3_5_1_25_km : 1</v>
      </c>
      <c r="G236" s="21" t="str">
        <f t="shared" si="40"/>
        <v>E3_5_1_25_mRNA : E3_5_1_25_mRNA</v>
      </c>
      <c r="H236" s="32" t="str">
        <f t="shared" si="41"/>
        <v>E3_5_1_25 : E3_5_1_25</v>
      </c>
      <c r="I236" s="33" t="str">
        <f t="shared" si="42"/>
        <v>E3_5_1_25_mRNA : 0</v>
      </c>
      <c r="J236" s="34" t="str">
        <f t="shared" si="43"/>
        <v>E3_5_1_25 : 0</v>
      </c>
      <c r="K236" s="35" t="str">
        <f t="shared" si="44"/>
        <v>0.00292 - (0.0093 * E3_5_1_25_mRNA)</v>
      </c>
      <c r="L236" s="30" t="str">
        <f t="shared" si="45"/>
        <v>(0.278 * E3_5_1_25_mRNA) - (0.00000278 * E3_5_1_25)</v>
      </c>
      <c r="M236" s="36" t="str">
        <f t="shared" si="46"/>
        <v>mRNA235: -&gt; E3_5_1_25_mRNA | 0.00292 - (0.0093 * E3_5_1_25_mRNA)</v>
      </c>
      <c r="N236" s="21" t="str">
        <f t="shared" si="47"/>
        <v>Peptide235:  E3_5_1_25_mRNA -&gt; E3_5_1_25 | (0.278 * E3_5_1_25_mRNA) - (0.00000278 * E3_5_1_25)</v>
      </c>
    </row>
    <row r="237" spans="1:14" x14ac:dyDescent="0.45">
      <c r="A237">
        <v>236</v>
      </c>
      <c r="B237" t="s">
        <v>15194</v>
      </c>
      <c r="C237" t="str">
        <f t="shared" si="37"/>
        <v>E3_5_1_28_mRNA</v>
      </c>
      <c r="D237" t="str">
        <f t="shared" si="36"/>
        <v>E3_5_1_28</v>
      </c>
      <c r="E237" s="30" t="str">
        <f t="shared" si="38"/>
        <v>E3_5_1_28_kcat : 13.7</v>
      </c>
      <c r="F237" s="31" t="str">
        <f t="shared" si="39"/>
        <v>E3_5_1_28_km : 1</v>
      </c>
      <c r="G237" s="21" t="str">
        <f t="shared" si="40"/>
        <v>E3_5_1_28_mRNA : E3_5_1_28_mRNA</v>
      </c>
      <c r="H237" s="32" t="str">
        <f t="shared" si="41"/>
        <v>E3_5_1_28 : E3_5_1_28</v>
      </c>
      <c r="I237" s="33" t="str">
        <f t="shared" si="42"/>
        <v>E3_5_1_28_mRNA : 0</v>
      </c>
      <c r="J237" s="34" t="str">
        <f t="shared" si="43"/>
        <v>E3_5_1_28 : 0</v>
      </c>
      <c r="K237" s="35" t="str">
        <f t="shared" si="44"/>
        <v>0.00292 - (0.0093 * E3_5_1_28_mRNA)</v>
      </c>
      <c r="L237" s="30" t="str">
        <f t="shared" si="45"/>
        <v>(0.278 * E3_5_1_28_mRNA) - (0.00000278 * E3_5_1_28)</v>
      </c>
      <c r="M237" s="36" t="str">
        <f t="shared" si="46"/>
        <v>mRNA236: -&gt; E3_5_1_28_mRNA | 0.00292 - (0.0093 * E3_5_1_28_mRNA)</v>
      </c>
      <c r="N237" s="21" t="str">
        <f t="shared" si="47"/>
        <v>Peptide236:  E3_5_1_28_mRNA -&gt; E3_5_1_28 | (0.278 * E3_5_1_28_mRNA) - (0.00000278 * E3_5_1_28)</v>
      </c>
    </row>
    <row r="238" spans="1:14" x14ac:dyDescent="0.45">
      <c r="A238">
        <v>237</v>
      </c>
      <c r="B238" t="s">
        <v>15195</v>
      </c>
      <c r="C238" t="str">
        <f t="shared" si="37"/>
        <v>E3_5_1_88_mRNA</v>
      </c>
      <c r="D238" t="str">
        <f t="shared" si="36"/>
        <v>E3_5_1_88</v>
      </c>
      <c r="E238" s="30" t="str">
        <f t="shared" si="38"/>
        <v>E3_5_1_88_kcat : 13.7</v>
      </c>
      <c r="F238" s="31" t="str">
        <f t="shared" si="39"/>
        <v>E3_5_1_88_km : 1</v>
      </c>
      <c r="G238" s="21" t="str">
        <f t="shared" si="40"/>
        <v>E3_5_1_88_mRNA : E3_5_1_88_mRNA</v>
      </c>
      <c r="H238" s="32" t="str">
        <f t="shared" si="41"/>
        <v>E3_5_1_88 : E3_5_1_88</v>
      </c>
      <c r="I238" s="33" t="str">
        <f t="shared" si="42"/>
        <v>E3_5_1_88_mRNA : 0</v>
      </c>
      <c r="J238" s="34" t="str">
        <f t="shared" si="43"/>
        <v>E3_5_1_88 : 0</v>
      </c>
      <c r="K238" s="35" t="str">
        <f t="shared" si="44"/>
        <v>0.00292 - (0.0093 * E3_5_1_88_mRNA)</v>
      </c>
      <c r="L238" s="30" t="str">
        <f t="shared" si="45"/>
        <v>(0.278 * E3_5_1_88_mRNA) - (0.00000278 * E3_5_1_88)</v>
      </c>
      <c r="M238" s="36" t="str">
        <f t="shared" si="46"/>
        <v>mRNA237: -&gt; E3_5_1_88_mRNA | 0.00292 - (0.0093 * E3_5_1_88_mRNA)</v>
      </c>
      <c r="N238" s="21" t="str">
        <f t="shared" si="47"/>
        <v>Peptide237:  E3_5_1_88_mRNA -&gt; E3_5_1_88 | (0.278 * E3_5_1_88_mRNA) - (0.00000278 * E3_5_1_88)</v>
      </c>
    </row>
    <row r="239" spans="1:14" x14ac:dyDescent="0.45">
      <c r="A239">
        <v>238</v>
      </c>
      <c r="B239" t="s">
        <v>15196</v>
      </c>
      <c r="C239" t="str">
        <f t="shared" si="37"/>
        <v>E3_5_2_2_mRNA</v>
      </c>
      <c r="D239" t="str">
        <f t="shared" si="36"/>
        <v>E3_5_2_2</v>
      </c>
      <c r="E239" s="30" t="str">
        <f t="shared" si="38"/>
        <v>E3_5_2_2_kcat : 13.7</v>
      </c>
      <c r="F239" s="31" t="str">
        <f t="shared" si="39"/>
        <v>E3_5_2_2_km : 1</v>
      </c>
      <c r="G239" s="21" t="str">
        <f t="shared" si="40"/>
        <v>E3_5_2_2_mRNA : E3_5_2_2_mRNA</v>
      </c>
      <c r="H239" s="32" t="str">
        <f t="shared" si="41"/>
        <v>E3_5_2_2 : E3_5_2_2</v>
      </c>
      <c r="I239" s="33" t="str">
        <f t="shared" si="42"/>
        <v>E3_5_2_2_mRNA : 0</v>
      </c>
      <c r="J239" s="34" t="str">
        <f t="shared" si="43"/>
        <v>E3_5_2_2 : 0</v>
      </c>
      <c r="K239" s="35" t="str">
        <f t="shared" si="44"/>
        <v>0.00292 - (0.0093 * E3_5_2_2_mRNA)</v>
      </c>
      <c r="L239" s="30" t="str">
        <f t="shared" si="45"/>
        <v>(0.278 * E3_5_2_2_mRNA) - (0.00000278 * E3_5_2_2)</v>
      </c>
      <c r="M239" s="36" t="str">
        <f t="shared" si="46"/>
        <v>mRNA238: -&gt; E3_5_2_2_mRNA | 0.00292 - (0.0093 * E3_5_2_2_mRNA)</v>
      </c>
      <c r="N239" s="21" t="str">
        <f t="shared" si="47"/>
        <v>Peptide238:  E3_5_2_2_mRNA -&gt; E3_5_2_2 | (0.278 * E3_5_2_2_mRNA) - (0.00000278 * E3_5_2_2)</v>
      </c>
    </row>
    <row r="240" spans="1:14" x14ac:dyDescent="0.45">
      <c r="A240">
        <v>239</v>
      </c>
      <c r="B240" t="s">
        <v>15197</v>
      </c>
      <c r="C240" t="str">
        <f t="shared" si="37"/>
        <v>E3_5_2_3_mRNA</v>
      </c>
      <c r="D240" t="str">
        <f t="shared" si="36"/>
        <v>E3_5_2_3</v>
      </c>
      <c r="E240" s="30" t="str">
        <f t="shared" si="38"/>
        <v>E3_5_2_3_kcat : 13.7</v>
      </c>
      <c r="F240" s="31" t="str">
        <f t="shared" si="39"/>
        <v>E3_5_2_3_km : 1</v>
      </c>
      <c r="G240" s="21" t="str">
        <f t="shared" si="40"/>
        <v>E3_5_2_3_mRNA : E3_5_2_3_mRNA</v>
      </c>
      <c r="H240" s="32" t="str">
        <f t="shared" si="41"/>
        <v>E3_5_2_3 : E3_5_2_3</v>
      </c>
      <c r="I240" s="33" t="str">
        <f t="shared" si="42"/>
        <v>E3_5_2_3_mRNA : 0</v>
      </c>
      <c r="J240" s="34" t="str">
        <f t="shared" si="43"/>
        <v>E3_5_2_3 : 0</v>
      </c>
      <c r="K240" s="35" t="str">
        <f t="shared" si="44"/>
        <v>0.00292 - (0.0093 * E3_5_2_3_mRNA)</v>
      </c>
      <c r="L240" s="30" t="str">
        <f t="shared" si="45"/>
        <v>(0.278 * E3_5_2_3_mRNA) - (0.00000278 * E3_5_2_3)</v>
      </c>
      <c r="M240" s="36" t="str">
        <f t="shared" si="46"/>
        <v>mRNA239: -&gt; E3_5_2_3_mRNA | 0.00292 - (0.0093 * E3_5_2_3_mRNA)</v>
      </c>
      <c r="N240" s="21" t="str">
        <f t="shared" si="47"/>
        <v>Peptide239:  E3_5_2_3_mRNA -&gt; E3_5_2_3 | (0.278 * E3_5_2_3_mRNA) - (0.00000278 * E3_5_2_3)</v>
      </c>
    </row>
    <row r="241" spans="1:14" x14ac:dyDescent="0.45">
      <c r="A241">
        <v>240</v>
      </c>
      <c r="B241" t="s">
        <v>15198</v>
      </c>
      <c r="C241" t="str">
        <f t="shared" si="37"/>
        <v>E3_5_2_6_mRNA</v>
      </c>
      <c r="D241" t="str">
        <f t="shared" si="36"/>
        <v>E3_5_2_6</v>
      </c>
      <c r="E241" s="30" t="str">
        <f t="shared" si="38"/>
        <v>E3_5_2_6_kcat : 13.7</v>
      </c>
      <c r="F241" s="31" t="str">
        <f t="shared" si="39"/>
        <v>E3_5_2_6_km : 1</v>
      </c>
      <c r="G241" s="21" t="str">
        <f t="shared" si="40"/>
        <v>E3_5_2_6_mRNA : E3_5_2_6_mRNA</v>
      </c>
      <c r="H241" s="32" t="str">
        <f t="shared" si="41"/>
        <v>E3_5_2_6 : E3_5_2_6</v>
      </c>
      <c r="I241" s="33" t="str">
        <f t="shared" si="42"/>
        <v>E3_5_2_6_mRNA : 0</v>
      </c>
      <c r="J241" s="34" t="str">
        <f t="shared" si="43"/>
        <v>E3_5_2_6 : 0</v>
      </c>
      <c r="K241" s="35" t="str">
        <f t="shared" si="44"/>
        <v>0.00292 - (0.0093 * E3_5_2_6_mRNA)</v>
      </c>
      <c r="L241" s="30" t="str">
        <f t="shared" si="45"/>
        <v>(0.278 * E3_5_2_6_mRNA) - (0.00000278 * E3_5_2_6)</v>
      </c>
      <c r="M241" s="36" t="str">
        <f t="shared" si="46"/>
        <v>mRNA240: -&gt; E3_5_2_6_mRNA | 0.00292 - (0.0093 * E3_5_2_6_mRNA)</v>
      </c>
      <c r="N241" s="21" t="str">
        <f t="shared" si="47"/>
        <v>Peptide240:  E3_5_2_6_mRNA -&gt; E3_5_2_6 | (0.278 * E3_5_2_6_mRNA) - (0.00000278 * E3_5_2_6)</v>
      </c>
    </row>
    <row r="242" spans="1:14" x14ac:dyDescent="0.45">
      <c r="A242">
        <v>241</v>
      </c>
      <c r="B242" t="s">
        <v>15199</v>
      </c>
      <c r="C242" t="str">
        <f t="shared" si="37"/>
        <v>E3_5_2_9_mRNA</v>
      </c>
      <c r="D242" t="str">
        <f t="shared" si="36"/>
        <v>E3_5_2_9</v>
      </c>
      <c r="E242" s="30" t="str">
        <f t="shared" si="38"/>
        <v>E3_5_2_9_kcat : 13.7</v>
      </c>
      <c r="F242" s="31" t="str">
        <f t="shared" si="39"/>
        <v>E3_5_2_9_km : 1</v>
      </c>
      <c r="G242" s="21" t="str">
        <f t="shared" si="40"/>
        <v>E3_5_2_9_mRNA : E3_5_2_9_mRNA</v>
      </c>
      <c r="H242" s="32" t="str">
        <f t="shared" si="41"/>
        <v>E3_5_2_9 : E3_5_2_9</v>
      </c>
      <c r="I242" s="33" t="str">
        <f t="shared" si="42"/>
        <v>E3_5_2_9_mRNA : 0</v>
      </c>
      <c r="J242" s="34" t="str">
        <f t="shared" si="43"/>
        <v>E3_5_2_9 : 0</v>
      </c>
      <c r="K242" s="35" t="str">
        <f t="shared" si="44"/>
        <v>0.00292 - (0.0093 * E3_5_2_9_mRNA)</v>
      </c>
      <c r="L242" s="30" t="str">
        <f t="shared" si="45"/>
        <v>(0.278 * E3_5_2_9_mRNA) - (0.00000278 * E3_5_2_9)</v>
      </c>
      <c r="M242" s="36" t="str">
        <f t="shared" si="46"/>
        <v>mRNA241: -&gt; E3_5_2_9_mRNA | 0.00292 - (0.0093 * E3_5_2_9_mRNA)</v>
      </c>
      <c r="N242" s="21" t="str">
        <f t="shared" si="47"/>
        <v>Peptide241:  E3_5_2_9_mRNA -&gt; E3_5_2_9 | (0.278 * E3_5_2_9_mRNA) - (0.00000278 * E3_5_2_9)</v>
      </c>
    </row>
    <row r="243" spans="1:14" x14ac:dyDescent="0.45">
      <c r="A243">
        <v>242</v>
      </c>
      <c r="B243" t="s">
        <v>15200</v>
      </c>
      <c r="C243" t="str">
        <f t="shared" si="37"/>
        <v>E3_5_3_11_mRNA</v>
      </c>
      <c r="D243" t="str">
        <f t="shared" si="36"/>
        <v>E3_5_3_11</v>
      </c>
      <c r="E243" s="30" t="str">
        <f t="shared" si="38"/>
        <v>E3_5_3_11_kcat : 13.7</v>
      </c>
      <c r="F243" s="31" t="str">
        <f t="shared" si="39"/>
        <v>E3_5_3_11_km : 1</v>
      </c>
      <c r="G243" s="21" t="str">
        <f t="shared" si="40"/>
        <v>E3_5_3_11_mRNA : E3_5_3_11_mRNA</v>
      </c>
      <c r="H243" s="32" t="str">
        <f t="shared" si="41"/>
        <v>E3_5_3_11 : E3_5_3_11</v>
      </c>
      <c r="I243" s="33" t="str">
        <f t="shared" si="42"/>
        <v>E3_5_3_11_mRNA : 0</v>
      </c>
      <c r="J243" s="34" t="str">
        <f t="shared" si="43"/>
        <v>E3_5_3_11 : 0</v>
      </c>
      <c r="K243" s="35" t="str">
        <f t="shared" si="44"/>
        <v>0.00292 - (0.0093 * E3_5_3_11_mRNA)</v>
      </c>
      <c r="L243" s="30" t="str">
        <f t="shared" si="45"/>
        <v>(0.278 * E3_5_3_11_mRNA) - (0.00000278 * E3_5_3_11)</v>
      </c>
      <c r="M243" s="36" t="str">
        <f t="shared" si="46"/>
        <v>mRNA242: -&gt; E3_5_3_11_mRNA | 0.00292 - (0.0093 * E3_5_3_11_mRNA)</v>
      </c>
      <c r="N243" s="21" t="str">
        <f t="shared" si="47"/>
        <v>Peptide242:  E3_5_3_11_mRNA -&gt; E3_5_3_11 | (0.278 * E3_5_3_11_mRNA) - (0.00000278 * E3_5_3_11)</v>
      </c>
    </row>
    <row r="244" spans="1:14" x14ac:dyDescent="0.45">
      <c r="A244">
        <v>243</v>
      </c>
      <c r="B244" t="s">
        <v>15201</v>
      </c>
      <c r="C244" t="str">
        <f t="shared" si="37"/>
        <v>E3_5_4_10_mRNA</v>
      </c>
      <c r="D244" t="str">
        <f t="shared" si="36"/>
        <v>E3_5_4_10</v>
      </c>
      <c r="E244" s="30" t="str">
        <f t="shared" si="38"/>
        <v>E3_5_4_10_kcat : 13.7</v>
      </c>
      <c r="F244" s="31" t="str">
        <f t="shared" si="39"/>
        <v>E3_5_4_10_km : 1</v>
      </c>
      <c r="G244" s="21" t="str">
        <f t="shared" si="40"/>
        <v>E3_5_4_10_mRNA : E3_5_4_10_mRNA</v>
      </c>
      <c r="H244" s="32" t="str">
        <f t="shared" si="41"/>
        <v>E3_5_4_10 : E3_5_4_10</v>
      </c>
      <c r="I244" s="33" t="str">
        <f t="shared" si="42"/>
        <v>E3_5_4_10_mRNA : 0</v>
      </c>
      <c r="J244" s="34" t="str">
        <f t="shared" si="43"/>
        <v>E3_5_4_10 : 0</v>
      </c>
      <c r="K244" s="35" t="str">
        <f t="shared" si="44"/>
        <v>0.00292 - (0.0093 * E3_5_4_10_mRNA)</v>
      </c>
      <c r="L244" s="30" t="str">
        <f t="shared" si="45"/>
        <v>(0.278 * E3_5_4_10_mRNA) - (0.00000278 * E3_5_4_10)</v>
      </c>
      <c r="M244" s="36" t="str">
        <f t="shared" si="46"/>
        <v>mRNA243: -&gt; E3_5_4_10_mRNA | 0.00292 - (0.0093 * E3_5_4_10_mRNA)</v>
      </c>
      <c r="N244" s="21" t="str">
        <f t="shared" si="47"/>
        <v>Peptide243:  E3_5_4_10_mRNA -&gt; E3_5_4_10 | (0.278 * E3_5_4_10_mRNA) - (0.00000278 * E3_5_4_10)</v>
      </c>
    </row>
    <row r="245" spans="1:14" x14ac:dyDescent="0.45">
      <c r="A245">
        <v>244</v>
      </c>
      <c r="B245" t="s">
        <v>15202</v>
      </c>
      <c r="C245" t="str">
        <f t="shared" si="37"/>
        <v>E3_5_4_12_mRNA</v>
      </c>
      <c r="D245" t="str">
        <f t="shared" si="36"/>
        <v>E3_5_4_12</v>
      </c>
      <c r="E245" s="30" t="str">
        <f t="shared" si="38"/>
        <v>E3_5_4_12_kcat : 13.7</v>
      </c>
      <c r="F245" s="31" t="str">
        <f t="shared" si="39"/>
        <v>E3_5_4_12_km : 1</v>
      </c>
      <c r="G245" s="21" t="str">
        <f t="shared" si="40"/>
        <v>E3_5_4_12_mRNA : E3_5_4_12_mRNA</v>
      </c>
      <c r="H245" s="32" t="str">
        <f t="shared" si="41"/>
        <v>E3_5_4_12 : E3_5_4_12</v>
      </c>
      <c r="I245" s="33" t="str">
        <f t="shared" si="42"/>
        <v>E3_5_4_12_mRNA : 0</v>
      </c>
      <c r="J245" s="34" t="str">
        <f t="shared" si="43"/>
        <v>E3_5_4_12 : 0</v>
      </c>
      <c r="K245" s="35" t="str">
        <f t="shared" si="44"/>
        <v>0.00292 - (0.0093 * E3_5_4_12_mRNA)</v>
      </c>
      <c r="L245" s="30" t="str">
        <f t="shared" si="45"/>
        <v>(0.278 * E3_5_4_12_mRNA) - (0.00000278 * E3_5_4_12)</v>
      </c>
      <c r="M245" s="36" t="str">
        <f t="shared" si="46"/>
        <v>mRNA244: -&gt; E3_5_4_12_mRNA | 0.00292 - (0.0093 * E3_5_4_12_mRNA)</v>
      </c>
      <c r="N245" s="21" t="str">
        <f t="shared" si="47"/>
        <v>Peptide244:  E3_5_4_12_mRNA -&gt; E3_5_4_12 | (0.278 * E3_5_4_12_mRNA) - (0.00000278 * E3_5_4_12)</v>
      </c>
    </row>
    <row r="246" spans="1:14" x14ac:dyDescent="0.45">
      <c r="A246">
        <v>245</v>
      </c>
      <c r="B246" t="s">
        <v>15203</v>
      </c>
      <c r="C246" t="str">
        <f t="shared" si="37"/>
        <v>E3_5_4_16_mRNA</v>
      </c>
      <c r="D246" t="str">
        <f t="shared" si="36"/>
        <v>E3_5_4_16</v>
      </c>
      <c r="E246" s="30" t="str">
        <f t="shared" si="38"/>
        <v>E3_5_4_16_kcat : 13.7</v>
      </c>
      <c r="F246" s="31" t="str">
        <f t="shared" si="39"/>
        <v>E3_5_4_16_km : 1</v>
      </c>
      <c r="G246" s="21" t="str">
        <f t="shared" si="40"/>
        <v>E3_5_4_16_mRNA : E3_5_4_16_mRNA</v>
      </c>
      <c r="H246" s="32" t="str">
        <f t="shared" si="41"/>
        <v>E3_5_4_16 : E3_5_4_16</v>
      </c>
      <c r="I246" s="33" t="str">
        <f t="shared" si="42"/>
        <v>E3_5_4_16_mRNA : 0</v>
      </c>
      <c r="J246" s="34" t="str">
        <f t="shared" si="43"/>
        <v>E3_5_4_16 : 0</v>
      </c>
      <c r="K246" s="35" t="str">
        <f t="shared" si="44"/>
        <v>0.00292 - (0.0093 * E3_5_4_16_mRNA)</v>
      </c>
      <c r="L246" s="30" t="str">
        <f t="shared" si="45"/>
        <v>(0.278 * E3_5_4_16_mRNA) - (0.00000278 * E3_5_4_16)</v>
      </c>
      <c r="M246" s="36" t="str">
        <f t="shared" si="46"/>
        <v>mRNA245: -&gt; E3_5_4_16_mRNA | 0.00292 - (0.0093 * E3_5_4_16_mRNA)</v>
      </c>
      <c r="N246" s="21" t="str">
        <f t="shared" si="47"/>
        <v>Peptide245:  E3_5_4_16_mRNA -&gt; E3_5_4_16 | (0.278 * E3_5_4_16_mRNA) - (0.00000278 * E3_5_4_16)</v>
      </c>
    </row>
    <row r="247" spans="1:14" x14ac:dyDescent="0.45">
      <c r="A247">
        <v>246</v>
      </c>
      <c r="B247" t="s">
        <v>15204</v>
      </c>
      <c r="C247" t="str">
        <f t="shared" si="37"/>
        <v>E3_5_4_19_mRNA</v>
      </c>
      <c r="D247" t="str">
        <f t="shared" si="36"/>
        <v>E3_5_4_19</v>
      </c>
      <c r="E247" s="30" t="str">
        <f t="shared" si="38"/>
        <v>E3_5_4_19_kcat : 13.7</v>
      </c>
      <c r="F247" s="31" t="str">
        <f t="shared" si="39"/>
        <v>E3_5_4_19_km : 1</v>
      </c>
      <c r="G247" s="21" t="str">
        <f t="shared" si="40"/>
        <v>E3_5_4_19_mRNA : E3_5_4_19_mRNA</v>
      </c>
      <c r="H247" s="32" t="str">
        <f t="shared" si="41"/>
        <v>E3_5_4_19 : E3_5_4_19</v>
      </c>
      <c r="I247" s="33" t="str">
        <f t="shared" si="42"/>
        <v>E3_5_4_19_mRNA : 0</v>
      </c>
      <c r="J247" s="34" t="str">
        <f t="shared" si="43"/>
        <v>E3_5_4_19 : 0</v>
      </c>
      <c r="K247" s="35" t="str">
        <f t="shared" si="44"/>
        <v>0.00292 - (0.0093 * E3_5_4_19_mRNA)</v>
      </c>
      <c r="L247" s="30" t="str">
        <f t="shared" si="45"/>
        <v>(0.278 * E3_5_4_19_mRNA) - (0.00000278 * E3_5_4_19)</v>
      </c>
      <c r="M247" s="36" t="str">
        <f t="shared" si="46"/>
        <v>mRNA246: -&gt; E3_5_4_19_mRNA | 0.00292 - (0.0093 * E3_5_4_19_mRNA)</v>
      </c>
      <c r="N247" s="21" t="str">
        <f t="shared" si="47"/>
        <v>Peptide246:  E3_5_4_19_mRNA -&gt; E3_5_4_19 | (0.278 * E3_5_4_19_mRNA) - (0.00000278 * E3_5_4_19)</v>
      </c>
    </row>
    <row r="248" spans="1:14" x14ac:dyDescent="0.45">
      <c r="A248">
        <v>247</v>
      </c>
      <c r="B248" t="s">
        <v>15205</v>
      </c>
      <c r="C248" t="str">
        <f t="shared" si="37"/>
        <v>E3_5_4_2_mRNA</v>
      </c>
      <c r="D248" t="str">
        <f t="shared" si="36"/>
        <v>E3_5_4_2</v>
      </c>
      <c r="E248" s="30" t="str">
        <f t="shared" si="38"/>
        <v>E3_5_4_2_kcat : 13.7</v>
      </c>
      <c r="F248" s="31" t="str">
        <f t="shared" si="39"/>
        <v>E3_5_4_2_km : 1</v>
      </c>
      <c r="G248" s="21" t="str">
        <f t="shared" si="40"/>
        <v>E3_5_4_2_mRNA : E3_5_4_2_mRNA</v>
      </c>
      <c r="H248" s="32" t="str">
        <f t="shared" si="41"/>
        <v>E3_5_4_2 : E3_5_4_2</v>
      </c>
      <c r="I248" s="33" t="str">
        <f t="shared" si="42"/>
        <v>E3_5_4_2_mRNA : 0</v>
      </c>
      <c r="J248" s="34" t="str">
        <f t="shared" si="43"/>
        <v>E3_5_4_2 : 0</v>
      </c>
      <c r="K248" s="35" t="str">
        <f t="shared" si="44"/>
        <v>0.00292 - (0.0093 * E3_5_4_2_mRNA)</v>
      </c>
      <c r="L248" s="30" t="str">
        <f t="shared" si="45"/>
        <v>(0.278 * E3_5_4_2_mRNA) - (0.00000278 * E3_5_4_2)</v>
      </c>
      <c r="M248" s="36" t="str">
        <f t="shared" si="46"/>
        <v>mRNA247: -&gt; E3_5_4_2_mRNA | 0.00292 - (0.0093 * E3_5_4_2_mRNA)</v>
      </c>
      <c r="N248" s="21" t="str">
        <f t="shared" si="47"/>
        <v>Peptide247:  E3_5_4_2_mRNA -&gt; E3_5_4_2 | (0.278 * E3_5_4_2_mRNA) - (0.00000278 * E3_5_4_2)</v>
      </c>
    </row>
    <row r="249" spans="1:14" x14ac:dyDescent="0.45">
      <c r="A249">
        <v>248</v>
      </c>
      <c r="B249" t="s">
        <v>15206</v>
      </c>
      <c r="C249" t="str">
        <f t="shared" si="37"/>
        <v>E3_5_4_25_mRNA</v>
      </c>
      <c r="D249" t="str">
        <f t="shared" si="36"/>
        <v>E3_5_4_25</v>
      </c>
      <c r="E249" s="30" t="str">
        <f t="shared" si="38"/>
        <v>E3_5_4_25_kcat : 13.7</v>
      </c>
      <c r="F249" s="31" t="str">
        <f t="shared" si="39"/>
        <v>E3_5_4_25_km : 1</v>
      </c>
      <c r="G249" s="21" t="str">
        <f t="shared" si="40"/>
        <v>E3_5_4_25_mRNA : E3_5_4_25_mRNA</v>
      </c>
      <c r="H249" s="32" t="str">
        <f t="shared" si="41"/>
        <v>E3_5_4_25 : E3_5_4_25</v>
      </c>
      <c r="I249" s="33" t="str">
        <f t="shared" si="42"/>
        <v>E3_5_4_25_mRNA : 0</v>
      </c>
      <c r="J249" s="34" t="str">
        <f t="shared" si="43"/>
        <v>E3_5_4_25 : 0</v>
      </c>
      <c r="K249" s="35" t="str">
        <f t="shared" si="44"/>
        <v>0.00292 - (0.0093 * E3_5_4_25_mRNA)</v>
      </c>
      <c r="L249" s="30" t="str">
        <f t="shared" si="45"/>
        <v>(0.278 * E3_5_4_25_mRNA) - (0.00000278 * E3_5_4_25)</v>
      </c>
      <c r="M249" s="36" t="str">
        <f t="shared" si="46"/>
        <v>mRNA248: -&gt; E3_5_4_25_mRNA | 0.00292 - (0.0093 * E3_5_4_25_mRNA)</v>
      </c>
      <c r="N249" s="21" t="str">
        <f t="shared" si="47"/>
        <v>Peptide248:  E3_5_4_25_mRNA -&gt; E3_5_4_25 | (0.278 * E3_5_4_25_mRNA) - (0.00000278 * E3_5_4_25)</v>
      </c>
    </row>
    <row r="250" spans="1:14" x14ac:dyDescent="0.45">
      <c r="A250">
        <v>249</v>
      </c>
      <c r="B250" t="s">
        <v>15207</v>
      </c>
      <c r="C250" t="str">
        <f t="shared" si="37"/>
        <v>E3_5_4_26_mRNA</v>
      </c>
      <c r="D250" t="str">
        <f t="shared" si="36"/>
        <v>E3_5_4_26</v>
      </c>
      <c r="E250" s="30" t="str">
        <f t="shared" si="38"/>
        <v>E3_5_4_26_kcat : 13.7</v>
      </c>
      <c r="F250" s="31" t="str">
        <f t="shared" si="39"/>
        <v>E3_5_4_26_km : 1</v>
      </c>
      <c r="G250" s="21" t="str">
        <f t="shared" si="40"/>
        <v>E3_5_4_26_mRNA : E3_5_4_26_mRNA</v>
      </c>
      <c r="H250" s="32" t="str">
        <f t="shared" si="41"/>
        <v>E3_5_4_26 : E3_5_4_26</v>
      </c>
      <c r="I250" s="33" t="str">
        <f t="shared" si="42"/>
        <v>E3_5_4_26_mRNA : 0</v>
      </c>
      <c r="J250" s="34" t="str">
        <f t="shared" si="43"/>
        <v>E3_5_4_26 : 0</v>
      </c>
      <c r="K250" s="35" t="str">
        <f t="shared" si="44"/>
        <v>0.00292 - (0.0093 * E3_5_4_26_mRNA)</v>
      </c>
      <c r="L250" s="30" t="str">
        <f t="shared" si="45"/>
        <v>(0.278 * E3_5_4_26_mRNA) - (0.00000278 * E3_5_4_26)</v>
      </c>
      <c r="M250" s="36" t="str">
        <f t="shared" si="46"/>
        <v>mRNA249: -&gt; E3_5_4_26_mRNA | 0.00292 - (0.0093 * E3_5_4_26_mRNA)</v>
      </c>
      <c r="N250" s="21" t="str">
        <f t="shared" si="47"/>
        <v>Peptide249:  E3_5_4_26_mRNA -&gt; E3_5_4_26 | (0.278 * E3_5_4_26_mRNA) - (0.00000278 * E3_5_4_26)</v>
      </c>
    </row>
    <row r="251" spans="1:14" x14ac:dyDescent="0.45">
      <c r="A251">
        <v>250</v>
      </c>
      <c r="B251" t="s">
        <v>15208</v>
      </c>
      <c r="C251" t="str">
        <f t="shared" si="37"/>
        <v>E3_5_4_4_mRNA</v>
      </c>
      <c r="D251" t="str">
        <f t="shared" si="36"/>
        <v>E3_5_4_4</v>
      </c>
      <c r="E251" s="30" t="str">
        <f t="shared" si="38"/>
        <v>E3_5_4_4_kcat : 13.7</v>
      </c>
      <c r="F251" s="31" t="str">
        <f t="shared" si="39"/>
        <v>E3_5_4_4_km : 1</v>
      </c>
      <c r="G251" s="21" t="str">
        <f t="shared" si="40"/>
        <v>E3_5_4_4_mRNA : E3_5_4_4_mRNA</v>
      </c>
      <c r="H251" s="32" t="str">
        <f t="shared" si="41"/>
        <v>E3_5_4_4 : E3_5_4_4</v>
      </c>
      <c r="I251" s="33" t="str">
        <f t="shared" si="42"/>
        <v>E3_5_4_4_mRNA : 0</v>
      </c>
      <c r="J251" s="34" t="str">
        <f t="shared" si="43"/>
        <v>E3_5_4_4 : 0</v>
      </c>
      <c r="K251" s="35" t="str">
        <f t="shared" si="44"/>
        <v>0.00292 - (0.0093 * E3_5_4_4_mRNA)</v>
      </c>
      <c r="L251" s="30" t="str">
        <f t="shared" si="45"/>
        <v>(0.278 * E3_5_4_4_mRNA) - (0.00000278 * E3_5_4_4)</v>
      </c>
      <c r="M251" s="36" t="str">
        <f t="shared" si="46"/>
        <v>mRNA250: -&gt; E3_5_4_4_mRNA | 0.00292 - (0.0093 * E3_5_4_4_mRNA)</v>
      </c>
      <c r="N251" s="21" t="str">
        <f t="shared" si="47"/>
        <v>Peptide250:  E3_5_4_4_mRNA -&gt; E3_5_4_4 | (0.278 * E3_5_4_4_mRNA) - (0.00000278 * E3_5_4_4)</v>
      </c>
    </row>
    <row r="252" spans="1:14" x14ac:dyDescent="0.45">
      <c r="A252">
        <v>251</v>
      </c>
      <c r="B252" t="s">
        <v>15209</v>
      </c>
      <c r="C252" t="str">
        <f t="shared" si="37"/>
        <v>E3_5_4_5_mRNA</v>
      </c>
      <c r="D252" t="str">
        <f t="shared" si="36"/>
        <v>E3_5_4_5</v>
      </c>
      <c r="E252" s="30" t="str">
        <f t="shared" si="38"/>
        <v>E3_5_4_5_kcat : 13.7</v>
      </c>
      <c r="F252" s="31" t="str">
        <f t="shared" si="39"/>
        <v>E3_5_4_5_km : 1</v>
      </c>
      <c r="G252" s="21" t="str">
        <f t="shared" si="40"/>
        <v>E3_5_4_5_mRNA : E3_5_4_5_mRNA</v>
      </c>
      <c r="H252" s="32" t="str">
        <f t="shared" si="41"/>
        <v>E3_5_4_5 : E3_5_4_5</v>
      </c>
      <c r="I252" s="33" t="str">
        <f t="shared" si="42"/>
        <v>E3_5_4_5_mRNA : 0</v>
      </c>
      <c r="J252" s="34" t="str">
        <f t="shared" si="43"/>
        <v>E3_5_4_5 : 0</v>
      </c>
      <c r="K252" s="35" t="str">
        <f t="shared" si="44"/>
        <v>0.00292 - (0.0093 * E3_5_4_5_mRNA)</v>
      </c>
      <c r="L252" s="30" t="str">
        <f t="shared" si="45"/>
        <v>(0.278 * E3_5_4_5_mRNA) - (0.00000278 * E3_5_4_5)</v>
      </c>
      <c r="M252" s="36" t="str">
        <f t="shared" si="46"/>
        <v>mRNA251: -&gt; E3_5_4_5_mRNA | 0.00292 - (0.0093 * E3_5_4_5_mRNA)</v>
      </c>
      <c r="N252" s="21" t="str">
        <f t="shared" si="47"/>
        <v>Peptide251:  E3_5_4_5_mRNA -&gt; E3_5_4_5 | (0.278 * E3_5_4_5_mRNA) - (0.00000278 * E3_5_4_5)</v>
      </c>
    </row>
    <row r="253" spans="1:14" x14ac:dyDescent="0.45">
      <c r="A253">
        <v>252</v>
      </c>
      <c r="B253" t="s">
        <v>15210</v>
      </c>
      <c r="C253" t="str">
        <f t="shared" si="37"/>
        <v>E3_5_4_9_mRNA</v>
      </c>
      <c r="D253" t="str">
        <f t="shared" si="36"/>
        <v>E3_5_4_9</v>
      </c>
      <c r="E253" s="30" t="str">
        <f t="shared" si="38"/>
        <v>E3_5_4_9_kcat : 13.7</v>
      </c>
      <c r="F253" s="31" t="str">
        <f t="shared" si="39"/>
        <v>E3_5_4_9_km : 1</v>
      </c>
      <c r="G253" s="21" t="str">
        <f t="shared" si="40"/>
        <v>E3_5_4_9_mRNA : E3_5_4_9_mRNA</v>
      </c>
      <c r="H253" s="32" t="str">
        <f t="shared" si="41"/>
        <v>E3_5_4_9 : E3_5_4_9</v>
      </c>
      <c r="I253" s="33" t="str">
        <f t="shared" si="42"/>
        <v>E3_5_4_9_mRNA : 0</v>
      </c>
      <c r="J253" s="34" t="str">
        <f t="shared" si="43"/>
        <v>E3_5_4_9 : 0</v>
      </c>
      <c r="K253" s="35" t="str">
        <f t="shared" si="44"/>
        <v>0.00292 - (0.0093 * E3_5_4_9_mRNA)</v>
      </c>
      <c r="L253" s="30" t="str">
        <f t="shared" si="45"/>
        <v>(0.278 * E3_5_4_9_mRNA) - (0.00000278 * E3_5_4_9)</v>
      </c>
      <c r="M253" s="36" t="str">
        <f t="shared" si="46"/>
        <v>mRNA252: -&gt; E3_5_4_9_mRNA | 0.00292 - (0.0093 * E3_5_4_9_mRNA)</v>
      </c>
      <c r="N253" s="21" t="str">
        <f t="shared" si="47"/>
        <v>Peptide252:  E3_5_4_9_mRNA -&gt; E3_5_4_9 | (0.278 * E3_5_4_9_mRNA) - (0.00000278 * E3_5_4_9)</v>
      </c>
    </row>
    <row r="254" spans="1:14" x14ac:dyDescent="0.45">
      <c r="A254">
        <v>253</v>
      </c>
      <c r="B254" t="s">
        <v>15211</v>
      </c>
      <c r="C254" t="str">
        <f t="shared" si="37"/>
        <v>E3_5_99_6_mRNA</v>
      </c>
      <c r="D254" t="str">
        <f t="shared" si="36"/>
        <v>E3_5_99_6</v>
      </c>
      <c r="E254" s="30" t="str">
        <f t="shared" si="38"/>
        <v>E3_5_99_6_kcat : 13.7</v>
      </c>
      <c r="F254" s="31" t="str">
        <f t="shared" si="39"/>
        <v>E3_5_99_6_km : 1</v>
      </c>
      <c r="G254" s="21" t="str">
        <f t="shared" si="40"/>
        <v>E3_5_99_6_mRNA : E3_5_99_6_mRNA</v>
      </c>
      <c r="H254" s="32" t="str">
        <f t="shared" si="41"/>
        <v>E3_5_99_6 : E3_5_99_6</v>
      </c>
      <c r="I254" s="33" t="str">
        <f t="shared" si="42"/>
        <v>E3_5_99_6_mRNA : 0</v>
      </c>
      <c r="J254" s="34" t="str">
        <f t="shared" si="43"/>
        <v>E3_5_99_6 : 0</v>
      </c>
      <c r="K254" s="35" t="str">
        <f t="shared" si="44"/>
        <v>0.00292 - (0.0093 * E3_5_99_6_mRNA)</v>
      </c>
      <c r="L254" s="30" t="str">
        <f t="shared" si="45"/>
        <v>(0.278 * E3_5_99_6_mRNA) - (0.00000278 * E3_5_99_6)</v>
      </c>
      <c r="M254" s="36" t="str">
        <f t="shared" si="46"/>
        <v>mRNA253: -&gt; E3_5_99_6_mRNA | 0.00292 - (0.0093 * E3_5_99_6_mRNA)</v>
      </c>
      <c r="N254" s="21" t="str">
        <f t="shared" si="47"/>
        <v>Peptide253:  E3_5_99_6_mRNA -&gt; E3_5_99_6 | (0.278 * E3_5_99_6_mRNA) - (0.00000278 * E3_5_99_6)</v>
      </c>
    </row>
    <row r="255" spans="1:14" x14ac:dyDescent="0.45">
      <c r="A255">
        <v>254</v>
      </c>
      <c r="B255" t="s">
        <v>15212</v>
      </c>
      <c r="C255" t="str">
        <f t="shared" si="37"/>
        <v>E3_6_1_1_mRNA</v>
      </c>
      <c r="D255" t="str">
        <f t="shared" si="36"/>
        <v>E3_6_1_1</v>
      </c>
      <c r="E255" s="30" t="str">
        <f t="shared" si="38"/>
        <v>E3_6_1_1_kcat : 13.7</v>
      </c>
      <c r="F255" s="31" t="str">
        <f t="shared" si="39"/>
        <v>E3_6_1_1_km : 1</v>
      </c>
      <c r="G255" s="21" t="str">
        <f t="shared" si="40"/>
        <v>E3_6_1_1_mRNA : E3_6_1_1_mRNA</v>
      </c>
      <c r="H255" s="32" t="str">
        <f t="shared" si="41"/>
        <v>E3_6_1_1 : E3_6_1_1</v>
      </c>
      <c r="I255" s="33" t="str">
        <f t="shared" si="42"/>
        <v>E3_6_1_1_mRNA : 0</v>
      </c>
      <c r="J255" s="34" t="str">
        <f t="shared" si="43"/>
        <v>E3_6_1_1 : 0</v>
      </c>
      <c r="K255" s="35" t="str">
        <f t="shared" si="44"/>
        <v>0.00292 - (0.0093 * E3_6_1_1_mRNA)</v>
      </c>
      <c r="L255" s="30" t="str">
        <f t="shared" si="45"/>
        <v>(0.278 * E3_6_1_1_mRNA) - (0.00000278 * E3_6_1_1)</v>
      </c>
      <c r="M255" s="36" t="str">
        <f t="shared" si="46"/>
        <v>mRNA254: -&gt; E3_6_1_1_mRNA | 0.00292 - (0.0093 * E3_6_1_1_mRNA)</v>
      </c>
      <c r="N255" s="21" t="str">
        <f t="shared" si="47"/>
        <v>Peptide254:  E3_6_1_1_mRNA -&gt; E3_6_1_1 | (0.278 * E3_6_1_1_mRNA) - (0.00000278 * E3_6_1_1)</v>
      </c>
    </row>
    <row r="256" spans="1:14" x14ac:dyDescent="0.45">
      <c r="A256">
        <v>255</v>
      </c>
      <c r="B256" t="s">
        <v>15213</v>
      </c>
      <c r="C256" t="str">
        <f t="shared" si="37"/>
        <v>E3_6_1_23_mRNA</v>
      </c>
      <c r="D256" t="str">
        <f t="shared" si="36"/>
        <v>E3_6_1_23</v>
      </c>
      <c r="E256" s="30" t="str">
        <f t="shared" si="38"/>
        <v>E3_6_1_23_kcat : 13.7</v>
      </c>
      <c r="F256" s="31" t="str">
        <f t="shared" si="39"/>
        <v>E3_6_1_23_km : 1</v>
      </c>
      <c r="G256" s="21" t="str">
        <f t="shared" si="40"/>
        <v>E3_6_1_23_mRNA : E3_6_1_23_mRNA</v>
      </c>
      <c r="H256" s="32" t="str">
        <f t="shared" si="41"/>
        <v>E3_6_1_23 : E3_6_1_23</v>
      </c>
      <c r="I256" s="33" t="str">
        <f t="shared" si="42"/>
        <v>E3_6_1_23_mRNA : 0</v>
      </c>
      <c r="J256" s="34" t="str">
        <f t="shared" si="43"/>
        <v>E3_6_1_23 : 0</v>
      </c>
      <c r="K256" s="35" t="str">
        <f t="shared" si="44"/>
        <v>0.00292 - (0.0093 * E3_6_1_23_mRNA)</v>
      </c>
      <c r="L256" s="30" t="str">
        <f t="shared" si="45"/>
        <v>(0.278 * E3_6_1_23_mRNA) - (0.00000278 * E3_6_1_23)</v>
      </c>
      <c r="M256" s="36" t="str">
        <f t="shared" si="46"/>
        <v>mRNA255: -&gt; E3_6_1_23_mRNA | 0.00292 - (0.0093 * E3_6_1_23_mRNA)</v>
      </c>
      <c r="N256" s="21" t="str">
        <f t="shared" si="47"/>
        <v>Peptide255:  E3_6_1_23_mRNA -&gt; E3_6_1_23 | (0.278 * E3_6_1_23_mRNA) - (0.00000278 * E3_6_1_23)</v>
      </c>
    </row>
    <row r="257" spans="1:14" x14ac:dyDescent="0.45">
      <c r="A257">
        <v>256</v>
      </c>
      <c r="B257" t="s">
        <v>15214</v>
      </c>
      <c r="C257" t="str">
        <f t="shared" si="37"/>
        <v>E3_6_1_27_mRNA</v>
      </c>
      <c r="D257" t="str">
        <f t="shared" si="36"/>
        <v>E3_6_1_27</v>
      </c>
      <c r="E257" s="30" t="str">
        <f t="shared" si="38"/>
        <v>E3_6_1_27_kcat : 13.7</v>
      </c>
      <c r="F257" s="31" t="str">
        <f t="shared" si="39"/>
        <v>E3_6_1_27_km : 1</v>
      </c>
      <c r="G257" s="21" t="str">
        <f t="shared" si="40"/>
        <v>E3_6_1_27_mRNA : E3_6_1_27_mRNA</v>
      </c>
      <c r="H257" s="32" t="str">
        <f t="shared" si="41"/>
        <v>E3_6_1_27 : E3_6_1_27</v>
      </c>
      <c r="I257" s="33" t="str">
        <f t="shared" si="42"/>
        <v>E3_6_1_27_mRNA : 0</v>
      </c>
      <c r="J257" s="34" t="str">
        <f t="shared" si="43"/>
        <v>E3_6_1_27 : 0</v>
      </c>
      <c r="K257" s="35" t="str">
        <f t="shared" si="44"/>
        <v>0.00292 - (0.0093 * E3_6_1_27_mRNA)</v>
      </c>
      <c r="L257" s="30" t="str">
        <f t="shared" si="45"/>
        <v>(0.278 * E3_6_1_27_mRNA) - (0.00000278 * E3_6_1_27)</v>
      </c>
      <c r="M257" s="36" t="str">
        <f t="shared" si="46"/>
        <v>mRNA256: -&gt; E3_6_1_27_mRNA | 0.00292 - (0.0093 * E3_6_1_27_mRNA)</v>
      </c>
      <c r="N257" s="21" t="str">
        <f t="shared" si="47"/>
        <v>Peptide256:  E3_6_1_27_mRNA -&gt; E3_6_1_27 | (0.278 * E3_6_1_27_mRNA) - (0.00000278 * E3_6_1_27)</v>
      </c>
    </row>
    <row r="258" spans="1:14" x14ac:dyDescent="0.45">
      <c r="A258">
        <v>257</v>
      </c>
      <c r="B258" t="s">
        <v>15215</v>
      </c>
      <c r="C258" t="str">
        <f t="shared" si="37"/>
        <v>E3_6_1_31_mRNA</v>
      </c>
      <c r="D258" t="str">
        <f t="shared" ref="D258:D321" si="48">CONCATENATE("E",B258)</f>
        <v>E3_6_1_31</v>
      </c>
      <c r="E258" s="30" t="str">
        <f t="shared" si="38"/>
        <v>E3_6_1_31_kcat : 13.7</v>
      </c>
      <c r="F258" s="31" t="str">
        <f t="shared" si="39"/>
        <v>E3_6_1_31_km : 1</v>
      </c>
      <c r="G258" s="21" t="str">
        <f t="shared" si="40"/>
        <v>E3_6_1_31_mRNA : E3_6_1_31_mRNA</v>
      </c>
      <c r="H258" s="32" t="str">
        <f t="shared" si="41"/>
        <v>E3_6_1_31 : E3_6_1_31</v>
      </c>
      <c r="I258" s="33" t="str">
        <f t="shared" si="42"/>
        <v>E3_6_1_31_mRNA : 0</v>
      </c>
      <c r="J258" s="34" t="str">
        <f t="shared" si="43"/>
        <v>E3_6_1_31 : 0</v>
      </c>
      <c r="K258" s="35" t="str">
        <f t="shared" si="44"/>
        <v>0.00292 - (0.0093 * E3_6_1_31_mRNA)</v>
      </c>
      <c r="L258" s="30" t="str">
        <f t="shared" si="45"/>
        <v>(0.278 * E3_6_1_31_mRNA) - (0.00000278 * E3_6_1_31)</v>
      </c>
      <c r="M258" s="36" t="str">
        <f t="shared" si="46"/>
        <v>mRNA257: -&gt; E3_6_1_31_mRNA | 0.00292 - (0.0093 * E3_6_1_31_mRNA)</v>
      </c>
      <c r="N258" s="21" t="str">
        <f t="shared" si="47"/>
        <v>Peptide257:  E3_6_1_31_mRNA -&gt; E3_6_1_31 | (0.278 * E3_6_1_31_mRNA) - (0.00000278 * E3_6_1_31)</v>
      </c>
    </row>
    <row r="259" spans="1:14" x14ac:dyDescent="0.45">
      <c r="A259">
        <v>258</v>
      </c>
      <c r="B259" t="s">
        <v>15216</v>
      </c>
      <c r="C259" t="str">
        <f t="shared" ref="C259:C322" si="49">CONCATENATE(D259,"_mRNA")</f>
        <v>E3_6_1_41_mRNA</v>
      </c>
      <c r="D259" t="str">
        <f t="shared" si="48"/>
        <v>E3_6_1_41</v>
      </c>
      <c r="E259" s="30" t="str">
        <f t="shared" ref="E259:E322" si="50">CONCATENATE("E",B259,"_kcat : 13.7")</f>
        <v>E3_6_1_41_kcat : 13.7</v>
      </c>
      <c r="F259" s="31" t="str">
        <f t="shared" ref="F259:F322" si="51">CONCATENATE("E",B259,"_km : 1")</f>
        <v>E3_6_1_41_km : 1</v>
      </c>
      <c r="G259" s="21" t="str">
        <f t="shared" ref="G259:G322" si="52">CONCATENATE(C259, " : ",C259)</f>
        <v>E3_6_1_41_mRNA : E3_6_1_41_mRNA</v>
      </c>
      <c r="H259" s="32" t="str">
        <f t="shared" ref="H259:H322" si="53">CONCATENATE(D259," : ",D259)</f>
        <v>E3_6_1_41 : E3_6_1_41</v>
      </c>
      <c r="I259" s="33" t="str">
        <f t="shared" ref="I259:I322" si="54">CONCATENATE(C259," : ","0")</f>
        <v>E3_6_1_41_mRNA : 0</v>
      </c>
      <c r="J259" s="34" t="str">
        <f t="shared" ref="J259:J322" si="55">CONCATENATE(D259," : ","0")</f>
        <v>E3_6_1_41 : 0</v>
      </c>
      <c r="K259" s="35" t="str">
        <f t="shared" ref="K259:K322" si="56">CONCATENATE("0.00292 - (0.0093 * ",C259,")")</f>
        <v>0.00292 - (0.0093 * E3_6_1_41_mRNA)</v>
      </c>
      <c r="L259" s="30" t="str">
        <f t="shared" ref="L259:L322" si="57">CONCATENATE("(0.278 * ",C259,")"," - (0.00000278 * ",D259,")")</f>
        <v>(0.278 * E3_6_1_41_mRNA) - (0.00000278 * E3_6_1_41)</v>
      </c>
      <c r="M259" s="36" t="str">
        <f t="shared" ref="M259:M322" si="58">CONCATENATE("mRNA",A259,": -&gt; ",C259," | ","0.00292"," - ","(","0.0093"," * ",C259,")")</f>
        <v>mRNA258: -&gt; E3_6_1_41_mRNA | 0.00292 - (0.0093 * E3_6_1_41_mRNA)</v>
      </c>
      <c r="N259" s="21" t="str">
        <f t="shared" ref="N259:N322" si="59">CONCATENATE("Peptide",A259,":  ",C259," -&gt; ",D259," | ","(","0.278"," * ",C259,")"," - ","(","0.00000278"," * ",D259,")")</f>
        <v>Peptide258:  E3_6_1_41_mRNA -&gt; E3_6_1_41 | (0.278 * E3_6_1_41_mRNA) - (0.00000278 * E3_6_1_41)</v>
      </c>
    </row>
    <row r="260" spans="1:14" x14ac:dyDescent="0.45">
      <c r="A260">
        <v>259</v>
      </c>
      <c r="B260" t="s">
        <v>15217</v>
      </c>
      <c r="C260" t="str">
        <f t="shared" si="49"/>
        <v>E3_6_1_63_mRNA</v>
      </c>
      <c r="D260" t="str">
        <f t="shared" si="48"/>
        <v>E3_6_1_63</v>
      </c>
      <c r="E260" s="30" t="str">
        <f t="shared" si="50"/>
        <v>E3_6_1_63_kcat : 13.7</v>
      </c>
      <c r="F260" s="31" t="str">
        <f t="shared" si="51"/>
        <v>E3_6_1_63_km : 1</v>
      </c>
      <c r="G260" s="21" t="str">
        <f t="shared" si="52"/>
        <v>E3_6_1_63_mRNA : E3_6_1_63_mRNA</v>
      </c>
      <c r="H260" s="32" t="str">
        <f t="shared" si="53"/>
        <v>E3_6_1_63 : E3_6_1_63</v>
      </c>
      <c r="I260" s="33" t="str">
        <f t="shared" si="54"/>
        <v>E3_6_1_63_mRNA : 0</v>
      </c>
      <c r="J260" s="34" t="str">
        <f t="shared" si="55"/>
        <v>E3_6_1_63 : 0</v>
      </c>
      <c r="K260" s="35" t="str">
        <f t="shared" si="56"/>
        <v>0.00292 - (0.0093 * E3_6_1_63_mRNA)</v>
      </c>
      <c r="L260" s="30" t="str">
        <f t="shared" si="57"/>
        <v>(0.278 * E3_6_1_63_mRNA) - (0.00000278 * E3_6_1_63)</v>
      </c>
      <c r="M260" s="36" t="str">
        <f t="shared" si="58"/>
        <v>mRNA259: -&gt; E3_6_1_63_mRNA | 0.00292 - (0.0093 * E3_6_1_63_mRNA)</v>
      </c>
      <c r="N260" s="21" t="str">
        <f t="shared" si="59"/>
        <v>Peptide259:  E3_6_1_63_mRNA -&gt; E3_6_1_63 | (0.278 * E3_6_1_63_mRNA) - (0.00000278 * E3_6_1_63)</v>
      </c>
    </row>
    <row r="261" spans="1:14" x14ac:dyDescent="0.45">
      <c r="A261">
        <v>260</v>
      </c>
      <c r="B261" t="s">
        <v>15218</v>
      </c>
      <c r="C261" t="str">
        <f t="shared" si="49"/>
        <v>E3_7_1_12_mRNA</v>
      </c>
      <c r="D261" t="str">
        <f t="shared" si="48"/>
        <v>E3_7_1_12</v>
      </c>
      <c r="E261" s="30" t="str">
        <f t="shared" si="50"/>
        <v>E3_7_1_12_kcat : 13.7</v>
      </c>
      <c r="F261" s="31" t="str">
        <f t="shared" si="51"/>
        <v>E3_7_1_12_km : 1</v>
      </c>
      <c r="G261" s="21" t="str">
        <f t="shared" si="52"/>
        <v>E3_7_1_12_mRNA : E3_7_1_12_mRNA</v>
      </c>
      <c r="H261" s="32" t="str">
        <f t="shared" si="53"/>
        <v>E3_7_1_12 : E3_7_1_12</v>
      </c>
      <c r="I261" s="33" t="str">
        <f t="shared" si="54"/>
        <v>E3_7_1_12_mRNA : 0</v>
      </c>
      <c r="J261" s="34" t="str">
        <f t="shared" si="55"/>
        <v>E3_7_1_12 : 0</v>
      </c>
      <c r="K261" s="35" t="str">
        <f t="shared" si="56"/>
        <v>0.00292 - (0.0093 * E3_7_1_12_mRNA)</v>
      </c>
      <c r="L261" s="30" t="str">
        <f t="shared" si="57"/>
        <v>(0.278 * E3_7_1_12_mRNA) - (0.00000278 * E3_7_1_12)</v>
      </c>
      <c r="M261" s="36" t="str">
        <f t="shared" si="58"/>
        <v>mRNA260: -&gt; E3_7_1_12_mRNA | 0.00292 - (0.0093 * E3_7_1_12_mRNA)</v>
      </c>
      <c r="N261" s="21" t="str">
        <f t="shared" si="59"/>
        <v>Peptide260:  E3_7_1_12_mRNA -&gt; E3_7_1_12 | (0.278 * E3_7_1_12_mRNA) - (0.00000278 * E3_7_1_12)</v>
      </c>
    </row>
    <row r="262" spans="1:14" x14ac:dyDescent="0.45">
      <c r="A262">
        <v>261</v>
      </c>
      <c r="B262" t="s">
        <v>15219</v>
      </c>
      <c r="C262" t="str">
        <f t="shared" si="49"/>
        <v>E4_1_1_12_mRNA</v>
      </c>
      <c r="D262" t="str">
        <f t="shared" si="48"/>
        <v>E4_1_1_12</v>
      </c>
      <c r="E262" s="30" t="str">
        <f t="shared" si="50"/>
        <v>E4_1_1_12_kcat : 13.7</v>
      </c>
      <c r="F262" s="31" t="str">
        <f t="shared" si="51"/>
        <v>E4_1_1_12_km : 1</v>
      </c>
      <c r="G262" s="21" t="str">
        <f t="shared" si="52"/>
        <v>E4_1_1_12_mRNA : E4_1_1_12_mRNA</v>
      </c>
      <c r="H262" s="32" t="str">
        <f t="shared" si="53"/>
        <v>E4_1_1_12 : E4_1_1_12</v>
      </c>
      <c r="I262" s="33" t="str">
        <f t="shared" si="54"/>
        <v>E4_1_1_12_mRNA : 0</v>
      </c>
      <c r="J262" s="34" t="str">
        <f t="shared" si="55"/>
        <v>E4_1_1_12 : 0</v>
      </c>
      <c r="K262" s="35" t="str">
        <f t="shared" si="56"/>
        <v>0.00292 - (0.0093 * E4_1_1_12_mRNA)</v>
      </c>
      <c r="L262" s="30" t="str">
        <f t="shared" si="57"/>
        <v>(0.278 * E4_1_1_12_mRNA) - (0.00000278 * E4_1_1_12)</v>
      </c>
      <c r="M262" s="36" t="str">
        <f t="shared" si="58"/>
        <v>mRNA261: -&gt; E4_1_1_12_mRNA | 0.00292 - (0.0093 * E4_1_1_12_mRNA)</v>
      </c>
      <c r="N262" s="21" t="str">
        <f t="shared" si="59"/>
        <v>Peptide261:  E4_1_1_12_mRNA -&gt; E4_1_1_12 | (0.278 * E4_1_1_12_mRNA) - (0.00000278 * E4_1_1_12)</v>
      </c>
    </row>
    <row r="263" spans="1:14" x14ac:dyDescent="0.45">
      <c r="A263">
        <v>262</v>
      </c>
      <c r="B263" t="s">
        <v>15220</v>
      </c>
      <c r="C263" t="str">
        <f t="shared" si="49"/>
        <v>E4_1_1_20_mRNA</v>
      </c>
      <c r="D263" t="str">
        <f t="shared" si="48"/>
        <v>E4_1_1_20</v>
      </c>
      <c r="E263" s="30" t="str">
        <f t="shared" si="50"/>
        <v>E4_1_1_20_kcat : 13.7</v>
      </c>
      <c r="F263" s="31" t="str">
        <f t="shared" si="51"/>
        <v>E4_1_1_20_km : 1</v>
      </c>
      <c r="G263" s="21" t="str">
        <f t="shared" si="52"/>
        <v>E4_1_1_20_mRNA : E4_1_1_20_mRNA</v>
      </c>
      <c r="H263" s="32" t="str">
        <f t="shared" si="53"/>
        <v>E4_1_1_20 : E4_1_1_20</v>
      </c>
      <c r="I263" s="33" t="str">
        <f t="shared" si="54"/>
        <v>E4_1_1_20_mRNA : 0</v>
      </c>
      <c r="J263" s="34" t="str">
        <f t="shared" si="55"/>
        <v>E4_1_1_20 : 0</v>
      </c>
      <c r="K263" s="35" t="str">
        <f t="shared" si="56"/>
        <v>0.00292 - (0.0093 * E4_1_1_20_mRNA)</v>
      </c>
      <c r="L263" s="30" t="str">
        <f t="shared" si="57"/>
        <v>(0.278 * E4_1_1_20_mRNA) - (0.00000278 * E4_1_1_20)</v>
      </c>
      <c r="M263" s="36" t="str">
        <f t="shared" si="58"/>
        <v>mRNA262: -&gt; E4_1_1_20_mRNA | 0.00292 - (0.0093 * E4_1_1_20_mRNA)</v>
      </c>
      <c r="N263" s="21" t="str">
        <f t="shared" si="59"/>
        <v>Peptide262:  E4_1_1_20_mRNA -&gt; E4_1_1_20 | (0.278 * E4_1_1_20_mRNA) - (0.00000278 * E4_1_1_20)</v>
      </c>
    </row>
    <row r="264" spans="1:14" x14ac:dyDescent="0.45">
      <c r="A264">
        <v>263</v>
      </c>
      <c r="B264" t="s">
        <v>15221</v>
      </c>
      <c r="C264" t="str">
        <f t="shared" si="49"/>
        <v>E4_1_1_21_mRNA</v>
      </c>
      <c r="D264" t="str">
        <f t="shared" si="48"/>
        <v>E4_1_1_21</v>
      </c>
      <c r="E264" s="30" t="str">
        <f t="shared" si="50"/>
        <v>E4_1_1_21_kcat : 13.7</v>
      </c>
      <c r="F264" s="31" t="str">
        <f t="shared" si="51"/>
        <v>E4_1_1_21_km : 1</v>
      </c>
      <c r="G264" s="21" t="str">
        <f t="shared" si="52"/>
        <v>E4_1_1_21_mRNA : E4_1_1_21_mRNA</v>
      </c>
      <c r="H264" s="32" t="str">
        <f t="shared" si="53"/>
        <v>E4_1_1_21 : E4_1_1_21</v>
      </c>
      <c r="I264" s="33" t="str">
        <f t="shared" si="54"/>
        <v>E4_1_1_21_mRNA : 0</v>
      </c>
      <c r="J264" s="34" t="str">
        <f t="shared" si="55"/>
        <v>E4_1_1_21 : 0</v>
      </c>
      <c r="K264" s="35" t="str">
        <f t="shared" si="56"/>
        <v>0.00292 - (0.0093 * E4_1_1_21_mRNA)</v>
      </c>
      <c r="L264" s="30" t="str">
        <f t="shared" si="57"/>
        <v>(0.278 * E4_1_1_21_mRNA) - (0.00000278 * E4_1_1_21)</v>
      </c>
      <c r="M264" s="36" t="str">
        <f t="shared" si="58"/>
        <v>mRNA263: -&gt; E4_1_1_21_mRNA | 0.00292 - (0.0093 * E4_1_1_21_mRNA)</v>
      </c>
      <c r="N264" s="21" t="str">
        <f t="shared" si="59"/>
        <v>Peptide263:  E4_1_1_21_mRNA -&gt; E4_1_1_21 | (0.278 * E4_1_1_21_mRNA) - (0.00000278 * E4_1_1_21)</v>
      </c>
    </row>
    <row r="265" spans="1:14" x14ac:dyDescent="0.45">
      <c r="A265">
        <v>264</v>
      </c>
      <c r="B265" t="s">
        <v>15222</v>
      </c>
      <c r="C265" t="str">
        <f t="shared" si="49"/>
        <v>E4_1_1_23_mRNA</v>
      </c>
      <c r="D265" t="str">
        <f t="shared" si="48"/>
        <v>E4_1_1_23</v>
      </c>
      <c r="E265" s="30" t="str">
        <f t="shared" si="50"/>
        <v>E4_1_1_23_kcat : 13.7</v>
      </c>
      <c r="F265" s="31" t="str">
        <f t="shared" si="51"/>
        <v>E4_1_1_23_km : 1</v>
      </c>
      <c r="G265" s="21" t="str">
        <f t="shared" si="52"/>
        <v>E4_1_1_23_mRNA : E4_1_1_23_mRNA</v>
      </c>
      <c r="H265" s="32" t="str">
        <f t="shared" si="53"/>
        <v>E4_1_1_23 : E4_1_1_23</v>
      </c>
      <c r="I265" s="33" t="str">
        <f t="shared" si="54"/>
        <v>E4_1_1_23_mRNA : 0</v>
      </c>
      <c r="J265" s="34" t="str">
        <f t="shared" si="55"/>
        <v>E4_1_1_23 : 0</v>
      </c>
      <c r="K265" s="35" t="str">
        <f t="shared" si="56"/>
        <v>0.00292 - (0.0093 * E4_1_1_23_mRNA)</v>
      </c>
      <c r="L265" s="30" t="str">
        <f t="shared" si="57"/>
        <v>(0.278 * E4_1_1_23_mRNA) - (0.00000278 * E4_1_1_23)</v>
      </c>
      <c r="M265" s="36" t="str">
        <f t="shared" si="58"/>
        <v>mRNA264: -&gt; E4_1_1_23_mRNA | 0.00292 - (0.0093 * E4_1_1_23_mRNA)</v>
      </c>
      <c r="N265" s="21" t="str">
        <f t="shared" si="59"/>
        <v>Peptide264:  E4_1_1_23_mRNA -&gt; E4_1_1_23 | (0.278 * E4_1_1_23_mRNA) - (0.00000278 * E4_1_1_23)</v>
      </c>
    </row>
    <row r="266" spans="1:14" x14ac:dyDescent="0.45">
      <c r="A266">
        <v>265</v>
      </c>
      <c r="B266" t="s">
        <v>15223</v>
      </c>
      <c r="C266" t="str">
        <f t="shared" si="49"/>
        <v>E4_1_1_36_mRNA</v>
      </c>
      <c r="D266" t="str">
        <f t="shared" si="48"/>
        <v>E4_1_1_36</v>
      </c>
      <c r="E266" s="30" t="str">
        <f t="shared" si="50"/>
        <v>E4_1_1_36_kcat : 13.7</v>
      </c>
      <c r="F266" s="31" t="str">
        <f t="shared" si="51"/>
        <v>E4_1_1_36_km : 1</v>
      </c>
      <c r="G266" s="21" t="str">
        <f t="shared" si="52"/>
        <v>E4_1_1_36_mRNA : E4_1_1_36_mRNA</v>
      </c>
      <c r="H266" s="32" t="str">
        <f t="shared" si="53"/>
        <v>E4_1_1_36 : E4_1_1_36</v>
      </c>
      <c r="I266" s="33" t="str">
        <f t="shared" si="54"/>
        <v>E4_1_1_36_mRNA : 0</v>
      </c>
      <c r="J266" s="34" t="str">
        <f t="shared" si="55"/>
        <v>E4_1_1_36 : 0</v>
      </c>
      <c r="K266" s="35" t="str">
        <f t="shared" si="56"/>
        <v>0.00292 - (0.0093 * E4_1_1_36_mRNA)</v>
      </c>
      <c r="L266" s="30" t="str">
        <f t="shared" si="57"/>
        <v>(0.278 * E4_1_1_36_mRNA) - (0.00000278 * E4_1_1_36)</v>
      </c>
      <c r="M266" s="36" t="str">
        <f t="shared" si="58"/>
        <v>mRNA265: -&gt; E4_1_1_36_mRNA | 0.00292 - (0.0093 * E4_1_1_36_mRNA)</v>
      </c>
      <c r="N266" s="21" t="str">
        <f t="shared" si="59"/>
        <v>Peptide265:  E4_1_1_36_mRNA -&gt; E4_1_1_36 | (0.278 * E4_1_1_36_mRNA) - (0.00000278 * E4_1_1_36)</v>
      </c>
    </row>
    <row r="267" spans="1:14" x14ac:dyDescent="0.45">
      <c r="A267">
        <v>266</v>
      </c>
      <c r="B267" t="s">
        <v>15224</v>
      </c>
      <c r="C267" t="str">
        <f t="shared" si="49"/>
        <v>E4_1_1_50_mRNA</v>
      </c>
      <c r="D267" t="str">
        <f t="shared" si="48"/>
        <v>E4_1_1_50</v>
      </c>
      <c r="E267" s="30" t="str">
        <f t="shared" si="50"/>
        <v>E4_1_1_50_kcat : 13.7</v>
      </c>
      <c r="F267" s="31" t="str">
        <f t="shared" si="51"/>
        <v>E4_1_1_50_km : 1</v>
      </c>
      <c r="G267" s="21" t="str">
        <f t="shared" si="52"/>
        <v>E4_1_1_50_mRNA : E4_1_1_50_mRNA</v>
      </c>
      <c r="H267" s="32" t="str">
        <f t="shared" si="53"/>
        <v>E4_1_1_50 : E4_1_1_50</v>
      </c>
      <c r="I267" s="33" t="str">
        <f t="shared" si="54"/>
        <v>E4_1_1_50_mRNA : 0</v>
      </c>
      <c r="J267" s="34" t="str">
        <f t="shared" si="55"/>
        <v>E4_1_1_50 : 0</v>
      </c>
      <c r="K267" s="35" t="str">
        <f t="shared" si="56"/>
        <v>0.00292 - (0.0093 * E4_1_1_50_mRNA)</v>
      </c>
      <c r="L267" s="30" t="str">
        <f t="shared" si="57"/>
        <v>(0.278 * E4_1_1_50_mRNA) - (0.00000278 * E4_1_1_50)</v>
      </c>
      <c r="M267" s="36" t="str">
        <f t="shared" si="58"/>
        <v>mRNA266: -&gt; E4_1_1_50_mRNA | 0.00292 - (0.0093 * E4_1_1_50_mRNA)</v>
      </c>
      <c r="N267" s="21" t="str">
        <f t="shared" si="59"/>
        <v>Peptide266:  E4_1_1_50_mRNA -&gt; E4_1_1_50 | (0.278 * E4_1_1_50_mRNA) - (0.00000278 * E4_1_1_50)</v>
      </c>
    </row>
    <row r="268" spans="1:14" x14ac:dyDescent="0.45">
      <c r="A268">
        <v>267</v>
      </c>
      <c r="B268" t="s">
        <v>15225</v>
      </c>
      <c r="C268" t="str">
        <f t="shared" si="49"/>
        <v>E4_1_1_83_mRNA</v>
      </c>
      <c r="D268" t="str">
        <f t="shared" si="48"/>
        <v>E4_1_1_83</v>
      </c>
      <c r="E268" s="30" t="str">
        <f t="shared" si="50"/>
        <v>E4_1_1_83_kcat : 13.7</v>
      </c>
      <c r="F268" s="31" t="str">
        <f t="shared" si="51"/>
        <v>E4_1_1_83_km : 1</v>
      </c>
      <c r="G268" s="21" t="str">
        <f t="shared" si="52"/>
        <v>E4_1_1_83_mRNA : E4_1_1_83_mRNA</v>
      </c>
      <c r="H268" s="32" t="str">
        <f t="shared" si="53"/>
        <v>E4_1_1_83 : E4_1_1_83</v>
      </c>
      <c r="I268" s="33" t="str">
        <f t="shared" si="54"/>
        <v>E4_1_1_83_mRNA : 0</v>
      </c>
      <c r="J268" s="34" t="str">
        <f t="shared" si="55"/>
        <v>E4_1_1_83 : 0</v>
      </c>
      <c r="K268" s="35" t="str">
        <f t="shared" si="56"/>
        <v>0.00292 - (0.0093 * E4_1_1_83_mRNA)</v>
      </c>
      <c r="L268" s="30" t="str">
        <f t="shared" si="57"/>
        <v>(0.278 * E4_1_1_83_mRNA) - (0.00000278 * E4_1_1_83)</v>
      </c>
      <c r="M268" s="36" t="str">
        <f t="shared" si="58"/>
        <v>mRNA267: -&gt; E4_1_1_83_mRNA | 0.00292 - (0.0093 * E4_1_1_83_mRNA)</v>
      </c>
      <c r="N268" s="21" t="str">
        <f t="shared" si="59"/>
        <v>Peptide267:  E4_1_1_83_mRNA -&gt; E4_1_1_83 | (0.278 * E4_1_1_83_mRNA) - (0.00000278 * E4_1_1_83)</v>
      </c>
    </row>
    <row r="269" spans="1:14" x14ac:dyDescent="0.45">
      <c r="A269">
        <v>268</v>
      </c>
      <c r="B269" t="s">
        <v>15226</v>
      </c>
      <c r="C269" t="str">
        <f t="shared" si="49"/>
        <v>E4_1_2_13_mRNA</v>
      </c>
      <c r="D269" t="str">
        <f t="shared" si="48"/>
        <v>E4_1_2_13</v>
      </c>
      <c r="E269" s="30" t="str">
        <f t="shared" si="50"/>
        <v>E4_1_2_13_kcat : 13.7</v>
      </c>
      <c r="F269" s="31" t="str">
        <f t="shared" si="51"/>
        <v>E4_1_2_13_km : 1</v>
      </c>
      <c r="G269" s="21" t="str">
        <f t="shared" si="52"/>
        <v>E4_1_2_13_mRNA : E4_1_2_13_mRNA</v>
      </c>
      <c r="H269" s="32" t="str">
        <f t="shared" si="53"/>
        <v>E4_1_2_13 : E4_1_2_13</v>
      </c>
      <c r="I269" s="33" t="str">
        <f t="shared" si="54"/>
        <v>E4_1_2_13_mRNA : 0</v>
      </c>
      <c r="J269" s="34" t="str">
        <f t="shared" si="55"/>
        <v>E4_1_2_13 : 0</v>
      </c>
      <c r="K269" s="35" t="str">
        <f t="shared" si="56"/>
        <v>0.00292 - (0.0093 * E4_1_2_13_mRNA)</v>
      </c>
      <c r="L269" s="30" t="str">
        <f t="shared" si="57"/>
        <v>(0.278 * E4_1_2_13_mRNA) - (0.00000278 * E4_1_2_13)</v>
      </c>
      <c r="M269" s="36" t="str">
        <f t="shared" si="58"/>
        <v>mRNA268: -&gt; E4_1_2_13_mRNA | 0.00292 - (0.0093 * E4_1_2_13_mRNA)</v>
      </c>
      <c r="N269" s="21" t="str">
        <f t="shared" si="59"/>
        <v>Peptide268:  E4_1_2_13_mRNA -&gt; E4_1_2_13 | (0.278 * E4_1_2_13_mRNA) - (0.00000278 * E4_1_2_13)</v>
      </c>
    </row>
    <row r="270" spans="1:14" x14ac:dyDescent="0.45">
      <c r="A270">
        <v>269</v>
      </c>
      <c r="B270" t="s">
        <v>15227</v>
      </c>
      <c r="C270" t="str">
        <f t="shared" si="49"/>
        <v>E4_1_2_14_mRNA</v>
      </c>
      <c r="D270" t="str">
        <f t="shared" si="48"/>
        <v>E4_1_2_14</v>
      </c>
      <c r="E270" s="30" t="str">
        <f t="shared" si="50"/>
        <v>E4_1_2_14_kcat : 13.7</v>
      </c>
      <c r="F270" s="31" t="str">
        <f t="shared" si="51"/>
        <v>E4_1_2_14_km : 1</v>
      </c>
      <c r="G270" s="21" t="str">
        <f t="shared" si="52"/>
        <v>E4_1_2_14_mRNA : E4_1_2_14_mRNA</v>
      </c>
      <c r="H270" s="32" t="str">
        <f t="shared" si="53"/>
        <v>E4_1_2_14 : E4_1_2_14</v>
      </c>
      <c r="I270" s="33" t="str">
        <f t="shared" si="54"/>
        <v>E4_1_2_14_mRNA : 0</v>
      </c>
      <c r="J270" s="34" t="str">
        <f t="shared" si="55"/>
        <v>E4_1_2_14 : 0</v>
      </c>
      <c r="K270" s="35" t="str">
        <f t="shared" si="56"/>
        <v>0.00292 - (0.0093 * E4_1_2_14_mRNA)</v>
      </c>
      <c r="L270" s="30" t="str">
        <f t="shared" si="57"/>
        <v>(0.278 * E4_1_2_14_mRNA) - (0.00000278 * E4_1_2_14)</v>
      </c>
      <c r="M270" s="36" t="str">
        <f t="shared" si="58"/>
        <v>mRNA269: -&gt; E4_1_2_14_mRNA | 0.00292 - (0.0093 * E4_1_2_14_mRNA)</v>
      </c>
      <c r="N270" s="21" t="str">
        <f t="shared" si="59"/>
        <v>Peptide269:  E4_1_2_14_mRNA -&gt; E4_1_2_14 | (0.278 * E4_1_2_14_mRNA) - (0.00000278 * E4_1_2_14)</v>
      </c>
    </row>
    <row r="271" spans="1:14" x14ac:dyDescent="0.45">
      <c r="A271">
        <v>270</v>
      </c>
      <c r="B271" t="s">
        <v>15228</v>
      </c>
      <c r="C271" t="str">
        <f t="shared" si="49"/>
        <v>E4_1_2_25_mRNA</v>
      </c>
      <c r="D271" t="str">
        <f t="shared" si="48"/>
        <v>E4_1_2_25</v>
      </c>
      <c r="E271" s="30" t="str">
        <f t="shared" si="50"/>
        <v>E4_1_2_25_kcat : 13.7</v>
      </c>
      <c r="F271" s="31" t="str">
        <f t="shared" si="51"/>
        <v>E4_1_2_25_km : 1</v>
      </c>
      <c r="G271" s="21" t="str">
        <f t="shared" si="52"/>
        <v>E4_1_2_25_mRNA : E4_1_2_25_mRNA</v>
      </c>
      <c r="H271" s="32" t="str">
        <f t="shared" si="53"/>
        <v>E4_1_2_25 : E4_1_2_25</v>
      </c>
      <c r="I271" s="33" t="str">
        <f t="shared" si="54"/>
        <v>E4_1_2_25_mRNA : 0</v>
      </c>
      <c r="J271" s="34" t="str">
        <f t="shared" si="55"/>
        <v>E4_1_2_25 : 0</v>
      </c>
      <c r="K271" s="35" t="str">
        <f t="shared" si="56"/>
        <v>0.00292 - (0.0093 * E4_1_2_25_mRNA)</v>
      </c>
      <c r="L271" s="30" t="str">
        <f t="shared" si="57"/>
        <v>(0.278 * E4_1_2_25_mRNA) - (0.00000278 * E4_1_2_25)</v>
      </c>
      <c r="M271" s="36" t="str">
        <f t="shared" si="58"/>
        <v>mRNA270: -&gt; E4_1_2_25_mRNA | 0.00292 - (0.0093 * E4_1_2_25_mRNA)</v>
      </c>
      <c r="N271" s="21" t="str">
        <f t="shared" si="59"/>
        <v>Peptide270:  E4_1_2_25_mRNA -&gt; E4_1_2_25 | (0.278 * E4_1_2_25_mRNA) - (0.00000278 * E4_1_2_25)</v>
      </c>
    </row>
    <row r="272" spans="1:14" x14ac:dyDescent="0.45">
      <c r="A272">
        <v>271</v>
      </c>
      <c r="B272" t="s">
        <v>15229</v>
      </c>
      <c r="C272" t="str">
        <f t="shared" si="49"/>
        <v>E4_1_2_4_mRNA</v>
      </c>
      <c r="D272" t="str">
        <f t="shared" si="48"/>
        <v>E4_1_2_4</v>
      </c>
      <c r="E272" s="30" t="str">
        <f t="shared" si="50"/>
        <v>E4_1_2_4_kcat : 13.7</v>
      </c>
      <c r="F272" s="31" t="str">
        <f t="shared" si="51"/>
        <v>E4_1_2_4_km : 1</v>
      </c>
      <c r="G272" s="21" t="str">
        <f t="shared" si="52"/>
        <v>E4_1_2_4_mRNA : E4_1_2_4_mRNA</v>
      </c>
      <c r="H272" s="32" t="str">
        <f t="shared" si="53"/>
        <v>E4_1_2_4 : E4_1_2_4</v>
      </c>
      <c r="I272" s="33" t="str">
        <f t="shared" si="54"/>
        <v>E4_1_2_4_mRNA : 0</v>
      </c>
      <c r="J272" s="34" t="str">
        <f t="shared" si="55"/>
        <v>E4_1_2_4 : 0</v>
      </c>
      <c r="K272" s="35" t="str">
        <f t="shared" si="56"/>
        <v>0.00292 - (0.0093 * E4_1_2_4_mRNA)</v>
      </c>
      <c r="L272" s="30" t="str">
        <f t="shared" si="57"/>
        <v>(0.278 * E4_1_2_4_mRNA) - (0.00000278 * E4_1_2_4)</v>
      </c>
      <c r="M272" s="36" t="str">
        <f t="shared" si="58"/>
        <v>mRNA271: -&gt; E4_1_2_4_mRNA | 0.00292 - (0.0093 * E4_1_2_4_mRNA)</v>
      </c>
      <c r="N272" s="21" t="str">
        <f t="shared" si="59"/>
        <v>Peptide271:  E4_1_2_4_mRNA -&gt; E4_1_2_4 | (0.278 * E4_1_2_4_mRNA) - (0.00000278 * E4_1_2_4)</v>
      </c>
    </row>
    <row r="273" spans="1:14" x14ac:dyDescent="0.45">
      <c r="A273">
        <v>272</v>
      </c>
      <c r="B273" t="s">
        <v>15230</v>
      </c>
      <c r="C273" t="str">
        <f t="shared" si="49"/>
        <v>E4_1_2_40_mRNA</v>
      </c>
      <c r="D273" t="str">
        <f t="shared" si="48"/>
        <v>E4_1_2_40</v>
      </c>
      <c r="E273" s="30" t="str">
        <f t="shared" si="50"/>
        <v>E4_1_2_40_kcat : 13.7</v>
      </c>
      <c r="F273" s="31" t="str">
        <f t="shared" si="51"/>
        <v>E4_1_2_40_km : 1</v>
      </c>
      <c r="G273" s="21" t="str">
        <f t="shared" si="52"/>
        <v>E4_1_2_40_mRNA : E4_1_2_40_mRNA</v>
      </c>
      <c r="H273" s="32" t="str">
        <f t="shared" si="53"/>
        <v>E4_1_2_40 : E4_1_2_40</v>
      </c>
      <c r="I273" s="33" t="str">
        <f t="shared" si="54"/>
        <v>E4_1_2_40_mRNA : 0</v>
      </c>
      <c r="J273" s="34" t="str">
        <f t="shared" si="55"/>
        <v>E4_1_2_40 : 0</v>
      </c>
      <c r="K273" s="35" t="str">
        <f t="shared" si="56"/>
        <v>0.00292 - (0.0093 * E4_1_2_40_mRNA)</v>
      </c>
      <c r="L273" s="30" t="str">
        <f t="shared" si="57"/>
        <v>(0.278 * E4_1_2_40_mRNA) - (0.00000278 * E4_1_2_40)</v>
      </c>
      <c r="M273" s="36" t="str">
        <f t="shared" si="58"/>
        <v>mRNA272: -&gt; E4_1_2_40_mRNA | 0.00292 - (0.0093 * E4_1_2_40_mRNA)</v>
      </c>
      <c r="N273" s="21" t="str">
        <f t="shared" si="59"/>
        <v>Peptide272:  E4_1_2_40_mRNA -&gt; E4_1_2_40 | (0.278 * E4_1_2_40_mRNA) - (0.00000278 * E4_1_2_40)</v>
      </c>
    </row>
    <row r="274" spans="1:14" x14ac:dyDescent="0.45">
      <c r="A274">
        <v>273</v>
      </c>
      <c r="B274" t="s">
        <v>15231</v>
      </c>
      <c r="C274" t="str">
        <f t="shared" si="49"/>
        <v>E4_1_2_48_mRNA</v>
      </c>
      <c r="D274" t="str">
        <f t="shared" si="48"/>
        <v>E4_1_2_48</v>
      </c>
      <c r="E274" s="30" t="str">
        <f t="shared" si="50"/>
        <v>E4_1_2_48_kcat : 13.7</v>
      </c>
      <c r="F274" s="31" t="str">
        <f t="shared" si="51"/>
        <v>E4_1_2_48_km : 1</v>
      </c>
      <c r="G274" s="21" t="str">
        <f t="shared" si="52"/>
        <v>E4_1_2_48_mRNA : E4_1_2_48_mRNA</v>
      </c>
      <c r="H274" s="32" t="str">
        <f t="shared" si="53"/>
        <v>E4_1_2_48 : E4_1_2_48</v>
      </c>
      <c r="I274" s="33" t="str">
        <f t="shared" si="54"/>
        <v>E4_1_2_48_mRNA : 0</v>
      </c>
      <c r="J274" s="34" t="str">
        <f t="shared" si="55"/>
        <v>E4_1_2_48 : 0</v>
      </c>
      <c r="K274" s="35" t="str">
        <f t="shared" si="56"/>
        <v>0.00292 - (0.0093 * E4_1_2_48_mRNA)</v>
      </c>
      <c r="L274" s="30" t="str">
        <f t="shared" si="57"/>
        <v>(0.278 * E4_1_2_48_mRNA) - (0.00000278 * E4_1_2_48)</v>
      </c>
      <c r="M274" s="36" t="str">
        <f t="shared" si="58"/>
        <v>mRNA273: -&gt; E4_1_2_48_mRNA | 0.00292 - (0.0093 * E4_1_2_48_mRNA)</v>
      </c>
      <c r="N274" s="21" t="str">
        <f t="shared" si="59"/>
        <v>Peptide273:  E4_1_2_48_mRNA -&gt; E4_1_2_48 | (0.278 * E4_1_2_48_mRNA) - (0.00000278 * E4_1_2_48)</v>
      </c>
    </row>
    <row r="275" spans="1:14" x14ac:dyDescent="0.45">
      <c r="A275">
        <v>274</v>
      </c>
      <c r="B275" t="s">
        <v>15232</v>
      </c>
      <c r="C275" t="str">
        <f t="shared" si="49"/>
        <v>E4_1_3_27_mRNA</v>
      </c>
      <c r="D275" t="str">
        <f t="shared" si="48"/>
        <v>E4_1_3_27</v>
      </c>
      <c r="E275" s="30" t="str">
        <f t="shared" si="50"/>
        <v>E4_1_3_27_kcat : 13.7</v>
      </c>
      <c r="F275" s="31" t="str">
        <f t="shared" si="51"/>
        <v>E4_1_3_27_km : 1</v>
      </c>
      <c r="G275" s="21" t="str">
        <f t="shared" si="52"/>
        <v>E4_1_3_27_mRNA : E4_1_3_27_mRNA</v>
      </c>
      <c r="H275" s="32" t="str">
        <f t="shared" si="53"/>
        <v>E4_1_3_27 : E4_1_3_27</v>
      </c>
      <c r="I275" s="33" t="str">
        <f t="shared" si="54"/>
        <v>E4_1_3_27_mRNA : 0</v>
      </c>
      <c r="J275" s="34" t="str">
        <f t="shared" si="55"/>
        <v>E4_1_3_27 : 0</v>
      </c>
      <c r="K275" s="35" t="str">
        <f t="shared" si="56"/>
        <v>0.00292 - (0.0093 * E4_1_3_27_mRNA)</v>
      </c>
      <c r="L275" s="30" t="str">
        <f t="shared" si="57"/>
        <v>(0.278 * E4_1_3_27_mRNA) - (0.00000278 * E4_1_3_27)</v>
      </c>
      <c r="M275" s="36" t="str">
        <f t="shared" si="58"/>
        <v>mRNA274: -&gt; E4_1_3_27_mRNA | 0.00292 - (0.0093 * E4_1_3_27_mRNA)</v>
      </c>
      <c r="N275" s="21" t="str">
        <f t="shared" si="59"/>
        <v>Peptide274:  E4_1_3_27_mRNA -&gt; E4_1_3_27 | (0.278 * E4_1_3_27_mRNA) - (0.00000278 * E4_1_3_27)</v>
      </c>
    </row>
    <row r="276" spans="1:14" x14ac:dyDescent="0.45">
      <c r="A276">
        <v>275</v>
      </c>
      <c r="B276" t="s">
        <v>15233</v>
      </c>
      <c r="C276" t="str">
        <f t="shared" si="49"/>
        <v>E4_1_3_3_mRNA</v>
      </c>
      <c r="D276" t="str">
        <f t="shared" si="48"/>
        <v>E4_1_3_3</v>
      </c>
      <c r="E276" s="30" t="str">
        <f t="shared" si="50"/>
        <v>E4_1_3_3_kcat : 13.7</v>
      </c>
      <c r="F276" s="31" t="str">
        <f t="shared" si="51"/>
        <v>E4_1_3_3_km : 1</v>
      </c>
      <c r="G276" s="21" t="str">
        <f t="shared" si="52"/>
        <v>E4_1_3_3_mRNA : E4_1_3_3_mRNA</v>
      </c>
      <c r="H276" s="32" t="str">
        <f t="shared" si="53"/>
        <v>E4_1_3_3 : E4_1_3_3</v>
      </c>
      <c r="I276" s="33" t="str">
        <f t="shared" si="54"/>
        <v>E4_1_3_3_mRNA : 0</v>
      </c>
      <c r="J276" s="34" t="str">
        <f t="shared" si="55"/>
        <v>E4_1_3_3 : 0</v>
      </c>
      <c r="K276" s="35" t="str">
        <f t="shared" si="56"/>
        <v>0.00292 - (0.0093 * E4_1_3_3_mRNA)</v>
      </c>
      <c r="L276" s="30" t="str">
        <f t="shared" si="57"/>
        <v>(0.278 * E4_1_3_3_mRNA) - (0.00000278 * E4_1_3_3)</v>
      </c>
      <c r="M276" s="36" t="str">
        <f t="shared" si="58"/>
        <v>mRNA275: -&gt; E4_1_3_3_mRNA | 0.00292 - (0.0093 * E4_1_3_3_mRNA)</v>
      </c>
      <c r="N276" s="21" t="str">
        <f t="shared" si="59"/>
        <v>Peptide275:  E4_1_3_3_mRNA -&gt; E4_1_3_3 | (0.278 * E4_1_3_3_mRNA) - (0.00000278 * E4_1_3_3)</v>
      </c>
    </row>
    <row r="277" spans="1:14" x14ac:dyDescent="0.45">
      <c r="A277">
        <v>276</v>
      </c>
      <c r="B277" t="s">
        <v>15234</v>
      </c>
      <c r="C277" t="str">
        <f t="shared" si="49"/>
        <v>E4_1_99_12_mRNA</v>
      </c>
      <c r="D277" t="str">
        <f t="shared" si="48"/>
        <v>E4_1_99_12</v>
      </c>
      <c r="E277" s="30" t="str">
        <f t="shared" si="50"/>
        <v>E4_1_99_12_kcat : 13.7</v>
      </c>
      <c r="F277" s="31" t="str">
        <f t="shared" si="51"/>
        <v>E4_1_99_12_km : 1</v>
      </c>
      <c r="G277" s="21" t="str">
        <f t="shared" si="52"/>
        <v>E4_1_99_12_mRNA : E4_1_99_12_mRNA</v>
      </c>
      <c r="H277" s="32" t="str">
        <f t="shared" si="53"/>
        <v>E4_1_99_12 : E4_1_99_12</v>
      </c>
      <c r="I277" s="33" t="str">
        <f t="shared" si="54"/>
        <v>E4_1_99_12_mRNA : 0</v>
      </c>
      <c r="J277" s="34" t="str">
        <f t="shared" si="55"/>
        <v>E4_1_99_12 : 0</v>
      </c>
      <c r="K277" s="35" t="str">
        <f t="shared" si="56"/>
        <v>0.00292 - (0.0093 * E4_1_99_12_mRNA)</v>
      </c>
      <c r="L277" s="30" t="str">
        <f t="shared" si="57"/>
        <v>(0.278 * E4_1_99_12_mRNA) - (0.00000278 * E4_1_99_12)</v>
      </c>
      <c r="M277" s="36" t="str">
        <f t="shared" si="58"/>
        <v>mRNA276: -&gt; E4_1_99_12_mRNA | 0.00292 - (0.0093 * E4_1_99_12_mRNA)</v>
      </c>
      <c r="N277" s="21" t="str">
        <f t="shared" si="59"/>
        <v>Peptide276:  E4_1_99_12_mRNA -&gt; E4_1_99_12 | (0.278 * E4_1_99_12_mRNA) - (0.00000278 * E4_1_99_12)</v>
      </c>
    </row>
    <row r="278" spans="1:14" x14ac:dyDescent="0.45">
      <c r="A278">
        <v>277</v>
      </c>
      <c r="B278" t="s">
        <v>15235</v>
      </c>
      <c r="C278" t="str">
        <f t="shared" si="49"/>
        <v>E4_1_99_17_mRNA</v>
      </c>
      <c r="D278" t="str">
        <f t="shared" si="48"/>
        <v>E4_1_99_17</v>
      </c>
      <c r="E278" s="30" t="str">
        <f t="shared" si="50"/>
        <v>E4_1_99_17_kcat : 13.7</v>
      </c>
      <c r="F278" s="31" t="str">
        <f t="shared" si="51"/>
        <v>E4_1_99_17_km : 1</v>
      </c>
      <c r="G278" s="21" t="str">
        <f t="shared" si="52"/>
        <v>E4_1_99_17_mRNA : E4_1_99_17_mRNA</v>
      </c>
      <c r="H278" s="32" t="str">
        <f t="shared" si="53"/>
        <v>E4_1_99_17 : E4_1_99_17</v>
      </c>
      <c r="I278" s="33" t="str">
        <f t="shared" si="54"/>
        <v>E4_1_99_17_mRNA : 0</v>
      </c>
      <c r="J278" s="34" t="str">
        <f t="shared" si="55"/>
        <v>E4_1_99_17 : 0</v>
      </c>
      <c r="K278" s="35" t="str">
        <f t="shared" si="56"/>
        <v>0.00292 - (0.0093 * E4_1_99_17_mRNA)</v>
      </c>
      <c r="L278" s="30" t="str">
        <f t="shared" si="57"/>
        <v>(0.278 * E4_1_99_17_mRNA) - (0.00000278 * E4_1_99_17)</v>
      </c>
      <c r="M278" s="36" t="str">
        <f t="shared" si="58"/>
        <v>mRNA277: -&gt; E4_1_99_17_mRNA | 0.00292 - (0.0093 * E4_1_99_17_mRNA)</v>
      </c>
      <c r="N278" s="21" t="str">
        <f t="shared" si="59"/>
        <v>Peptide277:  E4_1_99_17_mRNA -&gt; E4_1_99_17 | (0.278 * E4_1_99_17_mRNA) - (0.00000278 * E4_1_99_17)</v>
      </c>
    </row>
    <row r="279" spans="1:14" x14ac:dyDescent="0.45">
      <c r="A279">
        <v>278</v>
      </c>
      <c r="B279" t="s">
        <v>15236</v>
      </c>
      <c r="C279" t="str">
        <f t="shared" si="49"/>
        <v>E4_1_99_22_mRNA</v>
      </c>
      <c r="D279" t="str">
        <f t="shared" si="48"/>
        <v>E4_1_99_22</v>
      </c>
      <c r="E279" s="30" t="str">
        <f t="shared" si="50"/>
        <v>E4_1_99_22_kcat : 13.7</v>
      </c>
      <c r="F279" s="31" t="str">
        <f t="shared" si="51"/>
        <v>E4_1_99_22_km : 1</v>
      </c>
      <c r="G279" s="21" t="str">
        <f t="shared" si="52"/>
        <v>E4_1_99_22_mRNA : E4_1_99_22_mRNA</v>
      </c>
      <c r="H279" s="32" t="str">
        <f t="shared" si="53"/>
        <v>E4_1_99_22 : E4_1_99_22</v>
      </c>
      <c r="I279" s="33" t="str">
        <f t="shared" si="54"/>
        <v>E4_1_99_22_mRNA : 0</v>
      </c>
      <c r="J279" s="34" t="str">
        <f t="shared" si="55"/>
        <v>E4_1_99_22 : 0</v>
      </c>
      <c r="K279" s="35" t="str">
        <f t="shared" si="56"/>
        <v>0.00292 - (0.0093 * E4_1_99_22_mRNA)</v>
      </c>
      <c r="L279" s="30" t="str">
        <f t="shared" si="57"/>
        <v>(0.278 * E4_1_99_22_mRNA) - (0.00000278 * E4_1_99_22)</v>
      </c>
      <c r="M279" s="36" t="str">
        <f t="shared" si="58"/>
        <v>mRNA278: -&gt; E4_1_99_22_mRNA | 0.00292 - (0.0093 * E4_1_99_22_mRNA)</v>
      </c>
      <c r="N279" s="21" t="str">
        <f t="shared" si="59"/>
        <v>Peptide278:  E4_1_99_22_mRNA -&gt; E4_1_99_22 | (0.278 * E4_1_99_22_mRNA) - (0.00000278 * E4_1_99_22)</v>
      </c>
    </row>
    <row r="280" spans="1:14" x14ac:dyDescent="0.45">
      <c r="A280">
        <v>279</v>
      </c>
      <c r="B280" t="s">
        <v>15237</v>
      </c>
      <c r="C280" t="str">
        <f t="shared" si="49"/>
        <v>E4_2_1_10_mRNA</v>
      </c>
      <c r="D280" t="str">
        <f t="shared" si="48"/>
        <v>E4_2_1_10</v>
      </c>
      <c r="E280" s="30" t="str">
        <f t="shared" si="50"/>
        <v>E4_2_1_10_kcat : 13.7</v>
      </c>
      <c r="F280" s="31" t="str">
        <f t="shared" si="51"/>
        <v>E4_2_1_10_km : 1</v>
      </c>
      <c r="G280" s="21" t="str">
        <f t="shared" si="52"/>
        <v>E4_2_1_10_mRNA : E4_2_1_10_mRNA</v>
      </c>
      <c r="H280" s="32" t="str">
        <f t="shared" si="53"/>
        <v>E4_2_1_10 : E4_2_1_10</v>
      </c>
      <c r="I280" s="33" t="str">
        <f t="shared" si="54"/>
        <v>E4_2_1_10_mRNA : 0</v>
      </c>
      <c r="J280" s="34" t="str">
        <f t="shared" si="55"/>
        <v>E4_2_1_10 : 0</v>
      </c>
      <c r="K280" s="35" t="str">
        <f t="shared" si="56"/>
        <v>0.00292 - (0.0093 * E4_2_1_10_mRNA)</v>
      </c>
      <c r="L280" s="30" t="str">
        <f t="shared" si="57"/>
        <v>(0.278 * E4_2_1_10_mRNA) - (0.00000278 * E4_2_1_10)</v>
      </c>
      <c r="M280" s="36" t="str">
        <f t="shared" si="58"/>
        <v>mRNA279: -&gt; E4_2_1_10_mRNA | 0.00292 - (0.0093 * E4_2_1_10_mRNA)</v>
      </c>
      <c r="N280" s="21" t="str">
        <f t="shared" si="59"/>
        <v>Peptide279:  E4_2_1_10_mRNA -&gt; E4_2_1_10 | (0.278 * E4_2_1_10_mRNA) - (0.00000278 * E4_2_1_10)</v>
      </c>
    </row>
    <row r="281" spans="1:14" x14ac:dyDescent="0.45">
      <c r="A281">
        <v>280</v>
      </c>
      <c r="B281" t="s">
        <v>15238</v>
      </c>
      <c r="C281" t="str">
        <f t="shared" si="49"/>
        <v>E4_2_1_11_mRNA</v>
      </c>
      <c r="D281" t="str">
        <f t="shared" si="48"/>
        <v>E4_2_1_11</v>
      </c>
      <c r="E281" s="30" t="str">
        <f t="shared" si="50"/>
        <v>E4_2_1_11_kcat : 13.7</v>
      </c>
      <c r="F281" s="31" t="str">
        <f t="shared" si="51"/>
        <v>E4_2_1_11_km : 1</v>
      </c>
      <c r="G281" s="21" t="str">
        <f t="shared" si="52"/>
        <v>E4_2_1_11_mRNA : E4_2_1_11_mRNA</v>
      </c>
      <c r="H281" s="32" t="str">
        <f t="shared" si="53"/>
        <v>E4_2_1_11 : E4_2_1_11</v>
      </c>
      <c r="I281" s="33" t="str">
        <f t="shared" si="54"/>
        <v>E4_2_1_11_mRNA : 0</v>
      </c>
      <c r="J281" s="34" t="str">
        <f t="shared" si="55"/>
        <v>E4_2_1_11 : 0</v>
      </c>
      <c r="K281" s="35" t="str">
        <f t="shared" si="56"/>
        <v>0.00292 - (0.0093 * E4_2_1_11_mRNA)</v>
      </c>
      <c r="L281" s="30" t="str">
        <f t="shared" si="57"/>
        <v>(0.278 * E4_2_1_11_mRNA) - (0.00000278 * E4_2_1_11)</v>
      </c>
      <c r="M281" s="36" t="str">
        <f t="shared" si="58"/>
        <v>mRNA280: -&gt; E4_2_1_11_mRNA | 0.00292 - (0.0093 * E4_2_1_11_mRNA)</v>
      </c>
      <c r="N281" s="21" t="str">
        <f t="shared" si="59"/>
        <v>Peptide280:  E4_2_1_11_mRNA -&gt; E4_2_1_11 | (0.278 * E4_2_1_11_mRNA) - (0.00000278 * E4_2_1_11)</v>
      </c>
    </row>
    <row r="282" spans="1:14" x14ac:dyDescent="0.45">
      <c r="A282">
        <v>281</v>
      </c>
      <c r="B282" t="s">
        <v>15239</v>
      </c>
      <c r="C282" t="str">
        <f t="shared" si="49"/>
        <v>E4_2_1_126_mRNA</v>
      </c>
      <c r="D282" t="str">
        <f t="shared" si="48"/>
        <v>E4_2_1_126</v>
      </c>
      <c r="E282" s="30" t="str">
        <f t="shared" si="50"/>
        <v>E4_2_1_126_kcat : 13.7</v>
      </c>
      <c r="F282" s="31" t="str">
        <f t="shared" si="51"/>
        <v>E4_2_1_126_km : 1</v>
      </c>
      <c r="G282" s="21" t="str">
        <f t="shared" si="52"/>
        <v>E4_2_1_126_mRNA : E4_2_1_126_mRNA</v>
      </c>
      <c r="H282" s="32" t="str">
        <f t="shared" si="53"/>
        <v>E4_2_1_126 : E4_2_1_126</v>
      </c>
      <c r="I282" s="33" t="str">
        <f t="shared" si="54"/>
        <v>E4_2_1_126_mRNA : 0</v>
      </c>
      <c r="J282" s="34" t="str">
        <f t="shared" si="55"/>
        <v>E4_2_1_126 : 0</v>
      </c>
      <c r="K282" s="35" t="str">
        <f t="shared" si="56"/>
        <v>0.00292 - (0.0093 * E4_2_1_126_mRNA)</v>
      </c>
      <c r="L282" s="30" t="str">
        <f t="shared" si="57"/>
        <v>(0.278 * E4_2_1_126_mRNA) - (0.00000278 * E4_2_1_126)</v>
      </c>
      <c r="M282" s="36" t="str">
        <f t="shared" si="58"/>
        <v>mRNA281: -&gt; E4_2_1_126_mRNA | 0.00292 - (0.0093 * E4_2_1_126_mRNA)</v>
      </c>
      <c r="N282" s="21" t="str">
        <f t="shared" si="59"/>
        <v>Peptide281:  E4_2_1_126_mRNA -&gt; E4_2_1_126 | (0.278 * E4_2_1_126_mRNA) - (0.00000278 * E4_2_1_126)</v>
      </c>
    </row>
    <row r="283" spans="1:14" x14ac:dyDescent="0.45">
      <c r="A283">
        <v>282</v>
      </c>
      <c r="B283" t="s">
        <v>15240</v>
      </c>
      <c r="C283" t="str">
        <f t="shared" si="49"/>
        <v>E4_2_1_157_mRNA</v>
      </c>
      <c r="D283" t="str">
        <f t="shared" si="48"/>
        <v>E4_2_1_157</v>
      </c>
      <c r="E283" s="30" t="str">
        <f t="shared" si="50"/>
        <v>E4_2_1_157_kcat : 13.7</v>
      </c>
      <c r="F283" s="31" t="str">
        <f t="shared" si="51"/>
        <v>E4_2_1_157_km : 1</v>
      </c>
      <c r="G283" s="21" t="str">
        <f t="shared" si="52"/>
        <v>E4_2_1_157_mRNA : E4_2_1_157_mRNA</v>
      </c>
      <c r="H283" s="32" t="str">
        <f t="shared" si="53"/>
        <v>E4_2_1_157 : E4_2_1_157</v>
      </c>
      <c r="I283" s="33" t="str">
        <f t="shared" si="54"/>
        <v>E4_2_1_157_mRNA : 0</v>
      </c>
      <c r="J283" s="34" t="str">
        <f t="shared" si="55"/>
        <v>E4_2_1_157 : 0</v>
      </c>
      <c r="K283" s="35" t="str">
        <f t="shared" si="56"/>
        <v>0.00292 - (0.0093 * E4_2_1_157_mRNA)</v>
      </c>
      <c r="L283" s="30" t="str">
        <f t="shared" si="57"/>
        <v>(0.278 * E4_2_1_157_mRNA) - (0.00000278 * E4_2_1_157)</v>
      </c>
      <c r="M283" s="36" t="str">
        <f t="shared" si="58"/>
        <v>mRNA282: -&gt; E4_2_1_157_mRNA | 0.00292 - (0.0093 * E4_2_1_157_mRNA)</v>
      </c>
      <c r="N283" s="21" t="str">
        <f t="shared" si="59"/>
        <v>Peptide282:  E4_2_1_157_mRNA -&gt; E4_2_1_157 | (0.278 * E4_2_1_157_mRNA) - (0.00000278 * E4_2_1_157)</v>
      </c>
    </row>
    <row r="284" spans="1:14" x14ac:dyDescent="0.45">
      <c r="A284">
        <v>283</v>
      </c>
      <c r="B284" t="s">
        <v>15241</v>
      </c>
      <c r="C284" t="str">
        <f t="shared" si="49"/>
        <v>E4_2_1_172_mRNA</v>
      </c>
      <c r="D284" t="str">
        <f t="shared" si="48"/>
        <v>E4_2_1_172</v>
      </c>
      <c r="E284" s="30" t="str">
        <f t="shared" si="50"/>
        <v>E4_2_1_172_kcat : 13.7</v>
      </c>
      <c r="F284" s="31" t="str">
        <f t="shared" si="51"/>
        <v>E4_2_1_172_km : 1</v>
      </c>
      <c r="G284" s="21" t="str">
        <f t="shared" si="52"/>
        <v>E4_2_1_172_mRNA : E4_2_1_172_mRNA</v>
      </c>
      <c r="H284" s="32" t="str">
        <f t="shared" si="53"/>
        <v>E4_2_1_172 : E4_2_1_172</v>
      </c>
      <c r="I284" s="33" t="str">
        <f t="shared" si="54"/>
        <v>E4_2_1_172_mRNA : 0</v>
      </c>
      <c r="J284" s="34" t="str">
        <f t="shared" si="55"/>
        <v>E4_2_1_172 : 0</v>
      </c>
      <c r="K284" s="35" t="str">
        <f t="shared" si="56"/>
        <v>0.00292 - (0.0093 * E4_2_1_172_mRNA)</v>
      </c>
      <c r="L284" s="30" t="str">
        <f t="shared" si="57"/>
        <v>(0.278 * E4_2_1_172_mRNA) - (0.00000278 * E4_2_1_172)</v>
      </c>
      <c r="M284" s="36" t="str">
        <f t="shared" si="58"/>
        <v>mRNA283: -&gt; E4_2_1_172_mRNA | 0.00292 - (0.0093 * E4_2_1_172_mRNA)</v>
      </c>
      <c r="N284" s="21" t="str">
        <f t="shared" si="59"/>
        <v>Peptide283:  E4_2_1_172_mRNA -&gt; E4_2_1_172 | (0.278 * E4_2_1_172_mRNA) - (0.00000278 * E4_2_1_172)</v>
      </c>
    </row>
    <row r="285" spans="1:14" x14ac:dyDescent="0.45">
      <c r="A285">
        <v>284</v>
      </c>
      <c r="B285" t="s">
        <v>15242</v>
      </c>
      <c r="C285" t="str">
        <f t="shared" si="49"/>
        <v>E4_2_1_19_mRNA</v>
      </c>
      <c r="D285" t="str">
        <f t="shared" si="48"/>
        <v>E4_2_1_19</v>
      </c>
      <c r="E285" s="30" t="str">
        <f t="shared" si="50"/>
        <v>E4_2_1_19_kcat : 13.7</v>
      </c>
      <c r="F285" s="31" t="str">
        <f t="shared" si="51"/>
        <v>E4_2_1_19_km : 1</v>
      </c>
      <c r="G285" s="21" t="str">
        <f t="shared" si="52"/>
        <v>E4_2_1_19_mRNA : E4_2_1_19_mRNA</v>
      </c>
      <c r="H285" s="32" t="str">
        <f t="shared" si="53"/>
        <v>E4_2_1_19 : E4_2_1_19</v>
      </c>
      <c r="I285" s="33" t="str">
        <f t="shared" si="54"/>
        <v>E4_2_1_19_mRNA : 0</v>
      </c>
      <c r="J285" s="34" t="str">
        <f t="shared" si="55"/>
        <v>E4_2_1_19 : 0</v>
      </c>
      <c r="K285" s="35" t="str">
        <f t="shared" si="56"/>
        <v>0.00292 - (0.0093 * E4_2_1_19_mRNA)</v>
      </c>
      <c r="L285" s="30" t="str">
        <f t="shared" si="57"/>
        <v>(0.278 * E4_2_1_19_mRNA) - (0.00000278 * E4_2_1_19)</v>
      </c>
      <c r="M285" s="36" t="str">
        <f t="shared" si="58"/>
        <v>mRNA284: -&gt; E4_2_1_19_mRNA | 0.00292 - (0.0093 * E4_2_1_19_mRNA)</v>
      </c>
      <c r="N285" s="21" t="str">
        <f t="shared" si="59"/>
        <v>Peptide284:  E4_2_1_19_mRNA -&gt; E4_2_1_19 | (0.278 * E4_2_1_19_mRNA) - (0.00000278 * E4_2_1_19)</v>
      </c>
    </row>
    <row r="286" spans="1:14" x14ac:dyDescent="0.45">
      <c r="A286">
        <v>285</v>
      </c>
      <c r="B286" t="s">
        <v>15243</v>
      </c>
      <c r="C286" t="str">
        <f t="shared" si="49"/>
        <v>E4_2_1_2_mRNA</v>
      </c>
      <c r="D286" t="str">
        <f t="shared" si="48"/>
        <v>E4_2_1_2</v>
      </c>
      <c r="E286" s="30" t="str">
        <f t="shared" si="50"/>
        <v>E4_2_1_2_kcat : 13.7</v>
      </c>
      <c r="F286" s="31" t="str">
        <f t="shared" si="51"/>
        <v>E4_2_1_2_km : 1</v>
      </c>
      <c r="G286" s="21" t="str">
        <f t="shared" si="52"/>
        <v>E4_2_1_2_mRNA : E4_2_1_2_mRNA</v>
      </c>
      <c r="H286" s="32" t="str">
        <f t="shared" si="53"/>
        <v>E4_2_1_2 : E4_2_1_2</v>
      </c>
      <c r="I286" s="33" t="str">
        <f t="shared" si="54"/>
        <v>E4_2_1_2_mRNA : 0</v>
      </c>
      <c r="J286" s="34" t="str">
        <f t="shared" si="55"/>
        <v>E4_2_1_2 : 0</v>
      </c>
      <c r="K286" s="35" t="str">
        <f t="shared" si="56"/>
        <v>0.00292 - (0.0093 * E4_2_1_2_mRNA)</v>
      </c>
      <c r="L286" s="30" t="str">
        <f t="shared" si="57"/>
        <v>(0.278 * E4_2_1_2_mRNA) - (0.00000278 * E4_2_1_2)</v>
      </c>
      <c r="M286" s="36" t="str">
        <f t="shared" si="58"/>
        <v>mRNA285: -&gt; E4_2_1_2_mRNA | 0.00292 - (0.0093 * E4_2_1_2_mRNA)</v>
      </c>
      <c r="N286" s="21" t="str">
        <f t="shared" si="59"/>
        <v>Peptide285:  E4_2_1_2_mRNA -&gt; E4_2_1_2 | (0.278 * E4_2_1_2_mRNA) - (0.00000278 * E4_2_1_2)</v>
      </c>
    </row>
    <row r="287" spans="1:14" x14ac:dyDescent="0.45">
      <c r="A287">
        <v>286</v>
      </c>
      <c r="B287" t="s">
        <v>15244</v>
      </c>
      <c r="C287" t="str">
        <f t="shared" si="49"/>
        <v>E4_2_1_24_mRNA</v>
      </c>
      <c r="D287" t="str">
        <f t="shared" si="48"/>
        <v>E4_2_1_24</v>
      </c>
      <c r="E287" s="30" t="str">
        <f t="shared" si="50"/>
        <v>E4_2_1_24_kcat : 13.7</v>
      </c>
      <c r="F287" s="31" t="str">
        <f t="shared" si="51"/>
        <v>E4_2_1_24_km : 1</v>
      </c>
      <c r="G287" s="21" t="str">
        <f t="shared" si="52"/>
        <v>E4_2_1_24_mRNA : E4_2_1_24_mRNA</v>
      </c>
      <c r="H287" s="32" t="str">
        <f t="shared" si="53"/>
        <v>E4_2_1_24 : E4_2_1_24</v>
      </c>
      <c r="I287" s="33" t="str">
        <f t="shared" si="54"/>
        <v>E4_2_1_24_mRNA : 0</v>
      </c>
      <c r="J287" s="34" t="str">
        <f t="shared" si="55"/>
        <v>E4_2_1_24 : 0</v>
      </c>
      <c r="K287" s="35" t="str">
        <f t="shared" si="56"/>
        <v>0.00292 - (0.0093 * E4_2_1_24_mRNA)</v>
      </c>
      <c r="L287" s="30" t="str">
        <f t="shared" si="57"/>
        <v>(0.278 * E4_2_1_24_mRNA) - (0.00000278 * E4_2_1_24)</v>
      </c>
      <c r="M287" s="36" t="str">
        <f t="shared" si="58"/>
        <v>mRNA286: -&gt; E4_2_1_24_mRNA | 0.00292 - (0.0093 * E4_2_1_24_mRNA)</v>
      </c>
      <c r="N287" s="21" t="str">
        <f t="shared" si="59"/>
        <v>Peptide286:  E4_2_1_24_mRNA -&gt; E4_2_1_24 | (0.278 * E4_2_1_24_mRNA) - (0.00000278 * E4_2_1_24)</v>
      </c>
    </row>
    <row r="288" spans="1:14" x14ac:dyDescent="0.45">
      <c r="A288">
        <v>287</v>
      </c>
      <c r="B288" t="s">
        <v>15245</v>
      </c>
      <c r="C288" t="str">
        <f t="shared" si="49"/>
        <v>E4_2_1_3_mRNA</v>
      </c>
      <c r="D288" t="str">
        <f t="shared" si="48"/>
        <v>E4_2_1_3</v>
      </c>
      <c r="E288" s="30" t="str">
        <f t="shared" si="50"/>
        <v>E4_2_1_3_kcat : 13.7</v>
      </c>
      <c r="F288" s="31" t="str">
        <f t="shared" si="51"/>
        <v>E4_2_1_3_km : 1</v>
      </c>
      <c r="G288" s="21" t="str">
        <f t="shared" si="52"/>
        <v>E4_2_1_3_mRNA : E4_2_1_3_mRNA</v>
      </c>
      <c r="H288" s="32" t="str">
        <f t="shared" si="53"/>
        <v>E4_2_1_3 : E4_2_1_3</v>
      </c>
      <c r="I288" s="33" t="str">
        <f t="shared" si="54"/>
        <v>E4_2_1_3_mRNA : 0</v>
      </c>
      <c r="J288" s="34" t="str">
        <f t="shared" si="55"/>
        <v>E4_2_1_3 : 0</v>
      </c>
      <c r="K288" s="35" t="str">
        <f t="shared" si="56"/>
        <v>0.00292 - (0.0093 * E4_2_1_3_mRNA)</v>
      </c>
      <c r="L288" s="30" t="str">
        <f t="shared" si="57"/>
        <v>(0.278 * E4_2_1_3_mRNA) - (0.00000278 * E4_2_1_3)</v>
      </c>
      <c r="M288" s="36" t="str">
        <f t="shared" si="58"/>
        <v>mRNA287: -&gt; E4_2_1_3_mRNA | 0.00292 - (0.0093 * E4_2_1_3_mRNA)</v>
      </c>
      <c r="N288" s="21" t="str">
        <f t="shared" si="59"/>
        <v>Peptide287:  E4_2_1_3_mRNA -&gt; E4_2_1_3 | (0.278 * E4_2_1_3_mRNA) - (0.00000278 * E4_2_1_3)</v>
      </c>
    </row>
    <row r="289" spans="1:14" x14ac:dyDescent="0.45">
      <c r="A289">
        <v>288</v>
      </c>
      <c r="B289" t="s">
        <v>15246</v>
      </c>
      <c r="C289" t="str">
        <f t="shared" si="49"/>
        <v>E4_2_1_33_mRNA</v>
      </c>
      <c r="D289" t="str">
        <f t="shared" si="48"/>
        <v>E4_2_1_33</v>
      </c>
      <c r="E289" s="30" t="str">
        <f t="shared" si="50"/>
        <v>E4_2_1_33_kcat : 13.7</v>
      </c>
      <c r="F289" s="31" t="str">
        <f t="shared" si="51"/>
        <v>E4_2_1_33_km : 1</v>
      </c>
      <c r="G289" s="21" t="str">
        <f t="shared" si="52"/>
        <v>E4_2_1_33_mRNA : E4_2_1_33_mRNA</v>
      </c>
      <c r="H289" s="32" t="str">
        <f t="shared" si="53"/>
        <v>E4_2_1_33 : E4_2_1_33</v>
      </c>
      <c r="I289" s="33" t="str">
        <f t="shared" si="54"/>
        <v>E4_2_1_33_mRNA : 0</v>
      </c>
      <c r="J289" s="34" t="str">
        <f t="shared" si="55"/>
        <v>E4_2_1_33 : 0</v>
      </c>
      <c r="K289" s="35" t="str">
        <f t="shared" si="56"/>
        <v>0.00292 - (0.0093 * E4_2_1_33_mRNA)</v>
      </c>
      <c r="L289" s="30" t="str">
        <f t="shared" si="57"/>
        <v>(0.278 * E4_2_1_33_mRNA) - (0.00000278 * E4_2_1_33)</v>
      </c>
      <c r="M289" s="36" t="str">
        <f t="shared" si="58"/>
        <v>mRNA288: -&gt; E4_2_1_33_mRNA | 0.00292 - (0.0093 * E4_2_1_33_mRNA)</v>
      </c>
      <c r="N289" s="21" t="str">
        <f t="shared" si="59"/>
        <v>Peptide288:  E4_2_1_33_mRNA -&gt; E4_2_1_33 | (0.278 * E4_2_1_33_mRNA) - (0.00000278 * E4_2_1_33)</v>
      </c>
    </row>
    <row r="290" spans="1:14" x14ac:dyDescent="0.45">
      <c r="A290">
        <v>289</v>
      </c>
      <c r="B290" t="s">
        <v>15247</v>
      </c>
      <c r="C290" t="str">
        <f t="shared" si="49"/>
        <v>E4_2_1_46_mRNA</v>
      </c>
      <c r="D290" t="str">
        <f t="shared" si="48"/>
        <v>E4_2_1_46</v>
      </c>
      <c r="E290" s="30" t="str">
        <f t="shared" si="50"/>
        <v>E4_2_1_46_kcat : 13.7</v>
      </c>
      <c r="F290" s="31" t="str">
        <f t="shared" si="51"/>
        <v>E4_2_1_46_km : 1</v>
      </c>
      <c r="G290" s="21" t="str">
        <f t="shared" si="52"/>
        <v>E4_2_1_46_mRNA : E4_2_1_46_mRNA</v>
      </c>
      <c r="H290" s="32" t="str">
        <f t="shared" si="53"/>
        <v>E4_2_1_46 : E4_2_1_46</v>
      </c>
      <c r="I290" s="33" t="str">
        <f t="shared" si="54"/>
        <v>E4_2_1_46_mRNA : 0</v>
      </c>
      <c r="J290" s="34" t="str">
        <f t="shared" si="55"/>
        <v>E4_2_1_46 : 0</v>
      </c>
      <c r="K290" s="35" t="str">
        <f t="shared" si="56"/>
        <v>0.00292 - (0.0093 * E4_2_1_46_mRNA)</v>
      </c>
      <c r="L290" s="30" t="str">
        <f t="shared" si="57"/>
        <v>(0.278 * E4_2_1_46_mRNA) - (0.00000278 * E4_2_1_46)</v>
      </c>
      <c r="M290" s="36" t="str">
        <f t="shared" si="58"/>
        <v>mRNA289: -&gt; E4_2_1_46_mRNA | 0.00292 - (0.0093 * E4_2_1_46_mRNA)</v>
      </c>
      <c r="N290" s="21" t="str">
        <f t="shared" si="59"/>
        <v>Peptide289:  E4_2_1_46_mRNA -&gt; E4_2_1_46 | (0.278 * E4_2_1_46_mRNA) - (0.00000278 * E4_2_1_46)</v>
      </c>
    </row>
    <row r="291" spans="1:14" x14ac:dyDescent="0.45">
      <c r="A291">
        <v>290</v>
      </c>
      <c r="B291" t="s">
        <v>15248</v>
      </c>
      <c r="C291" t="str">
        <f t="shared" si="49"/>
        <v>E4_2_1_51_mRNA</v>
      </c>
      <c r="D291" t="str">
        <f t="shared" si="48"/>
        <v>E4_2_1_51</v>
      </c>
      <c r="E291" s="30" t="str">
        <f t="shared" si="50"/>
        <v>E4_2_1_51_kcat : 13.7</v>
      </c>
      <c r="F291" s="31" t="str">
        <f t="shared" si="51"/>
        <v>E4_2_1_51_km : 1</v>
      </c>
      <c r="G291" s="21" t="str">
        <f t="shared" si="52"/>
        <v>E4_2_1_51_mRNA : E4_2_1_51_mRNA</v>
      </c>
      <c r="H291" s="32" t="str">
        <f t="shared" si="53"/>
        <v>E4_2_1_51 : E4_2_1_51</v>
      </c>
      <c r="I291" s="33" t="str">
        <f t="shared" si="54"/>
        <v>E4_2_1_51_mRNA : 0</v>
      </c>
      <c r="J291" s="34" t="str">
        <f t="shared" si="55"/>
        <v>E4_2_1_51 : 0</v>
      </c>
      <c r="K291" s="35" t="str">
        <f t="shared" si="56"/>
        <v>0.00292 - (0.0093 * E4_2_1_51_mRNA)</v>
      </c>
      <c r="L291" s="30" t="str">
        <f t="shared" si="57"/>
        <v>(0.278 * E4_2_1_51_mRNA) - (0.00000278 * E4_2_1_51)</v>
      </c>
      <c r="M291" s="36" t="str">
        <f t="shared" si="58"/>
        <v>mRNA290: -&gt; E4_2_1_51_mRNA | 0.00292 - (0.0093 * E4_2_1_51_mRNA)</v>
      </c>
      <c r="N291" s="21" t="str">
        <f t="shared" si="59"/>
        <v>Peptide290:  E4_2_1_51_mRNA -&gt; E4_2_1_51 | (0.278 * E4_2_1_51_mRNA) - (0.00000278 * E4_2_1_51)</v>
      </c>
    </row>
    <row r="292" spans="1:14" x14ac:dyDescent="0.45">
      <c r="A292">
        <v>291</v>
      </c>
      <c r="B292" t="s">
        <v>15249</v>
      </c>
      <c r="C292" t="str">
        <f t="shared" si="49"/>
        <v>E4_2_1_59_mRNA</v>
      </c>
      <c r="D292" t="str">
        <f t="shared" si="48"/>
        <v>E4_2_1_59</v>
      </c>
      <c r="E292" s="30" t="str">
        <f t="shared" si="50"/>
        <v>E4_2_1_59_kcat : 13.7</v>
      </c>
      <c r="F292" s="31" t="str">
        <f t="shared" si="51"/>
        <v>E4_2_1_59_km : 1</v>
      </c>
      <c r="G292" s="21" t="str">
        <f t="shared" si="52"/>
        <v>E4_2_1_59_mRNA : E4_2_1_59_mRNA</v>
      </c>
      <c r="H292" s="32" t="str">
        <f t="shared" si="53"/>
        <v>E4_2_1_59 : E4_2_1_59</v>
      </c>
      <c r="I292" s="33" t="str">
        <f t="shared" si="54"/>
        <v>E4_2_1_59_mRNA : 0</v>
      </c>
      <c r="J292" s="34" t="str">
        <f t="shared" si="55"/>
        <v>E4_2_1_59 : 0</v>
      </c>
      <c r="K292" s="35" t="str">
        <f t="shared" si="56"/>
        <v>0.00292 - (0.0093 * E4_2_1_59_mRNA)</v>
      </c>
      <c r="L292" s="30" t="str">
        <f t="shared" si="57"/>
        <v>(0.278 * E4_2_1_59_mRNA) - (0.00000278 * E4_2_1_59)</v>
      </c>
      <c r="M292" s="36" t="str">
        <f t="shared" si="58"/>
        <v>mRNA291: -&gt; E4_2_1_59_mRNA | 0.00292 - (0.0093 * E4_2_1_59_mRNA)</v>
      </c>
      <c r="N292" s="21" t="str">
        <f t="shared" si="59"/>
        <v>Peptide291:  E4_2_1_59_mRNA -&gt; E4_2_1_59 | (0.278 * E4_2_1_59_mRNA) - (0.00000278 * E4_2_1_59)</v>
      </c>
    </row>
    <row r="293" spans="1:14" x14ac:dyDescent="0.45">
      <c r="A293">
        <v>292</v>
      </c>
      <c r="B293" t="s">
        <v>15250</v>
      </c>
      <c r="C293" t="str">
        <f t="shared" si="49"/>
        <v>E4_2_1_9_mRNA</v>
      </c>
      <c r="D293" t="str">
        <f t="shared" si="48"/>
        <v>E4_2_1_9</v>
      </c>
      <c r="E293" s="30" t="str">
        <f t="shared" si="50"/>
        <v>E4_2_1_9_kcat : 13.7</v>
      </c>
      <c r="F293" s="31" t="str">
        <f t="shared" si="51"/>
        <v>E4_2_1_9_km : 1</v>
      </c>
      <c r="G293" s="21" t="str">
        <f t="shared" si="52"/>
        <v>E4_2_1_9_mRNA : E4_2_1_9_mRNA</v>
      </c>
      <c r="H293" s="32" t="str">
        <f t="shared" si="53"/>
        <v>E4_2_1_9 : E4_2_1_9</v>
      </c>
      <c r="I293" s="33" t="str">
        <f t="shared" si="54"/>
        <v>E4_2_1_9_mRNA : 0</v>
      </c>
      <c r="J293" s="34" t="str">
        <f t="shared" si="55"/>
        <v>E4_2_1_9 : 0</v>
      </c>
      <c r="K293" s="35" t="str">
        <f t="shared" si="56"/>
        <v>0.00292 - (0.0093 * E4_2_1_9_mRNA)</v>
      </c>
      <c r="L293" s="30" t="str">
        <f t="shared" si="57"/>
        <v>(0.278 * E4_2_1_9_mRNA) - (0.00000278 * E4_2_1_9)</v>
      </c>
      <c r="M293" s="36" t="str">
        <f t="shared" si="58"/>
        <v>mRNA292: -&gt; E4_2_1_9_mRNA | 0.00292 - (0.0093 * E4_2_1_9_mRNA)</v>
      </c>
      <c r="N293" s="21" t="str">
        <f t="shared" si="59"/>
        <v>Peptide292:  E4_2_1_9_mRNA -&gt; E4_2_1_9 | (0.278 * E4_2_1_9_mRNA) - (0.00000278 * E4_2_1_9)</v>
      </c>
    </row>
    <row r="294" spans="1:14" x14ac:dyDescent="0.45">
      <c r="A294">
        <v>293</v>
      </c>
      <c r="B294" t="s">
        <v>15251</v>
      </c>
      <c r="C294" t="str">
        <f t="shared" si="49"/>
        <v>E4_2_3_1_mRNA</v>
      </c>
      <c r="D294" t="str">
        <f t="shared" si="48"/>
        <v>E4_2_3_1</v>
      </c>
      <c r="E294" s="30" t="str">
        <f t="shared" si="50"/>
        <v>E4_2_3_1_kcat : 13.7</v>
      </c>
      <c r="F294" s="31" t="str">
        <f t="shared" si="51"/>
        <v>E4_2_3_1_km : 1</v>
      </c>
      <c r="G294" s="21" t="str">
        <f t="shared" si="52"/>
        <v>E4_2_3_1_mRNA : E4_2_3_1_mRNA</v>
      </c>
      <c r="H294" s="32" t="str">
        <f t="shared" si="53"/>
        <v>E4_2_3_1 : E4_2_3_1</v>
      </c>
      <c r="I294" s="33" t="str">
        <f t="shared" si="54"/>
        <v>E4_2_3_1_mRNA : 0</v>
      </c>
      <c r="J294" s="34" t="str">
        <f t="shared" si="55"/>
        <v>E4_2_3_1 : 0</v>
      </c>
      <c r="K294" s="35" t="str">
        <f t="shared" si="56"/>
        <v>0.00292 - (0.0093 * E4_2_3_1_mRNA)</v>
      </c>
      <c r="L294" s="30" t="str">
        <f t="shared" si="57"/>
        <v>(0.278 * E4_2_3_1_mRNA) - (0.00000278 * E4_2_3_1)</v>
      </c>
      <c r="M294" s="36" t="str">
        <f t="shared" si="58"/>
        <v>mRNA293: -&gt; E4_2_3_1_mRNA | 0.00292 - (0.0093 * E4_2_3_1_mRNA)</v>
      </c>
      <c r="N294" s="21" t="str">
        <f t="shared" si="59"/>
        <v>Peptide293:  E4_2_3_1_mRNA -&gt; E4_2_3_1 | (0.278 * E4_2_3_1_mRNA) - (0.00000278 * E4_2_3_1)</v>
      </c>
    </row>
    <row r="295" spans="1:14" x14ac:dyDescent="0.45">
      <c r="A295">
        <v>294</v>
      </c>
      <c r="B295" t="s">
        <v>15252</v>
      </c>
      <c r="C295" t="str">
        <f t="shared" si="49"/>
        <v>E4_2_3_3_mRNA</v>
      </c>
      <c r="D295" t="str">
        <f t="shared" si="48"/>
        <v>E4_2_3_3</v>
      </c>
      <c r="E295" s="30" t="str">
        <f t="shared" si="50"/>
        <v>E4_2_3_3_kcat : 13.7</v>
      </c>
      <c r="F295" s="31" t="str">
        <f t="shared" si="51"/>
        <v>E4_2_3_3_km : 1</v>
      </c>
      <c r="G295" s="21" t="str">
        <f t="shared" si="52"/>
        <v>E4_2_3_3_mRNA : E4_2_3_3_mRNA</v>
      </c>
      <c r="H295" s="32" t="str">
        <f t="shared" si="53"/>
        <v>E4_2_3_3 : E4_2_3_3</v>
      </c>
      <c r="I295" s="33" t="str">
        <f t="shared" si="54"/>
        <v>E4_2_3_3_mRNA : 0</v>
      </c>
      <c r="J295" s="34" t="str">
        <f t="shared" si="55"/>
        <v>E4_2_3_3 : 0</v>
      </c>
      <c r="K295" s="35" t="str">
        <f t="shared" si="56"/>
        <v>0.00292 - (0.0093 * E4_2_3_3_mRNA)</v>
      </c>
      <c r="L295" s="30" t="str">
        <f t="shared" si="57"/>
        <v>(0.278 * E4_2_3_3_mRNA) - (0.00000278 * E4_2_3_3)</v>
      </c>
      <c r="M295" s="36" t="str">
        <f t="shared" si="58"/>
        <v>mRNA294: -&gt; E4_2_3_3_mRNA | 0.00292 - (0.0093 * E4_2_3_3_mRNA)</v>
      </c>
      <c r="N295" s="21" t="str">
        <f t="shared" si="59"/>
        <v>Peptide294:  E4_2_3_3_mRNA -&gt; E4_2_3_3 | (0.278 * E4_2_3_3_mRNA) - (0.00000278 * E4_2_3_3)</v>
      </c>
    </row>
    <row r="296" spans="1:14" x14ac:dyDescent="0.45">
      <c r="A296">
        <v>295</v>
      </c>
      <c r="B296" t="s">
        <v>15253</v>
      </c>
      <c r="C296" t="str">
        <f t="shared" si="49"/>
        <v>E4_2_3_4_mRNA</v>
      </c>
      <c r="D296" t="str">
        <f t="shared" si="48"/>
        <v>E4_2_3_4</v>
      </c>
      <c r="E296" s="30" t="str">
        <f t="shared" si="50"/>
        <v>E4_2_3_4_kcat : 13.7</v>
      </c>
      <c r="F296" s="31" t="str">
        <f t="shared" si="51"/>
        <v>E4_2_3_4_km : 1</v>
      </c>
      <c r="G296" s="21" t="str">
        <f t="shared" si="52"/>
        <v>E4_2_3_4_mRNA : E4_2_3_4_mRNA</v>
      </c>
      <c r="H296" s="32" t="str">
        <f t="shared" si="53"/>
        <v>E4_2_3_4 : E4_2_3_4</v>
      </c>
      <c r="I296" s="33" t="str">
        <f t="shared" si="54"/>
        <v>E4_2_3_4_mRNA : 0</v>
      </c>
      <c r="J296" s="34" t="str">
        <f t="shared" si="55"/>
        <v>E4_2_3_4 : 0</v>
      </c>
      <c r="K296" s="35" t="str">
        <f t="shared" si="56"/>
        <v>0.00292 - (0.0093 * E4_2_3_4_mRNA)</v>
      </c>
      <c r="L296" s="30" t="str">
        <f t="shared" si="57"/>
        <v>(0.278 * E4_2_3_4_mRNA) - (0.00000278 * E4_2_3_4)</v>
      </c>
      <c r="M296" s="36" t="str">
        <f t="shared" si="58"/>
        <v>mRNA295: -&gt; E4_2_3_4_mRNA | 0.00292 - (0.0093 * E4_2_3_4_mRNA)</v>
      </c>
      <c r="N296" s="21" t="str">
        <f t="shared" si="59"/>
        <v>Peptide295:  E4_2_3_4_mRNA -&gt; E4_2_3_4 | (0.278 * E4_2_3_4_mRNA) - (0.00000278 * E4_2_3_4)</v>
      </c>
    </row>
    <row r="297" spans="1:14" x14ac:dyDescent="0.45">
      <c r="A297">
        <v>296</v>
      </c>
      <c r="B297" t="s">
        <v>15254</v>
      </c>
      <c r="C297" t="str">
        <f t="shared" si="49"/>
        <v>E4_2_3_5_mRNA</v>
      </c>
      <c r="D297" t="str">
        <f t="shared" si="48"/>
        <v>E4_2_3_5</v>
      </c>
      <c r="E297" s="30" t="str">
        <f t="shared" si="50"/>
        <v>E4_2_3_5_kcat : 13.7</v>
      </c>
      <c r="F297" s="31" t="str">
        <f t="shared" si="51"/>
        <v>E4_2_3_5_km : 1</v>
      </c>
      <c r="G297" s="21" t="str">
        <f t="shared" si="52"/>
        <v>E4_2_3_5_mRNA : E4_2_3_5_mRNA</v>
      </c>
      <c r="H297" s="32" t="str">
        <f t="shared" si="53"/>
        <v>E4_2_3_5 : E4_2_3_5</v>
      </c>
      <c r="I297" s="33" t="str">
        <f t="shared" si="54"/>
        <v>E4_2_3_5_mRNA : 0</v>
      </c>
      <c r="J297" s="34" t="str">
        <f t="shared" si="55"/>
        <v>E4_2_3_5 : 0</v>
      </c>
      <c r="K297" s="35" t="str">
        <f t="shared" si="56"/>
        <v>0.00292 - (0.0093 * E4_2_3_5_mRNA)</v>
      </c>
      <c r="L297" s="30" t="str">
        <f t="shared" si="57"/>
        <v>(0.278 * E4_2_3_5_mRNA) - (0.00000278 * E4_2_3_5)</v>
      </c>
      <c r="M297" s="36" t="str">
        <f t="shared" si="58"/>
        <v>mRNA296: -&gt; E4_2_3_5_mRNA | 0.00292 - (0.0093 * E4_2_3_5_mRNA)</v>
      </c>
      <c r="N297" s="21" t="str">
        <f t="shared" si="59"/>
        <v>Peptide296:  E4_2_3_5_mRNA -&gt; E4_2_3_5 | (0.278 * E4_2_3_5_mRNA) - (0.00000278 * E4_2_3_5)</v>
      </c>
    </row>
    <row r="298" spans="1:14" x14ac:dyDescent="0.45">
      <c r="A298">
        <v>297</v>
      </c>
      <c r="B298" t="s">
        <v>15255</v>
      </c>
      <c r="C298" t="str">
        <f t="shared" si="49"/>
        <v>E4_3_1_15_mRNA</v>
      </c>
      <c r="D298" t="str">
        <f t="shared" si="48"/>
        <v>E4_3_1_15</v>
      </c>
      <c r="E298" s="30" t="str">
        <f t="shared" si="50"/>
        <v>E4_3_1_15_kcat : 13.7</v>
      </c>
      <c r="F298" s="31" t="str">
        <f t="shared" si="51"/>
        <v>E4_3_1_15_km : 1</v>
      </c>
      <c r="G298" s="21" t="str">
        <f t="shared" si="52"/>
        <v>E4_3_1_15_mRNA : E4_3_1_15_mRNA</v>
      </c>
      <c r="H298" s="32" t="str">
        <f t="shared" si="53"/>
        <v>E4_3_1_15 : E4_3_1_15</v>
      </c>
      <c r="I298" s="33" t="str">
        <f t="shared" si="54"/>
        <v>E4_3_1_15_mRNA : 0</v>
      </c>
      <c r="J298" s="34" t="str">
        <f t="shared" si="55"/>
        <v>E4_3_1_15 : 0</v>
      </c>
      <c r="K298" s="35" t="str">
        <f t="shared" si="56"/>
        <v>0.00292 - (0.0093 * E4_3_1_15_mRNA)</v>
      </c>
      <c r="L298" s="30" t="str">
        <f t="shared" si="57"/>
        <v>(0.278 * E4_3_1_15_mRNA) - (0.00000278 * E4_3_1_15)</v>
      </c>
      <c r="M298" s="36" t="str">
        <f t="shared" si="58"/>
        <v>mRNA297: -&gt; E4_3_1_15_mRNA | 0.00292 - (0.0093 * E4_3_1_15_mRNA)</v>
      </c>
      <c r="N298" s="21" t="str">
        <f t="shared" si="59"/>
        <v>Peptide297:  E4_3_1_15_mRNA -&gt; E4_3_1_15 | (0.278 * E4_3_1_15_mRNA) - (0.00000278 * E4_3_1_15)</v>
      </c>
    </row>
    <row r="299" spans="1:14" x14ac:dyDescent="0.45">
      <c r="A299">
        <v>298</v>
      </c>
      <c r="B299" t="s">
        <v>15256</v>
      </c>
      <c r="C299" t="str">
        <f t="shared" si="49"/>
        <v>E4_3_1_17_mRNA</v>
      </c>
      <c r="D299" t="str">
        <f t="shared" si="48"/>
        <v>E4_3_1_17</v>
      </c>
      <c r="E299" s="30" t="str">
        <f t="shared" si="50"/>
        <v>E4_3_1_17_kcat : 13.7</v>
      </c>
      <c r="F299" s="31" t="str">
        <f t="shared" si="51"/>
        <v>E4_3_1_17_km : 1</v>
      </c>
      <c r="G299" s="21" t="str">
        <f t="shared" si="52"/>
        <v>E4_3_1_17_mRNA : E4_3_1_17_mRNA</v>
      </c>
      <c r="H299" s="32" t="str">
        <f t="shared" si="53"/>
        <v>E4_3_1_17 : E4_3_1_17</v>
      </c>
      <c r="I299" s="33" t="str">
        <f t="shared" si="54"/>
        <v>E4_3_1_17_mRNA : 0</v>
      </c>
      <c r="J299" s="34" t="str">
        <f t="shared" si="55"/>
        <v>E4_3_1_17 : 0</v>
      </c>
      <c r="K299" s="35" t="str">
        <f t="shared" si="56"/>
        <v>0.00292 - (0.0093 * E4_3_1_17_mRNA)</v>
      </c>
      <c r="L299" s="30" t="str">
        <f t="shared" si="57"/>
        <v>(0.278 * E4_3_1_17_mRNA) - (0.00000278 * E4_3_1_17)</v>
      </c>
      <c r="M299" s="36" t="str">
        <f t="shared" si="58"/>
        <v>mRNA298: -&gt; E4_3_1_17_mRNA | 0.00292 - (0.0093 * E4_3_1_17_mRNA)</v>
      </c>
      <c r="N299" s="21" t="str">
        <f t="shared" si="59"/>
        <v>Peptide298:  E4_3_1_17_mRNA -&gt; E4_3_1_17 | (0.278 * E4_3_1_17_mRNA) - (0.00000278 * E4_3_1_17)</v>
      </c>
    </row>
    <row r="300" spans="1:14" x14ac:dyDescent="0.45">
      <c r="A300">
        <v>299</v>
      </c>
      <c r="B300" t="s">
        <v>15257</v>
      </c>
      <c r="C300" t="str">
        <f t="shared" si="49"/>
        <v>E4_3_1_19_mRNA</v>
      </c>
      <c r="D300" t="str">
        <f t="shared" si="48"/>
        <v>E4_3_1_19</v>
      </c>
      <c r="E300" s="30" t="str">
        <f t="shared" si="50"/>
        <v>E4_3_1_19_kcat : 13.7</v>
      </c>
      <c r="F300" s="31" t="str">
        <f t="shared" si="51"/>
        <v>E4_3_1_19_km : 1</v>
      </c>
      <c r="G300" s="21" t="str">
        <f t="shared" si="52"/>
        <v>E4_3_1_19_mRNA : E4_3_1_19_mRNA</v>
      </c>
      <c r="H300" s="32" t="str">
        <f t="shared" si="53"/>
        <v>E4_3_1_19 : E4_3_1_19</v>
      </c>
      <c r="I300" s="33" t="str">
        <f t="shared" si="54"/>
        <v>E4_3_1_19_mRNA : 0</v>
      </c>
      <c r="J300" s="34" t="str">
        <f t="shared" si="55"/>
        <v>E4_3_1_19 : 0</v>
      </c>
      <c r="K300" s="35" t="str">
        <f t="shared" si="56"/>
        <v>0.00292 - (0.0093 * E4_3_1_19_mRNA)</v>
      </c>
      <c r="L300" s="30" t="str">
        <f t="shared" si="57"/>
        <v>(0.278 * E4_3_1_19_mRNA) - (0.00000278 * E4_3_1_19)</v>
      </c>
      <c r="M300" s="36" t="str">
        <f t="shared" si="58"/>
        <v>mRNA299: -&gt; E4_3_1_19_mRNA | 0.00292 - (0.0093 * E4_3_1_19_mRNA)</v>
      </c>
      <c r="N300" s="21" t="str">
        <f t="shared" si="59"/>
        <v>Peptide299:  E4_3_1_19_mRNA -&gt; E4_3_1_19 | (0.278 * E4_3_1_19_mRNA) - (0.00000278 * E4_3_1_19)</v>
      </c>
    </row>
    <row r="301" spans="1:14" x14ac:dyDescent="0.45">
      <c r="A301">
        <v>300</v>
      </c>
      <c r="B301" t="s">
        <v>15258</v>
      </c>
      <c r="C301" t="str">
        <f t="shared" si="49"/>
        <v>E4_3_1_7_mRNA</v>
      </c>
      <c r="D301" t="str">
        <f t="shared" si="48"/>
        <v>E4_3_1_7</v>
      </c>
      <c r="E301" s="30" t="str">
        <f t="shared" si="50"/>
        <v>E4_3_1_7_kcat : 13.7</v>
      </c>
      <c r="F301" s="31" t="str">
        <f t="shared" si="51"/>
        <v>E4_3_1_7_km : 1</v>
      </c>
      <c r="G301" s="21" t="str">
        <f t="shared" si="52"/>
        <v>E4_3_1_7_mRNA : E4_3_1_7_mRNA</v>
      </c>
      <c r="H301" s="32" t="str">
        <f t="shared" si="53"/>
        <v>E4_3_1_7 : E4_3_1_7</v>
      </c>
      <c r="I301" s="33" t="str">
        <f t="shared" si="54"/>
        <v>E4_3_1_7_mRNA : 0</v>
      </c>
      <c r="J301" s="34" t="str">
        <f t="shared" si="55"/>
        <v>E4_3_1_7 : 0</v>
      </c>
      <c r="K301" s="35" t="str">
        <f t="shared" si="56"/>
        <v>0.00292 - (0.0093 * E4_3_1_7_mRNA)</v>
      </c>
      <c r="L301" s="30" t="str">
        <f t="shared" si="57"/>
        <v>(0.278 * E4_3_1_7_mRNA) - (0.00000278 * E4_3_1_7)</v>
      </c>
      <c r="M301" s="36" t="str">
        <f t="shared" si="58"/>
        <v>mRNA300: -&gt; E4_3_1_7_mRNA | 0.00292 - (0.0093 * E4_3_1_7_mRNA)</v>
      </c>
      <c r="N301" s="21" t="str">
        <f t="shared" si="59"/>
        <v>Peptide300:  E4_3_1_7_mRNA -&gt; E4_3_1_7 | (0.278 * E4_3_1_7_mRNA) - (0.00000278 * E4_3_1_7)</v>
      </c>
    </row>
    <row r="302" spans="1:14" x14ac:dyDescent="0.45">
      <c r="A302">
        <v>301</v>
      </c>
      <c r="B302" t="s">
        <v>15259</v>
      </c>
      <c r="C302" t="str">
        <f t="shared" si="49"/>
        <v>E4_3_2_1_mRNA</v>
      </c>
      <c r="D302" t="str">
        <f t="shared" si="48"/>
        <v>E4_3_2_1</v>
      </c>
      <c r="E302" s="30" t="str">
        <f t="shared" si="50"/>
        <v>E4_3_2_1_kcat : 13.7</v>
      </c>
      <c r="F302" s="31" t="str">
        <f t="shared" si="51"/>
        <v>E4_3_2_1_km : 1</v>
      </c>
      <c r="G302" s="21" t="str">
        <f t="shared" si="52"/>
        <v>E4_3_2_1_mRNA : E4_3_2_1_mRNA</v>
      </c>
      <c r="H302" s="32" t="str">
        <f t="shared" si="53"/>
        <v>E4_3_2_1 : E4_3_2_1</v>
      </c>
      <c r="I302" s="33" t="str">
        <f t="shared" si="54"/>
        <v>E4_3_2_1_mRNA : 0</v>
      </c>
      <c r="J302" s="34" t="str">
        <f t="shared" si="55"/>
        <v>E4_3_2_1 : 0</v>
      </c>
      <c r="K302" s="35" t="str">
        <f t="shared" si="56"/>
        <v>0.00292 - (0.0093 * E4_3_2_1_mRNA)</v>
      </c>
      <c r="L302" s="30" t="str">
        <f t="shared" si="57"/>
        <v>(0.278 * E4_3_2_1_mRNA) - (0.00000278 * E4_3_2_1)</v>
      </c>
      <c r="M302" s="36" t="str">
        <f t="shared" si="58"/>
        <v>mRNA301: -&gt; E4_3_2_1_mRNA | 0.00292 - (0.0093 * E4_3_2_1_mRNA)</v>
      </c>
      <c r="N302" s="21" t="str">
        <f t="shared" si="59"/>
        <v>Peptide301:  E4_3_2_1_mRNA -&gt; E4_3_2_1 | (0.278 * E4_3_2_1_mRNA) - (0.00000278 * E4_3_2_1)</v>
      </c>
    </row>
    <row r="303" spans="1:14" x14ac:dyDescent="0.45">
      <c r="A303">
        <v>302</v>
      </c>
      <c r="B303" t="s">
        <v>15260</v>
      </c>
      <c r="C303" t="str">
        <f t="shared" si="49"/>
        <v>E4_3_2_10_mRNA</v>
      </c>
      <c r="D303" t="str">
        <f t="shared" si="48"/>
        <v>E4_3_2_10</v>
      </c>
      <c r="E303" s="30" t="str">
        <f t="shared" si="50"/>
        <v>E4_3_2_10_kcat : 13.7</v>
      </c>
      <c r="F303" s="31" t="str">
        <f t="shared" si="51"/>
        <v>E4_3_2_10_km : 1</v>
      </c>
      <c r="G303" s="21" t="str">
        <f t="shared" si="52"/>
        <v>E4_3_2_10_mRNA : E4_3_2_10_mRNA</v>
      </c>
      <c r="H303" s="32" t="str">
        <f t="shared" si="53"/>
        <v>E4_3_2_10 : E4_3_2_10</v>
      </c>
      <c r="I303" s="33" t="str">
        <f t="shared" si="54"/>
        <v>E4_3_2_10_mRNA : 0</v>
      </c>
      <c r="J303" s="34" t="str">
        <f t="shared" si="55"/>
        <v>E4_3_2_10 : 0</v>
      </c>
      <c r="K303" s="35" t="str">
        <f t="shared" si="56"/>
        <v>0.00292 - (0.0093 * E4_3_2_10_mRNA)</v>
      </c>
      <c r="L303" s="30" t="str">
        <f t="shared" si="57"/>
        <v>(0.278 * E4_3_2_10_mRNA) - (0.00000278 * E4_3_2_10)</v>
      </c>
      <c r="M303" s="36" t="str">
        <f t="shared" si="58"/>
        <v>mRNA302: -&gt; E4_3_2_10_mRNA | 0.00292 - (0.0093 * E4_3_2_10_mRNA)</v>
      </c>
      <c r="N303" s="21" t="str">
        <f t="shared" si="59"/>
        <v>Peptide302:  E4_3_2_10_mRNA -&gt; E4_3_2_10 | (0.278 * E4_3_2_10_mRNA) - (0.00000278 * E4_3_2_10)</v>
      </c>
    </row>
    <row r="304" spans="1:14" x14ac:dyDescent="0.45">
      <c r="A304">
        <v>303</v>
      </c>
      <c r="B304" t="s">
        <v>15261</v>
      </c>
      <c r="C304" t="str">
        <f t="shared" si="49"/>
        <v>E4_3_2_2_mRNA</v>
      </c>
      <c r="D304" t="str">
        <f t="shared" si="48"/>
        <v>E4_3_2_2</v>
      </c>
      <c r="E304" s="30" t="str">
        <f t="shared" si="50"/>
        <v>E4_3_2_2_kcat : 13.7</v>
      </c>
      <c r="F304" s="31" t="str">
        <f t="shared" si="51"/>
        <v>E4_3_2_2_km : 1</v>
      </c>
      <c r="G304" s="21" t="str">
        <f t="shared" si="52"/>
        <v>E4_3_2_2_mRNA : E4_3_2_2_mRNA</v>
      </c>
      <c r="H304" s="32" t="str">
        <f t="shared" si="53"/>
        <v>E4_3_2_2 : E4_3_2_2</v>
      </c>
      <c r="I304" s="33" t="str">
        <f t="shared" si="54"/>
        <v>E4_3_2_2_mRNA : 0</v>
      </c>
      <c r="J304" s="34" t="str">
        <f t="shared" si="55"/>
        <v>E4_3_2_2 : 0</v>
      </c>
      <c r="K304" s="35" t="str">
        <f t="shared" si="56"/>
        <v>0.00292 - (0.0093 * E4_3_2_2_mRNA)</v>
      </c>
      <c r="L304" s="30" t="str">
        <f t="shared" si="57"/>
        <v>(0.278 * E4_3_2_2_mRNA) - (0.00000278 * E4_3_2_2)</v>
      </c>
      <c r="M304" s="36" t="str">
        <f t="shared" si="58"/>
        <v>mRNA303: -&gt; E4_3_2_2_mRNA | 0.00292 - (0.0093 * E4_3_2_2_mRNA)</v>
      </c>
      <c r="N304" s="21" t="str">
        <f t="shared" si="59"/>
        <v>Peptide303:  E4_3_2_2_mRNA -&gt; E4_3_2_2 | (0.278 * E4_3_2_2_mRNA) - (0.00000278 * E4_3_2_2)</v>
      </c>
    </row>
    <row r="305" spans="1:14" x14ac:dyDescent="0.45">
      <c r="A305">
        <v>304</v>
      </c>
      <c r="B305" t="s">
        <v>15262</v>
      </c>
      <c r="C305" t="str">
        <f t="shared" si="49"/>
        <v>E4_3_3_7_mRNA</v>
      </c>
      <c r="D305" t="str">
        <f t="shared" si="48"/>
        <v>E4_3_3_7</v>
      </c>
      <c r="E305" s="30" t="str">
        <f t="shared" si="50"/>
        <v>E4_3_3_7_kcat : 13.7</v>
      </c>
      <c r="F305" s="31" t="str">
        <f t="shared" si="51"/>
        <v>E4_3_3_7_km : 1</v>
      </c>
      <c r="G305" s="21" t="str">
        <f t="shared" si="52"/>
        <v>E4_3_3_7_mRNA : E4_3_3_7_mRNA</v>
      </c>
      <c r="H305" s="32" t="str">
        <f t="shared" si="53"/>
        <v>E4_3_3_7 : E4_3_3_7</v>
      </c>
      <c r="I305" s="33" t="str">
        <f t="shared" si="54"/>
        <v>E4_3_3_7_mRNA : 0</v>
      </c>
      <c r="J305" s="34" t="str">
        <f t="shared" si="55"/>
        <v>E4_3_3_7 : 0</v>
      </c>
      <c r="K305" s="35" t="str">
        <f t="shared" si="56"/>
        <v>0.00292 - (0.0093 * E4_3_3_7_mRNA)</v>
      </c>
      <c r="L305" s="30" t="str">
        <f t="shared" si="57"/>
        <v>(0.278 * E4_3_3_7_mRNA) - (0.00000278 * E4_3_3_7)</v>
      </c>
      <c r="M305" s="36" t="str">
        <f t="shared" si="58"/>
        <v>mRNA304: -&gt; E4_3_3_7_mRNA | 0.00292 - (0.0093 * E4_3_3_7_mRNA)</v>
      </c>
      <c r="N305" s="21" t="str">
        <f t="shared" si="59"/>
        <v>Peptide304:  E4_3_3_7_mRNA -&gt; E4_3_3_7 | (0.278 * E4_3_3_7_mRNA) - (0.00000278 * E4_3_3_7)</v>
      </c>
    </row>
    <row r="306" spans="1:14" x14ac:dyDescent="0.45">
      <c r="A306">
        <v>305</v>
      </c>
      <c r="B306" t="s">
        <v>15263</v>
      </c>
      <c r="C306" t="str">
        <f t="shared" si="49"/>
        <v>E4_4_1_13_mRNA</v>
      </c>
      <c r="D306" t="str">
        <f t="shared" si="48"/>
        <v>E4_4_1_13</v>
      </c>
      <c r="E306" s="30" t="str">
        <f t="shared" si="50"/>
        <v>E4_4_1_13_kcat : 13.7</v>
      </c>
      <c r="F306" s="31" t="str">
        <f t="shared" si="51"/>
        <v>E4_4_1_13_km : 1</v>
      </c>
      <c r="G306" s="21" t="str">
        <f t="shared" si="52"/>
        <v>E4_4_1_13_mRNA : E4_4_1_13_mRNA</v>
      </c>
      <c r="H306" s="32" t="str">
        <f t="shared" si="53"/>
        <v>E4_4_1_13 : E4_4_1_13</v>
      </c>
      <c r="I306" s="33" t="str">
        <f t="shared" si="54"/>
        <v>E4_4_1_13_mRNA : 0</v>
      </c>
      <c r="J306" s="34" t="str">
        <f t="shared" si="55"/>
        <v>E4_4_1_13 : 0</v>
      </c>
      <c r="K306" s="35" t="str">
        <f t="shared" si="56"/>
        <v>0.00292 - (0.0093 * E4_4_1_13_mRNA)</v>
      </c>
      <c r="L306" s="30" t="str">
        <f t="shared" si="57"/>
        <v>(0.278 * E4_4_1_13_mRNA) - (0.00000278 * E4_4_1_13)</v>
      </c>
      <c r="M306" s="36" t="str">
        <f t="shared" si="58"/>
        <v>mRNA305: -&gt; E4_4_1_13_mRNA | 0.00292 - (0.0093 * E4_4_1_13_mRNA)</v>
      </c>
      <c r="N306" s="21" t="str">
        <f t="shared" si="59"/>
        <v>Peptide305:  E4_4_1_13_mRNA -&gt; E4_4_1_13 | (0.278 * E4_4_1_13_mRNA) - (0.00000278 * E4_4_1_13)</v>
      </c>
    </row>
    <row r="307" spans="1:14" x14ac:dyDescent="0.45">
      <c r="A307">
        <v>306</v>
      </c>
      <c r="B307" t="s">
        <v>15264</v>
      </c>
      <c r="C307" t="str">
        <f t="shared" si="49"/>
        <v>E4_4_1_21_mRNA</v>
      </c>
      <c r="D307" t="str">
        <f t="shared" si="48"/>
        <v>E4_4_1_21</v>
      </c>
      <c r="E307" s="30" t="str">
        <f t="shared" si="50"/>
        <v>E4_4_1_21_kcat : 13.7</v>
      </c>
      <c r="F307" s="31" t="str">
        <f t="shared" si="51"/>
        <v>E4_4_1_21_km : 1</v>
      </c>
      <c r="G307" s="21" t="str">
        <f t="shared" si="52"/>
        <v>E4_4_1_21_mRNA : E4_4_1_21_mRNA</v>
      </c>
      <c r="H307" s="32" t="str">
        <f t="shared" si="53"/>
        <v>E4_4_1_21 : E4_4_1_21</v>
      </c>
      <c r="I307" s="33" t="str">
        <f t="shared" si="54"/>
        <v>E4_4_1_21_mRNA : 0</v>
      </c>
      <c r="J307" s="34" t="str">
        <f t="shared" si="55"/>
        <v>E4_4_1_21 : 0</v>
      </c>
      <c r="K307" s="35" t="str">
        <f t="shared" si="56"/>
        <v>0.00292 - (0.0093 * E4_4_1_21_mRNA)</v>
      </c>
      <c r="L307" s="30" t="str">
        <f t="shared" si="57"/>
        <v>(0.278 * E4_4_1_21_mRNA) - (0.00000278 * E4_4_1_21)</v>
      </c>
      <c r="M307" s="36" t="str">
        <f t="shared" si="58"/>
        <v>mRNA306: -&gt; E4_4_1_21_mRNA | 0.00292 - (0.0093 * E4_4_1_21_mRNA)</v>
      </c>
      <c r="N307" s="21" t="str">
        <f t="shared" si="59"/>
        <v>Peptide306:  E4_4_1_21_mRNA -&gt; E4_4_1_21 | (0.278 * E4_4_1_21_mRNA) - (0.00000278 * E4_4_1_21)</v>
      </c>
    </row>
    <row r="308" spans="1:14" x14ac:dyDescent="0.45">
      <c r="A308">
        <v>307</v>
      </c>
      <c r="B308" t="s">
        <v>15265</v>
      </c>
      <c r="C308" t="str">
        <f t="shared" si="49"/>
        <v>E4_4_1_28_mRNA</v>
      </c>
      <c r="D308" t="str">
        <f t="shared" si="48"/>
        <v>E4_4_1_28</v>
      </c>
      <c r="E308" s="30" t="str">
        <f t="shared" si="50"/>
        <v>E4_4_1_28_kcat : 13.7</v>
      </c>
      <c r="F308" s="31" t="str">
        <f t="shared" si="51"/>
        <v>E4_4_1_28_km : 1</v>
      </c>
      <c r="G308" s="21" t="str">
        <f t="shared" si="52"/>
        <v>E4_4_1_28_mRNA : E4_4_1_28_mRNA</v>
      </c>
      <c r="H308" s="32" t="str">
        <f t="shared" si="53"/>
        <v>E4_4_1_28 : E4_4_1_28</v>
      </c>
      <c r="I308" s="33" t="str">
        <f t="shared" si="54"/>
        <v>E4_4_1_28_mRNA : 0</v>
      </c>
      <c r="J308" s="34" t="str">
        <f t="shared" si="55"/>
        <v>E4_4_1_28 : 0</v>
      </c>
      <c r="K308" s="35" t="str">
        <f t="shared" si="56"/>
        <v>0.00292 - (0.0093 * E4_4_1_28_mRNA)</v>
      </c>
      <c r="L308" s="30" t="str">
        <f t="shared" si="57"/>
        <v>(0.278 * E4_4_1_28_mRNA) - (0.00000278 * E4_4_1_28)</v>
      </c>
      <c r="M308" s="36" t="str">
        <f t="shared" si="58"/>
        <v>mRNA307: -&gt; E4_4_1_28_mRNA | 0.00292 - (0.0093 * E4_4_1_28_mRNA)</v>
      </c>
      <c r="N308" s="21" t="str">
        <f t="shared" si="59"/>
        <v>Peptide307:  E4_4_1_28_mRNA -&gt; E4_4_1_28 | (0.278 * E4_4_1_28_mRNA) - (0.00000278 * E4_4_1_28)</v>
      </c>
    </row>
    <row r="309" spans="1:14" x14ac:dyDescent="0.45">
      <c r="A309">
        <v>308</v>
      </c>
      <c r="B309" t="s">
        <v>15266</v>
      </c>
      <c r="C309" t="str">
        <f t="shared" si="49"/>
        <v>E4_6_1_12_mRNA</v>
      </c>
      <c r="D309" t="str">
        <f t="shared" si="48"/>
        <v>E4_6_1_12</v>
      </c>
      <c r="E309" s="30" t="str">
        <f t="shared" si="50"/>
        <v>E4_6_1_12_kcat : 13.7</v>
      </c>
      <c r="F309" s="31" t="str">
        <f t="shared" si="51"/>
        <v>E4_6_1_12_km : 1</v>
      </c>
      <c r="G309" s="21" t="str">
        <f t="shared" si="52"/>
        <v>E4_6_1_12_mRNA : E4_6_1_12_mRNA</v>
      </c>
      <c r="H309" s="32" t="str">
        <f t="shared" si="53"/>
        <v>E4_6_1_12 : E4_6_1_12</v>
      </c>
      <c r="I309" s="33" t="str">
        <f t="shared" si="54"/>
        <v>E4_6_1_12_mRNA : 0</v>
      </c>
      <c r="J309" s="34" t="str">
        <f t="shared" si="55"/>
        <v>E4_6_1_12 : 0</v>
      </c>
      <c r="K309" s="35" t="str">
        <f t="shared" si="56"/>
        <v>0.00292 - (0.0093 * E4_6_1_12_mRNA)</v>
      </c>
      <c r="L309" s="30" t="str">
        <f t="shared" si="57"/>
        <v>(0.278 * E4_6_1_12_mRNA) - (0.00000278 * E4_6_1_12)</v>
      </c>
      <c r="M309" s="36" t="str">
        <f t="shared" si="58"/>
        <v>mRNA308: -&gt; E4_6_1_12_mRNA | 0.00292 - (0.0093 * E4_6_1_12_mRNA)</v>
      </c>
      <c r="N309" s="21" t="str">
        <f t="shared" si="59"/>
        <v>Peptide308:  E4_6_1_12_mRNA -&gt; E4_6_1_12 | (0.278 * E4_6_1_12_mRNA) - (0.00000278 * E4_6_1_12)</v>
      </c>
    </row>
    <row r="310" spans="1:14" x14ac:dyDescent="0.45">
      <c r="A310">
        <v>309</v>
      </c>
      <c r="B310" t="s">
        <v>15267</v>
      </c>
      <c r="C310" t="str">
        <f t="shared" si="49"/>
        <v>E4_6_1_17_mRNA</v>
      </c>
      <c r="D310" t="str">
        <f t="shared" si="48"/>
        <v>E4_6_1_17</v>
      </c>
      <c r="E310" s="30" t="str">
        <f t="shared" si="50"/>
        <v>E4_6_1_17_kcat : 13.7</v>
      </c>
      <c r="F310" s="31" t="str">
        <f t="shared" si="51"/>
        <v>E4_6_1_17_km : 1</v>
      </c>
      <c r="G310" s="21" t="str">
        <f t="shared" si="52"/>
        <v>E4_6_1_17_mRNA : E4_6_1_17_mRNA</v>
      </c>
      <c r="H310" s="32" t="str">
        <f t="shared" si="53"/>
        <v>E4_6_1_17 : E4_6_1_17</v>
      </c>
      <c r="I310" s="33" t="str">
        <f t="shared" si="54"/>
        <v>E4_6_1_17_mRNA : 0</v>
      </c>
      <c r="J310" s="34" t="str">
        <f t="shared" si="55"/>
        <v>E4_6_1_17 : 0</v>
      </c>
      <c r="K310" s="35" t="str">
        <f t="shared" si="56"/>
        <v>0.00292 - (0.0093 * E4_6_1_17_mRNA)</v>
      </c>
      <c r="L310" s="30" t="str">
        <f t="shared" si="57"/>
        <v>(0.278 * E4_6_1_17_mRNA) - (0.00000278 * E4_6_1_17)</v>
      </c>
      <c r="M310" s="36" t="str">
        <f t="shared" si="58"/>
        <v>mRNA309: -&gt; E4_6_1_17_mRNA | 0.00292 - (0.0093 * E4_6_1_17_mRNA)</v>
      </c>
      <c r="N310" s="21" t="str">
        <f t="shared" si="59"/>
        <v>Peptide309:  E4_6_1_17_mRNA -&gt; E4_6_1_17 | (0.278 * E4_6_1_17_mRNA) - (0.00000278 * E4_6_1_17)</v>
      </c>
    </row>
    <row r="311" spans="1:14" x14ac:dyDescent="0.45">
      <c r="A311">
        <v>310</v>
      </c>
      <c r="B311" t="s">
        <v>15268</v>
      </c>
      <c r="C311" t="str">
        <f t="shared" si="49"/>
        <v>E5_1_1_1_mRNA</v>
      </c>
      <c r="D311" t="str">
        <f t="shared" si="48"/>
        <v>E5_1_1_1</v>
      </c>
      <c r="E311" s="30" t="str">
        <f t="shared" si="50"/>
        <v>E5_1_1_1_kcat : 13.7</v>
      </c>
      <c r="F311" s="31" t="str">
        <f t="shared" si="51"/>
        <v>E5_1_1_1_km : 1</v>
      </c>
      <c r="G311" s="21" t="str">
        <f t="shared" si="52"/>
        <v>E5_1_1_1_mRNA : E5_1_1_1_mRNA</v>
      </c>
      <c r="H311" s="32" t="str">
        <f t="shared" si="53"/>
        <v>E5_1_1_1 : E5_1_1_1</v>
      </c>
      <c r="I311" s="33" t="str">
        <f t="shared" si="54"/>
        <v>E5_1_1_1_mRNA : 0</v>
      </c>
      <c r="J311" s="34" t="str">
        <f t="shared" si="55"/>
        <v>E5_1_1_1 : 0</v>
      </c>
      <c r="K311" s="35" t="str">
        <f t="shared" si="56"/>
        <v>0.00292 - (0.0093 * E5_1_1_1_mRNA)</v>
      </c>
      <c r="L311" s="30" t="str">
        <f t="shared" si="57"/>
        <v>(0.278 * E5_1_1_1_mRNA) - (0.00000278 * E5_1_1_1)</v>
      </c>
      <c r="M311" s="36" t="str">
        <f t="shared" si="58"/>
        <v>mRNA310: -&gt; E5_1_1_1_mRNA | 0.00292 - (0.0093 * E5_1_1_1_mRNA)</v>
      </c>
      <c r="N311" s="21" t="str">
        <f t="shared" si="59"/>
        <v>Peptide310:  E5_1_1_1_mRNA -&gt; E5_1_1_1 | (0.278 * E5_1_1_1_mRNA) - (0.00000278 * E5_1_1_1)</v>
      </c>
    </row>
    <row r="312" spans="1:14" x14ac:dyDescent="0.45">
      <c r="A312">
        <v>311</v>
      </c>
      <c r="B312" t="s">
        <v>15269</v>
      </c>
      <c r="C312" t="str">
        <f t="shared" si="49"/>
        <v>E5_1_1_12_mRNA</v>
      </c>
      <c r="D312" t="str">
        <f t="shared" si="48"/>
        <v>E5_1_1_12</v>
      </c>
      <c r="E312" s="30" t="str">
        <f t="shared" si="50"/>
        <v>E5_1_1_12_kcat : 13.7</v>
      </c>
      <c r="F312" s="31" t="str">
        <f t="shared" si="51"/>
        <v>E5_1_1_12_km : 1</v>
      </c>
      <c r="G312" s="21" t="str">
        <f t="shared" si="52"/>
        <v>E5_1_1_12_mRNA : E5_1_1_12_mRNA</v>
      </c>
      <c r="H312" s="32" t="str">
        <f t="shared" si="53"/>
        <v>E5_1_1_12 : E5_1_1_12</v>
      </c>
      <c r="I312" s="33" t="str">
        <f t="shared" si="54"/>
        <v>E5_1_1_12_mRNA : 0</v>
      </c>
      <c r="J312" s="34" t="str">
        <f t="shared" si="55"/>
        <v>E5_1_1_12 : 0</v>
      </c>
      <c r="K312" s="35" t="str">
        <f t="shared" si="56"/>
        <v>0.00292 - (0.0093 * E5_1_1_12_mRNA)</v>
      </c>
      <c r="L312" s="30" t="str">
        <f t="shared" si="57"/>
        <v>(0.278 * E5_1_1_12_mRNA) - (0.00000278 * E5_1_1_12)</v>
      </c>
      <c r="M312" s="36" t="str">
        <f t="shared" si="58"/>
        <v>mRNA311: -&gt; E5_1_1_12_mRNA | 0.00292 - (0.0093 * E5_1_1_12_mRNA)</v>
      </c>
      <c r="N312" s="21" t="str">
        <f t="shared" si="59"/>
        <v>Peptide311:  E5_1_1_12_mRNA -&gt; E5_1_1_12 | (0.278 * E5_1_1_12_mRNA) - (0.00000278 * E5_1_1_12)</v>
      </c>
    </row>
    <row r="313" spans="1:14" x14ac:dyDescent="0.45">
      <c r="A313">
        <v>312</v>
      </c>
      <c r="B313" t="s">
        <v>15270</v>
      </c>
      <c r="C313" t="str">
        <f t="shared" si="49"/>
        <v>E5_1_1_3_mRNA</v>
      </c>
      <c r="D313" t="str">
        <f t="shared" si="48"/>
        <v>E5_1_1_3</v>
      </c>
      <c r="E313" s="30" t="str">
        <f t="shared" si="50"/>
        <v>E5_1_1_3_kcat : 13.7</v>
      </c>
      <c r="F313" s="31" t="str">
        <f t="shared" si="51"/>
        <v>E5_1_1_3_km : 1</v>
      </c>
      <c r="G313" s="21" t="str">
        <f t="shared" si="52"/>
        <v>E5_1_1_3_mRNA : E5_1_1_3_mRNA</v>
      </c>
      <c r="H313" s="32" t="str">
        <f t="shared" si="53"/>
        <v>E5_1_1_3 : E5_1_1_3</v>
      </c>
      <c r="I313" s="33" t="str">
        <f t="shared" si="54"/>
        <v>E5_1_1_3_mRNA : 0</v>
      </c>
      <c r="J313" s="34" t="str">
        <f t="shared" si="55"/>
        <v>E5_1_1_3 : 0</v>
      </c>
      <c r="K313" s="35" t="str">
        <f t="shared" si="56"/>
        <v>0.00292 - (0.0093 * E5_1_1_3_mRNA)</v>
      </c>
      <c r="L313" s="30" t="str">
        <f t="shared" si="57"/>
        <v>(0.278 * E5_1_1_3_mRNA) - (0.00000278 * E5_1_1_3)</v>
      </c>
      <c r="M313" s="36" t="str">
        <f t="shared" si="58"/>
        <v>mRNA312: -&gt; E5_1_1_3_mRNA | 0.00292 - (0.0093 * E5_1_1_3_mRNA)</v>
      </c>
      <c r="N313" s="21" t="str">
        <f t="shared" si="59"/>
        <v>Peptide312:  E5_1_1_3_mRNA -&gt; E5_1_1_3 | (0.278 * E5_1_1_3_mRNA) - (0.00000278 * E5_1_1_3)</v>
      </c>
    </row>
    <row r="314" spans="1:14" x14ac:dyDescent="0.45">
      <c r="A314">
        <v>313</v>
      </c>
      <c r="B314" t="s">
        <v>15271</v>
      </c>
      <c r="C314" t="str">
        <f t="shared" si="49"/>
        <v>E5_1_1_4_mRNA</v>
      </c>
      <c r="D314" t="str">
        <f t="shared" si="48"/>
        <v>E5_1_1_4</v>
      </c>
      <c r="E314" s="30" t="str">
        <f t="shared" si="50"/>
        <v>E5_1_1_4_kcat : 13.7</v>
      </c>
      <c r="F314" s="31" t="str">
        <f t="shared" si="51"/>
        <v>E5_1_1_4_km : 1</v>
      </c>
      <c r="G314" s="21" t="str">
        <f t="shared" si="52"/>
        <v>E5_1_1_4_mRNA : E5_1_1_4_mRNA</v>
      </c>
      <c r="H314" s="32" t="str">
        <f t="shared" si="53"/>
        <v>E5_1_1_4 : E5_1_1_4</v>
      </c>
      <c r="I314" s="33" t="str">
        <f t="shared" si="54"/>
        <v>E5_1_1_4_mRNA : 0</v>
      </c>
      <c r="J314" s="34" t="str">
        <f t="shared" si="55"/>
        <v>E5_1_1_4 : 0</v>
      </c>
      <c r="K314" s="35" t="str">
        <f t="shared" si="56"/>
        <v>0.00292 - (0.0093 * E5_1_1_4_mRNA)</v>
      </c>
      <c r="L314" s="30" t="str">
        <f t="shared" si="57"/>
        <v>(0.278 * E5_1_1_4_mRNA) - (0.00000278 * E5_1_1_4)</v>
      </c>
      <c r="M314" s="36" t="str">
        <f t="shared" si="58"/>
        <v>mRNA313: -&gt; E5_1_1_4_mRNA | 0.00292 - (0.0093 * E5_1_1_4_mRNA)</v>
      </c>
      <c r="N314" s="21" t="str">
        <f t="shared" si="59"/>
        <v>Peptide313:  E5_1_1_4_mRNA -&gt; E5_1_1_4 | (0.278 * E5_1_1_4_mRNA) - (0.00000278 * E5_1_1_4)</v>
      </c>
    </row>
    <row r="315" spans="1:14" x14ac:dyDescent="0.45">
      <c r="A315">
        <v>314</v>
      </c>
      <c r="B315" t="s">
        <v>15272</v>
      </c>
      <c r="C315" t="str">
        <f t="shared" si="49"/>
        <v>E5_1_1_7_mRNA</v>
      </c>
      <c r="D315" t="str">
        <f t="shared" si="48"/>
        <v>E5_1_1_7</v>
      </c>
      <c r="E315" s="30" t="str">
        <f t="shared" si="50"/>
        <v>E5_1_1_7_kcat : 13.7</v>
      </c>
      <c r="F315" s="31" t="str">
        <f t="shared" si="51"/>
        <v>E5_1_1_7_km : 1</v>
      </c>
      <c r="G315" s="21" t="str">
        <f t="shared" si="52"/>
        <v>E5_1_1_7_mRNA : E5_1_1_7_mRNA</v>
      </c>
      <c r="H315" s="32" t="str">
        <f t="shared" si="53"/>
        <v>E5_1_1_7 : E5_1_1_7</v>
      </c>
      <c r="I315" s="33" t="str">
        <f t="shared" si="54"/>
        <v>E5_1_1_7_mRNA : 0</v>
      </c>
      <c r="J315" s="34" t="str">
        <f t="shared" si="55"/>
        <v>E5_1_1_7 : 0</v>
      </c>
      <c r="K315" s="35" t="str">
        <f t="shared" si="56"/>
        <v>0.00292 - (0.0093 * E5_1_1_7_mRNA)</v>
      </c>
      <c r="L315" s="30" t="str">
        <f t="shared" si="57"/>
        <v>(0.278 * E5_1_1_7_mRNA) - (0.00000278 * E5_1_1_7)</v>
      </c>
      <c r="M315" s="36" t="str">
        <f t="shared" si="58"/>
        <v>mRNA314: -&gt; E5_1_1_7_mRNA | 0.00292 - (0.0093 * E5_1_1_7_mRNA)</v>
      </c>
      <c r="N315" s="21" t="str">
        <f t="shared" si="59"/>
        <v>Peptide314:  E5_1_1_7_mRNA -&gt; E5_1_1_7 | (0.278 * E5_1_1_7_mRNA) - (0.00000278 * E5_1_1_7)</v>
      </c>
    </row>
    <row r="316" spans="1:14" x14ac:dyDescent="0.45">
      <c r="A316">
        <v>315</v>
      </c>
      <c r="B316" t="s">
        <v>15273</v>
      </c>
      <c r="C316" t="str">
        <f t="shared" si="49"/>
        <v>E5_1_3_1_mRNA</v>
      </c>
      <c r="D316" t="str">
        <f t="shared" si="48"/>
        <v>E5_1_3_1</v>
      </c>
      <c r="E316" s="30" t="str">
        <f t="shared" si="50"/>
        <v>E5_1_3_1_kcat : 13.7</v>
      </c>
      <c r="F316" s="31" t="str">
        <f t="shared" si="51"/>
        <v>E5_1_3_1_km : 1</v>
      </c>
      <c r="G316" s="21" t="str">
        <f t="shared" si="52"/>
        <v>E5_1_3_1_mRNA : E5_1_3_1_mRNA</v>
      </c>
      <c r="H316" s="32" t="str">
        <f t="shared" si="53"/>
        <v>E5_1_3_1 : E5_1_3_1</v>
      </c>
      <c r="I316" s="33" t="str">
        <f t="shared" si="54"/>
        <v>E5_1_3_1_mRNA : 0</v>
      </c>
      <c r="J316" s="34" t="str">
        <f t="shared" si="55"/>
        <v>E5_1_3_1 : 0</v>
      </c>
      <c r="K316" s="35" t="str">
        <f t="shared" si="56"/>
        <v>0.00292 - (0.0093 * E5_1_3_1_mRNA)</v>
      </c>
      <c r="L316" s="30" t="str">
        <f t="shared" si="57"/>
        <v>(0.278 * E5_1_3_1_mRNA) - (0.00000278 * E5_1_3_1)</v>
      </c>
      <c r="M316" s="36" t="str">
        <f t="shared" si="58"/>
        <v>mRNA315: -&gt; E5_1_3_1_mRNA | 0.00292 - (0.0093 * E5_1_3_1_mRNA)</v>
      </c>
      <c r="N316" s="21" t="str">
        <f t="shared" si="59"/>
        <v>Peptide315:  E5_1_3_1_mRNA -&gt; E5_1_3_1 | (0.278 * E5_1_3_1_mRNA) - (0.00000278 * E5_1_3_1)</v>
      </c>
    </row>
    <row r="317" spans="1:14" x14ac:dyDescent="0.45">
      <c r="A317">
        <v>316</v>
      </c>
      <c r="B317" t="s">
        <v>15274</v>
      </c>
      <c r="C317" t="str">
        <f t="shared" si="49"/>
        <v>E5_1_3_13_mRNA</v>
      </c>
      <c r="D317" t="str">
        <f t="shared" si="48"/>
        <v>E5_1_3_13</v>
      </c>
      <c r="E317" s="30" t="str">
        <f t="shared" si="50"/>
        <v>E5_1_3_13_kcat : 13.7</v>
      </c>
      <c r="F317" s="31" t="str">
        <f t="shared" si="51"/>
        <v>E5_1_3_13_km : 1</v>
      </c>
      <c r="G317" s="21" t="str">
        <f t="shared" si="52"/>
        <v>E5_1_3_13_mRNA : E5_1_3_13_mRNA</v>
      </c>
      <c r="H317" s="32" t="str">
        <f t="shared" si="53"/>
        <v>E5_1_3_13 : E5_1_3_13</v>
      </c>
      <c r="I317" s="33" t="str">
        <f t="shared" si="54"/>
        <v>E5_1_3_13_mRNA : 0</v>
      </c>
      <c r="J317" s="34" t="str">
        <f t="shared" si="55"/>
        <v>E5_1_3_13 : 0</v>
      </c>
      <c r="K317" s="35" t="str">
        <f t="shared" si="56"/>
        <v>0.00292 - (0.0093 * E5_1_3_13_mRNA)</v>
      </c>
      <c r="L317" s="30" t="str">
        <f t="shared" si="57"/>
        <v>(0.278 * E5_1_3_13_mRNA) - (0.00000278 * E5_1_3_13)</v>
      </c>
      <c r="M317" s="36" t="str">
        <f t="shared" si="58"/>
        <v>mRNA316: -&gt; E5_1_3_13_mRNA | 0.00292 - (0.0093 * E5_1_3_13_mRNA)</v>
      </c>
      <c r="N317" s="21" t="str">
        <f t="shared" si="59"/>
        <v>Peptide316:  E5_1_3_13_mRNA -&gt; E5_1_3_13 | (0.278 * E5_1_3_13_mRNA) - (0.00000278 * E5_1_3_13)</v>
      </c>
    </row>
    <row r="318" spans="1:14" x14ac:dyDescent="0.45">
      <c r="A318">
        <v>317</v>
      </c>
      <c r="B318" t="s">
        <v>15275</v>
      </c>
      <c r="C318" t="str">
        <f t="shared" si="49"/>
        <v>E5_1_3_14_mRNA</v>
      </c>
      <c r="D318" t="str">
        <f t="shared" si="48"/>
        <v>E5_1_3_14</v>
      </c>
      <c r="E318" s="30" t="str">
        <f t="shared" si="50"/>
        <v>E5_1_3_14_kcat : 13.7</v>
      </c>
      <c r="F318" s="31" t="str">
        <f t="shared" si="51"/>
        <v>E5_1_3_14_km : 1</v>
      </c>
      <c r="G318" s="21" t="str">
        <f t="shared" si="52"/>
        <v>E5_1_3_14_mRNA : E5_1_3_14_mRNA</v>
      </c>
      <c r="H318" s="32" t="str">
        <f t="shared" si="53"/>
        <v>E5_1_3_14 : E5_1_3_14</v>
      </c>
      <c r="I318" s="33" t="str">
        <f t="shared" si="54"/>
        <v>E5_1_3_14_mRNA : 0</v>
      </c>
      <c r="J318" s="34" t="str">
        <f t="shared" si="55"/>
        <v>E5_1_3_14 : 0</v>
      </c>
      <c r="K318" s="35" t="str">
        <f t="shared" si="56"/>
        <v>0.00292 - (0.0093 * E5_1_3_14_mRNA)</v>
      </c>
      <c r="L318" s="30" t="str">
        <f t="shared" si="57"/>
        <v>(0.278 * E5_1_3_14_mRNA) - (0.00000278 * E5_1_3_14)</v>
      </c>
      <c r="M318" s="36" t="str">
        <f t="shared" si="58"/>
        <v>mRNA317: -&gt; E5_1_3_14_mRNA | 0.00292 - (0.0093 * E5_1_3_14_mRNA)</v>
      </c>
      <c r="N318" s="21" t="str">
        <f t="shared" si="59"/>
        <v>Peptide317:  E5_1_3_14_mRNA -&gt; E5_1_3_14 | (0.278 * E5_1_3_14_mRNA) - (0.00000278 * E5_1_3_14)</v>
      </c>
    </row>
    <row r="319" spans="1:14" x14ac:dyDescent="0.45">
      <c r="A319">
        <v>318</v>
      </c>
      <c r="B319" t="s">
        <v>15276</v>
      </c>
      <c r="C319" t="str">
        <f t="shared" si="49"/>
        <v>E5_1_3_2_mRNA</v>
      </c>
      <c r="D319" t="str">
        <f t="shared" si="48"/>
        <v>E5_1_3_2</v>
      </c>
      <c r="E319" s="30" t="str">
        <f t="shared" si="50"/>
        <v>E5_1_3_2_kcat : 13.7</v>
      </c>
      <c r="F319" s="31" t="str">
        <f t="shared" si="51"/>
        <v>E5_1_3_2_km : 1</v>
      </c>
      <c r="G319" s="21" t="str">
        <f t="shared" si="52"/>
        <v>E5_1_3_2_mRNA : E5_1_3_2_mRNA</v>
      </c>
      <c r="H319" s="32" t="str">
        <f t="shared" si="53"/>
        <v>E5_1_3_2 : E5_1_3_2</v>
      </c>
      <c r="I319" s="33" t="str">
        <f t="shared" si="54"/>
        <v>E5_1_3_2_mRNA : 0</v>
      </c>
      <c r="J319" s="34" t="str">
        <f t="shared" si="55"/>
        <v>E5_1_3_2 : 0</v>
      </c>
      <c r="K319" s="35" t="str">
        <f t="shared" si="56"/>
        <v>0.00292 - (0.0093 * E5_1_3_2_mRNA)</v>
      </c>
      <c r="L319" s="30" t="str">
        <f t="shared" si="57"/>
        <v>(0.278 * E5_1_3_2_mRNA) - (0.00000278 * E5_1_3_2)</v>
      </c>
      <c r="M319" s="36" t="str">
        <f t="shared" si="58"/>
        <v>mRNA318: -&gt; E5_1_3_2_mRNA | 0.00292 - (0.0093 * E5_1_3_2_mRNA)</v>
      </c>
      <c r="N319" s="21" t="str">
        <f t="shared" si="59"/>
        <v>Peptide318:  E5_1_3_2_mRNA -&gt; E5_1_3_2 | (0.278 * E5_1_3_2_mRNA) - (0.00000278 * E5_1_3_2)</v>
      </c>
    </row>
    <row r="320" spans="1:14" x14ac:dyDescent="0.45">
      <c r="A320">
        <v>319</v>
      </c>
      <c r="B320" t="s">
        <v>15277</v>
      </c>
      <c r="C320" t="str">
        <f t="shared" si="49"/>
        <v>E5_1_3_4_mRNA</v>
      </c>
      <c r="D320" t="str">
        <f t="shared" si="48"/>
        <v>E5_1_3_4</v>
      </c>
      <c r="E320" s="30" t="str">
        <f t="shared" si="50"/>
        <v>E5_1_3_4_kcat : 13.7</v>
      </c>
      <c r="F320" s="31" t="str">
        <f t="shared" si="51"/>
        <v>E5_1_3_4_km : 1</v>
      </c>
      <c r="G320" s="21" t="str">
        <f t="shared" si="52"/>
        <v>E5_1_3_4_mRNA : E5_1_3_4_mRNA</v>
      </c>
      <c r="H320" s="32" t="str">
        <f t="shared" si="53"/>
        <v>E5_1_3_4 : E5_1_3_4</v>
      </c>
      <c r="I320" s="33" t="str">
        <f t="shared" si="54"/>
        <v>E5_1_3_4_mRNA : 0</v>
      </c>
      <c r="J320" s="34" t="str">
        <f t="shared" si="55"/>
        <v>E5_1_3_4 : 0</v>
      </c>
      <c r="K320" s="35" t="str">
        <f t="shared" si="56"/>
        <v>0.00292 - (0.0093 * E5_1_3_4_mRNA)</v>
      </c>
      <c r="L320" s="30" t="str">
        <f t="shared" si="57"/>
        <v>(0.278 * E5_1_3_4_mRNA) - (0.00000278 * E5_1_3_4)</v>
      </c>
      <c r="M320" s="36" t="str">
        <f t="shared" si="58"/>
        <v>mRNA319: -&gt; E5_1_3_4_mRNA | 0.00292 - (0.0093 * E5_1_3_4_mRNA)</v>
      </c>
      <c r="N320" s="21" t="str">
        <f t="shared" si="59"/>
        <v>Peptide319:  E5_1_3_4_mRNA -&gt; E5_1_3_4 | (0.278 * E5_1_3_4_mRNA) - (0.00000278 * E5_1_3_4)</v>
      </c>
    </row>
    <row r="321" spans="1:14" x14ac:dyDescent="0.45">
      <c r="A321">
        <v>320</v>
      </c>
      <c r="B321" t="s">
        <v>15278</v>
      </c>
      <c r="C321" t="str">
        <f t="shared" si="49"/>
        <v>E5_1_3_9_mRNA</v>
      </c>
      <c r="D321" t="str">
        <f t="shared" si="48"/>
        <v>E5_1_3_9</v>
      </c>
      <c r="E321" s="30" t="str">
        <f t="shared" si="50"/>
        <v>E5_1_3_9_kcat : 13.7</v>
      </c>
      <c r="F321" s="31" t="str">
        <f t="shared" si="51"/>
        <v>E5_1_3_9_km : 1</v>
      </c>
      <c r="G321" s="21" t="str">
        <f t="shared" si="52"/>
        <v>E5_1_3_9_mRNA : E5_1_3_9_mRNA</v>
      </c>
      <c r="H321" s="32" t="str">
        <f t="shared" si="53"/>
        <v>E5_1_3_9 : E5_1_3_9</v>
      </c>
      <c r="I321" s="33" t="str">
        <f t="shared" si="54"/>
        <v>E5_1_3_9_mRNA : 0</v>
      </c>
      <c r="J321" s="34" t="str">
        <f t="shared" si="55"/>
        <v>E5_1_3_9 : 0</v>
      </c>
      <c r="K321" s="35" t="str">
        <f t="shared" si="56"/>
        <v>0.00292 - (0.0093 * E5_1_3_9_mRNA)</v>
      </c>
      <c r="L321" s="30" t="str">
        <f t="shared" si="57"/>
        <v>(0.278 * E5_1_3_9_mRNA) - (0.00000278 * E5_1_3_9)</v>
      </c>
      <c r="M321" s="36" t="str">
        <f t="shared" si="58"/>
        <v>mRNA320: -&gt; E5_1_3_9_mRNA | 0.00292 - (0.0093 * E5_1_3_9_mRNA)</v>
      </c>
      <c r="N321" s="21" t="str">
        <f t="shared" si="59"/>
        <v>Peptide320:  E5_1_3_9_mRNA -&gt; E5_1_3_9 | (0.278 * E5_1_3_9_mRNA) - (0.00000278 * E5_1_3_9)</v>
      </c>
    </row>
    <row r="322" spans="1:14" x14ac:dyDescent="0.45">
      <c r="A322">
        <v>321</v>
      </c>
      <c r="B322" t="s">
        <v>15279</v>
      </c>
      <c r="C322" t="str">
        <f t="shared" si="49"/>
        <v>E5_2_1_8_mRNA</v>
      </c>
      <c r="D322" t="str">
        <f t="shared" ref="D322:D385" si="60">CONCATENATE("E",B322)</f>
        <v>E5_2_1_8</v>
      </c>
      <c r="E322" s="30" t="str">
        <f t="shared" si="50"/>
        <v>E5_2_1_8_kcat : 13.7</v>
      </c>
      <c r="F322" s="31" t="str">
        <f t="shared" si="51"/>
        <v>E5_2_1_8_km : 1</v>
      </c>
      <c r="G322" s="21" t="str">
        <f t="shared" si="52"/>
        <v>E5_2_1_8_mRNA : E5_2_1_8_mRNA</v>
      </c>
      <c r="H322" s="32" t="str">
        <f t="shared" si="53"/>
        <v>E5_2_1_8 : E5_2_1_8</v>
      </c>
      <c r="I322" s="33" t="str">
        <f t="shared" si="54"/>
        <v>E5_2_1_8_mRNA : 0</v>
      </c>
      <c r="J322" s="34" t="str">
        <f t="shared" si="55"/>
        <v>E5_2_1_8 : 0</v>
      </c>
      <c r="K322" s="35" t="str">
        <f t="shared" si="56"/>
        <v>0.00292 - (0.0093 * E5_2_1_8_mRNA)</v>
      </c>
      <c r="L322" s="30" t="str">
        <f t="shared" si="57"/>
        <v>(0.278 * E5_2_1_8_mRNA) - (0.00000278 * E5_2_1_8)</v>
      </c>
      <c r="M322" s="36" t="str">
        <f t="shared" si="58"/>
        <v>mRNA321: -&gt; E5_2_1_8_mRNA | 0.00292 - (0.0093 * E5_2_1_8_mRNA)</v>
      </c>
      <c r="N322" s="21" t="str">
        <f t="shared" si="59"/>
        <v>Peptide321:  E5_2_1_8_mRNA -&gt; E5_2_1_8 | (0.278 * E5_2_1_8_mRNA) - (0.00000278 * E5_2_1_8)</v>
      </c>
    </row>
    <row r="323" spans="1:14" x14ac:dyDescent="0.45">
      <c r="A323">
        <v>322</v>
      </c>
      <c r="B323" t="s">
        <v>15280</v>
      </c>
      <c r="C323" t="str">
        <f t="shared" ref="C323:C386" si="61">CONCATENATE(D323,"_mRNA")</f>
        <v>E5_3_1_1_mRNA</v>
      </c>
      <c r="D323" t="str">
        <f t="shared" si="60"/>
        <v>E5_3_1_1</v>
      </c>
      <c r="E323" s="30" t="str">
        <f t="shared" ref="E323:E386" si="62">CONCATENATE("E",B323,"_kcat : 13.7")</f>
        <v>E5_3_1_1_kcat : 13.7</v>
      </c>
      <c r="F323" s="31" t="str">
        <f t="shared" ref="F323:F386" si="63">CONCATENATE("E",B323,"_km : 1")</f>
        <v>E5_3_1_1_km : 1</v>
      </c>
      <c r="G323" s="21" t="str">
        <f t="shared" ref="G323:G386" si="64">CONCATENATE(C323, " : ",C323)</f>
        <v>E5_3_1_1_mRNA : E5_3_1_1_mRNA</v>
      </c>
      <c r="H323" s="32" t="str">
        <f t="shared" ref="H323:H386" si="65">CONCATENATE(D323," : ",D323)</f>
        <v>E5_3_1_1 : E5_3_1_1</v>
      </c>
      <c r="I323" s="33" t="str">
        <f t="shared" ref="I323:I386" si="66">CONCATENATE(C323," : ","0")</f>
        <v>E5_3_1_1_mRNA : 0</v>
      </c>
      <c r="J323" s="34" t="str">
        <f t="shared" ref="J323:J386" si="67">CONCATENATE(D323," : ","0")</f>
        <v>E5_3_1_1 : 0</v>
      </c>
      <c r="K323" s="35" t="str">
        <f t="shared" ref="K323:K386" si="68">CONCATENATE("0.00292 - (0.0093 * ",C323,")")</f>
        <v>0.00292 - (0.0093 * E5_3_1_1_mRNA)</v>
      </c>
      <c r="L323" s="30" t="str">
        <f t="shared" ref="L323:L386" si="69">CONCATENATE("(0.278 * ",C323,")"," - (0.00000278 * ",D323,")")</f>
        <v>(0.278 * E5_3_1_1_mRNA) - (0.00000278 * E5_3_1_1)</v>
      </c>
      <c r="M323" s="36" t="str">
        <f t="shared" ref="M323:M386" si="70">CONCATENATE("mRNA",A323,": -&gt; ",C323," | ","0.00292"," - ","(","0.0093"," * ",C323,")")</f>
        <v>mRNA322: -&gt; E5_3_1_1_mRNA | 0.00292 - (0.0093 * E5_3_1_1_mRNA)</v>
      </c>
      <c r="N323" s="21" t="str">
        <f t="shared" ref="N323:N386" si="71">CONCATENATE("Peptide",A323,":  ",C323," -&gt; ",D323," | ","(","0.278"," * ",C323,")"," - ","(","0.00000278"," * ",D323,")")</f>
        <v>Peptide322:  E5_3_1_1_mRNA -&gt; E5_3_1_1 | (0.278 * E5_3_1_1_mRNA) - (0.00000278 * E5_3_1_1)</v>
      </c>
    </row>
    <row r="324" spans="1:14" x14ac:dyDescent="0.45">
      <c r="A324">
        <v>323</v>
      </c>
      <c r="B324" t="s">
        <v>15281</v>
      </c>
      <c r="C324" t="str">
        <f t="shared" si="61"/>
        <v>E5_3_1_16_mRNA</v>
      </c>
      <c r="D324" t="str">
        <f t="shared" si="60"/>
        <v>E5_3_1_16</v>
      </c>
      <c r="E324" s="30" t="str">
        <f t="shared" si="62"/>
        <v>E5_3_1_16_kcat : 13.7</v>
      </c>
      <c r="F324" s="31" t="str">
        <f t="shared" si="63"/>
        <v>E5_3_1_16_km : 1</v>
      </c>
      <c r="G324" s="21" t="str">
        <f t="shared" si="64"/>
        <v>E5_3_1_16_mRNA : E5_3_1_16_mRNA</v>
      </c>
      <c r="H324" s="32" t="str">
        <f t="shared" si="65"/>
        <v>E5_3_1_16 : E5_3_1_16</v>
      </c>
      <c r="I324" s="33" t="str">
        <f t="shared" si="66"/>
        <v>E5_3_1_16_mRNA : 0</v>
      </c>
      <c r="J324" s="34" t="str">
        <f t="shared" si="67"/>
        <v>E5_3_1_16 : 0</v>
      </c>
      <c r="K324" s="35" t="str">
        <f t="shared" si="68"/>
        <v>0.00292 - (0.0093 * E5_3_1_16_mRNA)</v>
      </c>
      <c r="L324" s="30" t="str">
        <f t="shared" si="69"/>
        <v>(0.278 * E5_3_1_16_mRNA) - (0.00000278 * E5_3_1_16)</v>
      </c>
      <c r="M324" s="36" t="str">
        <f t="shared" si="70"/>
        <v>mRNA323: -&gt; E5_3_1_16_mRNA | 0.00292 - (0.0093 * E5_3_1_16_mRNA)</v>
      </c>
      <c r="N324" s="21" t="str">
        <f t="shared" si="71"/>
        <v>Peptide323:  E5_3_1_16_mRNA -&gt; E5_3_1_16 | (0.278 * E5_3_1_16_mRNA) - (0.00000278 * E5_3_1_16)</v>
      </c>
    </row>
    <row r="325" spans="1:14" x14ac:dyDescent="0.45">
      <c r="A325">
        <v>324</v>
      </c>
      <c r="B325" t="s">
        <v>15282</v>
      </c>
      <c r="C325" t="str">
        <f t="shared" si="61"/>
        <v>E5_3_1_5_mRNA</v>
      </c>
      <c r="D325" t="str">
        <f t="shared" si="60"/>
        <v>E5_3_1_5</v>
      </c>
      <c r="E325" s="30" t="str">
        <f t="shared" si="62"/>
        <v>E5_3_1_5_kcat : 13.7</v>
      </c>
      <c r="F325" s="31" t="str">
        <f t="shared" si="63"/>
        <v>E5_3_1_5_km : 1</v>
      </c>
      <c r="G325" s="21" t="str">
        <f t="shared" si="64"/>
        <v>E5_3_1_5_mRNA : E5_3_1_5_mRNA</v>
      </c>
      <c r="H325" s="32" t="str">
        <f t="shared" si="65"/>
        <v>E5_3_1_5 : E5_3_1_5</v>
      </c>
      <c r="I325" s="33" t="str">
        <f t="shared" si="66"/>
        <v>E5_3_1_5_mRNA : 0</v>
      </c>
      <c r="J325" s="34" t="str">
        <f t="shared" si="67"/>
        <v>E5_3_1_5 : 0</v>
      </c>
      <c r="K325" s="35" t="str">
        <f t="shared" si="68"/>
        <v>0.00292 - (0.0093 * E5_3_1_5_mRNA)</v>
      </c>
      <c r="L325" s="30" t="str">
        <f t="shared" si="69"/>
        <v>(0.278 * E5_3_1_5_mRNA) - (0.00000278 * E5_3_1_5)</v>
      </c>
      <c r="M325" s="36" t="str">
        <f t="shared" si="70"/>
        <v>mRNA324: -&gt; E5_3_1_5_mRNA | 0.00292 - (0.0093 * E5_3_1_5_mRNA)</v>
      </c>
      <c r="N325" s="21" t="str">
        <f t="shared" si="71"/>
        <v>Peptide324:  E5_3_1_5_mRNA -&gt; E5_3_1_5 | (0.278 * E5_3_1_5_mRNA) - (0.00000278 * E5_3_1_5)</v>
      </c>
    </row>
    <row r="326" spans="1:14" x14ac:dyDescent="0.45">
      <c r="A326">
        <v>325</v>
      </c>
      <c r="B326" t="s">
        <v>15283</v>
      </c>
      <c r="C326" t="str">
        <f t="shared" si="61"/>
        <v>E5_3_1_6_mRNA</v>
      </c>
      <c r="D326" t="str">
        <f t="shared" si="60"/>
        <v>E5_3_1_6</v>
      </c>
      <c r="E326" s="30" t="str">
        <f t="shared" si="62"/>
        <v>E5_3_1_6_kcat : 13.7</v>
      </c>
      <c r="F326" s="31" t="str">
        <f t="shared" si="63"/>
        <v>E5_3_1_6_km : 1</v>
      </c>
      <c r="G326" s="21" t="str">
        <f t="shared" si="64"/>
        <v>E5_3_1_6_mRNA : E5_3_1_6_mRNA</v>
      </c>
      <c r="H326" s="32" t="str">
        <f t="shared" si="65"/>
        <v>E5_3_1_6 : E5_3_1_6</v>
      </c>
      <c r="I326" s="33" t="str">
        <f t="shared" si="66"/>
        <v>E5_3_1_6_mRNA : 0</v>
      </c>
      <c r="J326" s="34" t="str">
        <f t="shared" si="67"/>
        <v>E5_3_1_6 : 0</v>
      </c>
      <c r="K326" s="35" t="str">
        <f t="shared" si="68"/>
        <v>0.00292 - (0.0093 * E5_3_1_6_mRNA)</v>
      </c>
      <c r="L326" s="30" t="str">
        <f t="shared" si="69"/>
        <v>(0.278 * E5_3_1_6_mRNA) - (0.00000278 * E5_3_1_6)</v>
      </c>
      <c r="M326" s="36" t="str">
        <f t="shared" si="70"/>
        <v>mRNA325: -&gt; E5_3_1_6_mRNA | 0.00292 - (0.0093 * E5_3_1_6_mRNA)</v>
      </c>
      <c r="N326" s="21" t="str">
        <f t="shared" si="71"/>
        <v>Peptide325:  E5_3_1_6_mRNA -&gt; E5_3_1_6 | (0.278 * E5_3_1_6_mRNA) - (0.00000278 * E5_3_1_6)</v>
      </c>
    </row>
    <row r="327" spans="1:14" x14ac:dyDescent="0.45">
      <c r="A327">
        <v>326</v>
      </c>
      <c r="B327" t="s">
        <v>15284</v>
      </c>
      <c r="C327" t="str">
        <f t="shared" si="61"/>
        <v>E5_3_1_8_mRNA</v>
      </c>
      <c r="D327" t="str">
        <f t="shared" si="60"/>
        <v>E5_3_1_8</v>
      </c>
      <c r="E327" s="30" t="str">
        <f t="shared" si="62"/>
        <v>E5_3_1_8_kcat : 13.7</v>
      </c>
      <c r="F327" s="31" t="str">
        <f t="shared" si="63"/>
        <v>E5_3_1_8_km : 1</v>
      </c>
      <c r="G327" s="21" t="str">
        <f t="shared" si="64"/>
        <v>E5_3_1_8_mRNA : E5_3_1_8_mRNA</v>
      </c>
      <c r="H327" s="32" t="str">
        <f t="shared" si="65"/>
        <v>E5_3_1_8 : E5_3_1_8</v>
      </c>
      <c r="I327" s="33" t="str">
        <f t="shared" si="66"/>
        <v>E5_3_1_8_mRNA : 0</v>
      </c>
      <c r="J327" s="34" t="str">
        <f t="shared" si="67"/>
        <v>E5_3_1_8 : 0</v>
      </c>
      <c r="K327" s="35" t="str">
        <f t="shared" si="68"/>
        <v>0.00292 - (0.0093 * E5_3_1_8_mRNA)</v>
      </c>
      <c r="L327" s="30" t="str">
        <f t="shared" si="69"/>
        <v>(0.278 * E5_3_1_8_mRNA) - (0.00000278 * E5_3_1_8)</v>
      </c>
      <c r="M327" s="36" t="str">
        <f t="shared" si="70"/>
        <v>mRNA326: -&gt; E5_3_1_8_mRNA | 0.00292 - (0.0093 * E5_3_1_8_mRNA)</v>
      </c>
      <c r="N327" s="21" t="str">
        <f t="shared" si="71"/>
        <v>Peptide326:  E5_3_1_8_mRNA -&gt; E5_3_1_8 | (0.278 * E5_3_1_8_mRNA) - (0.00000278 * E5_3_1_8)</v>
      </c>
    </row>
    <row r="328" spans="1:14" x14ac:dyDescent="0.45">
      <c r="A328">
        <v>327</v>
      </c>
      <c r="B328" t="s">
        <v>15285</v>
      </c>
      <c r="C328" t="str">
        <f t="shared" si="61"/>
        <v>E5_3_1_9_mRNA</v>
      </c>
      <c r="D328" t="str">
        <f t="shared" si="60"/>
        <v>E5_3_1_9</v>
      </c>
      <c r="E328" s="30" t="str">
        <f t="shared" si="62"/>
        <v>E5_3_1_9_kcat : 13.7</v>
      </c>
      <c r="F328" s="31" t="str">
        <f t="shared" si="63"/>
        <v>E5_3_1_9_km : 1</v>
      </c>
      <c r="G328" s="21" t="str">
        <f t="shared" si="64"/>
        <v>E5_3_1_9_mRNA : E5_3_1_9_mRNA</v>
      </c>
      <c r="H328" s="32" t="str">
        <f t="shared" si="65"/>
        <v>E5_3_1_9 : E5_3_1_9</v>
      </c>
      <c r="I328" s="33" t="str">
        <f t="shared" si="66"/>
        <v>E5_3_1_9_mRNA : 0</v>
      </c>
      <c r="J328" s="34" t="str">
        <f t="shared" si="67"/>
        <v>E5_3_1_9 : 0</v>
      </c>
      <c r="K328" s="35" t="str">
        <f t="shared" si="68"/>
        <v>0.00292 - (0.0093 * E5_3_1_9_mRNA)</v>
      </c>
      <c r="L328" s="30" t="str">
        <f t="shared" si="69"/>
        <v>(0.278 * E5_3_1_9_mRNA) - (0.00000278 * E5_3_1_9)</v>
      </c>
      <c r="M328" s="36" t="str">
        <f t="shared" si="70"/>
        <v>mRNA327: -&gt; E5_3_1_9_mRNA | 0.00292 - (0.0093 * E5_3_1_9_mRNA)</v>
      </c>
      <c r="N328" s="21" t="str">
        <f t="shared" si="71"/>
        <v>Peptide327:  E5_3_1_9_mRNA -&gt; E5_3_1_9 | (0.278 * E5_3_1_9_mRNA) - (0.00000278 * E5_3_1_9)</v>
      </c>
    </row>
    <row r="329" spans="1:14" x14ac:dyDescent="0.45">
      <c r="A329">
        <v>328</v>
      </c>
      <c r="B329" t="s">
        <v>15286</v>
      </c>
      <c r="C329" t="str">
        <f t="shared" si="61"/>
        <v>E5_4_2_10_mRNA</v>
      </c>
      <c r="D329" t="str">
        <f t="shared" si="60"/>
        <v>E5_4_2_10</v>
      </c>
      <c r="E329" s="30" t="str">
        <f t="shared" si="62"/>
        <v>E5_4_2_10_kcat : 13.7</v>
      </c>
      <c r="F329" s="31" t="str">
        <f t="shared" si="63"/>
        <v>E5_4_2_10_km : 1</v>
      </c>
      <c r="G329" s="21" t="str">
        <f t="shared" si="64"/>
        <v>E5_4_2_10_mRNA : E5_4_2_10_mRNA</v>
      </c>
      <c r="H329" s="32" t="str">
        <f t="shared" si="65"/>
        <v>E5_4_2_10 : E5_4_2_10</v>
      </c>
      <c r="I329" s="33" t="str">
        <f t="shared" si="66"/>
        <v>E5_4_2_10_mRNA : 0</v>
      </c>
      <c r="J329" s="34" t="str">
        <f t="shared" si="67"/>
        <v>E5_4_2_10 : 0</v>
      </c>
      <c r="K329" s="35" t="str">
        <f t="shared" si="68"/>
        <v>0.00292 - (0.0093 * E5_4_2_10_mRNA)</v>
      </c>
      <c r="L329" s="30" t="str">
        <f t="shared" si="69"/>
        <v>(0.278 * E5_4_2_10_mRNA) - (0.00000278 * E5_4_2_10)</v>
      </c>
      <c r="M329" s="36" t="str">
        <f t="shared" si="70"/>
        <v>mRNA328: -&gt; E5_4_2_10_mRNA | 0.00292 - (0.0093 * E5_4_2_10_mRNA)</v>
      </c>
      <c r="N329" s="21" t="str">
        <f t="shared" si="71"/>
        <v>Peptide328:  E5_4_2_10_mRNA -&gt; E5_4_2_10 | (0.278 * E5_4_2_10_mRNA) - (0.00000278 * E5_4_2_10)</v>
      </c>
    </row>
    <row r="330" spans="1:14" x14ac:dyDescent="0.45">
      <c r="A330">
        <v>329</v>
      </c>
      <c r="B330" t="s">
        <v>15287</v>
      </c>
      <c r="C330" t="str">
        <f t="shared" si="61"/>
        <v>E5_4_2_12_mRNA</v>
      </c>
      <c r="D330" t="str">
        <f t="shared" si="60"/>
        <v>E5_4_2_12</v>
      </c>
      <c r="E330" s="30" t="str">
        <f t="shared" si="62"/>
        <v>E5_4_2_12_kcat : 13.7</v>
      </c>
      <c r="F330" s="31" t="str">
        <f t="shared" si="63"/>
        <v>E5_4_2_12_km : 1</v>
      </c>
      <c r="G330" s="21" t="str">
        <f t="shared" si="64"/>
        <v>E5_4_2_12_mRNA : E5_4_2_12_mRNA</v>
      </c>
      <c r="H330" s="32" t="str">
        <f t="shared" si="65"/>
        <v>E5_4_2_12 : E5_4_2_12</v>
      </c>
      <c r="I330" s="33" t="str">
        <f t="shared" si="66"/>
        <v>E5_4_2_12_mRNA : 0</v>
      </c>
      <c r="J330" s="34" t="str">
        <f t="shared" si="67"/>
        <v>E5_4_2_12 : 0</v>
      </c>
      <c r="K330" s="35" t="str">
        <f t="shared" si="68"/>
        <v>0.00292 - (0.0093 * E5_4_2_12_mRNA)</v>
      </c>
      <c r="L330" s="30" t="str">
        <f t="shared" si="69"/>
        <v>(0.278 * E5_4_2_12_mRNA) - (0.00000278 * E5_4_2_12)</v>
      </c>
      <c r="M330" s="36" t="str">
        <f t="shared" si="70"/>
        <v>mRNA329: -&gt; E5_4_2_12_mRNA | 0.00292 - (0.0093 * E5_4_2_12_mRNA)</v>
      </c>
      <c r="N330" s="21" t="str">
        <f t="shared" si="71"/>
        <v>Peptide329:  E5_4_2_12_mRNA -&gt; E5_4_2_12 | (0.278 * E5_4_2_12_mRNA) - (0.00000278 * E5_4_2_12)</v>
      </c>
    </row>
    <row r="331" spans="1:14" x14ac:dyDescent="0.45">
      <c r="A331">
        <v>330</v>
      </c>
      <c r="B331" t="s">
        <v>15288</v>
      </c>
      <c r="C331" t="str">
        <f t="shared" si="61"/>
        <v>E5_4_2_6_mRNA</v>
      </c>
      <c r="D331" t="str">
        <f t="shared" si="60"/>
        <v>E5_4_2_6</v>
      </c>
      <c r="E331" s="30" t="str">
        <f t="shared" si="62"/>
        <v>E5_4_2_6_kcat : 13.7</v>
      </c>
      <c r="F331" s="31" t="str">
        <f t="shared" si="63"/>
        <v>E5_4_2_6_km : 1</v>
      </c>
      <c r="G331" s="21" t="str">
        <f t="shared" si="64"/>
        <v>E5_4_2_6_mRNA : E5_4_2_6_mRNA</v>
      </c>
      <c r="H331" s="32" t="str">
        <f t="shared" si="65"/>
        <v>E5_4_2_6 : E5_4_2_6</v>
      </c>
      <c r="I331" s="33" t="str">
        <f t="shared" si="66"/>
        <v>E5_4_2_6_mRNA : 0</v>
      </c>
      <c r="J331" s="34" t="str">
        <f t="shared" si="67"/>
        <v>E5_4_2_6 : 0</v>
      </c>
      <c r="K331" s="35" t="str">
        <f t="shared" si="68"/>
        <v>0.00292 - (0.0093 * E5_4_2_6_mRNA)</v>
      </c>
      <c r="L331" s="30" t="str">
        <f t="shared" si="69"/>
        <v>(0.278 * E5_4_2_6_mRNA) - (0.00000278 * E5_4_2_6)</v>
      </c>
      <c r="M331" s="36" t="str">
        <f t="shared" si="70"/>
        <v>mRNA330: -&gt; E5_4_2_6_mRNA | 0.00292 - (0.0093 * E5_4_2_6_mRNA)</v>
      </c>
      <c r="N331" s="21" t="str">
        <f t="shared" si="71"/>
        <v>Peptide330:  E5_4_2_6_mRNA -&gt; E5_4_2_6 | (0.278 * E5_4_2_6_mRNA) - (0.00000278 * E5_4_2_6)</v>
      </c>
    </row>
    <row r="332" spans="1:14" x14ac:dyDescent="0.45">
      <c r="A332">
        <v>331</v>
      </c>
      <c r="B332" t="s">
        <v>15289</v>
      </c>
      <c r="C332" t="str">
        <f t="shared" si="61"/>
        <v>E5_4_2_7_mRNA</v>
      </c>
      <c r="D332" t="str">
        <f t="shared" si="60"/>
        <v>E5_4_2_7</v>
      </c>
      <c r="E332" s="30" t="str">
        <f t="shared" si="62"/>
        <v>E5_4_2_7_kcat : 13.7</v>
      </c>
      <c r="F332" s="31" t="str">
        <f t="shared" si="63"/>
        <v>E5_4_2_7_km : 1</v>
      </c>
      <c r="G332" s="21" t="str">
        <f t="shared" si="64"/>
        <v>E5_4_2_7_mRNA : E5_4_2_7_mRNA</v>
      </c>
      <c r="H332" s="32" t="str">
        <f t="shared" si="65"/>
        <v>E5_4_2_7 : E5_4_2_7</v>
      </c>
      <c r="I332" s="33" t="str">
        <f t="shared" si="66"/>
        <v>E5_4_2_7_mRNA : 0</v>
      </c>
      <c r="J332" s="34" t="str">
        <f t="shared" si="67"/>
        <v>E5_4_2_7 : 0</v>
      </c>
      <c r="K332" s="35" t="str">
        <f t="shared" si="68"/>
        <v>0.00292 - (0.0093 * E5_4_2_7_mRNA)</v>
      </c>
      <c r="L332" s="30" t="str">
        <f t="shared" si="69"/>
        <v>(0.278 * E5_4_2_7_mRNA) - (0.00000278 * E5_4_2_7)</v>
      </c>
      <c r="M332" s="36" t="str">
        <f t="shared" si="70"/>
        <v>mRNA331: -&gt; E5_4_2_7_mRNA | 0.00292 - (0.0093 * E5_4_2_7_mRNA)</v>
      </c>
      <c r="N332" s="21" t="str">
        <f t="shared" si="71"/>
        <v>Peptide331:  E5_4_2_7_mRNA -&gt; E5_4_2_7 | (0.278 * E5_4_2_7_mRNA) - (0.00000278 * E5_4_2_7)</v>
      </c>
    </row>
    <row r="333" spans="1:14" x14ac:dyDescent="0.45">
      <c r="A333">
        <v>332</v>
      </c>
      <c r="B333" t="s">
        <v>15290</v>
      </c>
      <c r="C333" t="str">
        <f t="shared" si="61"/>
        <v>E5_4_3_5_mRNA</v>
      </c>
      <c r="D333" t="str">
        <f t="shared" si="60"/>
        <v>E5_4_3_5</v>
      </c>
      <c r="E333" s="30" t="str">
        <f t="shared" si="62"/>
        <v>E5_4_3_5_kcat : 13.7</v>
      </c>
      <c r="F333" s="31" t="str">
        <f t="shared" si="63"/>
        <v>E5_4_3_5_km : 1</v>
      </c>
      <c r="G333" s="21" t="str">
        <f t="shared" si="64"/>
        <v>E5_4_3_5_mRNA : E5_4_3_5_mRNA</v>
      </c>
      <c r="H333" s="32" t="str">
        <f t="shared" si="65"/>
        <v>E5_4_3_5 : E5_4_3_5</v>
      </c>
      <c r="I333" s="33" t="str">
        <f t="shared" si="66"/>
        <v>E5_4_3_5_mRNA : 0</v>
      </c>
      <c r="J333" s="34" t="str">
        <f t="shared" si="67"/>
        <v>E5_4_3_5 : 0</v>
      </c>
      <c r="K333" s="35" t="str">
        <f t="shared" si="68"/>
        <v>0.00292 - (0.0093 * E5_4_3_5_mRNA)</v>
      </c>
      <c r="L333" s="30" t="str">
        <f t="shared" si="69"/>
        <v>(0.278 * E5_4_3_5_mRNA) - (0.00000278 * E5_4_3_5)</v>
      </c>
      <c r="M333" s="36" t="str">
        <f t="shared" si="70"/>
        <v>mRNA332: -&gt; E5_4_3_5_mRNA | 0.00292 - (0.0093 * E5_4_3_5_mRNA)</v>
      </c>
      <c r="N333" s="21" t="str">
        <f t="shared" si="71"/>
        <v>Peptide332:  E5_4_3_5_mRNA -&gt; E5_4_3_5 | (0.278 * E5_4_3_5_mRNA) - (0.00000278 * E5_4_3_5)</v>
      </c>
    </row>
    <row r="334" spans="1:14" x14ac:dyDescent="0.45">
      <c r="A334">
        <v>333</v>
      </c>
      <c r="B334" t="s">
        <v>15291</v>
      </c>
      <c r="C334" t="str">
        <f t="shared" si="61"/>
        <v>E5_4_3_9_mRNA</v>
      </c>
      <c r="D334" t="str">
        <f t="shared" si="60"/>
        <v>E5_4_3_9</v>
      </c>
      <c r="E334" s="30" t="str">
        <f t="shared" si="62"/>
        <v>E5_4_3_9_kcat : 13.7</v>
      </c>
      <c r="F334" s="31" t="str">
        <f t="shared" si="63"/>
        <v>E5_4_3_9_km : 1</v>
      </c>
      <c r="G334" s="21" t="str">
        <f t="shared" si="64"/>
        <v>E5_4_3_9_mRNA : E5_4_3_9_mRNA</v>
      </c>
      <c r="H334" s="32" t="str">
        <f t="shared" si="65"/>
        <v>E5_4_3_9 : E5_4_3_9</v>
      </c>
      <c r="I334" s="33" t="str">
        <f t="shared" si="66"/>
        <v>E5_4_3_9_mRNA : 0</v>
      </c>
      <c r="J334" s="34" t="str">
        <f t="shared" si="67"/>
        <v>E5_4_3_9 : 0</v>
      </c>
      <c r="K334" s="35" t="str">
        <f t="shared" si="68"/>
        <v>0.00292 - (0.0093 * E5_4_3_9_mRNA)</v>
      </c>
      <c r="L334" s="30" t="str">
        <f t="shared" si="69"/>
        <v>(0.278 * E5_4_3_9_mRNA) - (0.00000278 * E5_4_3_9)</v>
      </c>
      <c r="M334" s="36" t="str">
        <f t="shared" si="70"/>
        <v>mRNA333: -&gt; E5_4_3_9_mRNA | 0.00292 - (0.0093 * E5_4_3_9_mRNA)</v>
      </c>
      <c r="N334" s="21" t="str">
        <f t="shared" si="71"/>
        <v>Peptide333:  E5_4_3_9_mRNA -&gt; E5_4_3_9 | (0.278 * E5_4_3_9_mRNA) - (0.00000278 * E5_4_3_9)</v>
      </c>
    </row>
    <row r="335" spans="1:14" x14ac:dyDescent="0.45">
      <c r="A335">
        <v>334</v>
      </c>
      <c r="B335" t="s">
        <v>15292</v>
      </c>
      <c r="C335" t="str">
        <f t="shared" si="61"/>
        <v>E5_4_99_12_mRNA</v>
      </c>
      <c r="D335" t="str">
        <f t="shared" si="60"/>
        <v>E5_4_99_12</v>
      </c>
      <c r="E335" s="30" t="str">
        <f t="shared" si="62"/>
        <v>E5_4_99_12_kcat : 13.7</v>
      </c>
      <c r="F335" s="31" t="str">
        <f t="shared" si="63"/>
        <v>E5_4_99_12_km : 1</v>
      </c>
      <c r="G335" s="21" t="str">
        <f t="shared" si="64"/>
        <v>E5_4_99_12_mRNA : E5_4_99_12_mRNA</v>
      </c>
      <c r="H335" s="32" t="str">
        <f t="shared" si="65"/>
        <v>E5_4_99_12 : E5_4_99_12</v>
      </c>
      <c r="I335" s="33" t="str">
        <f t="shared" si="66"/>
        <v>E5_4_99_12_mRNA : 0</v>
      </c>
      <c r="J335" s="34" t="str">
        <f t="shared" si="67"/>
        <v>E5_4_99_12 : 0</v>
      </c>
      <c r="K335" s="35" t="str">
        <f t="shared" si="68"/>
        <v>0.00292 - (0.0093 * E5_4_99_12_mRNA)</v>
      </c>
      <c r="L335" s="30" t="str">
        <f t="shared" si="69"/>
        <v>(0.278 * E5_4_99_12_mRNA) - (0.00000278 * E5_4_99_12)</v>
      </c>
      <c r="M335" s="36" t="str">
        <f t="shared" si="70"/>
        <v>mRNA334: -&gt; E5_4_99_12_mRNA | 0.00292 - (0.0093 * E5_4_99_12_mRNA)</v>
      </c>
      <c r="N335" s="21" t="str">
        <f t="shared" si="71"/>
        <v>Peptide334:  E5_4_99_12_mRNA -&gt; E5_4_99_12 | (0.278 * E5_4_99_12_mRNA) - (0.00000278 * E5_4_99_12)</v>
      </c>
    </row>
    <row r="336" spans="1:14" x14ac:dyDescent="0.45">
      <c r="A336">
        <v>335</v>
      </c>
      <c r="B336" t="s">
        <v>15293</v>
      </c>
      <c r="C336" t="str">
        <f t="shared" si="61"/>
        <v>E5_4_99_18_mRNA</v>
      </c>
      <c r="D336" t="str">
        <f t="shared" si="60"/>
        <v>E5_4_99_18</v>
      </c>
      <c r="E336" s="30" t="str">
        <f t="shared" si="62"/>
        <v>E5_4_99_18_kcat : 13.7</v>
      </c>
      <c r="F336" s="31" t="str">
        <f t="shared" si="63"/>
        <v>E5_4_99_18_km : 1</v>
      </c>
      <c r="G336" s="21" t="str">
        <f t="shared" si="64"/>
        <v>E5_4_99_18_mRNA : E5_4_99_18_mRNA</v>
      </c>
      <c r="H336" s="32" t="str">
        <f t="shared" si="65"/>
        <v>E5_4_99_18 : E5_4_99_18</v>
      </c>
      <c r="I336" s="33" t="str">
        <f t="shared" si="66"/>
        <v>E5_4_99_18_mRNA : 0</v>
      </c>
      <c r="J336" s="34" t="str">
        <f t="shared" si="67"/>
        <v>E5_4_99_18 : 0</v>
      </c>
      <c r="K336" s="35" t="str">
        <f t="shared" si="68"/>
        <v>0.00292 - (0.0093 * E5_4_99_18_mRNA)</v>
      </c>
      <c r="L336" s="30" t="str">
        <f t="shared" si="69"/>
        <v>(0.278 * E5_4_99_18_mRNA) - (0.00000278 * E5_4_99_18)</v>
      </c>
      <c r="M336" s="36" t="str">
        <f t="shared" si="70"/>
        <v>mRNA335: -&gt; E5_4_99_18_mRNA | 0.00292 - (0.0093 * E5_4_99_18_mRNA)</v>
      </c>
      <c r="N336" s="21" t="str">
        <f t="shared" si="71"/>
        <v>Peptide335:  E5_4_99_18_mRNA -&gt; E5_4_99_18 | (0.278 * E5_4_99_18_mRNA) - (0.00000278 * E5_4_99_18)</v>
      </c>
    </row>
    <row r="337" spans="1:14" x14ac:dyDescent="0.45">
      <c r="A337">
        <v>336</v>
      </c>
      <c r="B337" t="s">
        <v>15294</v>
      </c>
      <c r="C337" t="str">
        <f t="shared" si="61"/>
        <v>E5_4_99_60_mRNA</v>
      </c>
      <c r="D337" t="str">
        <f t="shared" si="60"/>
        <v>E5_4_99_60</v>
      </c>
      <c r="E337" s="30" t="str">
        <f t="shared" si="62"/>
        <v>E5_4_99_60_kcat : 13.7</v>
      </c>
      <c r="F337" s="31" t="str">
        <f t="shared" si="63"/>
        <v>E5_4_99_60_km : 1</v>
      </c>
      <c r="G337" s="21" t="str">
        <f t="shared" si="64"/>
        <v>E5_4_99_60_mRNA : E5_4_99_60_mRNA</v>
      </c>
      <c r="H337" s="32" t="str">
        <f t="shared" si="65"/>
        <v>E5_4_99_60 : E5_4_99_60</v>
      </c>
      <c r="I337" s="33" t="str">
        <f t="shared" si="66"/>
        <v>E5_4_99_60_mRNA : 0</v>
      </c>
      <c r="J337" s="34" t="str">
        <f t="shared" si="67"/>
        <v>E5_4_99_60 : 0</v>
      </c>
      <c r="K337" s="35" t="str">
        <f t="shared" si="68"/>
        <v>0.00292 - (0.0093 * E5_4_99_60_mRNA)</v>
      </c>
      <c r="L337" s="30" t="str">
        <f t="shared" si="69"/>
        <v>(0.278 * E5_4_99_60_mRNA) - (0.00000278 * E5_4_99_60)</v>
      </c>
      <c r="M337" s="36" t="str">
        <f t="shared" si="70"/>
        <v>mRNA336: -&gt; E5_4_99_60_mRNA | 0.00292 - (0.0093 * E5_4_99_60_mRNA)</v>
      </c>
      <c r="N337" s="21" t="str">
        <f t="shared" si="71"/>
        <v>Peptide336:  E5_4_99_60_mRNA -&gt; E5_4_99_60 | (0.278 * E5_4_99_60_mRNA) - (0.00000278 * E5_4_99_60)</v>
      </c>
    </row>
    <row r="338" spans="1:14" x14ac:dyDescent="0.45">
      <c r="A338">
        <v>337</v>
      </c>
      <c r="B338" t="s">
        <v>15295</v>
      </c>
      <c r="C338" t="str">
        <f t="shared" si="61"/>
        <v>E6_1_1_1_mRNA</v>
      </c>
      <c r="D338" t="str">
        <f t="shared" si="60"/>
        <v>E6_1_1_1</v>
      </c>
      <c r="E338" s="30" t="str">
        <f t="shared" si="62"/>
        <v>E6_1_1_1_kcat : 13.7</v>
      </c>
      <c r="F338" s="31" t="str">
        <f t="shared" si="63"/>
        <v>E6_1_1_1_km : 1</v>
      </c>
      <c r="G338" s="21" t="str">
        <f t="shared" si="64"/>
        <v>E6_1_1_1_mRNA : E6_1_1_1_mRNA</v>
      </c>
      <c r="H338" s="32" t="str">
        <f t="shared" si="65"/>
        <v>E6_1_1_1 : E6_1_1_1</v>
      </c>
      <c r="I338" s="33" t="str">
        <f t="shared" si="66"/>
        <v>E6_1_1_1_mRNA : 0</v>
      </c>
      <c r="J338" s="34" t="str">
        <f t="shared" si="67"/>
        <v>E6_1_1_1 : 0</v>
      </c>
      <c r="K338" s="35" t="str">
        <f t="shared" si="68"/>
        <v>0.00292 - (0.0093 * E6_1_1_1_mRNA)</v>
      </c>
      <c r="L338" s="30" t="str">
        <f t="shared" si="69"/>
        <v>(0.278 * E6_1_1_1_mRNA) - (0.00000278 * E6_1_1_1)</v>
      </c>
      <c r="M338" s="36" t="str">
        <f t="shared" si="70"/>
        <v>mRNA337: -&gt; E6_1_1_1_mRNA | 0.00292 - (0.0093 * E6_1_1_1_mRNA)</v>
      </c>
      <c r="N338" s="21" t="str">
        <f t="shared" si="71"/>
        <v>Peptide337:  E6_1_1_1_mRNA -&gt; E6_1_1_1 | (0.278 * E6_1_1_1_mRNA) - (0.00000278 * E6_1_1_1)</v>
      </c>
    </row>
    <row r="339" spans="1:14" x14ac:dyDescent="0.45">
      <c r="A339">
        <v>338</v>
      </c>
      <c r="B339" t="s">
        <v>15296</v>
      </c>
      <c r="C339" t="str">
        <f t="shared" si="61"/>
        <v>E6_1_1_10_mRNA</v>
      </c>
      <c r="D339" t="str">
        <f t="shared" si="60"/>
        <v>E6_1_1_10</v>
      </c>
      <c r="E339" s="30" t="str">
        <f t="shared" si="62"/>
        <v>E6_1_1_10_kcat : 13.7</v>
      </c>
      <c r="F339" s="31" t="str">
        <f t="shared" si="63"/>
        <v>E6_1_1_10_km : 1</v>
      </c>
      <c r="G339" s="21" t="str">
        <f t="shared" si="64"/>
        <v>E6_1_1_10_mRNA : E6_1_1_10_mRNA</v>
      </c>
      <c r="H339" s="32" t="str">
        <f t="shared" si="65"/>
        <v>E6_1_1_10 : E6_1_1_10</v>
      </c>
      <c r="I339" s="33" t="str">
        <f t="shared" si="66"/>
        <v>E6_1_1_10_mRNA : 0</v>
      </c>
      <c r="J339" s="34" t="str">
        <f t="shared" si="67"/>
        <v>E6_1_1_10 : 0</v>
      </c>
      <c r="K339" s="35" t="str">
        <f t="shared" si="68"/>
        <v>0.00292 - (0.0093 * E6_1_1_10_mRNA)</v>
      </c>
      <c r="L339" s="30" t="str">
        <f t="shared" si="69"/>
        <v>(0.278 * E6_1_1_10_mRNA) - (0.00000278 * E6_1_1_10)</v>
      </c>
      <c r="M339" s="36" t="str">
        <f t="shared" si="70"/>
        <v>mRNA338: -&gt; E6_1_1_10_mRNA | 0.00292 - (0.0093 * E6_1_1_10_mRNA)</v>
      </c>
      <c r="N339" s="21" t="str">
        <f t="shared" si="71"/>
        <v>Peptide338:  E6_1_1_10_mRNA -&gt; E6_1_1_10 | (0.278 * E6_1_1_10_mRNA) - (0.00000278 * E6_1_1_10)</v>
      </c>
    </row>
    <row r="340" spans="1:14" x14ac:dyDescent="0.45">
      <c r="A340">
        <v>339</v>
      </c>
      <c r="B340" t="s">
        <v>15297</v>
      </c>
      <c r="C340" t="str">
        <f t="shared" si="61"/>
        <v>E6_1_1_11_mRNA</v>
      </c>
      <c r="D340" t="str">
        <f t="shared" si="60"/>
        <v>E6_1_1_11</v>
      </c>
      <c r="E340" s="30" t="str">
        <f t="shared" si="62"/>
        <v>E6_1_1_11_kcat : 13.7</v>
      </c>
      <c r="F340" s="31" t="str">
        <f t="shared" si="63"/>
        <v>E6_1_1_11_km : 1</v>
      </c>
      <c r="G340" s="21" t="str">
        <f t="shared" si="64"/>
        <v>E6_1_1_11_mRNA : E6_1_1_11_mRNA</v>
      </c>
      <c r="H340" s="32" t="str">
        <f t="shared" si="65"/>
        <v>E6_1_1_11 : E6_1_1_11</v>
      </c>
      <c r="I340" s="33" t="str">
        <f t="shared" si="66"/>
        <v>E6_1_1_11_mRNA : 0</v>
      </c>
      <c r="J340" s="34" t="str">
        <f t="shared" si="67"/>
        <v>E6_1_1_11 : 0</v>
      </c>
      <c r="K340" s="35" t="str">
        <f t="shared" si="68"/>
        <v>0.00292 - (0.0093 * E6_1_1_11_mRNA)</v>
      </c>
      <c r="L340" s="30" t="str">
        <f t="shared" si="69"/>
        <v>(0.278 * E6_1_1_11_mRNA) - (0.00000278 * E6_1_1_11)</v>
      </c>
      <c r="M340" s="36" t="str">
        <f t="shared" si="70"/>
        <v>mRNA339: -&gt; E6_1_1_11_mRNA | 0.00292 - (0.0093 * E6_1_1_11_mRNA)</v>
      </c>
      <c r="N340" s="21" t="str">
        <f t="shared" si="71"/>
        <v>Peptide339:  E6_1_1_11_mRNA -&gt; E6_1_1_11 | (0.278 * E6_1_1_11_mRNA) - (0.00000278 * E6_1_1_11)</v>
      </c>
    </row>
    <row r="341" spans="1:14" x14ac:dyDescent="0.45">
      <c r="A341">
        <v>340</v>
      </c>
      <c r="B341" t="s">
        <v>15298</v>
      </c>
      <c r="C341" t="str">
        <f t="shared" si="61"/>
        <v>E6_1_1_12_mRNA</v>
      </c>
      <c r="D341" t="str">
        <f t="shared" si="60"/>
        <v>E6_1_1_12</v>
      </c>
      <c r="E341" s="30" t="str">
        <f t="shared" si="62"/>
        <v>E6_1_1_12_kcat : 13.7</v>
      </c>
      <c r="F341" s="31" t="str">
        <f t="shared" si="63"/>
        <v>E6_1_1_12_km : 1</v>
      </c>
      <c r="G341" s="21" t="str">
        <f t="shared" si="64"/>
        <v>E6_1_1_12_mRNA : E6_1_1_12_mRNA</v>
      </c>
      <c r="H341" s="32" t="str">
        <f t="shared" si="65"/>
        <v>E6_1_1_12 : E6_1_1_12</v>
      </c>
      <c r="I341" s="33" t="str">
        <f t="shared" si="66"/>
        <v>E6_1_1_12_mRNA : 0</v>
      </c>
      <c r="J341" s="34" t="str">
        <f t="shared" si="67"/>
        <v>E6_1_1_12 : 0</v>
      </c>
      <c r="K341" s="35" t="str">
        <f t="shared" si="68"/>
        <v>0.00292 - (0.0093 * E6_1_1_12_mRNA)</v>
      </c>
      <c r="L341" s="30" t="str">
        <f t="shared" si="69"/>
        <v>(0.278 * E6_1_1_12_mRNA) - (0.00000278 * E6_1_1_12)</v>
      </c>
      <c r="M341" s="36" t="str">
        <f t="shared" si="70"/>
        <v>mRNA340: -&gt; E6_1_1_12_mRNA | 0.00292 - (0.0093 * E6_1_1_12_mRNA)</v>
      </c>
      <c r="N341" s="21" t="str">
        <f t="shared" si="71"/>
        <v>Peptide340:  E6_1_1_12_mRNA -&gt; E6_1_1_12 | (0.278 * E6_1_1_12_mRNA) - (0.00000278 * E6_1_1_12)</v>
      </c>
    </row>
    <row r="342" spans="1:14" x14ac:dyDescent="0.45">
      <c r="A342">
        <v>341</v>
      </c>
      <c r="B342" t="s">
        <v>15299</v>
      </c>
      <c r="C342" t="str">
        <f t="shared" si="61"/>
        <v>E6_1_1_13_mRNA</v>
      </c>
      <c r="D342" t="str">
        <f t="shared" si="60"/>
        <v>E6_1_1_13</v>
      </c>
      <c r="E342" s="30" t="str">
        <f t="shared" si="62"/>
        <v>E6_1_1_13_kcat : 13.7</v>
      </c>
      <c r="F342" s="31" t="str">
        <f t="shared" si="63"/>
        <v>E6_1_1_13_km : 1</v>
      </c>
      <c r="G342" s="21" t="str">
        <f t="shared" si="64"/>
        <v>E6_1_1_13_mRNA : E6_1_1_13_mRNA</v>
      </c>
      <c r="H342" s="32" t="str">
        <f t="shared" si="65"/>
        <v>E6_1_1_13 : E6_1_1_13</v>
      </c>
      <c r="I342" s="33" t="str">
        <f t="shared" si="66"/>
        <v>E6_1_1_13_mRNA : 0</v>
      </c>
      <c r="J342" s="34" t="str">
        <f t="shared" si="67"/>
        <v>E6_1_1_13 : 0</v>
      </c>
      <c r="K342" s="35" t="str">
        <f t="shared" si="68"/>
        <v>0.00292 - (0.0093 * E6_1_1_13_mRNA)</v>
      </c>
      <c r="L342" s="30" t="str">
        <f t="shared" si="69"/>
        <v>(0.278 * E6_1_1_13_mRNA) - (0.00000278 * E6_1_1_13)</v>
      </c>
      <c r="M342" s="36" t="str">
        <f t="shared" si="70"/>
        <v>mRNA341: -&gt; E6_1_1_13_mRNA | 0.00292 - (0.0093 * E6_1_1_13_mRNA)</v>
      </c>
      <c r="N342" s="21" t="str">
        <f t="shared" si="71"/>
        <v>Peptide341:  E6_1_1_13_mRNA -&gt; E6_1_1_13 | (0.278 * E6_1_1_13_mRNA) - (0.00000278 * E6_1_1_13)</v>
      </c>
    </row>
    <row r="343" spans="1:14" x14ac:dyDescent="0.45">
      <c r="A343">
        <v>342</v>
      </c>
      <c r="B343" t="s">
        <v>15300</v>
      </c>
      <c r="C343" t="str">
        <f t="shared" si="61"/>
        <v>E6_1_1_14_mRNA</v>
      </c>
      <c r="D343" t="str">
        <f t="shared" si="60"/>
        <v>E6_1_1_14</v>
      </c>
      <c r="E343" s="30" t="str">
        <f t="shared" si="62"/>
        <v>E6_1_1_14_kcat : 13.7</v>
      </c>
      <c r="F343" s="31" t="str">
        <f t="shared" si="63"/>
        <v>E6_1_1_14_km : 1</v>
      </c>
      <c r="G343" s="21" t="str">
        <f t="shared" si="64"/>
        <v>E6_1_1_14_mRNA : E6_1_1_14_mRNA</v>
      </c>
      <c r="H343" s="32" t="str">
        <f t="shared" si="65"/>
        <v>E6_1_1_14 : E6_1_1_14</v>
      </c>
      <c r="I343" s="33" t="str">
        <f t="shared" si="66"/>
        <v>E6_1_1_14_mRNA : 0</v>
      </c>
      <c r="J343" s="34" t="str">
        <f t="shared" si="67"/>
        <v>E6_1_1_14 : 0</v>
      </c>
      <c r="K343" s="35" t="str">
        <f t="shared" si="68"/>
        <v>0.00292 - (0.0093 * E6_1_1_14_mRNA)</v>
      </c>
      <c r="L343" s="30" t="str">
        <f t="shared" si="69"/>
        <v>(0.278 * E6_1_1_14_mRNA) - (0.00000278 * E6_1_1_14)</v>
      </c>
      <c r="M343" s="36" t="str">
        <f t="shared" si="70"/>
        <v>mRNA342: -&gt; E6_1_1_14_mRNA | 0.00292 - (0.0093 * E6_1_1_14_mRNA)</v>
      </c>
      <c r="N343" s="21" t="str">
        <f t="shared" si="71"/>
        <v>Peptide342:  E6_1_1_14_mRNA -&gt; E6_1_1_14 | (0.278 * E6_1_1_14_mRNA) - (0.00000278 * E6_1_1_14)</v>
      </c>
    </row>
    <row r="344" spans="1:14" x14ac:dyDescent="0.45">
      <c r="A344">
        <v>343</v>
      </c>
      <c r="B344" t="s">
        <v>15301</v>
      </c>
      <c r="C344" t="str">
        <f t="shared" si="61"/>
        <v>E6_1_1_15_mRNA</v>
      </c>
      <c r="D344" t="str">
        <f t="shared" si="60"/>
        <v>E6_1_1_15</v>
      </c>
      <c r="E344" s="30" t="str">
        <f t="shared" si="62"/>
        <v>E6_1_1_15_kcat : 13.7</v>
      </c>
      <c r="F344" s="31" t="str">
        <f t="shared" si="63"/>
        <v>E6_1_1_15_km : 1</v>
      </c>
      <c r="G344" s="21" t="str">
        <f t="shared" si="64"/>
        <v>E6_1_1_15_mRNA : E6_1_1_15_mRNA</v>
      </c>
      <c r="H344" s="32" t="str">
        <f t="shared" si="65"/>
        <v>E6_1_1_15 : E6_1_1_15</v>
      </c>
      <c r="I344" s="33" t="str">
        <f t="shared" si="66"/>
        <v>E6_1_1_15_mRNA : 0</v>
      </c>
      <c r="J344" s="34" t="str">
        <f t="shared" si="67"/>
        <v>E6_1_1_15 : 0</v>
      </c>
      <c r="K344" s="35" t="str">
        <f t="shared" si="68"/>
        <v>0.00292 - (0.0093 * E6_1_1_15_mRNA)</v>
      </c>
      <c r="L344" s="30" t="str">
        <f t="shared" si="69"/>
        <v>(0.278 * E6_1_1_15_mRNA) - (0.00000278 * E6_1_1_15)</v>
      </c>
      <c r="M344" s="36" t="str">
        <f t="shared" si="70"/>
        <v>mRNA343: -&gt; E6_1_1_15_mRNA | 0.00292 - (0.0093 * E6_1_1_15_mRNA)</v>
      </c>
      <c r="N344" s="21" t="str">
        <f t="shared" si="71"/>
        <v>Peptide343:  E6_1_1_15_mRNA -&gt; E6_1_1_15 | (0.278 * E6_1_1_15_mRNA) - (0.00000278 * E6_1_1_15)</v>
      </c>
    </row>
    <row r="345" spans="1:14" x14ac:dyDescent="0.45">
      <c r="A345">
        <v>344</v>
      </c>
      <c r="B345" t="s">
        <v>15302</v>
      </c>
      <c r="C345" t="str">
        <f t="shared" si="61"/>
        <v>E6_1_1_16_mRNA</v>
      </c>
      <c r="D345" t="str">
        <f t="shared" si="60"/>
        <v>E6_1_1_16</v>
      </c>
      <c r="E345" s="30" t="str">
        <f t="shared" si="62"/>
        <v>E6_1_1_16_kcat : 13.7</v>
      </c>
      <c r="F345" s="31" t="str">
        <f t="shared" si="63"/>
        <v>E6_1_1_16_km : 1</v>
      </c>
      <c r="G345" s="21" t="str">
        <f t="shared" si="64"/>
        <v>E6_1_1_16_mRNA : E6_1_1_16_mRNA</v>
      </c>
      <c r="H345" s="32" t="str">
        <f t="shared" si="65"/>
        <v>E6_1_1_16 : E6_1_1_16</v>
      </c>
      <c r="I345" s="33" t="str">
        <f t="shared" si="66"/>
        <v>E6_1_1_16_mRNA : 0</v>
      </c>
      <c r="J345" s="34" t="str">
        <f t="shared" si="67"/>
        <v>E6_1_1_16 : 0</v>
      </c>
      <c r="K345" s="35" t="str">
        <f t="shared" si="68"/>
        <v>0.00292 - (0.0093 * E6_1_1_16_mRNA)</v>
      </c>
      <c r="L345" s="30" t="str">
        <f t="shared" si="69"/>
        <v>(0.278 * E6_1_1_16_mRNA) - (0.00000278 * E6_1_1_16)</v>
      </c>
      <c r="M345" s="36" t="str">
        <f t="shared" si="70"/>
        <v>mRNA344: -&gt; E6_1_1_16_mRNA | 0.00292 - (0.0093 * E6_1_1_16_mRNA)</v>
      </c>
      <c r="N345" s="21" t="str">
        <f t="shared" si="71"/>
        <v>Peptide344:  E6_1_1_16_mRNA -&gt; E6_1_1_16 | (0.278 * E6_1_1_16_mRNA) - (0.00000278 * E6_1_1_16)</v>
      </c>
    </row>
    <row r="346" spans="1:14" x14ac:dyDescent="0.45">
      <c r="A346">
        <v>345</v>
      </c>
      <c r="B346" t="s">
        <v>15303</v>
      </c>
      <c r="C346" t="str">
        <f t="shared" si="61"/>
        <v>E6_1_1_17_mRNA</v>
      </c>
      <c r="D346" t="str">
        <f t="shared" si="60"/>
        <v>E6_1_1_17</v>
      </c>
      <c r="E346" s="30" t="str">
        <f t="shared" si="62"/>
        <v>E6_1_1_17_kcat : 13.7</v>
      </c>
      <c r="F346" s="31" t="str">
        <f t="shared" si="63"/>
        <v>E6_1_1_17_km : 1</v>
      </c>
      <c r="G346" s="21" t="str">
        <f t="shared" si="64"/>
        <v>E6_1_1_17_mRNA : E6_1_1_17_mRNA</v>
      </c>
      <c r="H346" s="32" t="str">
        <f t="shared" si="65"/>
        <v>E6_1_1_17 : E6_1_1_17</v>
      </c>
      <c r="I346" s="33" t="str">
        <f t="shared" si="66"/>
        <v>E6_1_1_17_mRNA : 0</v>
      </c>
      <c r="J346" s="34" t="str">
        <f t="shared" si="67"/>
        <v>E6_1_1_17 : 0</v>
      </c>
      <c r="K346" s="35" t="str">
        <f t="shared" si="68"/>
        <v>0.00292 - (0.0093 * E6_1_1_17_mRNA)</v>
      </c>
      <c r="L346" s="30" t="str">
        <f t="shared" si="69"/>
        <v>(0.278 * E6_1_1_17_mRNA) - (0.00000278 * E6_1_1_17)</v>
      </c>
      <c r="M346" s="36" t="str">
        <f t="shared" si="70"/>
        <v>mRNA345: -&gt; E6_1_1_17_mRNA | 0.00292 - (0.0093 * E6_1_1_17_mRNA)</v>
      </c>
      <c r="N346" s="21" t="str">
        <f t="shared" si="71"/>
        <v>Peptide345:  E6_1_1_17_mRNA -&gt; E6_1_1_17 | (0.278 * E6_1_1_17_mRNA) - (0.00000278 * E6_1_1_17)</v>
      </c>
    </row>
    <row r="347" spans="1:14" x14ac:dyDescent="0.45">
      <c r="A347">
        <v>346</v>
      </c>
      <c r="B347" t="s">
        <v>15304</v>
      </c>
      <c r="C347" t="str">
        <f t="shared" si="61"/>
        <v>E6_1_1_19_mRNA</v>
      </c>
      <c r="D347" t="str">
        <f t="shared" si="60"/>
        <v>E6_1_1_19</v>
      </c>
      <c r="E347" s="30" t="str">
        <f t="shared" si="62"/>
        <v>E6_1_1_19_kcat : 13.7</v>
      </c>
      <c r="F347" s="31" t="str">
        <f t="shared" si="63"/>
        <v>E6_1_1_19_km : 1</v>
      </c>
      <c r="G347" s="21" t="str">
        <f t="shared" si="64"/>
        <v>E6_1_1_19_mRNA : E6_1_1_19_mRNA</v>
      </c>
      <c r="H347" s="32" t="str">
        <f t="shared" si="65"/>
        <v>E6_1_1_19 : E6_1_1_19</v>
      </c>
      <c r="I347" s="33" t="str">
        <f t="shared" si="66"/>
        <v>E6_1_1_19_mRNA : 0</v>
      </c>
      <c r="J347" s="34" t="str">
        <f t="shared" si="67"/>
        <v>E6_1_1_19 : 0</v>
      </c>
      <c r="K347" s="35" t="str">
        <f t="shared" si="68"/>
        <v>0.00292 - (0.0093 * E6_1_1_19_mRNA)</v>
      </c>
      <c r="L347" s="30" t="str">
        <f t="shared" si="69"/>
        <v>(0.278 * E6_1_1_19_mRNA) - (0.00000278 * E6_1_1_19)</v>
      </c>
      <c r="M347" s="36" t="str">
        <f t="shared" si="70"/>
        <v>mRNA346: -&gt; E6_1_1_19_mRNA | 0.00292 - (0.0093 * E6_1_1_19_mRNA)</v>
      </c>
      <c r="N347" s="21" t="str">
        <f t="shared" si="71"/>
        <v>Peptide346:  E6_1_1_19_mRNA -&gt; E6_1_1_19 | (0.278 * E6_1_1_19_mRNA) - (0.00000278 * E6_1_1_19)</v>
      </c>
    </row>
    <row r="348" spans="1:14" x14ac:dyDescent="0.45">
      <c r="A348">
        <v>347</v>
      </c>
      <c r="B348" t="s">
        <v>15305</v>
      </c>
      <c r="C348" t="str">
        <f t="shared" si="61"/>
        <v>E6_1_1_2_mRNA</v>
      </c>
      <c r="D348" t="str">
        <f t="shared" si="60"/>
        <v>E6_1_1_2</v>
      </c>
      <c r="E348" s="30" t="str">
        <f t="shared" si="62"/>
        <v>E6_1_1_2_kcat : 13.7</v>
      </c>
      <c r="F348" s="31" t="str">
        <f t="shared" si="63"/>
        <v>E6_1_1_2_km : 1</v>
      </c>
      <c r="G348" s="21" t="str">
        <f t="shared" si="64"/>
        <v>E6_1_1_2_mRNA : E6_1_1_2_mRNA</v>
      </c>
      <c r="H348" s="32" t="str">
        <f t="shared" si="65"/>
        <v>E6_1_1_2 : E6_1_1_2</v>
      </c>
      <c r="I348" s="33" t="str">
        <f t="shared" si="66"/>
        <v>E6_1_1_2_mRNA : 0</v>
      </c>
      <c r="J348" s="34" t="str">
        <f t="shared" si="67"/>
        <v>E6_1_1_2 : 0</v>
      </c>
      <c r="K348" s="35" t="str">
        <f t="shared" si="68"/>
        <v>0.00292 - (0.0093 * E6_1_1_2_mRNA)</v>
      </c>
      <c r="L348" s="30" t="str">
        <f t="shared" si="69"/>
        <v>(0.278 * E6_1_1_2_mRNA) - (0.00000278 * E6_1_1_2)</v>
      </c>
      <c r="M348" s="36" t="str">
        <f t="shared" si="70"/>
        <v>mRNA347: -&gt; E6_1_1_2_mRNA | 0.00292 - (0.0093 * E6_1_1_2_mRNA)</v>
      </c>
      <c r="N348" s="21" t="str">
        <f t="shared" si="71"/>
        <v>Peptide347:  E6_1_1_2_mRNA -&gt; E6_1_1_2 | (0.278 * E6_1_1_2_mRNA) - (0.00000278 * E6_1_1_2)</v>
      </c>
    </row>
    <row r="349" spans="1:14" x14ac:dyDescent="0.45">
      <c r="A349">
        <v>348</v>
      </c>
      <c r="B349" t="s">
        <v>15306</v>
      </c>
      <c r="C349" t="str">
        <f t="shared" si="61"/>
        <v>E6_1_1_20_mRNA</v>
      </c>
      <c r="D349" t="str">
        <f t="shared" si="60"/>
        <v>E6_1_1_20</v>
      </c>
      <c r="E349" s="30" t="str">
        <f t="shared" si="62"/>
        <v>E6_1_1_20_kcat : 13.7</v>
      </c>
      <c r="F349" s="31" t="str">
        <f t="shared" si="63"/>
        <v>E6_1_1_20_km : 1</v>
      </c>
      <c r="G349" s="21" t="str">
        <f t="shared" si="64"/>
        <v>E6_1_1_20_mRNA : E6_1_1_20_mRNA</v>
      </c>
      <c r="H349" s="32" t="str">
        <f t="shared" si="65"/>
        <v>E6_1_1_20 : E6_1_1_20</v>
      </c>
      <c r="I349" s="33" t="str">
        <f t="shared" si="66"/>
        <v>E6_1_1_20_mRNA : 0</v>
      </c>
      <c r="J349" s="34" t="str">
        <f t="shared" si="67"/>
        <v>E6_1_1_20 : 0</v>
      </c>
      <c r="K349" s="35" t="str">
        <f t="shared" si="68"/>
        <v>0.00292 - (0.0093 * E6_1_1_20_mRNA)</v>
      </c>
      <c r="L349" s="30" t="str">
        <f t="shared" si="69"/>
        <v>(0.278 * E6_1_1_20_mRNA) - (0.00000278 * E6_1_1_20)</v>
      </c>
      <c r="M349" s="36" t="str">
        <f t="shared" si="70"/>
        <v>mRNA348: -&gt; E6_1_1_20_mRNA | 0.00292 - (0.0093 * E6_1_1_20_mRNA)</v>
      </c>
      <c r="N349" s="21" t="str">
        <f t="shared" si="71"/>
        <v>Peptide348:  E6_1_1_20_mRNA -&gt; E6_1_1_20 | (0.278 * E6_1_1_20_mRNA) - (0.00000278 * E6_1_1_20)</v>
      </c>
    </row>
    <row r="350" spans="1:14" x14ac:dyDescent="0.45">
      <c r="A350">
        <v>349</v>
      </c>
      <c r="B350" t="s">
        <v>15307</v>
      </c>
      <c r="C350" t="str">
        <f t="shared" si="61"/>
        <v>E6_1_1_21_mRNA</v>
      </c>
      <c r="D350" t="str">
        <f t="shared" si="60"/>
        <v>E6_1_1_21</v>
      </c>
      <c r="E350" s="30" t="str">
        <f t="shared" si="62"/>
        <v>E6_1_1_21_kcat : 13.7</v>
      </c>
      <c r="F350" s="31" t="str">
        <f t="shared" si="63"/>
        <v>E6_1_1_21_km : 1</v>
      </c>
      <c r="G350" s="21" t="str">
        <f t="shared" si="64"/>
        <v>E6_1_1_21_mRNA : E6_1_1_21_mRNA</v>
      </c>
      <c r="H350" s="32" t="str">
        <f t="shared" si="65"/>
        <v>E6_1_1_21 : E6_1_1_21</v>
      </c>
      <c r="I350" s="33" t="str">
        <f t="shared" si="66"/>
        <v>E6_1_1_21_mRNA : 0</v>
      </c>
      <c r="J350" s="34" t="str">
        <f t="shared" si="67"/>
        <v>E6_1_1_21 : 0</v>
      </c>
      <c r="K350" s="35" t="str">
        <f t="shared" si="68"/>
        <v>0.00292 - (0.0093 * E6_1_1_21_mRNA)</v>
      </c>
      <c r="L350" s="30" t="str">
        <f t="shared" si="69"/>
        <v>(0.278 * E6_1_1_21_mRNA) - (0.00000278 * E6_1_1_21)</v>
      </c>
      <c r="M350" s="36" t="str">
        <f t="shared" si="70"/>
        <v>mRNA349: -&gt; E6_1_1_21_mRNA | 0.00292 - (0.0093 * E6_1_1_21_mRNA)</v>
      </c>
      <c r="N350" s="21" t="str">
        <f t="shared" si="71"/>
        <v>Peptide349:  E6_1_1_21_mRNA -&gt; E6_1_1_21 | (0.278 * E6_1_1_21_mRNA) - (0.00000278 * E6_1_1_21)</v>
      </c>
    </row>
    <row r="351" spans="1:14" x14ac:dyDescent="0.45">
      <c r="A351">
        <v>350</v>
      </c>
      <c r="B351" t="s">
        <v>15308</v>
      </c>
      <c r="C351" t="str">
        <f t="shared" si="61"/>
        <v>E6_1_1_22_mRNA</v>
      </c>
      <c r="D351" t="str">
        <f t="shared" si="60"/>
        <v>E6_1_1_22</v>
      </c>
      <c r="E351" s="30" t="str">
        <f t="shared" si="62"/>
        <v>E6_1_1_22_kcat : 13.7</v>
      </c>
      <c r="F351" s="31" t="str">
        <f t="shared" si="63"/>
        <v>E6_1_1_22_km : 1</v>
      </c>
      <c r="G351" s="21" t="str">
        <f t="shared" si="64"/>
        <v>E6_1_1_22_mRNA : E6_1_1_22_mRNA</v>
      </c>
      <c r="H351" s="32" t="str">
        <f t="shared" si="65"/>
        <v>E6_1_1_22 : E6_1_1_22</v>
      </c>
      <c r="I351" s="33" t="str">
        <f t="shared" si="66"/>
        <v>E6_1_1_22_mRNA : 0</v>
      </c>
      <c r="J351" s="34" t="str">
        <f t="shared" si="67"/>
        <v>E6_1_1_22 : 0</v>
      </c>
      <c r="K351" s="35" t="str">
        <f t="shared" si="68"/>
        <v>0.00292 - (0.0093 * E6_1_1_22_mRNA)</v>
      </c>
      <c r="L351" s="30" t="str">
        <f t="shared" si="69"/>
        <v>(0.278 * E6_1_1_22_mRNA) - (0.00000278 * E6_1_1_22)</v>
      </c>
      <c r="M351" s="36" t="str">
        <f t="shared" si="70"/>
        <v>mRNA350: -&gt; E6_1_1_22_mRNA | 0.00292 - (0.0093 * E6_1_1_22_mRNA)</v>
      </c>
      <c r="N351" s="21" t="str">
        <f t="shared" si="71"/>
        <v>Peptide350:  E6_1_1_22_mRNA -&gt; E6_1_1_22 | (0.278 * E6_1_1_22_mRNA) - (0.00000278 * E6_1_1_22)</v>
      </c>
    </row>
    <row r="352" spans="1:14" x14ac:dyDescent="0.45">
      <c r="A352">
        <v>351</v>
      </c>
      <c r="B352" t="s">
        <v>15309</v>
      </c>
      <c r="C352" t="str">
        <f t="shared" si="61"/>
        <v>E6_1_1_3_mRNA</v>
      </c>
      <c r="D352" t="str">
        <f t="shared" si="60"/>
        <v>E6_1_1_3</v>
      </c>
      <c r="E352" s="30" t="str">
        <f t="shared" si="62"/>
        <v>E6_1_1_3_kcat : 13.7</v>
      </c>
      <c r="F352" s="31" t="str">
        <f t="shared" si="63"/>
        <v>E6_1_1_3_km : 1</v>
      </c>
      <c r="G352" s="21" t="str">
        <f t="shared" si="64"/>
        <v>E6_1_1_3_mRNA : E6_1_1_3_mRNA</v>
      </c>
      <c r="H352" s="32" t="str">
        <f t="shared" si="65"/>
        <v>E6_1_1_3 : E6_1_1_3</v>
      </c>
      <c r="I352" s="33" t="str">
        <f t="shared" si="66"/>
        <v>E6_1_1_3_mRNA : 0</v>
      </c>
      <c r="J352" s="34" t="str">
        <f t="shared" si="67"/>
        <v>E6_1_1_3 : 0</v>
      </c>
      <c r="K352" s="35" t="str">
        <f t="shared" si="68"/>
        <v>0.00292 - (0.0093 * E6_1_1_3_mRNA)</v>
      </c>
      <c r="L352" s="30" t="str">
        <f t="shared" si="69"/>
        <v>(0.278 * E6_1_1_3_mRNA) - (0.00000278 * E6_1_1_3)</v>
      </c>
      <c r="M352" s="36" t="str">
        <f t="shared" si="70"/>
        <v>mRNA351: -&gt; E6_1_1_3_mRNA | 0.00292 - (0.0093 * E6_1_1_3_mRNA)</v>
      </c>
      <c r="N352" s="21" t="str">
        <f t="shared" si="71"/>
        <v>Peptide351:  E6_1_1_3_mRNA -&gt; E6_1_1_3 | (0.278 * E6_1_1_3_mRNA) - (0.00000278 * E6_1_1_3)</v>
      </c>
    </row>
    <row r="353" spans="1:14" x14ac:dyDescent="0.45">
      <c r="A353">
        <v>352</v>
      </c>
      <c r="B353" t="s">
        <v>15310</v>
      </c>
      <c r="C353" t="str">
        <f t="shared" si="61"/>
        <v>E6_1_1_4_mRNA</v>
      </c>
      <c r="D353" t="str">
        <f t="shared" si="60"/>
        <v>E6_1_1_4</v>
      </c>
      <c r="E353" s="30" t="str">
        <f t="shared" si="62"/>
        <v>E6_1_1_4_kcat : 13.7</v>
      </c>
      <c r="F353" s="31" t="str">
        <f t="shared" si="63"/>
        <v>E6_1_1_4_km : 1</v>
      </c>
      <c r="G353" s="21" t="str">
        <f t="shared" si="64"/>
        <v>E6_1_1_4_mRNA : E6_1_1_4_mRNA</v>
      </c>
      <c r="H353" s="32" t="str">
        <f t="shared" si="65"/>
        <v>E6_1_1_4 : E6_1_1_4</v>
      </c>
      <c r="I353" s="33" t="str">
        <f t="shared" si="66"/>
        <v>E6_1_1_4_mRNA : 0</v>
      </c>
      <c r="J353" s="34" t="str">
        <f t="shared" si="67"/>
        <v>E6_1_1_4 : 0</v>
      </c>
      <c r="K353" s="35" t="str">
        <f t="shared" si="68"/>
        <v>0.00292 - (0.0093 * E6_1_1_4_mRNA)</v>
      </c>
      <c r="L353" s="30" t="str">
        <f t="shared" si="69"/>
        <v>(0.278 * E6_1_1_4_mRNA) - (0.00000278 * E6_1_1_4)</v>
      </c>
      <c r="M353" s="36" t="str">
        <f t="shared" si="70"/>
        <v>mRNA352: -&gt; E6_1_1_4_mRNA | 0.00292 - (0.0093 * E6_1_1_4_mRNA)</v>
      </c>
      <c r="N353" s="21" t="str">
        <f t="shared" si="71"/>
        <v>Peptide352:  E6_1_1_4_mRNA -&gt; E6_1_1_4 | (0.278 * E6_1_1_4_mRNA) - (0.00000278 * E6_1_1_4)</v>
      </c>
    </row>
    <row r="354" spans="1:14" x14ac:dyDescent="0.45">
      <c r="A354">
        <v>353</v>
      </c>
      <c r="B354" t="s">
        <v>15311</v>
      </c>
      <c r="C354" t="str">
        <f t="shared" si="61"/>
        <v>E6_1_1_5_mRNA</v>
      </c>
      <c r="D354" t="str">
        <f t="shared" si="60"/>
        <v>E6_1_1_5</v>
      </c>
      <c r="E354" s="30" t="str">
        <f t="shared" si="62"/>
        <v>E6_1_1_5_kcat : 13.7</v>
      </c>
      <c r="F354" s="31" t="str">
        <f t="shared" si="63"/>
        <v>E6_1_1_5_km : 1</v>
      </c>
      <c r="G354" s="21" t="str">
        <f t="shared" si="64"/>
        <v>E6_1_1_5_mRNA : E6_1_1_5_mRNA</v>
      </c>
      <c r="H354" s="32" t="str">
        <f t="shared" si="65"/>
        <v>E6_1_1_5 : E6_1_1_5</v>
      </c>
      <c r="I354" s="33" t="str">
        <f t="shared" si="66"/>
        <v>E6_1_1_5_mRNA : 0</v>
      </c>
      <c r="J354" s="34" t="str">
        <f t="shared" si="67"/>
        <v>E6_1_1_5 : 0</v>
      </c>
      <c r="K354" s="35" t="str">
        <f t="shared" si="68"/>
        <v>0.00292 - (0.0093 * E6_1_1_5_mRNA)</v>
      </c>
      <c r="L354" s="30" t="str">
        <f t="shared" si="69"/>
        <v>(0.278 * E6_1_1_5_mRNA) - (0.00000278 * E6_1_1_5)</v>
      </c>
      <c r="M354" s="36" t="str">
        <f t="shared" si="70"/>
        <v>mRNA353: -&gt; E6_1_1_5_mRNA | 0.00292 - (0.0093 * E6_1_1_5_mRNA)</v>
      </c>
      <c r="N354" s="21" t="str">
        <f t="shared" si="71"/>
        <v>Peptide353:  E6_1_1_5_mRNA -&gt; E6_1_1_5 | (0.278 * E6_1_1_5_mRNA) - (0.00000278 * E6_1_1_5)</v>
      </c>
    </row>
    <row r="355" spans="1:14" x14ac:dyDescent="0.45">
      <c r="A355">
        <v>354</v>
      </c>
      <c r="B355" t="s">
        <v>15312</v>
      </c>
      <c r="C355" t="str">
        <f t="shared" si="61"/>
        <v>E6_1_1_6_mRNA</v>
      </c>
      <c r="D355" t="str">
        <f t="shared" si="60"/>
        <v>E6_1_1_6</v>
      </c>
      <c r="E355" s="30" t="str">
        <f t="shared" si="62"/>
        <v>E6_1_1_6_kcat : 13.7</v>
      </c>
      <c r="F355" s="31" t="str">
        <f t="shared" si="63"/>
        <v>E6_1_1_6_km : 1</v>
      </c>
      <c r="G355" s="21" t="str">
        <f t="shared" si="64"/>
        <v>E6_1_1_6_mRNA : E6_1_1_6_mRNA</v>
      </c>
      <c r="H355" s="32" t="str">
        <f t="shared" si="65"/>
        <v>E6_1_1_6 : E6_1_1_6</v>
      </c>
      <c r="I355" s="33" t="str">
        <f t="shared" si="66"/>
        <v>E6_1_1_6_mRNA : 0</v>
      </c>
      <c r="J355" s="34" t="str">
        <f t="shared" si="67"/>
        <v>E6_1_1_6 : 0</v>
      </c>
      <c r="K355" s="35" t="str">
        <f t="shared" si="68"/>
        <v>0.00292 - (0.0093 * E6_1_1_6_mRNA)</v>
      </c>
      <c r="L355" s="30" t="str">
        <f t="shared" si="69"/>
        <v>(0.278 * E6_1_1_6_mRNA) - (0.00000278 * E6_1_1_6)</v>
      </c>
      <c r="M355" s="36" t="str">
        <f t="shared" si="70"/>
        <v>mRNA354: -&gt; E6_1_1_6_mRNA | 0.00292 - (0.0093 * E6_1_1_6_mRNA)</v>
      </c>
      <c r="N355" s="21" t="str">
        <f t="shared" si="71"/>
        <v>Peptide354:  E6_1_1_6_mRNA -&gt; E6_1_1_6 | (0.278 * E6_1_1_6_mRNA) - (0.00000278 * E6_1_1_6)</v>
      </c>
    </row>
    <row r="356" spans="1:14" x14ac:dyDescent="0.45">
      <c r="A356">
        <v>355</v>
      </c>
      <c r="B356" t="s">
        <v>15313</v>
      </c>
      <c r="C356" t="str">
        <f t="shared" si="61"/>
        <v>E6_1_1_7_mRNA</v>
      </c>
      <c r="D356" t="str">
        <f t="shared" si="60"/>
        <v>E6_1_1_7</v>
      </c>
      <c r="E356" s="30" t="str">
        <f t="shared" si="62"/>
        <v>E6_1_1_7_kcat : 13.7</v>
      </c>
      <c r="F356" s="31" t="str">
        <f t="shared" si="63"/>
        <v>E6_1_1_7_km : 1</v>
      </c>
      <c r="G356" s="21" t="str">
        <f t="shared" si="64"/>
        <v>E6_1_1_7_mRNA : E6_1_1_7_mRNA</v>
      </c>
      <c r="H356" s="32" t="str">
        <f t="shared" si="65"/>
        <v>E6_1_1_7 : E6_1_1_7</v>
      </c>
      <c r="I356" s="33" t="str">
        <f t="shared" si="66"/>
        <v>E6_1_1_7_mRNA : 0</v>
      </c>
      <c r="J356" s="34" t="str">
        <f t="shared" si="67"/>
        <v>E6_1_1_7 : 0</v>
      </c>
      <c r="K356" s="35" t="str">
        <f t="shared" si="68"/>
        <v>0.00292 - (0.0093 * E6_1_1_7_mRNA)</v>
      </c>
      <c r="L356" s="30" t="str">
        <f t="shared" si="69"/>
        <v>(0.278 * E6_1_1_7_mRNA) - (0.00000278 * E6_1_1_7)</v>
      </c>
      <c r="M356" s="36" t="str">
        <f t="shared" si="70"/>
        <v>mRNA355: -&gt; E6_1_1_7_mRNA | 0.00292 - (0.0093 * E6_1_1_7_mRNA)</v>
      </c>
      <c r="N356" s="21" t="str">
        <f t="shared" si="71"/>
        <v>Peptide355:  E6_1_1_7_mRNA -&gt; E6_1_1_7 | (0.278 * E6_1_1_7_mRNA) - (0.00000278 * E6_1_1_7)</v>
      </c>
    </row>
    <row r="357" spans="1:14" x14ac:dyDescent="0.45">
      <c r="A357">
        <v>356</v>
      </c>
      <c r="B357" t="s">
        <v>15314</v>
      </c>
      <c r="C357" t="str">
        <f t="shared" si="61"/>
        <v>E6_1_1_9_mRNA</v>
      </c>
      <c r="D357" t="str">
        <f t="shared" si="60"/>
        <v>E6_1_1_9</v>
      </c>
      <c r="E357" s="30" t="str">
        <f t="shared" si="62"/>
        <v>E6_1_1_9_kcat : 13.7</v>
      </c>
      <c r="F357" s="31" t="str">
        <f t="shared" si="63"/>
        <v>E6_1_1_9_km : 1</v>
      </c>
      <c r="G357" s="21" t="str">
        <f t="shared" si="64"/>
        <v>E6_1_1_9_mRNA : E6_1_1_9_mRNA</v>
      </c>
      <c r="H357" s="32" t="str">
        <f t="shared" si="65"/>
        <v>E6_1_1_9 : E6_1_1_9</v>
      </c>
      <c r="I357" s="33" t="str">
        <f t="shared" si="66"/>
        <v>E6_1_1_9_mRNA : 0</v>
      </c>
      <c r="J357" s="34" t="str">
        <f t="shared" si="67"/>
        <v>E6_1_1_9 : 0</v>
      </c>
      <c r="K357" s="35" t="str">
        <f t="shared" si="68"/>
        <v>0.00292 - (0.0093 * E6_1_1_9_mRNA)</v>
      </c>
      <c r="L357" s="30" t="str">
        <f t="shared" si="69"/>
        <v>(0.278 * E6_1_1_9_mRNA) - (0.00000278 * E6_1_1_9)</v>
      </c>
      <c r="M357" s="36" t="str">
        <f t="shared" si="70"/>
        <v>mRNA356: -&gt; E6_1_1_9_mRNA | 0.00292 - (0.0093 * E6_1_1_9_mRNA)</v>
      </c>
      <c r="N357" s="21" t="str">
        <f t="shared" si="71"/>
        <v>Peptide356:  E6_1_1_9_mRNA -&gt; E6_1_1_9 | (0.278 * E6_1_1_9_mRNA) - (0.00000278 * E6_1_1_9)</v>
      </c>
    </row>
    <row r="358" spans="1:14" x14ac:dyDescent="0.45">
      <c r="A358">
        <v>357</v>
      </c>
      <c r="B358" t="s">
        <v>15315</v>
      </c>
      <c r="C358" t="str">
        <f t="shared" si="61"/>
        <v>E6_3_1_1_mRNA</v>
      </c>
      <c r="D358" t="str">
        <f t="shared" si="60"/>
        <v>E6_3_1_1</v>
      </c>
      <c r="E358" s="30" t="str">
        <f t="shared" si="62"/>
        <v>E6_3_1_1_kcat : 13.7</v>
      </c>
      <c r="F358" s="31" t="str">
        <f t="shared" si="63"/>
        <v>E6_3_1_1_km : 1</v>
      </c>
      <c r="G358" s="21" t="str">
        <f t="shared" si="64"/>
        <v>E6_3_1_1_mRNA : E6_3_1_1_mRNA</v>
      </c>
      <c r="H358" s="32" t="str">
        <f t="shared" si="65"/>
        <v>E6_3_1_1 : E6_3_1_1</v>
      </c>
      <c r="I358" s="33" t="str">
        <f t="shared" si="66"/>
        <v>E6_3_1_1_mRNA : 0</v>
      </c>
      <c r="J358" s="34" t="str">
        <f t="shared" si="67"/>
        <v>E6_3_1_1 : 0</v>
      </c>
      <c r="K358" s="35" t="str">
        <f t="shared" si="68"/>
        <v>0.00292 - (0.0093 * E6_3_1_1_mRNA)</v>
      </c>
      <c r="L358" s="30" t="str">
        <f t="shared" si="69"/>
        <v>(0.278 * E6_3_1_1_mRNA) - (0.00000278 * E6_3_1_1)</v>
      </c>
      <c r="M358" s="36" t="str">
        <f t="shared" si="70"/>
        <v>mRNA357: -&gt; E6_3_1_1_mRNA | 0.00292 - (0.0093 * E6_3_1_1_mRNA)</v>
      </c>
      <c r="N358" s="21" t="str">
        <f t="shared" si="71"/>
        <v>Peptide357:  E6_3_1_1_mRNA -&gt; E6_3_1_1 | (0.278 * E6_3_1_1_mRNA) - (0.00000278 * E6_3_1_1)</v>
      </c>
    </row>
    <row r="359" spans="1:14" x14ac:dyDescent="0.45">
      <c r="A359">
        <v>358</v>
      </c>
      <c r="B359" t="s">
        <v>15316</v>
      </c>
      <c r="C359" t="str">
        <f t="shared" si="61"/>
        <v>E6_3_1_2_mRNA</v>
      </c>
      <c r="D359" t="str">
        <f t="shared" si="60"/>
        <v>E6_3_1_2</v>
      </c>
      <c r="E359" s="30" t="str">
        <f t="shared" si="62"/>
        <v>E6_3_1_2_kcat : 13.7</v>
      </c>
      <c r="F359" s="31" t="str">
        <f t="shared" si="63"/>
        <v>E6_3_1_2_km : 1</v>
      </c>
      <c r="G359" s="21" t="str">
        <f t="shared" si="64"/>
        <v>E6_3_1_2_mRNA : E6_3_1_2_mRNA</v>
      </c>
      <c r="H359" s="32" t="str">
        <f t="shared" si="65"/>
        <v>E6_3_1_2 : E6_3_1_2</v>
      </c>
      <c r="I359" s="33" t="str">
        <f t="shared" si="66"/>
        <v>E6_3_1_2_mRNA : 0</v>
      </c>
      <c r="J359" s="34" t="str">
        <f t="shared" si="67"/>
        <v>E6_3_1_2 : 0</v>
      </c>
      <c r="K359" s="35" t="str">
        <f t="shared" si="68"/>
        <v>0.00292 - (0.0093 * E6_3_1_2_mRNA)</v>
      </c>
      <c r="L359" s="30" t="str">
        <f t="shared" si="69"/>
        <v>(0.278 * E6_3_1_2_mRNA) - (0.00000278 * E6_3_1_2)</v>
      </c>
      <c r="M359" s="36" t="str">
        <f t="shared" si="70"/>
        <v>mRNA358: -&gt; E6_3_1_2_mRNA | 0.00292 - (0.0093 * E6_3_1_2_mRNA)</v>
      </c>
      <c r="N359" s="21" t="str">
        <f t="shared" si="71"/>
        <v>Peptide358:  E6_3_1_2_mRNA -&gt; E6_3_1_2 | (0.278 * E6_3_1_2_mRNA) - (0.00000278 * E6_3_1_2)</v>
      </c>
    </row>
    <row r="360" spans="1:14" x14ac:dyDescent="0.45">
      <c r="A360">
        <v>359</v>
      </c>
      <c r="B360" t="s">
        <v>15317</v>
      </c>
      <c r="C360" t="str">
        <f t="shared" si="61"/>
        <v>E6_3_1_5_mRNA</v>
      </c>
      <c r="D360" t="str">
        <f t="shared" si="60"/>
        <v>E6_3_1_5</v>
      </c>
      <c r="E360" s="30" t="str">
        <f t="shared" si="62"/>
        <v>E6_3_1_5_kcat : 13.7</v>
      </c>
      <c r="F360" s="31" t="str">
        <f t="shared" si="63"/>
        <v>E6_3_1_5_km : 1</v>
      </c>
      <c r="G360" s="21" t="str">
        <f t="shared" si="64"/>
        <v>E6_3_1_5_mRNA : E6_3_1_5_mRNA</v>
      </c>
      <c r="H360" s="32" t="str">
        <f t="shared" si="65"/>
        <v>E6_3_1_5 : E6_3_1_5</v>
      </c>
      <c r="I360" s="33" t="str">
        <f t="shared" si="66"/>
        <v>E6_3_1_5_mRNA : 0</v>
      </c>
      <c r="J360" s="34" t="str">
        <f t="shared" si="67"/>
        <v>E6_3_1_5 : 0</v>
      </c>
      <c r="K360" s="35" t="str">
        <f t="shared" si="68"/>
        <v>0.00292 - (0.0093 * E6_3_1_5_mRNA)</v>
      </c>
      <c r="L360" s="30" t="str">
        <f t="shared" si="69"/>
        <v>(0.278 * E6_3_1_5_mRNA) - (0.00000278 * E6_3_1_5)</v>
      </c>
      <c r="M360" s="36" t="str">
        <f t="shared" si="70"/>
        <v>mRNA359: -&gt; E6_3_1_5_mRNA | 0.00292 - (0.0093 * E6_3_1_5_mRNA)</v>
      </c>
      <c r="N360" s="21" t="str">
        <f t="shared" si="71"/>
        <v>Peptide359:  E6_3_1_5_mRNA -&gt; E6_3_1_5 | (0.278 * E6_3_1_5_mRNA) - (0.00000278 * E6_3_1_5)</v>
      </c>
    </row>
    <row r="361" spans="1:14" x14ac:dyDescent="0.45">
      <c r="A361">
        <v>360</v>
      </c>
      <c r="B361" t="s">
        <v>15318</v>
      </c>
      <c r="C361" t="str">
        <f t="shared" si="61"/>
        <v>E6_3_2_1_mRNA</v>
      </c>
      <c r="D361" t="str">
        <f t="shared" si="60"/>
        <v>E6_3_2_1</v>
      </c>
      <c r="E361" s="30" t="str">
        <f t="shared" si="62"/>
        <v>E6_3_2_1_kcat : 13.7</v>
      </c>
      <c r="F361" s="31" t="str">
        <f t="shared" si="63"/>
        <v>E6_3_2_1_km : 1</v>
      </c>
      <c r="G361" s="21" t="str">
        <f t="shared" si="64"/>
        <v>E6_3_2_1_mRNA : E6_3_2_1_mRNA</v>
      </c>
      <c r="H361" s="32" t="str">
        <f t="shared" si="65"/>
        <v>E6_3_2_1 : E6_3_2_1</v>
      </c>
      <c r="I361" s="33" t="str">
        <f t="shared" si="66"/>
        <v>E6_3_2_1_mRNA : 0</v>
      </c>
      <c r="J361" s="34" t="str">
        <f t="shared" si="67"/>
        <v>E6_3_2_1 : 0</v>
      </c>
      <c r="K361" s="35" t="str">
        <f t="shared" si="68"/>
        <v>0.00292 - (0.0093 * E6_3_2_1_mRNA)</v>
      </c>
      <c r="L361" s="30" t="str">
        <f t="shared" si="69"/>
        <v>(0.278 * E6_3_2_1_mRNA) - (0.00000278 * E6_3_2_1)</v>
      </c>
      <c r="M361" s="36" t="str">
        <f t="shared" si="70"/>
        <v>mRNA360: -&gt; E6_3_2_1_mRNA | 0.00292 - (0.0093 * E6_3_2_1_mRNA)</v>
      </c>
      <c r="N361" s="21" t="str">
        <f t="shared" si="71"/>
        <v>Peptide360:  E6_3_2_1_mRNA -&gt; E6_3_2_1 | (0.278 * E6_3_2_1_mRNA) - (0.00000278 * E6_3_2_1)</v>
      </c>
    </row>
    <row r="362" spans="1:14" x14ac:dyDescent="0.45">
      <c r="A362">
        <v>361</v>
      </c>
      <c r="B362" t="s">
        <v>15319</v>
      </c>
      <c r="C362" t="str">
        <f t="shared" si="61"/>
        <v>E6_3_2_10_mRNA</v>
      </c>
      <c r="D362" t="str">
        <f t="shared" si="60"/>
        <v>E6_3_2_10</v>
      </c>
      <c r="E362" s="30" t="str">
        <f t="shared" si="62"/>
        <v>E6_3_2_10_kcat : 13.7</v>
      </c>
      <c r="F362" s="31" t="str">
        <f t="shared" si="63"/>
        <v>E6_3_2_10_km : 1</v>
      </c>
      <c r="G362" s="21" t="str">
        <f t="shared" si="64"/>
        <v>E6_3_2_10_mRNA : E6_3_2_10_mRNA</v>
      </c>
      <c r="H362" s="32" t="str">
        <f t="shared" si="65"/>
        <v>E6_3_2_10 : E6_3_2_10</v>
      </c>
      <c r="I362" s="33" t="str">
        <f t="shared" si="66"/>
        <v>E6_3_2_10_mRNA : 0</v>
      </c>
      <c r="J362" s="34" t="str">
        <f t="shared" si="67"/>
        <v>E6_3_2_10 : 0</v>
      </c>
      <c r="K362" s="35" t="str">
        <f t="shared" si="68"/>
        <v>0.00292 - (0.0093 * E6_3_2_10_mRNA)</v>
      </c>
      <c r="L362" s="30" t="str">
        <f t="shared" si="69"/>
        <v>(0.278 * E6_3_2_10_mRNA) - (0.00000278 * E6_3_2_10)</v>
      </c>
      <c r="M362" s="36" t="str">
        <f t="shared" si="70"/>
        <v>mRNA361: -&gt; E6_3_2_10_mRNA | 0.00292 - (0.0093 * E6_3_2_10_mRNA)</v>
      </c>
      <c r="N362" s="21" t="str">
        <f t="shared" si="71"/>
        <v>Peptide361:  E6_3_2_10_mRNA -&gt; E6_3_2_10 | (0.278 * E6_3_2_10_mRNA) - (0.00000278 * E6_3_2_10)</v>
      </c>
    </row>
    <row r="363" spans="1:14" x14ac:dyDescent="0.45">
      <c r="A363">
        <v>362</v>
      </c>
      <c r="B363" t="s">
        <v>15320</v>
      </c>
      <c r="C363" t="str">
        <f t="shared" si="61"/>
        <v>E6_3_2_13_mRNA</v>
      </c>
      <c r="D363" t="str">
        <f t="shared" si="60"/>
        <v>E6_3_2_13</v>
      </c>
      <c r="E363" s="30" t="str">
        <f t="shared" si="62"/>
        <v>E6_3_2_13_kcat : 13.7</v>
      </c>
      <c r="F363" s="31" t="str">
        <f t="shared" si="63"/>
        <v>E6_3_2_13_km : 1</v>
      </c>
      <c r="G363" s="21" t="str">
        <f t="shared" si="64"/>
        <v>E6_3_2_13_mRNA : E6_3_2_13_mRNA</v>
      </c>
      <c r="H363" s="32" t="str">
        <f t="shared" si="65"/>
        <v>E6_3_2_13 : E6_3_2_13</v>
      </c>
      <c r="I363" s="33" t="str">
        <f t="shared" si="66"/>
        <v>E6_3_2_13_mRNA : 0</v>
      </c>
      <c r="J363" s="34" t="str">
        <f t="shared" si="67"/>
        <v>E6_3_2_13 : 0</v>
      </c>
      <c r="K363" s="35" t="str">
        <f t="shared" si="68"/>
        <v>0.00292 - (0.0093 * E6_3_2_13_mRNA)</v>
      </c>
      <c r="L363" s="30" t="str">
        <f t="shared" si="69"/>
        <v>(0.278 * E6_3_2_13_mRNA) - (0.00000278 * E6_3_2_13)</v>
      </c>
      <c r="M363" s="36" t="str">
        <f t="shared" si="70"/>
        <v>mRNA362: -&gt; E6_3_2_13_mRNA | 0.00292 - (0.0093 * E6_3_2_13_mRNA)</v>
      </c>
      <c r="N363" s="21" t="str">
        <f t="shared" si="71"/>
        <v>Peptide362:  E6_3_2_13_mRNA -&gt; E6_3_2_13 | (0.278 * E6_3_2_13_mRNA) - (0.00000278 * E6_3_2_13)</v>
      </c>
    </row>
    <row r="364" spans="1:14" x14ac:dyDescent="0.45">
      <c r="A364">
        <v>363</v>
      </c>
      <c r="B364" t="s">
        <v>15321</v>
      </c>
      <c r="C364" t="str">
        <f t="shared" si="61"/>
        <v>E6_3_2_35_mRNA</v>
      </c>
      <c r="D364" t="str">
        <f t="shared" si="60"/>
        <v>E6_3_2_35</v>
      </c>
      <c r="E364" s="30" t="str">
        <f t="shared" si="62"/>
        <v>E6_3_2_35_kcat : 13.7</v>
      </c>
      <c r="F364" s="31" t="str">
        <f t="shared" si="63"/>
        <v>E6_3_2_35_km : 1</v>
      </c>
      <c r="G364" s="21" t="str">
        <f t="shared" si="64"/>
        <v>E6_3_2_35_mRNA : E6_3_2_35_mRNA</v>
      </c>
      <c r="H364" s="32" t="str">
        <f t="shared" si="65"/>
        <v>E6_3_2_35 : E6_3_2_35</v>
      </c>
      <c r="I364" s="33" t="str">
        <f t="shared" si="66"/>
        <v>E6_3_2_35_mRNA : 0</v>
      </c>
      <c r="J364" s="34" t="str">
        <f t="shared" si="67"/>
        <v>E6_3_2_35 : 0</v>
      </c>
      <c r="K364" s="35" t="str">
        <f t="shared" si="68"/>
        <v>0.00292 - (0.0093 * E6_3_2_35_mRNA)</v>
      </c>
      <c r="L364" s="30" t="str">
        <f t="shared" si="69"/>
        <v>(0.278 * E6_3_2_35_mRNA) - (0.00000278 * E6_3_2_35)</v>
      </c>
      <c r="M364" s="36" t="str">
        <f t="shared" si="70"/>
        <v>mRNA363: -&gt; E6_3_2_35_mRNA | 0.00292 - (0.0093 * E6_3_2_35_mRNA)</v>
      </c>
      <c r="N364" s="21" t="str">
        <f t="shared" si="71"/>
        <v>Peptide363:  E6_3_2_35_mRNA -&gt; E6_3_2_35 | (0.278 * E6_3_2_35_mRNA) - (0.00000278 * E6_3_2_35)</v>
      </c>
    </row>
    <row r="365" spans="1:14" x14ac:dyDescent="0.45">
      <c r="A365">
        <v>364</v>
      </c>
      <c r="B365" t="s">
        <v>15322</v>
      </c>
      <c r="C365" t="str">
        <f t="shared" si="61"/>
        <v>E6_3_2_4_mRNA</v>
      </c>
      <c r="D365" t="str">
        <f t="shared" si="60"/>
        <v>E6_3_2_4</v>
      </c>
      <c r="E365" s="30" t="str">
        <f t="shared" si="62"/>
        <v>E6_3_2_4_kcat : 13.7</v>
      </c>
      <c r="F365" s="31" t="str">
        <f t="shared" si="63"/>
        <v>E6_3_2_4_km : 1</v>
      </c>
      <c r="G365" s="21" t="str">
        <f t="shared" si="64"/>
        <v>E6_3_2_4_mRNA : E6_3_2_4_mRNA</v>
      </c>
      <c r="H365" s="32" t="str">
        <f t="shared" si="65"/>
        <v>E6_3_2_4 : E6_3_2_4</v>
      </c>
      <c r="I365" s="33" t="str">
        <f t="shared" si="66"/>
        <v>E6_3_2_4_mRNA : 0</v>
      </c>
      <c r="J365" s="34" t="str">
        <f t="shared" si="67"/>
        <v>E6_3_2_4 : 0</v>
      </c>
      <c r="K365" s="35" t="str">
        <f t="shared" si="68"/>
        <v>0.00292 - (0.0093 * E6_3_2_4_mRNA)</v>
      </c>
      <c r="L365" s="30" t="str">
        <f t="shared" si="69"/>
        <v>(0.278 * E6_3_2_4_mRNA) - (0.00000278 * E6_3_2_4)</v>
      </c>
      <c r="M365" s="36" t="str">
        <f t="shared" si="70"/>
        <v>mRNA364: -&gt; E6_3_2_4_mRNA | 0.00292 - (0.0093 * E6_3_2_4_mRNA)</v>
      </c>
      <c r="N365" s="21" t="str">
        <f t="shared" si="71"/>
        <v>Peptide364:  E6_3_2_4_mRNA -&gt; E6_3_2_4 | (0.278 * E6_3_2_4_mRNA) - (0.00000278 * E6_3_2_4)</v>
      </c>
    </row>
    <row r="366" spans="1:14" x14ac:dyDescent="0.45">
      <c r="A366">
        <v>365</v>
      </c>
      <c r="B366" t="s">
        <v>15323</v>
      </c>
      <c r="C366" t="str">
        <f t="shared" si="61"/>
        <v>E6_3_2_5_mRNA</v>
      </c>
      <c r="D366" t="str">
        <f t="shared" si="60"/>
        <v>E6_3_2_5</v>
      </c>
      <c r="E366" s="30" t="str">
        <f t="shared" si="62"/>
        <v>E6_3_2_5_kcat : 13.7</v>
      </c>
      <c r="F366" s="31" t="str">
        <f t="shared" si="63"/>
        <v>E6_3_2_5_km : 1</v>
      </c>
      <c r="G366" s="21" t="str">
        <f t="shared" si="64"/>
        <v>E6_3_2_5_mRNA : E6_3_2_5_mRNA</v>
      </c>
      <c r="H366" s="32" t="str">
        <f t="shared" si="65"/>
        <v>E6_3_2_5 : E6_3_2_5</v>
      </c>
      <c r="I366" s="33" t="str">
        <f t="shared" si="66"/>
        <v>E6_3_2_5_mRNA : 0</v>
      </c>
      <c r="J366" s="34" t="str">
        <f t="shared" si="67"/>
        <v>E6_3_2_5 : 0</v>
      </c>
      <c r="K366" s="35" t="str">
        <f t="shared" si="68"/>
        <v>0.00292 - (0.0093 * E6_3_2_5_mRNA)</v>
      </c>
      <c r="L366" s="30" t="str">
        <f t="shared" si="69"/>
        <v>(0.278 * E6_3_2_5_mRNA) - (0.00000278 * E6_3_2_5)</v>
      </c>
      <c r="M366" s="36" t="str">
        <f t="shared" si="70"/>
        <v>mRNA365: -&gt; E6_3_2_5_mRNA | 0.00292 - (0.0093 * E6_3_2_5_mRNA)</v>
      </c>
      <c r="N366" s="21" t="str">
        <f t="shared" si="71"/>
        <v>Peptide365:  E6_3_2_5_mRNA -&gt; E6_3_2_5 | (0.278 * E6_3_2_5_mRNA) - (0.00000278 * E6_3_2_5)</v>
      </c>
    </row>
    <row r="367" spans="1:14" x14ac:dyDescent="0.45">
      <c r="A367">
        <v>366</v>
      </c>
      <c r="B367" t="s">
        <v>15324</v>
      </c>
      <c r="C367" t="str">
        <f t="shared" si="61"/>
        <v>E6_3_2_6_mRNA</v>
      </c>
      <c r="D367" t="str">
        <f t="shared" si="60"/>
        <v>E6_3_2_6</v>
      </c>
      <c r="E367" s="30" t="str">
        <f t="shared" si="62"/>
        <v>E6_3_2_6_kcat : 13.7</v>
      </c>
      <c r="F367" s="31" t="str">
        <f t="shared" si="63"/>
        <v>E6_3_2_6_km : 1</v>
      </c>
      <c r="G367" s="21" t="str">
        <f t="shared" si="64"/>
        <v>E6_3_2_6_mRNA : E6_3_2_6_mRNA</v>
      </c>
      <c r="H367" s="32" t="str">
        <f t="shared" si="65"/>
        <v>E6_3_2_6 : E6_3_2_6</v>
      </c>
      <c r="I367" s="33" t="str">
        <f t="shared" si="66"/>
        <v>E6_3_2_6_mRNA : 0</v>
      </c>
      <c r="J367" s="34" t="str">
        <f t="shared" si="67"/>
        <v>E6_3_2_6 : 0</v>
      </c>
      <c r="K367" s="35" t="str">
        <f t="shared" si="68"/>
        <v>0.00292 - (0.0093 * E6_3_2_6_mRNA)</v>
      </c>
      <c r="L367" s="30" t="str">
        <f t="shared" si="69"/>
        <v>(0.278 * E6_3_2_6_mRNA) - (0.00000278 * E6_3_2_6)</v>
      </c>
      <c r="M367" s="36" t="str">
        <f t="shared" si="70"/>
        <v>mRNA366: -&gt; E6_3_2_6_mRNA | 0.00292 - (0.0093 * E6_3_2_6_mRNA)</v>
      </c>
      <c r="N367" s="21" t="str">
        <f t="shared" si="71"/>
        <v>Peptide366:  E6_3_2_6_mRNA -&gt; E6_3_2_6 | (0.278 * E6_3_2_6_mRNA) - (0.00000278 * E6_3_2_6)</v>
      </c>
    </row>
    <row r="368" spans="1:14" x14ac:dyDescent="0.45">
      <c r="A368">
        <v>367</v>
      </c>
      <c r="B368" t="s">
        <v>15325</v>
      </c>
      <c r="C368" t="str">
        <f t="shared" si="61"/>
        <v>E6_3_2_8_mRNA</v>
      </c>
      <c r="D368" t="str">
        <f t="shared" si="60"/>
        <v>E6_3_2_8</v>
      </c>
      <c r="E368" s="30" t="str">
        <f t="shared" si="62"/>
        <v>E6_3_2_8_kcat : 13.7</v>
      </c>
      <c r="F368" s="31" t="str">
        <f t="shared" si="63"/>
        <v>E6_3_2_8_km : 1</v>
      </c>
      <c r="G368" s="21" t="str">
        <f t="shared" si="64"/>
        <v>E6_3_2_8_mRNA : E6_3_2_8_mRNA</v>
      </c>
      <c r="H368" s="32" t="str">
        <f t="shared" si="65"/>
        <v>E6_3_2_8 : E6_3_2_8</v>
      </c>
      <c r="I368" s="33" t="str">
        <f t="shared" si="66"/>
        <v>E6_3_2_8_mRNA : 0</v>
      </c>
      <c r="J368" s="34" t="str">
        <f t="shared" si="67"/>
        <v>E6_3_2_8 : 0</v>
      </c>
      <c r="K368" s="35" t="str">
        <f t="shared" si="68"/>
        <v>0.00292 - (0.0093 * E6_3_2_8_mRNA)</v>
      </c>
      <c r="L368" s="30" t="str">
        <f t="shared" si="69"/>
        <v>(0.278 * E6_3_2_8_mRNA) - (0.00000278 * E6_3_2_8)</v>
      </c>
      <c r="M368" s="36" t="str">
        <f t="shared" si="70"/>
        <v>mRNA367: -&gt; E6_3_2_8_mRNA | 0.00292 - (0.0093 * E6_3_2_8_mRNA)</v>
      </c>
      <c r="N368" s="21" t="str">
        <f t="shared" si="71"/>
        <v>Peptide367:  E6_3_2_8_mRNA -&gt; E6_3_2_8 | (0.278 * E6_3_2_8_mRNA) - (0.00000278 * E6_3_2_8)</v>
      </c>
    </row>
    <row r="369" spans="1:14" x14ac:dyDescent="0.45">
      <c r="A369">
        <v>368</v>
      </c>
      <c r="B369" t="s">
        <v>15326</v>
      </c>
      <c r="C369" t="str">
        <f t="shared" si="61"/>
        <v>E6_3_2_9_mRNA</v>
      </c>
      <c r="D369" t="str">
        <f t="shared" si="60"/>
        <v>E6_3_2_9</v>
      </c>
      <c r="E369" s="30" t="str">
        <f t="shared" si="62"/>
        <v>E6_3_2_9_kcat : 13.7</v>
      </c>
      <c r="F369" s="31" t="str">
        <f t="shared" si="63"/>
        <v>E6_3_2_9_km : 1</v>
      </c>
      <c r="G369" s="21" t="str">
        <f t="shared" si="64"/>
        <v>E6_3_2_9_mRNA : E6_3_2_9_mRNA</v>
      </c>
      <c r="H369" s="32" t="str">
        <f t="shared" si="65"/>
        <v>E6_3_2_9 : E6_3_2_9</v>
      </c>
      <c r="I369" s="33" t="str">
        <f t="shared" si="66"/>
        <v>E6_3_2_9_mRNA : 0</v>
      </c>
      <c r="J369" s="34" t="str">
        <f t="shared" si="67"/>
        <v>E6_3_2_9 : 0</v>
      </c>
      <c r="K369" s="35" t="str">
        <f t="shared" si="68"/>
        <v>0.00292 - (0.0093 * E6_3_2_9_mRNA)</v>
      </c>
      <c r="L369" s="30" t="str">
        <f t="shared" si="69"/>
        <v>(0.278 * E6_3_2_9_mRNA) - (0.00000278 * E6_3_2_9)</v>
      </c>
      <c r="M369" s="36" t="str">
        <f t="shared" si="70"/>
        <v>mRNA368: -&gt; E6_3_2_9_mRNA | 0.00292 - (0.0093 * E6_3_2_9_mRNA)</v>
      </c>
      <c r="N369" s="21" t="str">
        <f t="shared" si="71"/>
        <v>Peptide368:  E6_3_2_9_mRNA -&gt; E6_3_2_9 | (0.278 * E6_3_2_9_mRNA) - (0.00000278 * E6_3_2_9)</v>
      </c>
    </row>
    <row r="370" spans="1:14" x14ac:dyDescent="0.45">
      <c r="A370">
        <v>369</v>
      </c>
      <c r="B370" t="s">
        <v>15327</v>
      </c>
      <c r="C370" t="str">
        <f t="shared" si="61"/>
        <v>E6_3_3_1_mRNA</v>
      </c>
      <c r="D370" t="str">
        <f t="shared" si="60"/>
        <v>E6_3_3_1</v>
      </c>
      <c r="E370" s="30" t="str">
        <f t="shared" si="62"/>
        <v>E6_3_3_1_kcat : 13.7</v>
      </c>
      <c r="F370" s="31" t="str">
        <f t="shared" si="63"/>
        <v>E6_3_3_1_km : 1</v>
      </c>
      <c r="G370" s="21" t="str">
        <f t="shared" si="64"/>
        <v>E6_3_3_1_mRNA : E6_3_3_1_mRNA</v>
      </c>
      <c r="H370" s="32" t="str">
        <f t="shared" si="65"/>
        <v>E6_3_3_1 : E6_3_3_1</v>
      </c>
      <c r="I370" s="33" t="str">
        <f t="shared" si="66"/>
        <v>E6_3_3_1_mRNA : 0</v>
      </c>
      <c r="J370" s="34" t="str">
        <f t="shared" si="67"/>
        <v>E6_3_3_1 : 0</v>
      </c>
      <c r="K370" s="35" t="str">
        <f t="shared" si="68"/>
        <v>0.00292 - (0.0093 * E6_3_3_1_mRNA)</v>
      </c>
      <c r="L370" s="30" t="str">
        <f t="shared" si="69"/>
        <v>(0.278 * E6_3_3_1_mRNA) - (0.00000278 * E6_3_3_1)</v>
      </c>
      <c r="M370" s="36" t="str">
        <f t="shared" si="70"/>
        <v>mRNA369: -&gt; E6_3_3_1_mRNA | 0.00292 - (0.0093 * E6_3_3_1_mRNA)</v>
      </c>
      <c r="N370" s="21" t="str">
        <f t="shared" si="71"/>
        <v>Peptide369:  E6_3_3_1_mRNA -&gt; E6_3_3_1 | (0.278 * E6_3_3_1_mRNA) - (0.00000278 * E6_3_3_1)</v>
      </c>
    </row>
    <row r="371" spans="1:14" x14ac:dyDescent="0.45">
      <c r="A371">
        <v>370</v>
      </c>
      <c r="B371" t="s">
        <v>15328</v>
      </c>
      <c r="C371" t="str">
        <f t="shared" si="61"/>
        <v>E6_3_3_2_mRNA</v>
      </c>
      <c r="D371" t="str">
        <f t="shared" si="60"/>
        <v>E6_3_3_2</v>
      </c>
      <c r="E371" s="30" t="str">
        <f t="shared" si="62"/>
        <v>E6_3_3_2_kcat : 13.7</v>
      </c>
      <c r="F371" s="31" t="str">
        <f t="shared" si="63"/>
        <v>E6_3_3_2_km : 1</v>
      </c>
      <c r="G371" s="21" t="str">
        <f t="shared" si="64"/>
        <v>E6_3_3_2_mRNA : E6_3_3_2_mRNA</v>
      </c>
      <c r="H371" s="32" t="str">
        <f t="shared" si="65"/>
        <v>E6_3_3_2 : E6_3_3_2</v>
      </c>
      <c r="I371" s="33" t="str">
        <f t="shared" si="66"/>
        <v>E6_3_3_2_mRNA : 0</v>
      </c>
      <c r="J371" s="34" t="str">
        <f t="shared" si="67"/>
        <v>E6_3_3_2 : 0</v>
      </c>
      <c r="K371" s="35" t="str">
        <f t="shared" si="68"/>
        <v>0.00292 - (0.0093 * E6_3_3_2_mRNA)</v>
      </c>
      <c r="L371" s="30" t="str">
        <f t="shared" si="69"/>
        <v>(0.278 * E6_3_3_2_mRNA) - (0.00000278 * E6_3_3_2)</v>
      </c>
      <c r="M371" s="36" t="str">
        <f t="shared" si="70"/>
        <v>mRNA370: -&gt; E6_3_3_2_mRNA | 0.00292 - (0.0093 * E6_3_3_2_mRNA)</v>
      </c>
      <c r="N371" s="21" t="str">
        <f t="shared" si="71"/>
        <v>Peptide370:  E6_3_3_2_mRNA -&gt; E6_3_3_2 | (0.278 * E6_3_3_2_mRNA) - (0.00000278 * E6_3_3_2)</v>
      </c>
    </row>
    <row r="372" spans="1:14" x14ac:dyDescent="0.45">
      <c r="A372">
        <v>371</v>
      </c>
      <c r="B372" t="s">
        <v>15329</v>
      </c>
      <c r="C372" t="str">
        <f t="shared" si="61"/>
        <v>E6_3_4_13_mRNA</v>
      </c>
      <c r="D372" t="str">
        <f t="shared" si="60"/>
        <v>E6_3_4_13</v>
      </c>
      <c r="E372" s="30" t="str">
        <f t="shared" si="62"/>
        <v>E6_3_4_13_kcat : 13.7</v>
      </c>
      <c r="F372" s="31" t="str">
        <f t="shared" si="63"/>
        <v>E6_3_4_13_km : 1</v>
      </c>
      <c r="G372" s="21" t="str">
        <f t="shared" si="64"/>
        <v>E6_3_4_13_mRNA : E6_3_4_13_mRNA</v>
      </c>
      <c r="H372" s="32" t="str">
        <f t="shared" si="65"/>
        <v>E6_3_4_13 : E6_3_4_13</v>
      </c>
      <c r="I372" s="33" t="str">
        <f t="shared" si="66"/>
        <v>E6_3_4_13_mRNA : 0</v>
      </c>
      <c r="J372" s="34" t="str">
        <f t="shared" si="67"/>
        <v>E6_3_4_13 : 0</v>
      </c>
      <c r="K372" s="35" t="str">
        <f t="shared" si="68"/>
        <v>0.00292 - (0.0093 * E6_3_4_13_mRNA)</v>
      </c>
      <c r="L372" s="30" t="str">
        <f t="shared" si="69"/>
        <v>(0.278 * E6_3_4_13_mRNA) - (0.00000278 * E6_3_4_13)</v>
      </c>
      <c r="M372" s="36" t="str">
        <f t="shared" si="70"/>
        <v>mRNA371: -&gt; E6_3_4_13_mRNA | 0.00292 - (0.0093 * E6_3_4_13_mRNA)</v>
      </c>
      <c r="N372" s="21" t="str">
        <f t="shared" si="71"/>
        <v>Peptide371:  E6_3_4_13_mRNA -&gt; E6_3_4_13 | (0.278 * E6_3_4_13_mRNA) - (0.00000278 * E6_3_4_13)</v>
      </c>
    </row>
    <row r="373" spans="1:14" x14ac:dyDescent="0.45">
      <c r="A373">
        <v>372</v>
      </c>
      <c r="B373" t="s">
        <v>15330</v>
      </c>
      <c r="C373" t="str">
        <f t="shared" si="61"/>
        <v>E6_3_4_14_mRNA</v>
      </c>
      <c r="D373" t="str">
        <f t="shared" si="60"/>
        <v>E6_3_4_14</v>
      </c>
      <c r="E373" s="30" t="str">
        <f t="shared" si="62"/>
        <v>E6_3_4_14_kcat : 13.7</v>
      </c>
      <c r="F373" s="31" t="str">
        <f t="shared" si="63"/>
        <v>E6_3_4_14_km : 1</v>
      </c>
      <c r="G373" s="21" t="str">
        <f t="shared" si="64"/>
        <v>E6_3_4_14_mRNA : E6_3_4_14_mRNA</v>
      </c>
      <c r="H373" s="32" t="str">
        <f t="shared" si="65"/>
        <v>E6_3_4_14 : E6_3_4_14</v>
      </c>
      <c r="I373" s="33" t="str">
        <f t="shared" si="66"/>
        <v>E6_3_4_14_mRNA : 0</v>
      </c>
      <c r="J373" s="34" t="str">
        <f t="shared" si="67"/>
        <v>E6_3_4_14 : 0</v>
      </c>
      <c r="K373" s="35" t="str">
        <f t="shared" si="68"/>
        <v>0.00292 - (0.0093 * E6_3_4_14_mRNA)</v>
      </c>
      <c r="L373" s="30" t="str">
        <f t="shared" si="69"/>
        <v>(0.278 * E6_3_4_14_mRNA) - (0.00000278 * E6_3_4_14)</v>
      </c>
      <c r="M373" s="36" t="str">
        <f t="shared" si="70"/>
        <v>mRNA372: -&gt; E6_3_4_14_mRNA | 0.00292 - (0.0093 * E6_3_4_14_mRNA)</v>
      </c>
      <c r="N373" s="21" t="str">
        <f t="shared" si="71"/>
        <v>Peptide372:  E6_3_4_14_mRNA -&gt; E6_3_4_14 | (0.278 * E6_3_4_14_mRNA) - (0.00000278 * E6_3_4_14)</v>
      </c>
    </row>
    <row r="374" spans="1:14" x14ac:dyDescent="0.45">
      <c r="A374">
        <v>373</v>
      </c>
      <c r="B374" t="s">
        <v>15331</v>
      </c>
      <c r="C374" t="str">
        <f t="shared" si="61"/>
        <v>E6_3_4_15_mRNA</v>
      </c>
      <c r="D374" t="str">
        <f t="shared" si="60"/>
        <v>E6_3_4_15</v>
      </c>
      <c r="E374" s="30" t="str">
        <f t="shared" si="62"/>
        <v>E6_3_4_15_kcat : 13.7</v>
      </c>
      <c r="F374" s="31" t="str">
        <f t="shared" si="63"/>
        <v>E6_3_4_15_km : 1</v>
      </c>
      <c r="G374" s="21" t="str">
        <f t="shared" si="64"/>
        <v>E6_3_4_15_mRNA : E6_3_4_15_mRNA</v>
      </c>
      <c r="H374" s="32" t="str">
        <f t="shared" si="65"/>
        <v>E6_3_4_15 : E6_3_4_15</v>
      </c>
      <c r="I374" s="33" t="str">
        <f t="shared" si="66"/>
        <v>E6_3_4_15_mRNA : 0</v>
      </c>
      <c r="J374" s="34" t="str">
        <f t="shared" si="67"/>
        <v>E6_3_4_15 : 0</v>
      </c>
      <c r="K374" s="35" t="str">
        <f t="shared" si="68"/>
        <v>0.00292 - (0.0093 * E6_3_4_15_mRNA)</v>
      </c>
      <c r="L374" s="30" t="str">
        <f t="shared" si="69"/>
        <v>(0.278 * E6_3_4_15_mRNA) - (0.00000278 * E6_3_4_15)</v>
      </c>
      <c r="M374" s="36" t="str">
        <f t="shared" si="70"/>
        <v>mRNA373: -&gt; E6_3_4_15_mRNA | 0.00292 - (0.0093 * E6_3_4_15_mRNA)</v>
      </c>
      <c r="N374" s="21" t="str">
        <f t="shared" si="71"/>
        <v>Peptide373:  E6_3_4_15_mRNA -&gt; E6_3_4_15 | (0.278 * E6_3_4_15_mRNA) - (0.00000278 * E6_3_4_15)</v>
      </c>
    </row>
    <row r="375" spans="1:14" x14ac:dyDescent="0.45">
      <c r="A375">
        <v>374</v>
      </c>
      <c r="B375" t="s">
        <v>15332</v>
      </c>
      <c r="C375" t="str">
        <f t="shared" si="61"/>
        <v>E6_3_4_19_mRNA</v>
      </c>
      <c r="D375" t="str">
        <f t="shared" si="60"/>
        <v>E6_3_4_19</v>
      </c>
      <c r="E375" s="30" t="str">
        <f t="shared" si="62"/>
        <v>E6_3_4_19_kcat : 13.7</v>
      </c>
      <c r="F375" s="31" t="str">
        <f t="shared" si="63"/>
        <v>E6_3_4_19_km : 1</v>
      </c>
      <c r="G375" s="21" t="str">
        <f t="shared" si="64"/>
        <v>E6_3_4_19_mRNA : E6_3_4_19_mRNA</v>
      </c>
      <c r="H375" s="32" t="str">
        <f t="shared" si="65"/>
        <v>E6_3_4_19 : E6_3_4_19</v>
      </c>
      <c r="I375" s="33" t="str">
        <f t="shared" si="66"/>
        <v>E6_3_4_19_mRNA : 0</v>
      </c>
      <c r="J375" s="34" t="str">
        <f t="shared" si="67"/>
        <v>E6_3_4_19 : 0</v>
      </c>
      <c r="K375" s="35" t="str">
        <f t="shared" si="68"/>
        <v>0.00292 - (0.0093 * E6_3_4_19_mRNA)</v>
      </c>
      <c r="L375" s="30" t="str">
        <f t="shared" si="69"/>
        <v>(0.278 * E6_3_4_19_mRNA) - (0.00000278 * E6_3_4_19)</v>
      </c>
      <c r="M375" s="36" t="str">
        <f t="shared" si="70"/>
        <v>mRNA374: -&gt; E6_3_4_19_mRNA | 0.00292 - (0.0093 * E6_3_4_19_mRNA)</v>
      </c>
      <c r="N375" s="21" t="str">
        <f t="shared" si="71"/>
        <v>Peptide374:  E6_3_4_19_mRNA -&gt; E6_3_4_19 | (0.278 * E6_3_4_19_mRNA) - (0.00000278 * E6_3_4_19)</v>
      </c>
    </row>
    <row r="376" spans="1:14" x14ac:dyDescent="0.45">
      <c r="A376">
        <v>375</v>
      </c>
      <c r="B376" t="s">
        <v>15333</v>
      </c>
      <c r="C376" t="str">
        <f t="shared" si="61"/>
        <v>E6_3_4_21_mRNA</v>
      </c>
      <c r="D376" t="str">
        <f t="shared" si="60"/>
        <v>E6_3_4_21</v>
      </c>
      <c r="E376" s="30" t="str">
        <f t="shared" si="62"/>
        <v>E6_3_4_21_kcat : 13.7</v>
      </c>
      <c r="F376" s="31" t="str">
        <f t="shared" si="63"/>
        <v>E6_3_4_21_km : 1</v>
      </c>
      <c r="G376" s="21" t="str">
        <f t="shared" si="64"/>
        <v>E6_3_4_21_mRNA : E6_3_4_21_mRNA</v>
      </c>
      <c r="H376" s="32" t="str">
        <f t="shared" si="65"/>
        <v>E6_3_4_21 : E6_3_4_21</v>
      </c>
      <c r="I376" s="33" t="str">
        <f t="shared" si="66"/>
        <v>E6_3_4_21_mRNA : 0</v>
      </c>
      <c r="J376" s="34" t="str">
        <f t="shared" si="67"/>
        <v>E6_3_4_21 : 0</v>
      </c>
      <c r="K376" s="35" t="str">
        <f t="shared" si="68"/>
        <v>0.00292 - (0.0093 * E6_3_4_21_mRNA)</v>
      </c>
      <c r="L376" s="30" t="str">
        <f t="shared" si="69"/>
        <v>(0.278 * E6_3_4_21_mRNA) - (0.00000278 * E6_3_4_21)</v>
      </c>
      <c r="M376" s="36" t="str">
        <f t="shared" si="70"/>
        <v>mRNA375: -&gt; E6_3_4_21_mRNA | 0.00292 - (0.0093 * E6_3_4_21_mRNA)</v>
      </c>
      <c r="N376" s="21" t="str">
        <f t="shared" si="71"/>
        <v>Peptide375:  E6_3_4_21_mRNA -&gt; E6_3_4_21 | (0.278 * E6_3_4_21_mRNA) - (0.00000278 * E6_3_4_21)</v>
      </c>
    </row>
    <row r="377" spans="1:14" x14ac:dyDescent="0.45">
      <c r="A377">
        <v>376</v>
      </c>
      <c r="B377" t="s">
        <v>15334</v>
      </c>
      <c r="C377" t="str">
        <f t="shared" si="61"/>
        <v>E6_3_4_3_mRNA</v>
      </c>
      <c r="D377" t="str">
        <f t="shared" si="60"/>
        <v>E6_3_4_3</v>
      </c>
      <c r="E377" s="30" t="str">
        <f t="shared" si="62"/>
        <v>E6_3_4_3_kcat : 13.7</v>
      </c>
      <c r="F377" s="31" t="str">
        <f t="shared" si="63"/>
        <v>E6_3_4_3_km : 1</v>
      </c>
      <c r="G377" s="21" t="str">
        <f t="shared" si="64"/>
        <v>E6_3_4_3_mRNA : E6_3_4_3_mRNA</v>
      </c>
      <c r="H377" s="32" t="str">
        <f t="shared" si="65"/>
        <v>E6_3_4_3 : E6_3_4_3</v>
      </c>
      <c r="I377" s="33" t="str">
        <f t="shared" si="66"/>
        <v>E6_3_4_3_mRNA : 0</v>
      </c>
      <c r="J377" s="34" t="str">
        <f t="shared" si="67"/>
        <v>E6_3_4_3 : 0</v>
      </c>
      <c r="K377" s="35" t="str">
        <f t="shared" si="68"/>
        <v>0.00292 - (0.0093 * E6_3_4_3_mRNA)</v>
      </c>
      <c r="L377" s="30" t="str">
        <f t="shared" si="69"/>
        <v>(0.278 * E6_3_4_3_mRNA) - (0.00000278 * E6_3_4_3)</v>
      </c>
      <c r="M377" s="36" t="str">
        <f t="shared" si="70"/>
        <v>mRNA376: -&gt; E6_3_4_3_mRNA | 0.00292 - (0.0093 * E6_3_4_3_mRNA)</v>
      </c>
      <c r="N377" s="21" t="str">
        <f t="shared" si="71"/>
        <v>Peptide376:  E6_3_4_3_mRNA -&gt; E6_3_4_3 | (0.278 * E6_3_4_3_mRNA) - (0.00000278 * E6_3_4_3)</v>
      </c>
    </row>
    <row r="378" spans="1:14" x14ac:dyDescent="0.45">
      <c r="A378">
        <v>377</v>
      </c>
      <c r="B378" t="s">
        <v>15335</v>
      </c>
      <c r="C378" t="str">
        <f t="shared" si="61"/>
        <v>E6_3_4_4_mRNA</v>
      </c>
      <c r="D378" t="str">
        <f t="shared" si="60"/>
        <v>E6_3_4_4</v>
      </c>
      <c r="E378" s="30" t="str">
        <f t="shared" si="62"/>
        <v>E6_3_4_4_kcat : 13.7</v>
      </c>
      <c r="F378" s="31" t="str">
        <f t="shared" si="63"/>
        <v>E6_3_4_4_km : 1</v>
      </c>
      <c r="G378" s="21" t="str">
        <f t="shared" si="64"/>
        <v>E6_3_4_4_mRNA : E6_3_4_4_mRNA</v>
      </c>
      <c r="H378" s="32" t="str">
        <f t="shared" si="65"/>
        <v>E6_3_4_4 : E6_3_4_4</v>
      </c>
      <c r="I378" s="33" t="str">
        <f t="shared" si="66"/>
        <v>E6_3_4_4_mRNA : 0</v>
      </c>
      <c r="J378" s="34" t="str">
        <f t="shared" si="67"/>
        <v>E6_3_4_4 : 0</v>
      </c>
      <c r="K378" s="35" t="str">
        <f t="shared" si="68"/>
        <v>0.00292 - (0.0093 * E6_3_4_4_mRNA)</v>
      </c>
      <c r="L378" s="30" t="str">
        <f t="shared" si="69"/>
        <v>(0.278 * E6_3_4_4_mRNA) - (0.00000278 * E6_3_4_4)</v>
      </c>
      <c r="M378" s="36" t="str">
        <f t="shared" si="70"/>
        <v>mRNA377: -&gt; E6_3_4_4_mRNA | 0.00292 - (0.0093 * E6_3_4_4_mRNA)</v>
      </c>
      <c r="N378" s="21" t="str">
        <f t="shared" si="71"/>
        <v>Peptide377:  E6_3_4_4_mRNA -&gt; E6_3_4_4 | (0.278 * E6_3_4_4_mRNA) - (0.00000278 * E6_3_4_4)</v>
      </c>
    </row>
    <row r="379" spans="1:14" x14ac:dyDescent="0.45">
      <c r="A379">
        <v>378</v>
      </c>
      <c r="B379" t="s">
        <v>15336</v>
      </c>
      <c r="C379" t="str">
        <f t="shared" si="61"/>
        <v>E6_3_4_5_mRNA</v>
      </c>
      <c r="D379" t="str">
        <f t="shared" si="60"/>
        <v>E6_3_4_5</v>
      </c>
      <c r="E379" s="30" t="str">
        <f t="shared" si="62"/>
        <v>E6_3_4_5_kcat : 13.7</v>
      </c>
      <c r="F379" s="31" t="str">
        <f t="shared" si="63"/>
        <v>E6_3_4_5_km : 1</v>
      </c>
      <c r="G379" s="21" t="str">
        <f t="shared" si="64"/>
        <v>E6_3_4_5_mRNA : E6_3_4_5_mRNA</v>
      </c>
      <c r="H379" s="32" t="str">
        <f t="shared" si="65"/>
        <v>E6_3_4_5 : E6_3_4_5</v>
      </c>
      <c r="I379" s="33" t="str">
        <f t="shared" si="66"/>
        <v>E6_3_4_5_mRNA : 0</v>
      </c>
      <c r="J379" s="34" t="str">
        <f t="shared" si="67"/>
        <v>E6_3_4_5 : 0</v>
      </c>
      <c r="K379" s="35" t="str">
        <f t="shared" si="68"/>
        <v>0.00292 - (0.0093 * E6_3_4_5_mRNA)</v>
      </c>
      <c r="L379" s="30" t="str">
        <f t="shared" si="69"/>
        <v>(0.278 * E6_3_4_5_mRNA) - (0.00000278 * E6_3_4_5)</v>
      </c>
      <c r="M379" s="36" t="str">
        <f t="shared" si="70"/>
        <v>mRNA378: -&gt; E6_3_4_5_mRNA | 0.00292 - (0.0093 * E6_3_4_5_mRNA)</v>
      </c>
      <c r="N379" s="21" t="str">
        <f t="shared" si="71"/>
        <v>Peptide378:  E6_3_4_5_mRNA -&gt; E6_3_4_5 | (0.278 * E6_3_4_5_mRNA) - (0.00000278 * E6_3_4_5)</v>
      </c>
    </row>
    <row r="380" spans="1:14" x14ac:dyDescent="0.45">
      <c r="A380">
        <v>379</v>
      </c>
      <c r="B380" t="s">
        <v>15337</v>
      </c>
      <c r="C380" t="str">
        <f t="shared" si="61"/>
        <v>E6_3_5_2_mRNA</v>
      </c>
      <c r="D380" t="str">
        <f t="shared" si="60"/>
        <v>E6_3_5_2</v>
      </c>
      <c r="E380" s="30" t="str">
        <f t="shared" si="62"/>
        <v>E6_3_5_2_kcat : 13.7</v>
      </c>
      <c r="F380" s="31" t="str">
        <f t="shared" si="63"/>
        <v>E6_3_5_2_km : 1</v>
      </c>
      <c r="G380" s="21" t="str">
        <f t="shared" si="64"/>
        <v>E6_3_5_2_mRNA : E6_3_5_2_mRNA</v>
      </c>
      <c r="H380" s="32" t="str">
        <f t="shared" si="65"/>
        <v>E6_3_5_2 : E6_3_5_2</v>
      </c>
      <c r="I380" s="33" t="str">
        <f t="shared" si="66"/>
        <v>E6_3_5_2_mRNA : 0</v>
      </c>
      <c r="J380" s="34" t="str">
        <f t="shared" si="67"/>
        <v>E6_3_5_2 : 0</v>
      </c>
      <c r="K380" s="35" t="str">
        <f t="shared" si="68"/>
        <v>0.00292 - (0.0093 * E6_3_5_2_mRNA)</v>
      </c>
      <c r="L380" s="30" t="str">
        <f t="shared" si="69"/>
        <v>(0.278 * E6_3_5_2_mRNA) - (0.00000278 * E6_3_5_2)</v>
      </c>
      <c r="M380" s="36" t="str">
        <f t="shared" si="70"/>
        <v>mRNA379: -&gt; E6_3_5_2_mRNA | 0.00292 - (0.0093 * E6_3_5_2_mRNA)</v>
      </c>
      <c r="N380" s="21" t="str">
        <f t="shared" si="71"/>
        <v>Peptide379:  E6_3_5_2_mRNA -&gt; E6_3_5_2 | (0.278 * E6_3_5_2_mRNA) - (0.00000278 * E6_3_5_2)</v>
      </c>
    </row>
    <row r="381" spans="1:14" x14ac:dyDescent="0.45">
      <c r="A381">
        <v>380</v>
      </c>
      <c r="B381" t="s">
        <v>15338</v>
      </c>
      <c r="C381" t="str">
        <f t="shared" si="61"/>
        <v>E6_3_5_3_mRNA</v>
      </c>
      <c r="D381" t="str">
        <f t="shared" si="60"/>
        <v>E6_3_5_3</v>
      </c>
      <c r="E381" s="30" t="str">
        <f t="shared" si="62"/>
        <v>E6_3_5_3_kcat : 13.7</v>
      </c>
      <c r="F381" s="31" t="str">
        <f t="shared" si="63"/>
        <v>E6_3_5_3_km : 1</v>
      </c>
      <c r="G381" s="21" t="str">
        <f t="shared" si="64"/>
        <v>E6_3_5_3_mRNA : E6_3_5_3_mRNA</v>
      </c>
      <c r="H381" s="32" t="str">
        <f t="shared" si="65"/>
        <v>E6_3_5_3 : E6_3_5_3</v>
      </c>
      <c r="I381" s="33" t="str">
        <f t="shared" si="66"/>
        <v>E6_3_5_3_mRNA : 0</v>
      </c>
      <c r="J381" s="34" t="str">
        <f t="shared" si="67"/>
        <v>E6_3_5_3 : 0</v>
      </c>
      <c r="K381" s="35" t="str">
        <f t="shared" si="68"/>
        <v>0.00292 - (0.0093 * E6_3_5_3_mRNA)</v>
      </c>
      <c r="L381" s="30" t="str">
        <f t="shared" si="69"/>
        <v>(0.278 * E6_3_5_3_mRNA) - (0.00000278 * E6_3_5_3)</v>
      </c>
      <c r="M381" s="36" t="str">
        <f t="shared" si="70"/>
        <v>mRNA380: -&gt; E6_3_5_3_mRNA | 0.00292 - (0.0093 * E6_3_5_3_mRNA)</v>
      </c>
      <c r="N381" s="21" t="str">
        <f t="shared" si="71"/>
        <v>Peptide380:  E6_3_5_3_mRNA -&gt; E6_3_5_3 | (0.278 * E6_3_5_3_mRNA) - (0.00000278 * E6_3_5_3)</v>
      </c>
    </row>
    <row r="382" spans="1:14" x14ac:dyDescent="0.45">
      <c r="A382">
        <v>381</v>
      </c>
      <c r="B382" t="s">
        <v>15339</v>
      </c>
      <c r="C382" t="str">
        <f t="shared" si="61"/>
        <v>E6_3_5_4_mRNA</v>
      </c>
      <c r="D382" t="str">
        <f t="shared" si="60"/>
        <v>E6_3_5_4</v>
      </c>
      <c r="E382" s="30" t="str">
        <f t="shared" si="62"/>
        <v>E6_3_5_4_kcat : 13.7</v>
      </c>
      <c r="F382" s="31" t="str">
        <f t="shared" si="63"/>
        <v>E6_3_5_4_km : 1</v>
      </c>
      <c r="G382" s="21" t="str">
        <f t="shared" si="64"/>
        <v>E6_3_5_4_mRNA : E6_3_5_4_mRNA</v>
      </c>
      <c r="H382" s="32" t="str">
        <f t="shared" si="65"/>
        <v>E6_3_5_4 : E6_3_5_4</v>
      </c>
      <c r="I382" s="33" t="str">
        <f t="shared" si="66"/>
        <v>E6_3_5_4_mRNA : 0</v>
      </c>
      <c r="J382" s="34" t="str">
        <f t="shared" si="67"/>
        <v>E6_3_5_4 : 0</v>
      </c>
      <c r="K382" s="35" t="str">
        <f t="shared" si="68"/>
        <v>0.00292 - (0.0093 * E6_3_5_4_mRNA)</v>
      </c>
      <c r="L382" s="30" t="str">
        <f t="shared" si="69"/>
        <v>(0.278 * E6_3_5_4_mRNA) - (0.00000278 * E6_3_5_4)</v>
      </c>
      <c r="M382" s="36" t="str">
        <f t="shared" si="70"/>
        <v>mRNA381: -&gt; E6_3_5_4_mRNA | 0.00292 - (0.0093 * E6_3_5_4_mRNA)</v>
      </c>
      <c r="N382" s="21" t="str">
        <f t="shared" si="71"/>
        <v>Peptide381:  E6_3_5_4_mRNA -&gt; E6_3_5_4 | (0.278 * E6_3_5_4_mRNA) - (0.00000278 * E6_3_5_4)</v>
      </c>
    </row>
    <row r="383" spans="1:14" x14ac:dyDescent="0.45">
      <c r="A383">
        <v>382</v>
      </c>
      <c r="B383" t="s">
        <v>15340</v>
      </c>
      <c r="C383" t="str">
        <f t="shared" si="61"/>
        <v>E6_3_5_5_mRNA</v>
      </c>
      <c r="D383" t="str">
        <f t="shared" si="60"/>
        <v>E6_3_5_5</v>
      </c>
      <c r="E383" s="30" t="str">
        <f t="shared" si="62"/>
        <v>E6_3_5_5_kcat : 13.7</v>
      </c>
      <c r="F383" s="31" t="str">
        <f t="shared" si="63"/>
        <v>E6_3_5_5_km : 1</v>
      </c>
      <c r="G383" s="21" t="str">
        <f t="shared" si="64"/>
        <v>E6_3_5_5_mRNA : E6_3_5_5_mRNA</v>
      </c>
      <c r="H383" s="32" t="str">
        <f t="shared" si="65"/>
        <v>E6_3_5_5 : E6_3_5_5</v>
      </c>
      <c r="I383" s="33" t="str">
        <f t="shared" si="66"/>
        <v>E6_3_5_5_mRNA : 0</v>
      </c>
      <c r="J383" s="34" t="str">
        <f t="shared" si="67"/>
        <v>E6_3_5_5 : 0</v>
      </c>
      <c r="K383" s="35" t="str">
        <f t="shared" si="68"/>
        <v>0.00292 - (0.0093 * E6_3_5_5_mRNA)</v>
      </c>
      <c r="L383" s="30" t="str">
        <f t="shared" si="69"/>
        <v>(0.278 * E6_3_5_5_mRNA) - (0.00000278 * E6_3_5_5)</v>
      </c>
      <c r="M383" s="36" t="str">
        <f t="shared" si="70"/>
        <v>mRNA382: -&gt; E6_3_5_5_mRNA | 0.00292 - (0.0093 * E6_3_5_5_mRNA)</v>
      </c>
      <c r="N383" s="21" t="str">
        <f t="shared" si="71"/>
        <v>Peptide382:  E6_3_5_5_mRNA -&gt; E6_3_5_5 | (0.278 * E6_3_5_5_mRNA) - (0.00000278 * E6_3_5_5)</v>
      </c>
    </row>
    <row r="384" spans="1:14" x14ac:dyDescent="0.45">
      <c r="A384">
        <v>383</v>
      </c>
      <c r="B384" t="s">
        <v>15341</v>
      </c>
      <c r="C384" t="str">
        <f t="shared" si="61"/>
        <v>E6_4_1_1_mRNA</v>
      </c>
      <c r="D384" t="str">
        <f t="shared" si="60"/>
        <v>E6_4_1_1</v>
      </c>
      <c r="E384" s="30" t="str">
        <f t="shared" si="62"/>
        <v>E6_4_1_1_kcat : 13.7</v>
      </c>
      <c r="F384" s="31" t="str">
        <f t="shared" si="63"/>
        <v>E6_4_1_1_km : 1</v>
      </c>
      <c r="G384" s="21" t="str">
        <f t="shared" si="64"/>
        <v>E6_4_1_1_mRNA : E6_4_1_1_mRNA</v>
      </c>
      <c r="H384" s="32" t="str">
        <f t="shared" si="65"/>
        <v>E6_4_1_1 : E6_4_1_1</v>
      </c>
      <c r="I384" s="33" t="str">
        <f t="shared" si="66"/>
        <v>E6_4_1_1_mRNA : 0</v>
      </c>
      <c r="J384" s="34" t="str">
        <f t="shared" si="67"/>
        <v>E6_4_1_1 : 0</v>
      </c>
      <c r="K384" s="35" t="str">
        <f t="shared" si="68"/>
        <v>0.00292 - (0.0093 * E6_4_1_1_mRNA)</v>
      </c>
      <c r="L384" s="30" t="str">
        <f t="shared" si="69"/>
        <v>(0.278 * E6_4_1_1_mRNA) - (0.00000278 * E6_4_1_1)</v>
      </c>
      <c r="M384" s="36" t="str">
        <f t="shared" si="70"/>
        <v>mRNA383: -&gt; E6_4_1_1_mRNA | 0.00292 - (0.0093 * E6_4_1_1_mRNA)</v>
      </c>
      <c r="N384" s="21" t="str">
        <f t="shared" si="71"/>
        <v>Peptide383:  E6_4_1_1_mRNA -&gt; E6_4_1_1 | (0.278 * E6_4_1_1_mRNA) - (0.00000278 * E6_4_1_1)</v>
      </c>
    </row>
    <row r="385" spans="1:14" x14ac:dyDescent="0.45">
      <c r="A385">
        <v>384</v>
      </c>
      <c r="B385" t="s">
        <v>15342</v>
      </c>
      <c r="C385" t="str">
        <f t="shared" si="61"/>
        <v>E6_4_1_2_mRNA</v>
      </c>
      <c r="D385" t="str">
        <f t="shared" si="60"/>
        <v>E6_4_1_2</v>
      </c>
      <c r="E385" s="30" t="str">
        <f t="shared" si="62"/>
        <v>E6_4_1_2_kcat : 13.7</v>
      </c>
      <c r="F385" s="31" t="str">
        <f t="shared" si="63"/>
        <v>E6_4_1_2_km : 1</v>
      </c>
      <c r="G385" s="21" t="str">
        <f t="shared" si="64"/>
        <v>E6_4_1_2_mRNA : E6_4_1_2_mRNA</v>
      </c>
      <c r="H385" s="32" t="str">
        <f t="shared" si="65"/>
        <v>E6_4_1_2 : E6_4_1_2</v>
      </c>
      <c r="I385" s="33" t="str">
        <f t="shared" si="66"/>
        <v>E6_4_1_2_mRNA : 0</v>
      </c>
      <c r="J385" s="34" t="str">
        <f t="shared" si="67"/>
        <v>E6_4_1_2 : 0</v>
      </c>
      <c r="K385" s="35" t="str">
        <f t="shared" si="68"/>
        <v>0.00292 - (0.0093 * E6_4_1_2_mRNA)</v>
      </c>
      <c r="L385" s="30" t="str">
        <f t="shared" si="69"/>
        <v>(0.278 * E6_4_1_2_mRNA) - (0.00000278 * E6_4_1_2)</v>
      </c>
      <c r="M385" s="36" t="str">
        <f t="shared" si="70"/>
        <v>mRNA384: -&gt; E6_4_1_2_mRNA | 0.00292 - (0.0093 * E6_4_1_2_mRNA)</v>
      </c>
      <c r="N385" s="21" t="str">
        <f t="shared" si="71"/>
        <v>Peptide384:  E6_4_1_2_mRNA -&gt; E6_4_1_2 | (0.278 * E6_4_1_2_mRNA) - (0.00000278 * E6_4_1_2)</v>
      </c>
    </row>
    <row r="386" spans="1:14" x14ac:dyDescent="0.45">
      <c r="A386">
        <v>385</v>
      </c>
      <c r="B386" t="s">
        <v>15343</v>
      </c>
      <c r="C386" t="str">
        <f t="shared" si="61"/>
        <v>E6_5_1_2_mRNA</v>
      </c>
      <c r="D386" t="str">
        <f t="shared" ref="D386:D387" si="72">CONCATENATE("E",B386)</f>
        <v>E6_5_1_2</v>
      </c>
      <c r="E386" s="30" t="str">
        <f t="shared" si="62"/>
        <v>E6_5_1_2_kcat : 13.7</v>
      </c>
      <c r="F386" s="31" t="str">
        <f t="shared" si="63"/>
        <v>E6_5_1_2_km : 1</v>
      </c>
      <c r="G386" s="21" t="str">
        <f t="shared" si="64"/>
        <v>E6_5_1_2_mRNA : E6_5_1_2_mRNA</v>
      </c>
      <c r="H386" s="32" t="str">
        <f t="shared" si="65"/>
        <v>E6_5_1_2 : E6_5_1_2</v>
      </c>
      <c r="I386" s="33" t="str">
        <f t="shared" si="66"/>
        <v>E6_5_1_2_mRNA : 0</v>
      </c>
      <c r="J386" s="34" t="str">
        <f t="shared" si="67"/>
        <v>E6_5_1_2 : 0</v>
      </c>
      <c r="K386" s="35" t="str">
        <f t="shared" si="68"/>
        <v>0.00292 - (0.0093 * E6_5_1_2_mRNA)</v>
      </c>
      <c r="L386" s="30" t="str">
        <f t="shared" si="69"/>
        <v>(0.278 * E6_5_1_2_mRNA) - (0.00000278 * E6_5_1_2)</v>
      </c>
      <c r="M386" s="36" t="str">
        <f t="shared" si="70"/>
        <v>mRNA385: -&gt; E6_5_1_2_mRNA | 0.00292 - (0.0093 * E6_5_1_2_mRNA)</v>
      </c>
      <c r="N386" s="21" t="str">
        <f t="shared" si="71"/>
        <v>Peptide385:  E6_5_1_2_mRNA -&gt; E6_5_1_2 | (0.278 * E6_5_1_2_mRNA) - (0.00000278 * E6_5_1_2)</v>
      </c>
    </row>
    <row r="387" spans="1:14" x14ac:dyDescent="0.45">
      <c r="A387">
        <v>386</v>
      </c>
      <c r="B387" t="s">
        <v>15344</v>
      </c>
      <c r="C387" t="str">
        <f t="shared" ref="C387" si="73">CONCATENATE(D387,"_mRNA")</f>
        <v>E7_1_2_2_mRNA</v>
      </c>
      <c r="D387" t="str">
        <f t="shared" si="72"/>
        <v>E7_1_2_2</v>
      </c>
      <c r="E387" s="30" t="str">
        <f t="shared" ref="E387" si="74">CONCATENATE("E",B387,"_kcat : 13.7")</f>
        <v>E7_1_2_2_kcat : 13.7</v>
      </c>
      <c r="F387" s="31" t="str">
        <f t="shared" ref="F387" si="75">CONCATENATE("E",B387,"_km : 1")</f>
        <v>E7_1_2_2_km : 1</v>
      </c>
      <c r="G387" s="21" t="str">
        <f t="shared" ref="G387" si="76">CONCATENATE(C387, " : ",C387)</f>
        <v>E7_1_2_2_mRNA : E7_1_2_2_mRNA</v>
      </c>
      <c r="H387" s="32" t="str">
        <f t="shared" ref="H387" si="77">CONCATENATE(D387," : ",D387)</f>
        <v>E7_1_2_2 : E7_1_2_2</v>
      </c>
      <c r="I387" s="33" t="str">
        <f t="shared" ref="I387:J387" si="78">CONCATENATE(C387," : ","0")</f>
        <v>E7_1_2_2_mRNA : 0</v>
      </c>
      <c r="J387" s="34" t="str">
        <f t="shared" si="78"/>
        <v>E7_1_2_2 : 0</v>
      </c>
      <c r="K387" s="35" t="str">
        <f t="shared" ref="K387" si="79">CONCATENATE("0.00292 - (0.0093 * ",C387,")")</f>
        <v>0.00292 - (0.0093 * E7_1_2_2_mRNA)</v>
      </c>
      <c r="L387" s="30" t="str">
        <f t="shared" ref="L387" si="80">CONCATENATE("(0.278 * ",C387,")"," - (0.00000278 * ",D387,")")</f>
        <v>(0.278 * E7_1_2_2_mRNA) - (0.00000278 * E7_1_2_2)</v>
      </c>
      <c r="M387" s="36" t="str">
        <f t="shared" ref="M387" si="81">CONCATENATE("mRNA",A387,": -&gt; ",C387," | ","0.00292"," - ","(","0.0093"," * ",C387,")")</f>
        <v>mRNA386: -&gt; E7_1_2_2_mRNA | 0.00292 - (0.0093 * E7_1_2_2_mRNA)</v>
      </c>
      <c r="N387" s="21" t="str">
        <f t="shared" ref="N387" si="82">CONCATENATE("Peptide",A387,":  ",C387," -&gt; ",D387," | ","(","0.278"," * ",C387,")"," - ","(","0.00000278"," * ",D387,")")</f>
        <v>Peptide386:  E7_1_2_2_mRNA -&gt; E7_1_2_2 | (0.278 * E7_1_2_2_mRNA) - (0.00000278 * E7_1_2_2)</v>
      </c>
    </row>
  </sheetData>
  <conditionalFormatting sqref="B1:B1048576">
    <cfRule type="duplicateValues" dxfId="0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2FFDF-B587-41B8-9C18-FC5569C24608}">
  <dimension ref="A1:K2092"/>
  <sheetViews>
    <sheetView zoomScaleNormal="100" workbookViewId="0">
      <pane ySplit="1" topLeftCell="A2" activePane="bottomLeft" state="frozen"/>
      <selection activeCell="C9" sqref="C9"/>
      <selection pane="bottomLeft"/>
    </sheetView>
  </sheetViews>
  <sheetFormatPr defaultColWidth="8.73046875" defaultRowHeight="14.25" x14ac:dyDescent="0.45"/>
  <cols>
    <col min="1" max="1" width="17.59765625" style="9" customWidth="1"/>
    <col min="2" max="2" width="17.19921875" style="9" bestFit="1" customWidth="1"/>
    <col min="3" max="3" width="10.73046875" style="9" customWidth="1"/>
    <col min="4" max="4" width="5.06640625" style="9" customWidth="1"/>
    <col min="5" max="5" width="10.06640625" style="9" customWidth="1"/>
    <col min="6" max="9" width="17.33203125" style="9" customWidth="1"/>
    <col min="10" max="10" width="52.46484375" style="9" customWidth="1"/>
    <col min="11" max="11" width="67.796875" style="9" customWidth="1"/>
    <col min="12" max="16384" width="8.73046875" style="9"/>
  </cols>
  <sheetData>
    <row r="1" spans="1:11" s="11" customFormat="1" ht="28.5" x14ac:dyDescent="0.45">
      <c r="A1" s="6" t="s">
        <v>15345</v>
      </c>
      <c r="B1" s="6" t="s">
        <v>15346</v>
      </c>
      <c r="C1" s="6" t="s">
        <v>14958</v>
      </c>
      <c r="D1" s="6" t="s">
        <v>10300</v>
      </c>
      <c r="E1" s="6" t="s">
        <v>10301</v>
      </c>
      <c r="F1" s="11" t="s">
        <v>10302</v>
      </c>
      <c r="G1" s="11" t="s">
        <v>10303</v>
      </c>
      <c r="H1" s="11" t="s">
        <v>10304</v>
      </c>
      <c r="I1" s="11" t="s">
        <v>10305</v>
      </c>
      <c r="J1" s="11" t="s">
        <v>10306</v>
      </c>
      <c r="K1" s="37" t="s">
        <v>10307</v>
      </c>
    </row>
    <row r="2" spans="1:11" ht="42.75" x14ac:dyDescent="0.45">
      <c r="A2" t="s">
        <v>1263</v>
      </c>
      <c r="B2" t="s">
        <v>1264</v>
      </c>
      <c r="C2" t="s">
        <v>14959</v>
      </c>
      <c r="D2">
        <v>1</v>
      </c>
      <c r="E2" t="str">
        <f>CONCATENATE("E",C2)</f>
        <v>E1_1_1_1</v>
      </c>
      <c r="F2" s="9" t="s">
        <v>15355</v>
      </c>
      <c r="G2" s="9" t="s">
        <v>15356</v>
      </c>
      <c r="H2" s="9" t="s">
        <v>15357</v>
      </c>
      <c r="I2" s="9" t="s">
        <v>15358</v>
      </c>
      <c r="J2" s="9" t="str">
        <f>CONCATENATE("(${Variables:",E2,"_kcat","} * ",E2," * ",G2,")","/(${Variables:",E2,"_km","} + (",E2," * ",G2,"))")</f>
        <v>(${Variables:E1_1_1_1_kcat} * E1_1_1_1 * C00226 * C00003)/(${Variables:E1_1_1_1_km} + (E1_1_1_1 * C00226 * C00003))</v>
      </c>
      <c r="K2" s="38" t="str">
        <f>CONCATENATE("r",D2,": ",F2," -&gt; ",H2," | ",J2)</f>
        <v>r1: C00226 + C00003 -&gt; C00071 + C00004 + C00080 | (${Variables:E1_1_1_1_kcat} * E1_1_1_1 * C00226 * C00003)/(${Variables:E1_1_1_1_km} + (E1_1_1_1 * C00226 * C00003))</v>
      </c>
    </row>
    <row r="3" spans="1:11" ht="42.75" x14ac:dyDescent="0.45">
      <c r="A3" t="s">
        <v>1263</v>
      </c>
      <c r="B3" t="s">
        <v>1264</v>
      </c>
      <c r="C3" t="s">
        <v>14959</v>
      </c>
      <c r="D3">
        <v>2</v>
      </c>
      <c r="E3" t="str">
        <f t="shared" ref="E3:E66" si="0">CONCATENATE("E",C3)</f>
        <v>E1_1_1_1</v>
      </c>
      <c r="F3" s="9" t="s">
        <v>15375</v>
      </c>
      <c r="G3" s="9" t="s">
        <v>15376</v>
      </c>
      <c r="H3" s="9" t="s">
        <v>15377</v>
      </c>
      <c r="I3" s="9" t="s">
        <v>15378</v>
      </c>
      <c r="J3" s="9" t="str">
        <f t="shared" ref="J3:J66" si="1">CONCATENATE("(${Variables:",E3,"_kcat","} * ",E3," * ",G3,")","/(${Variables:",E3,"_km","} + (",E3," * ",G3,"))")</f>
        <v>(${Variables:E1_1_1_1_kcat} * E1_1_1_1 * C01612 * C00003)/(${Variables:E1_1_1_1_km} + (E1_1_1_1 * C01612 * C00003))</v>
      </c>
      <c r="K3" s="38" t="str">
        <f t="shared" ref="K3:K66" si="2">CONCATENATE("r",D3,": ",F3," -&gt; ",H3," | ",J3)</f>
        <v>r2: C01612 + C00003 -&gt; C01450 + C00004 + C00080 | (${Variables:E1_1_1_1_kcat} * E1_1_1_1 * C01612 * C00003)/(${Variables:E1_1_1_1_km} + (E1_1_1_1 * C01612 * C00003))</v>
      </c>
    </row>
    <row r="4" spans="1:11" ht="42.75" x14ac:dyDescent="0.45">
      <c r="A4" t="s">
        <v>1263</v>
      </c>
      <c r="B4" t="s">
        <v>1264</v>
      </c>
      <c r="C4" t="s">
        <v>14959</v>
      </c>
      <c r="D4">
        <v>3</v>
      </c>
      <c r="E4" t="str">
        <f t="shared" si="0"/>
        <v>E1_1_1_1</v>
      </c>
      <c r="F4" s="9" t="s">
        <v>15363</v>
      </c>
      <c r="G4" s="9" t="s">
        <v>15364</v>
      </c>
      <c r="H4" s="9" t="s">
        <v>15365</v>
      </c>
      <c r="I4" s="9" t="s">
        <v>15366</v>
      </c>
      <c r="J4" s="9" t="str">
        <f t="shared" si="1"/>
        <v>(${Variables:E1_1_1_1_kcat} * E1_1_1_1 * C00469 * C00003)/(${Variables:E1_1_1_1_km} + (E1_1_1_1 * C00469 * C00003))</v>
      </c>
      <c r="K4" s="38" t="str">
        <f t="shared" si="2"/>
        <v>r3: C00469 + C00003 -&gt; C00084 + C00004 + C00080 | (${Variables:E1_1_1_1_kcat} * E1_1_1_1 * C00469 * C00003)/(${Variables:E1_1_1_1_km} + (E1_1_1_1 * C00469 * C00003))</v>
      </c>
    </row>
    <row r="5" spans="1:11" ht="42.75" x14ac:dyDescent="0.45">
      <c r="A5" t="s">
        <v>1263</v>
      </c>
      <c r="B5" t="s">
        <v>1264</v>
      </c>
      <c r="C5" t="s">
        <v>14959</v>
      </c>
      <c r="D5">
        <v>4</v>
      </c>
      <c r="E5" t="str">
        <f t="shared" si="0"/>
        <v>E1_1_1_1</v>
      </c>
      <c r="F5" s="9" t="s">
        <v>15367</v>
      </c>
      <c r="G5" s="9" t="s">
        <v>15368</v>
      </c>
      <c r="H5" s="9" t="s">
        <v>15369</v>
      </c>
      <c r="I5" s="9" t="s">
        <v>15370</v>
      </c>
      <c r="J5" s="9" t="str">
        <f t="shared" si="1"/>
        <v>(${Variables:E1_1_1_1_kcat} * E1_1_1_1 * C00473 * C00003)/(${Variables:E1_1_1_1_km} + (E1_1_1_1 * C00473 * C00003))</v>
      </c>
      <c r="K5" s="38" t="str">
        <f t="shared" si="2"/>
        <v>r4: C00473 + C00003 -&gt; C00376 + C00004 + C00080 | (${Variables:E1_1_1_1_kcat} * E1_1_1_1 * C00473 * C00003)/(${Variables:E1_1_1_1_km} + (E1_1_1_1 * C00473 * C00003))</v>
      </c>
    </row>
    <row r="6" spans="1:11" ht="42.75" x14ac:dyDescent="0.45">
      <c r="A6" t="s">
        <v>1263</v>
      </c>
      <c r="B6" t="s">
        <v>1264</v>
      </c>
      <c r="C6" t="s">
        <v>14959</v>
      </c>
      <c r="D6">
        <v>5</v>
      </c>
      <c r="E6" t="str">
        <f t="shared" si="0"/>
        <v>E1_1_1_1</v>
      </c>
      <c r="F6" s="9" t="s">
        <v>15371</v>
      </c>
      <c r="G6" s="9" t="s">
        <v>15372</v>
      </c>
      <c r="H6" s="9" t="s">
        <v>15373</v>
      </c>
      <c r="I6" s="9" t="s">
        <v>15374</v>
      </c>
      <c r="J6" s="9" t="str">
        <f t="shared" si="1"/>
        <v>(${Variables:E1_1_1_1_kcat} * E1_1_1_1 * C00756 * C00003)/(${Variables:E1_1_1_1_km} + (E1_1_1_1 * C00756 * C00003))</v>
      </c>
      <c r="K6" s="38" t="str">
        <f t="shared" si="2"/>
        <v>r5: C00756 + C00003 -&gt; C01545 + C00004 + C00080 | (${Variables:E1_1_1_1_kcat} * E1_1_1_1 * C00756 * C00003)/(${Variables:E1_1_1_1_km} + (E1_1_1_1 * C00756 * C00003))</v>
      </c>
    </row>
    <row r="7" spans="1:11" ht="42.75" x14ac:dyDescent="0.45">
      <c r="A7" t="s">
        <v>1263</v>
      </c>
      <c r="B7" t="s">
        <v>1264</v>
      </c>
      <c r="C7" t="s">
        <v>14959</v>
      </c>
      <c r="D7">
        <v>6</v>
      </c>
      <c r="E7" t="str">
        <f t="shared" si="0"/>
        <v>E1_1_1_1</v>
      </c>
      <c r="F7" s="9" t="s">
        <v>15383</v>
      </c>
      <c r="G7" s="9" t="s">
        <v>15384</v>
      </c>
      <c r="H7" s="9" t="s">
        <v>15385</v>
      </c>
      <c r="I7" s="9" t="s">
        <v>15386</v>
      </c>
      <c r="J7" s="9" t="str">
        <f t="shared" si="1"/>
        <v>(${Variables:E1_1_1_1_kcat} * E1_1_1_1 * C05444 * C00003)/(${Variables:E1_1_1_1_km} + (E1_1_1_1 * C05444 * C00003))</v>
      </c>
      <c r="K7" s="38" t="str">
        <f t="shared" si="2"/>
        <v>r6: C05444 + C00003 -&gt; C05445 + C00004 + C00080 | (${Variables:E1_1_1_1_kcat} * E1_1_1_1 * C05444 * C00003)/(${Variables:E1_1_1_1_km} + (E1_1_1_1 * C05444 * C00003))</v>
      </c>
    </row>
    <row r="8" spans="1:11" ht="42.75" x14ac:dyDescent="0.45">
      <c r="A8" t="s">
        <v>1263</v>
      </c>
      <c r="B8" t="s">
        <v>1264</v>
      </c>
      <c r="C8" t="s">
        <v>14959</v>
      </c>
      <c r="D8">
        <v>7</v>
      </c>
      <c r="E8" t="str">
        <f t="shared" si="0"/>
        <v>E1_1_1_1</v>
      </c>
      <c r="F8" s="9" t="s">
        <v>15387</v>
      </c>
      <c r="G8" s="9" t="s">
        <v>15388</v>
      </c>
      <c r="H8" s="9" t="s">
        <v>15389</v>
      </c>
      <c r="I8" s="9" t="s">
        <v>15390</v>
      </c>
      <c r="J8" s="9" t="str">
        <f t="shared" si="1"/>
        <v>(${Variables:E1_1_1_1_kcat} * E1_1_1_1 * C05576 * C00003)/(${Variables:E1_1_1_1_km} + (E1_1_1_1 * C05576 * C00003))</v>
      </c>
      <c r="K8" s="38" t="str">
        <f t="shared" si="2"/>
        <v>r7: C05576 + C00003 -&gt; C05577 + C00004 + C00080 | (${Variables:E1_1_1_1_kcat} * E1_1_1_1 * C05576 * C00003)/(${Variables:E1_1_1_1_km} + (E1_1_1_1 * C05576 * C00003))</v>
      </c>
    </row>
    <row r="9" spans="1:11" ht="42.75" x14ac:dyDescent="0.45">
      <c r="A9" t="s">
        <v>1263</v>
      </c>
      <c r="B9" t="s">
        <v>1264</v>
      </c>
      <c r="C9" t="s">
        <v>14959</v>
      </c>
      <c r="D9">
        <v>8</v>
      </c>
      <c r="E9" t="str">
        <f t="shared" si="0"/>
        <v>E1_1_1_1</v>
      </c>
      <c r="F9" s="9" t="s">
        <v>15391</v>
      </c>
      <c r="G9" s="9" t="s">
        <v>15392</v>
      </c>
      <c r="H9" s="9" t="s">
        <v>15393</v>
      </c>
      <c r="I9" s="9" t="s">
        <v>15394</v>
      </c>
      <c r="J9" s="9" t="str">
        <f t="shared" si="1"/>
        <v>(${Variables:E1_1_1_1_kcat} * E1_1_1_1 * C06611 * C00003)/(${Variables:E1_1_1_1_km} + (E1_1_1_1 * C06611 * C00003))</v>
      </c>
      <c r="K9" s="38" t="str">
        <f t="shared" si="2"/>
        <v>r8: C06611 + C00003 -&gt; C06613 + C00004 + C00080 | (${Variables:E1_1_1_1_kcat} * E1_1_1_1 * C06611 * C00003)/(${Variables:E1_1_1_1_km} + (E1_1_1_1 * C06611 * C00003))</v>
      </c>
    </row>
    <row r="10" spans="1:11" ht="42.75" x14ac:dyDescent="0.45">
      <c r="A10" t="s">
        <v>1263</v>
      </c>
      <c r="B10" t="s">
        <v>1264</v>
      </c>
      <c r="C10" t="s">
        <v>14959</v>
      </c>
      <c r="D10">
        <v>9</v>
      </c>
      <c r="E10" t="str">
        <f t="shared" si="0"/>
        <v>E1_1_1_1</v>
      </c>
      <c r="F10" s="9" t="s">
        <v>15395</v>
      </c>
      <c r="G10" s="9" t="s">
        <v>15396</v>
      </c>
      <c r="H10" s="9" t="s">
        <v>15397</v>
      </c>
      <c r="I10" s="9" t="s">
        <v>15398</v>
      </c>
      <c r="J10" s="9" t="str">
        <f t="shared" si="1"/>
        <v>(${Variables:E1_1_1_1_kcat} * E1_1_1_1 * C06612 * C00003)/(${Variables:E1_1_1_1_km} + (E1_1_1_1 * C06612 * C00003))</v>
      </c>
      <c r="K10" s="38" t="str">
        <f t="shared" si="2"/>
        <v>r9: C06612 + C00003 -&gt; C16348 + C00004 + C00080 | (${Variables:E1_1_1_1_kcat} * E1_1_1_1 * C06612 * C00003)/(${Variables:E1_1_1_1_km} + (E1_1_1_1 * C06612 * C00003))</v>
      </c>
    </row>
    <row r="11" spans="1:11" ht="42.75" x14ac:dyDescent="0.45">
      <c r="A11" t="s">
        <v>1263</v>
      </c>
      <c r="B11" t="s">
        <v>1264</v>
      </c>
      <c r="C11" t="s">
        <v>14959</v>
      </c>
      <c r="D11">
        <v>10</v>
      </c>
      <c r="E11" t="str">
        <f t="shared" si="0"/>
        <v>E1_1_1_1</v>
      </c>
      <c r="F11" s="9" t="s">
        <v>15407</v>
      </c>
      <c r="G11" s="9" t="s">
        <v>15408</v>
      </c>
      <c r="H11" s="9" t="s">
        <v>15409</v>
      </c>
      <c r="I11" s="9" t="s">
        <v>15410</v>
      </c>
      <c r="J11" s="9" t="str">
        <f t="shared" si="1"/>
        <v>(${Variables:E1_1_1_1_kcat} * E1_1_1_1 * C14089 * C00003)/(${Variables:E1_1_1_1_km} + (E1_1_1_1 * C14089 * C00003))</v>
      </c>
      <c r="K11" s="38" t="str">
        <f t="shared" si="2"/>
        <v>r10: C14089 + C00003 -&gt; C14090 + C00004 + C00080 | (${Variables:E1_1_1_1_kcat} * E1_1_1_1 * C14089 * C00003)/(${Variables:E1_1_1_1_km} + (E1_1_1_1 * C14089 * C00003))</v>
      </c>
    </row>
    <row r="12" spans="1:11" ht="42.75" x14ac:dyDescent="0.45">
      <c r="A12" t="s">
        <v>1263</v>
      </c>
      <c r="B12" t="s">
        <v>1264</v>
      </c>
      <c r="C12" t="s">
        <v>14959</v>
      </c>
      <c r="D12">
        <v>11</v>
      </c>
      <c r="E12" t="str">
        <f t="shared" si="0"/>
        <v>E1_1_1_1</v>
      </c>
      <c r="F12" s="9" t="s">
        <v>15379</v>
      </c>
      <c r="G12" s="9" t="s">
        <v>15380</v>
      </c>
      <c r="H12" s="9" t="s">
        <v>15381</v>
      </c>
      <c r="I12" s="9" t="s">
        <v>15382</v>
      </c>
      <c r="J12" s="9" t="str">
        <f t="shared" si="1"/>
        <v>(${Variables:E1_1_1_1_kcat} * E1_1_1_1 * C02909 * C00003)/(${Variables:E1_1_1_1_km} + (E1_1_1_1 * C02909 * C00003))</v>
      </c>
      <c r="K12" s="38" t="str">
        <f t="shared" si="2"/>
        <v>r11: C02909 + C00003 -&gt; C14099 + C00004 + C00080 | (${Variables:E1_1_1_1_kcat} * E1_1_1_1 * C02909 * C00003)/(${Variables:E1_1_1_1_km} + (E1_1_1_1 * C02909 * C00003))</v>
      </c>
    </row>
    <row r="13" spans="1:11" ht="42.75" x14ac:dyDescent="0.45">
      <c r="A13" t="s">
        <v>1263</v>
      </c>
      <c r="B13" t="s">
        <v>1264</v>
      </c>
      <c r="C13" t="s">
        <v>14959</v>
      </c>
      <c r="D13">
        <v>12</v>
      </c>
      <c r="E13" t="str">
        <f t="shared" si="0"/>
        <v>E1_1_1_1</v>
      </c>
      <c r="F13" s="9" t="s">
        <v>15403</v>
      </c>
      <c r="G13" s="9" t="s">
        <v>15404</v>
      </c>
      <c r="H13" s="9" t="s">
        <v>15405</v>
      </c>
      <c r="I13" s="9" t="s">
        <v>15406</v>
      </c>
      <c r="J13" s="9" t="str">
        <f t="shared" si="1"/>
        <v>(${Variables:E1_1_1_1_kcat} * E1_1_1_1 * C07645 * C00004 * C00080)/(${Variables:E1_1_1_1_km} + (E1_1_1_1 * C07645 * C00004 * C00080))</v>
      </c>
      <c r="K13" s="38" t="str">
        <f t="shared" si="2"/>
        <v>r12: C07645 + C00004 + C00080 -&gt; C16551 + C00003 | (${Variables:E1_1_1_1_kcat} * E1_1_1_1 * C07645 * C00004 * C00080)/(${Variables:E1_1_1_1_km} + (E1_1_1_1 * C07645 * C00004 * C00080))</v>
      </c>
    </row>
    <row r="14" spans="1:11" ht="42.75" x14ac:dyDescent="0.45">
      <c r="A14" t="s">
        <v>1263</v>
      </c>
      <c r="B14" t="s">
        <v>1264</v>
      </c>
      <c r="C14" t="s">
        <v>14959</v>
      </c>
      <c r="D14">
        <v>13</v>
      </c>
      <c r="E14" t="str">
        <f t="shared" si="0"/>
        <v>E1_1_1_1</v>
      </c>
      <c r="F14" s="9" t="s">
        <v>15415</v>
      </c>
      <c r="G14" s="9" t="s">
        <v>15416</v>
      </c>
      <c r="H14" s="9" t="s">
        <v>15417</v>
      </c>
      <c r="I14" s="9" t="s">
        <v>15418</v>
      </c>
      <c r="J14" s="9" t="str">
        <f t="shared" si="1"/>
        <v>(${Variables:E1_1_1_1_kcat} * E1_1_1_1 * C16586 * C00003)/(${Variables:E1_1_1_1_km} + (E1_1_1_1 * C16586 * C00003))</v>
      </c>
      <c r="K14" s="38" t="str">
        <f t="shared" si="2"/>
        <v>r13: C16586 + C00003 -&gt; C16587 + C00004 + C00080 | (${Variables:E1_1_1_1_kcat} * E1_1_1_1 * C16586 * C00003)/(${Variables:E1_1_1_1_km} + (E1_1_1_1 * C16586 * C00003))</v>
      </c>
    </row>
    <row r="15" spans="1:11" ht="42.75" x14ac:dyDescent="0.45">
      <c r="A15" t="s">
        <v>1263</v>
      </c>
      <c r="B15" t="s">
        <v>1264</v>
      </c>
      <c r="C15" t="s">
        <v>14959</v>
      </c>
      <c r="D15">
        <v>14</v>
      </c>
      <c r="E15" t="str">
        <f t="shared" si="0"/>
        <v>E1_1_1_1</v>
      </c>
      <c r="F15" s="9" t="s">
        <v>15347</v>
      </c>
      <c r="G15" s="9" t="s">
        <v>15348</v>
      </c>
      <c r="H15" s="9" t="s">
        <v>15349</v>
      </c>
      <c r="I15" s="9" t="s">
        <v>15350</v>
      </c>
      <c r="J15" s="9" t="str">
        <f t="shared" si="1"/>
        <v>(${Variables:E1_1_1_1_kcat} * E1_1_1_1 * C00114 * C00003)/(${Variables:E1_1_1_1_km} + (E1_1_1_1 * C00114 * C00003))</v>
      </c>
      <c r="K15" s="38" t="str">
        <f t="shared" si="2"/>
        <v>r14: C00114 + C00003 -&gt; C00576 + C00004 + C00080 | (${Variables:E1_1_1_1_kcat} * E1_1_1_1 * C00114 * C00003)/(${Variables:E1_1_1_1_km} + (E1_1_1_1 * C00114 * C00003))</v>
      </c>
    </row>
    <row r="16" spans="1:11" ht="42.75" x14ac:dyDescent="0.45">
      <c r="A16" t="s">
        <v>1263</v>
      </c>
      <c r="B16" t="s">
        <v>1264</v>
      </c>
      <c r="C16" t="s">
        <v>14959</v>
      </c>
      <c r="D16">
        <v>15</v>
      </c>
      <c r="E16" t="str">
        <f t="shared" si="0"/>
        <v>E1_1_1_1</v>
      </c>
      <c r="F16" s="9" t="s">
        <v>15351</v>
      </c>
      <c r="G16" s="9" t="s">
        <v>15352</v>
      </c>
      <c r="H16" s="9" t="s">
        <v>15353</v>
      </c>
      <c r="I16" s="9" t="s">
        <v>15354</v>
      </c>
      <c r="J16" s="9" t="str">
        <f t="shared" si="1"/>
        <v>(${Variables:E1_1_1_1_kcat} * E1_1_1_1 * C00114 * C00006)/(${Variables:E1_1_1_1_km} + (E1_1_1_1 * C00114 * C00006))</v>
      </c>
      <c r="K16" s="38" t="str">
        <f t="shared" si="2"/>
        <v>r15: C00114 + C00006 -&gt; C00576 + C00005 + C00080 | (${Variables:E1_1_1_1_kcat} * E1_1_1_1 * C00114 * C00006)/(${Variables:E1_1_1_1_km} + (E1_1_1_1 * C00114 * C00006))</v>
      </c>
    </row>
    <row r="17" spans="1:11" ht="42.75" x14ac:dyDescent="0.45">
      <c r="A17" t="s">
        <v>1263</v>
      </c>
      <c r="B17" t="s">
        <v>1264</v>
      </c>
      <c r="C17" t="s">
        <v>14959</v>
      </c>
      <c r="D17">
        <v>16</v>
      </c>
      <c r="E17" t="str">
        <f t="shared" si="0"/>
        <v>E1_1_1_1</v>
      </c>
      <c r="F17" s="9" t="s">
        <v>15411</v>
      </c>
      <c r="G17" s="9" t="s">
        <v>15412</v>
      </c>
      <c r="H17" s="9" t="s">
        <v>15413</v>
      </c>
      <c r="I17" s="9" t="s">
        <v>15414</v>
      </c>
      <c r="J17" s="9" t="str">
        <f t="shared" si="1"/>
        <v>(${Variables:E1_1_1_1_kcat} * E1_1_1_1 * C16310 * C00004 * C00080)/(${Variables:E1_1_1_1_km} + (E1_1_1_1 * C16310 * C00004 * C00080))</v>
      </c>
      <c r="K17" s="38" t="str">
        <f t="shared" si="2"/>
        <v>r16: C16310 + C00004 + C00080 -&gt; C08492 + C00003 | (${Variables:E1_1_1_1_kcat} * E1_1_1_1 * C16310 * C00004 * C00080)/(${Variables:E1_1_1_1_km} + (E1_1_1_1 * C16310 * C00004 * C00080))</v>
      </c>
    </row>
    <row r="18" spans="1:11" ht="42.75" x14ac:dyDescent="0.45">
      <c r="A18" t="s">
        <v>1263</v>
      </c>
      <c r="B18" t="s">
        <v>1264</v>
      </c>
      <c r="C18" t="s">
        <v>14959</v>
      </c>
      <c r="D18">
        <v>17</v>
      </c>
      <c r="E18" t="str">
        <f t="shared" si="0"/>
        <v>E1_1_1_1</v>
      </c>
      <c r="F18" s="9" t="s">
        <v>15419</v>
      </c>
      <c r="G18" s="9" t="s">
        <v>15420</v>
      </c>
      <c r="H18" s="9" t="s">
        <v>15421</v>
      </c>
      <c r="I18" s="9" t="s">
        <v>15422</v>
      </c>
      <c r="J18" s="9" t="str">
        <f t="shared" si="1"/>
        <v>(${Variables:E1_1_1_1_kcat} * E1_1_1_1 * C16595 * C00003)/(${Variables:E1_1_1_1_km} + (E1_1_1_1 * C16595 * C00003))</v>
      </c>
      <c r="K18" s="38" t="str">
        <f t="shared" si="2"/>
        <v>r17: C16595 + C00003 -&gt; C16596 + C00004 + C00080 | (${Variables:E1_1_1_1_kcat} * E1_1_1_1 * C16595 * C00003)/(${Variables:E1_1_1_1_km} + (E1_1_1_1 * C16595 * C00003))</v>
      </c>
    </row>
    <row r="19" spans="1:11" ht="42.75" x14ac:dyDescent="0.45">
      <c r="A19" t="s">
        <v>1263</v>
      </c>
      <c r="B19" t="s">
        <v>1264</v>
      </c>
      <c r="C19" t="s">
        <v>14959</v>
      </c>
      <c r="D19">
        <v>18</v>
      </c>
      <c r="E19" t="str">
        <f t="shared" si="0"/>
        <v>E1_1_1_1</v>
      </c>
      <c r="F19" s="9" t="s">
        <v>15359</v>
      </c>
      <c r="G19" s="9" t="s">
        <v>15360</v>
      </c>
      <c r="H19" s="9" t="s">
        <v>15361</v>
      </c>
      <c r="I19" s="9" t="s">
        <v>15362</v>
      </c>
      <c r="J19" s="9" t="str">
        <f t="shared" si="1"/>
        <v>(${Variables:E1_1_1_1_kcat} * E1_1_1_1 * C00418 * C00003)/(${Variables:E1_1_1_1_km} + (E1_1_1_1 * C00418 * C00003))</v>
      </c>
      <c r="K19" s="38" t="str">
        <f t="shared" si="2"/>
        <v>r18: C00418 + C00003 -&gt; C00772 + C00004 + C00080 | (${Variables:E1_1_1_1_kcat} * E1_1_1_1 * C00418 * C00003)/(${Variables:E1_1_1_1_km} + (E1_1_1_1 * C00418 * C00003))</v>
      </c>
    </row>
    <row r="20" spans="1:11" ht="42.75" x14ac:dyDescent="0.45">
      <c r="A20" t="s">
        <v>1263</v>
      </c>
      <c r="B20" t="s">
        <v>1264</v>
      </c>
      <c r="C20" t="s">
        <v>14959</v>
      </c>
      <c r="D20">
        <v>19</v>
      </c>
      <c r="E20" t="str">
        <f t="shared" si="0"/>
        <v>E1_1_1_1</v>
      </c>
      <c r="F20" s="9" t="s">
        <v>15399</v>
      </c>
      <c r="G20" s="9" t="s">
        <v>15400</v>
      </c>
      <c r="H20" s="9" t="s">
        <v>15401</v>
      </c>
      <c r="I20" s="9" t="s">
        <v>15402</v>
      </c>
      <c r="J20" s="9" t="str">
        <f t="shared" si="1"/>
        <v>(${Variables:E1_1_1_1_kcat} * E1_1_1_1 * C06899 * C00004 * C00080)/(${Variables:E1_1_1_1_km} + (E1_1_1_1 * C06899 * C00004 * C00080))</v>
      </c>
      <c r="K20" s="38" t="str">
        <f t="shared" si="2"/>
        <v>r19: C06899 + C00004 + C00080 -&gt; C07490 + C00003 + C00001 | (${Variables:E1_1_1_1_kcat} * E1_1_1_1 * C06899 * C00004 * C00080)/(${Variables:E1_1_1_1_km} + (E1_1_1_1 * C06899 * C00004 * C00080))</v>
      </c>
    </row>
    <row r="21" spans="1:11" ht="42.75" x14ac:dyDescent="0.45">
      <c r="A21" t="s">
        <v>8200</v>
      </c>
      <c r="B21" t="s">
        <v>8201</v>
      </c>
      <c r="C21" t="s">
        <v>14959</v>
      </c>
      <c r="D21">
        <v>20</v>
      </c>
      <c r="E21" t="str">
        <f t="shared" si="0"/>
        <v>E1_1_1_1</v>
      </c>
      <c r="F21" s="9" t="s">
        <v>15355</v>
      </c>
      <c r="G21" s="9" t="s">
        <v>15356</v>
      </c>
      <c r="H21" s="9" t="s">
        <v>15357</v>
      </c>
      <c r="I21" s="9" t="s">
        <v>15358</v>
      </c>
      <c r="J21" s="9" t="str">
        <f t="shared" si="1"/>
        <v>(${Variables:E1_1_1_1_kcat} * E1_1_1_1 * C00226 * C00003)/(${Variables:E1_1_1_1_km} + (E1_1_1_1 * C00226 * C00003))</v>
      </c>
      <c r="K21" s="38" t="str">
        <f t="shared" si="2"/>
        <v>r20: C00226 + C00003 -&gt; C00071 + C00004 + C00080 | (${Variables:E1_1_1_1_kcat} * E1_1_1_1 * C00226 * C00003)/(${Variables:E1_1_1_1_km} + (E1_1_1_1 * C00226 * C00003))</v>
      </c>
    </row>
    <row r="22" spans="1:11" ht="42.75" x14ac:dyDescent="0.45">
      <c r="A22" t="s">
        <v>8200</v>
      </c>
      <c r="B22" t="s">
        <v>8201</v>
      </c>
      <c r="C22" t="s">
        <v>14959</v>
      </c>
      <c r="D22">
        <v>21</v>
      </c>
      <c r="E22" t="str">
        <f t="shared" si="0"/>
        <v>E1_1_1_1</v>
      </c>
      <c r="F22" s="9" t="s">
        <v>15375</v>
      </c>
      <c r="G22" s="9" t="s">
        <v>15376</v>
      </c>
      <c r="H22" s="9" t="s">
        <v>15377</v>
      </c>
      <c r="I22" s="9" t="s">
        <v>15378</v>
      </c>
      <c r="J22" s="9" t="str">
        <f t="shared" si="1"/>
        <v>(${Variables:E1_1_1_1_kcat} * E1_1_1_1 * C01612 * C00003)/(${Variables:E1_1_1_1_km} + (E1_1_1_1 * C01612 * C00003))</v>
      </c>
      <c r="K22" s="38" t="str">
        <f t="shared" si="2"/>
        <v>r21: C01612 + C00003 -&gt; C01450 + C00004 + C00080 | (${Variables:E1_1_1_1_kcat} * E1_1_1_1 * C01612 * C00003)/(${Variables:E1_1_1_1_km} + (E1_1_1_1 * C01612 * C00003))</v>
      </c>
    </row>
    <row r="23" spans="1:11" ht="42.75" x14ac:dyDescent="0.45">
      <c r="A23" t="s">
        <v>8200</v>
      </c>
      <c r="B23" t="s">
        <v>8201</v>
      </c>
      <c r="C23" t="s">
        <v>14959</v>
      </c>
      <c r="D23">
        <v>22</v>
      </c>
      <c r="E23" t="str">
        <f t="shared" si="0"/>
        <v>E1_1_1_1</v>
      </c>
      <c r="F23" s="9" t="s">
        <v>15363</v>
      </c>
      <c r="G23" s="9" t="s">
        <v>15364</v>
      </c>
      <c r="H23" s="9" t="s">
        <v>15365</v>
      </c>
      <c r="I23" s="9" t="s">
        <v>15366</v>
      </c>
      <c r="J23" s="9" t="str">
        <f t="shared" si="1"/>
        <v>(${Variables:E1_1_1_1_kcat} * E1_1_1_1 * C00469 * C00003)/(${Variables:E1_1_1_1_km} + (E1_1_1_1 * C00469 * C00003))</v>
      </c>
      <c r="K23" s="38" t="str">
        <f t="shared" si="2"/>
        <v>r22: C00469 + C00003 -&gt; C00084 + C00004 + C00080 | (${Variables:E1_1_1_1_kcat} * E1_1_1_1 * C00469 * C00003)/(${Variables:E1_1_1_1_km} + (E1_1_1_1 * C00469 * C00003))</v>
      </c>
    </row>
    <row r="24" spans="1:11" ht="42.75" x14ac:dyDescent="0.45">
      <c r="A24" t="s">
        <v>8200</v>
      </c>
      <c r="B24" t="s">
        <v>8201</v>
      </c>
      <c r="C24" t="s">
        <v>14959</v>
      </c>
      <c r="D24">
        <v>23</v>
      </c>
      <c r="E24" t="str">
        <f t="shared" si="0"/>
        <v>E1_1_1_1</v>
      </c>
      <c r="F24" s="9" t="s">
        <v>15367</v>
      </c>
      <c r="G24" s="9" t="s">
        <v>15368</v>
      </c>
      <c r="H24" s="9" t="s">
        <v>15369</v>
      </c>
      <c r="I24" s="9" t="s">
        <v>15370</v>
      </c>
      <c r="J24" s="9" t="str">
        <f t="shared" si="1"/>
        <v>(${Variables:E1_1_1_1_kcat} * E1_1_1_1 * C00473 * C00003)/(${Variables:E1_1_1_1_km} + (E1_1_1_1 * C00473 * C00003))</v>
      </c>
      <c r="K24" s="38" t="str">
        <f t="shared" si="2"/>
        <v>r23: C00473 + C00003 -&gt; C00376 + C00004 + C00080 | (${Variables:E1_1_1_1_kcat} * E1_1_1_1 * C00473 * C00003)/(${Variables:E1_1_1_1_km} + (E1_1_1_1 * C00473 * C00003))</v>
      </c>
    </row>
    <row r="25" spans="1:11" ht="42.75" x14ac:dyDescent="0.45">
      <c r="A25" t="s">
        <v>8200</v>
      </c>
      <c r="B25" t="s">
        <v>8201</v>
      </c>
      <c r="C25" t="s">
        <v>14959</v>
      </c>
      <c r="D25">
        <v>24</v>
      </c>
      <c r="E25" t="str">
        <f t="shared" si="0"/>
        <v>E1_1_1_1</v>
      </c>
      <c r="F25" s="9" t="s">
        <v>15371</v>
      </c>
      <c r="G25" s="9" t="s">
        <v>15372</v>
      </c>
      <c r="H25" s="9" t="s">
        <v>15373</v>
      </c>
      <c r="I25" s="9" t="s">
        <v>15374</v>
      </c>
      <c r="J25" s="9" t="str">
        <f t="shared" si="1"/>
        <v>(${Variables:E1_1_1_1_kcat} * E1_1_1_1 * C00756 * C00003)/(${Variables:E1_1_1_1_km} + (E1_1_1_1 * C00756 * C00003))</v>
      </c>
      <c r="K25" s="38" t="str">
        <f t="shared" si="2"/>
        <v>r24: C00756 + C00003 -&gt; C01545 + C00004 + C00080 | (${Variables:E1_1_1_1_kcat} * E1_1_1_1 * C00756 * C00003)/(${Variables:E1_1_1_1_km} + (E1_1_1_1 * C00756 * C00003))</v>
      </c>
    </row>
    <row r="26" spans="1:11" ht="42.75" x14ac:dyDescent="0.45">
      <c r="A26" t="s">
        <v>8200</v>
      </c>
      <c r="B26" t="s">
        <v>8201</v>
      </c>
      <c r="C26" t="s">
        <v>14959</v>
      </c>
      <c r="D26">
        <v>25</v>
      </c>
      <c r="E26" t="str">
        <f t="shared" si="0"/>
        <v>E1_1_1_1</v>
      </c>
      <c r="F26" s="9" t="s">
        <v>15383</v>
      </c>
      <c r="G26" s="9" t="s">
        <v>15384</v>
      </c>
      <c r="H26" s="9" t="s">
        <v>15385</v>
      </c>
      <c r="I26" s="9" t="s">
        <v>15386</v>
      </c>
      <c r="J26" s="9" t="str">
        <f t="shared" si="1"/>
        <v>(${Variables:E1_1_1_1_kcat} * E1_1_1_1 * C05444 * C00003)/(${Variables:E1_1_1_1_km} + (E1_1_1_1 * C05444 * C00003))</v>
      </c>
      <c r="K26" s="38" t="str">
        <f t="shared" si="2"/>
        <v>r25: C05444 + C00003 -&gt; C05445 + C00004 + C00080 | (${Variables:E1_1_1_1_kcat} * E1_1_1_1 * C05444 * C00003)/(${Variables:E1_1_1_1_km} + (E1_1_1_1 * C05444 * C00003))</v>
      </c>
    </row>
    <row r="27" spans="1:11" ht="42.75" x14ac:dyDescent="0.45">
      <c r="A27" t="s">
        <v>8200</v>
      </c>
      <c r="B27" t="s">
        <v>8201</v>
      </c>
      <c r="C27" t="s">
        <v>14959</v>
      </c>
      <c r="D27">
        <v>26</v>
      </c>
      <c r="E27" t="str">
        <f t="shared" si="0"/>
        <v>E1_1_1_1</v>
      </c>
      <c r="F27" s="9" t="s">
        <v>15387</v>
      </c>
      <c r="G27" s="9" t="s">
        <v>15388</v>
      </c>
      <c r="H27" s="9" t="s">
        <v>15389</v>
      </c>
      <c r="I27" s="9" t="s">
        <v>15390</v>
      </c>
      <c r="J27" s="9" t="str">
        <f t="shared" si="1"/>
        <v>(${Variables:E1_1_1_1_kcat} * E1_1_1_1 * C05576 * C00003)/(${Variables:E1_1_1_1_km} + (E1_1_1_1 * C05576 * C00003))</v>
      </c>
      <c r="K27" s="38" t="str">
        <f t="shared" si="2"/>
        <v>r26: C05576 + C00003 -&gt; C05577 + C00004 + C00080 | (${Variables:E1_1_1_1_kcat} * E1_1_1_1 * C05576 * C00003)/(${Variables:E1_1_1_1_km} + (E1_1_1_1 * C05576 * C00003))</v>
      </c>
    </row>
    <row r="28" spans="1:11" ht="42.75" x14ac:dyDescent="0.45">
      <c r="A28" t="s">
        <v>8200</v>
      </c>
      <c r="B28" t="s">
        <v>8201</v>
      </c>
      <c r="C28" t="s">
        <v>14959</v>
      </c>
      <c r="D28">
        <v>27</v>
      </c>
      <c r="E28" t="str">
        <f t="shared" si="0"/>
        <v>E1_1_1_1</v>
      </c>
      <c r="F28" s="9" t="s">
        <v>15391</v>
      </c>
      <c r="G28" s="9" t="s">
        <v>15392</v>
      </c>
      <c r="H28" s="9" t="s">
        <v>15393</v>
      </c>
      <c r="I28" s="9" t="s">
        <v>15394</v>
      </c>
      <c r="J28" s="9" t="str">
        <f t="shared" si="1"/>
        <v>(${Variables:E1_1_1_1_kcat} * E1_1_1_1 * C06611 * C00003)/(${Variables:E1_1_1_1_km} + (E1_1_1_1 * C06611 * C00003))</v>
      </c>
      <c r="K28" s="38" t="str">
        <f t="shared" si="2"/>
        <v>r27: C06611 + C00003 -&gt; C06613 + C00004 + C00080 | (${Variables:E1_1_1_1_kcat} * E1_1_1_1 * C06611 * C00003)/(${Variables:E1_1_1_1_km} + (E1_1_1_1 * C06611 * C00003))</v>
      </c>
    </row>
    <row r="29" spans="1:11" ht="42.75" x14ac:dyDescent="0.45">
      <c r="A29" t="s">
        <v>8200</v>
      </c>
      <c r="B29" t="s">
        <v>8201</v>
      </c>
      <c r="C29" t="s">
        <v>14959</v>
      </c>
      <c r="D29">
        <v>28</v>
      </c>
      <c r="E29" t="str">
        <f t="shared" si="0"/>
        <v>E1_1_1_1</v>
      </c>
      <c r="F29" s="9" t="s">
        <v>15395</v>
      </c>
      <c r="G29" s="9" t="s">
        <v>15396</v>
      </c>
      <c r="H29" s="9" t="s">
        <v>15397</v>
      </c>
      <c r="I29" s="9" t="s">
        <v>15398</v>
      </c>
      <c r="J29" s="9" t="str">
        <f t="shared" si="1"/>
        <v>(${Variables:E1_1_1_1_kcat} * E1_1_1_1 * C06612 * C00003)/(${Variables:E1_1_1_1_km} + (E1_1_1_1 * C06612 * C00003))</v>
      </c>
      <c r="K29" s="38" t="str">
        <f t="shared" si="2"/>
        <v>r28: C06612 + C00003 -&gt; C16348 + C00004 + C00080 | (${Variables:E1_1_1_1_kcat} * E1_1_1_1 * C06612 * C00003)/(${Variables:E1_1_1_1_km} + (E1_1_1_1 * C06612 * C00003))</v>
      </c>
    </row>
    <row r="30" spans="1:11" ht="42.75" x14ac:dyDescent="0.45">
      <c r="A30" t="s">
        <v>8200</v>
      </c>
      <c r="B30" t="s">
        <v>8201</v>
      </c>
      <c r="C30" t="s">
        <v>14959</v>
      </c>
      <c r="D30">
        <v>29</v>
      </c>
      <c r="E30" t="str">
        <f t="shared" si="0"/>
        <v>E1_1_1_1</v>
      </c>
      <c r="F30" s="9" t="s">
        <v>15407</v>
      </c>
      <c r="G30" s="9" t="s">
        <v>15408</v>
      </c>
      <c r="H30" s="9" t="s">
        <v>15409</v>
      </c>
      <c r="I30" s="9" t="s">
        <v>15410</v>
      </c>
      <c r="J30" s="9" t="str">
        <f t="shared" si="1"/>
        <v>(${Variables:E1_1_1_1_kcat} * E1_1_1_1 * C14089 * C00003)/(${Variables:E1_1_1_1_km} + (E1_1_1_1 * C14089 * C00003))</v>
      </c>
      <c r="K30" s="38" t="str">
        <f t="shared" si="2"/>
        <v>r29: C14089 + C00003 -&gt; C14090 + C00004 + C00080 | (${Variables:E1_1_1_1_kcat} * E1_1_1_1 * C14089 * C00003)/(${Variables:E1_1_1_1_km} + (E1_1_1_1 * C14089 * C00003))</v>
      </c>
    </row>
    <row r="31" spans="1:11" ht="42.75" x14ac:dyDescent="0.45">
      <c r="A31" t="s">
        <v>8200</v>
      </c>
      <c r="B31" t="s">
        <v>8201</v>
      </c>
      <c r="C31" t="s">
        <v>14959</v>
      </c>
      <c r="D31">
        <v>30</v>
      </c>
      <c r="E31" t="str">
        <f t="shared" si="0"/>
        <v>E1_1_1_1</v>
      </c>
      <c r="F31" s="9" t="s">
        <v>15379</v>
      </c>
      <c r="G31" s="9" t="s">
        <v>15380</v>
      </c>
      <c r="H31" s="9" t="s">
        <v>15381</v>
      </c>
      <c r="I31" s="9" t="s">
        <v>15382</v>
      </c>
      <c r="J31" s="9" t="str">
        <f t="shared" si="1"/>
        <v>(${Variables:E1_1_1_1_kcat} * E1_1_1_1 * C02909 * C00003)/(${Variables:E1_1_1_1_km} + (E1_1_1_1 * C02909 * C00003))</v>
      </c>
      <c r="K31" s="38" t="str">
        <f t="shared" si="2"/>
        <v>r30: C02909 + C00003 -&gt; C14099 + C00004 + C00080 | (${Variables:E1_1_1_1_kcat} * E1_1_1_1 * C02909 * C00003)/(${Variables:E1_1_1_1_km} + (E1_1_1_1 * C02909 * C00003))</v>
      </c>
    </row>
    <row r="32" spans="1:11" ht="42.75" x14ac:dyDescent="0.45">
      <c r="A32" t="s">
        <v>8200</v>
      </c>
      <c r="B32" t="s">
        <v>8201</v>
      </c>
      <c r="C32" t="s">
        <v>14959</v>
      </c>
      <c r="D32">
        <v>31</v>
      </c>
      <c r="E32" t="str">
        <f t="shared" si="0"/>
        <v>E1_1_1_1</v>
      </c>
      <c r="F32" s="9" t="s">
        <v>15403</v>
      </c>
      <c r="G32" s="9" t="s">
        <v>15404</v>
      </c>
      <c r="H32" s="9" t="s">
        <v>15405</v>
      </c>
      <c r="I32" s="9" t="s">
        <v>15406</v>
      </c>
      <c r="J32" s="9" t="str">
        <f t="shared" si="1"/>
        <v>(${Variables:E1_1_1_1_kcat} * E1_1_1_1 * C07645 * C00004 * C00080)/(${Variables:E1_1_1_1_km} + (E1_1_1_1 * C07645 * C00004 * C00080))</v>
      </c>
      <c r="K32" s="38" t="str">
        <f t="shared" si="2"/>
        <v>r31: C07645 + C00004 + C00080 -&gt; C16551 + C00003 | (${Variables:E1_1_1_1_kcat} * E1_1_1_1 * C07645 * C00004 * C00080)/(${Variables:E1_1_1_1_km} + (E1_1_1_1 * C07645 * C00004 * C00080))</v>
      </c>
    </row>
    <row r="33" spans="1:11" ht="42.75" x14ac:dyDescent="0.45">
      <c r="A33" t="s">
        <v>8200</v>
      </c>
      <c r="B33" t="s">
        <v>8201</v>
      </c>
      <c r="C33" t="s">
        <v>14959</v>
      </c>
      <c r="D33">
        <v>32</v>
      </c>
      <c r="E33" t="str">
        <f t="shared" si="0"/>
        <v>E1_1_1_1</v>
      </c>
      <c r="F33" s="9" t="s">
        <v>15415</v>
      </c>
      <c r="G33" s="9" t="s">
        <v>15416</v>
      </c>
      <c r="H33" s="9" t="s">
        <v>15417</v>
      </c>
      <c r="I33" s="9" t="s">
        <v>15418</v>
      </c>
      <c r="J33" s="9" t="str">
        <f t="shared" si="1"/>
        <v>(${Variables:E1_1_1_1_kcat} * E1_1_1_1 * C16586 * C00003)/(${Variables:E1_1_1_1_km} + (E1_1_1_1 * C16586 * C00003))</v>
      </c>
      <c r="K33" s="38" t="str">
        <f t="shared" si="2"/>
        <v>r32: C16586 + C00003 -&gt; C16587 + C00004 + C00080 | (${Variables:E1_1_1_1_kcat} * E1_1_1_1 * C16586 * C00003)/(${Variables:E1_1_1_1_km} + (E1_1_1_1 * C16586 * C00003))</v>
      </c>
    </row>
    <row r="34" spans="1:11" ht="42.75" x14ac:dyDescent="0.45">
      <c r="A34" t="s">
        <v>8200</v>
      </c>
      <c r="B34" t="s">
        <v>8201</v>
      </c>
      <c r="C34" t="s">
        <v>14959</v>
      </c>
      <c r="D34">
        <v>33</v>
      </c>
      <c r="E34" t="str">
        <f t="shared" si="0"/>
        <v>E1_1_1_1</v>
      </c>
      <c r="F34" s="9" t="s">
        <v>15347</v>
      </c>
      <c r="G34" s="9" t="s">
        <v>15348</v>
      </c>
      <c r="H34" s="9" t="s">
        <v>15349</v>
      </c>
      <c r="I34" s="9" t="s">
        <v>15350</v>
      </c>
      <c r="J34" s="9" t="str">
        <f t="shared" si="1"/>
        <v>(${Variables:E1_1_1_1_kcat} * E1_1_1_1 * C00114 * C00003)/(${Variables:E1_1_1_1_km} + (E1_1_1_1 * C00114 * C00003))</v>
      </c>
      <c r="K34" s="38" t="str">
        <f t="shared" si="2"/>
        <v>r33: C00114 + C00003 -&gt; C00576 + C00004 + C00080 | (${Variables:E1_1_1_1_kcat} * E1_1_1_1 * C00114 * C00003)/(${Variables:E1_1_1_1_km} + (E1_1_1_1 * C00114 * C00003))</v>
      </c>
    </row>
    <row r="35" spans="1:11" ht="42.75" x14ac:dyDescent="0.45">
      <c r="A35" t="s">
        <v>8200</v>
      </c>
      <c r="B35" t="s">
        <v>8201</v>
      </c>
      <c r="C35" t="s">
        <v>14959</v>
      </c>
      <c r="D35">
        <v>34</v>
      </c>
      <c r="E35" t="str">
        <f t="shared" si="0"/>
        <v>E1_1_1_1</v>
      </c>
      <c r="F35" s="9" t="s">
        <v>15351</v>
      </c>
      <c r="G35" s="9" t="s">
        <v>15352</v>
      </c>
      <c r="H35" s="9" t="s">
        <v>15353</v>
      </c>
      <c r="I35" s="9" t="s">
        <v>15354</v>
      </c>
      <c r="J35" s="9" t="str">
        <f t="shared" si="1"/>
        <v>(${Variables:E1_1_1_1_kcat} * E1_1_1_1 * C00114 * C00006)/(${Variables:E1_1_1_1_km} + (E1_1_1_1 * C00114 * C00006))</v>
      </c>
      <c r="K35" s="38" t="str">
        <f t="shared" si="2"/>
        <v>r34: C00114 + C00006 -&gt; C00576 + C00005 + C00080 | (${Variables:E1_1_1_1_kcat} * E1_1_1_1 * C00114 * C00006)/(${Variables:E1_1_1_1_km} + (E1_1_1_1 * C00114 * C00006))</v>
      </c>
    </row>
    <row r="36" spans="1:11" ht="42.75" x14ac:dyDescent="0.45">
      <c r="A36" t="s">
        <v>8200</v>
      </c>
      <c r="B36" t="s">
        <v>8201</v>
      </c>
      <c r="C36" t="s">
        <v>14959</v>
      </c>
      <c r="D36">
        <v>35</v>
      </c>
      <c r="E36" t="str">
        <f t="shared" si="0"/>
        <v>E1_1_1_1</v>
      </c>
      <c r="F36" s="9" t="s">
        <v>15411</v>
      </c>
      <c r="G36" s="9" t="s">
        <v>15412</v>
      </c>
      <c r="H36" s="9" t="s">
        <v>15413</v>
      </c>
      <c r="I36" s="9" t="s">
        <v>15414</v>
      </c>
      <c r="J36" s="9" t="str">
        <f t="shared" si="1"/>
        <v>(${Variables:E1_1_1_1_kcat} * E1_1_1_1 * C16310 * C00004 * C00080)/(${Variables:E1_1_1_1_km} + (E1_1_1_1 * C16310 * C00004 * C00080))</v>
      </c>
      <c r="K36" s="38" t="str">
        <f t="shared" si="2"/>
        <v>r35: C16310 + C00004 + C00080 -&gt; C08492 + C00003 | (${Variables:E1_1_1_1_kcat} * E1_1_1_1 * C16310 * C00004 * C00080)/(${Variables:E1_1_1_1_km} + (E1_1_1_1 * C16310 * C00004 * C00080))</v>
      </c>
    </row>
    <row r="37" spans="1:11" ht="42.75" x14ac:dyDescent="0.45">
      <c r="A37" t="s">
        <v>8200</v>
      </c>
      <c r="B37" t="s">
        <v>8201</v>
      </c>
      <c r="C37" t="s">
        <v>14959</v>
      </c>
      <c r="D37">
        <v>36</v>
      </c>
      <c r="E37" t="str">
        <f t="shared" si="0"/>
        <v>E1_1_1_1</v>
      </c>
      <c r="F37" s="9" t="s">
        <v>15419</v>
      </c>
      <c r="G37" s="9" t="s">
        <v>15420</v>
      </c>
      <c r="H37" s="9" t="s">
        <v>15421</v>
      </c>
      <c r="I37" s="9" t="s">
        <v>15422</v>
      </c>
      <c r="J37" s="9" t="str">
        <f t="shared" si="1"/>
        <v>(${Variables:E1_1_1_1_kcat} * E1_1_1_1 * C16595 * C00003)/(${Variables:E1_1_1_1_km} + (E1_1_1_1 * C16595 * C00003))</v>
      </c>
      <c r="K37" s="38" t="str">
        <f t="shared" si="2"/>
        <v>r36: C16595 + C00003 -&gt; C16596 + C00004 + C00080 | (${Variables:E1_1_1_1_kcat} * E1_1_1_1 * C16595 * C00003)/(${Variables:E1_1_1_1_km} + (E1_1_1_1 * C16595 * C00003))</v>
      </c>
    </row>
    <row r="38" spans="1:11" ht="42.75" x14ac:dyDescent="0.45">
      <c r="A38" t="s">
        <v>8200</v>
      </c>
      <c r="B38" t="s">
        <v>8201</v>
      </c>
      <c r="C38" t="s">
        <v>14959</v>
      </c>
      <c r="D38">
        <v>37</v>
      </c>
      <c r="E38" t="str">
        <f t="shared" si="0"/>
        <v>E1_1_1_1</v>
      </c>
      <c r="F38" s="9" t="s">
        <v>15359</v>
      </c>
      <c r="G38" s="9" t="s">
        <v>15360</v>
      </c>
      <c r="H38" s="9" t="s">
        <v>15361</v>
      </c>
      <c r="I38" s="9" t="s">
        <v>15362</v>
      </c>
      <c r="J38" s="9" t="str">
        <f t="shared" si="1"/>
        <v>(${Variables:E1_1_1_1_kcat} * E1_1_1_1 * C00418 * C00003)/(${Variables:E1_1_1_1_km} + (E1_1_1_1 * C00418 * C00003))</v>
      </c>
      <c r="K38" s="38" t="str">
        <f t="shared" si="2"/>
        <v>r37: C00418 + C00003 -&gt; C00772 + C00004 + C00080 | (${Variables:E1_1_1_1_kcat} * E1_1_1_1 * C00418 * C00003)/(${Variables:E1_1_1_1_km} + (E1_1_1_1 * C00418 * C00003))</v>
      </c>
    </row>
    <row r="39" spans="1:11" ht="42.75" x14ac:dyDescent="0.45">
      <c r="A39" t="s">
        <v>8200</v>
      </c>
      <c r="B39" t="s">
        <v>8201</v>
      </c>
      <c r="C39" t="s">
        <v>14959</v>
      </c>
      <c r="D39">
        <v>38</v>
      </c>
      <c r="E39" t="str">
        <f t="shared" si="0"/>
        <v>E1_1_1_1</v>
      </c>
      <c r="F39" s="9" t="s">
        <v>15399</v>
      </c>
      <c r="G39" s="9" t="s">
        <v>15400</v>
      </c>
      <c r="H39" s="9" t="s">
        <v>15401</v>
      </c>
      <c r="I39" s="9" t="s">
        <v>15402</v>
      </c>
      <c r="J39" s="9" t="str">
        <f t="shared" si="1"/>
        <v>(${Variables:E1_1_1_1_kcat} * E1_1_1_1 * C06899 * C00004 * C00080)/(${Variables:E1_1_1_1_km} + (E1_1_1_1 * C06899 * C00004 * C00080))</v>
      </c>
      <c r="K39" s="38" t="str">
        <f t="shared" si="2"/>
        <v>r38: C06899 + C00004 + C00080 -&gt; C07490 + C00003 + C00001 | (${Variables:E1_1_1_1_kcat} * E1_1_1_1 * C06899 * C00004 * C00080)/(${Variables:E1_1_1_1_km} + (E1_1_1_1 * C06899 * C00004 * C00080))</v>
      </c>
    </row>
    <row r="40" spans="1:11" ht="42.75" x14ac:dyDescent="0.45">
      <c r="A40" t="s">
        <v>3183</v>
      </c>
      <c r="B40" t="s">
        <v>3184</v>
      </c>
      <c r="C40" t="s">
        <v>14960</v>
      </c>
      <c r="D40">
        <v>39</v>
      </c>
      <c r="E40" t="str">
        <f t="shared" si="0"/>
        <v>E1_1_1_100</v>
      </c>
      <c r="F40" s="9" t="s">
        <v>15423</v>
      </c>
      <c r="G40" s="9" t="s">
        <v>15424</v>
      </c>
      <c r="H40" s="9" t="s">
        <v>15425</v>
      </c>
      <c r="I40" s="9" t="s">
        <v>15426</v>
      </c>
      <c r="J40" s="9" t="str">
        <f t="shared" si="1"/>
        <v>(${Variables:E1_1_1_100_kcat} * E1_1_1_100 * C01271 * C00006)/(${Variables:E1_1_1_100_km} + (E1_1_1_100 * C01271 * C00006))</v>
      </c>
      <c r="K40" s="38" t="str">
        <f t="shared" si="2"/>
        <v>r39: C01271 + C00006 -&gt; C00685 + C00005 + C00080 | (${Variables:E1_1_1_100_kcat} * E1_1_1_100 * C01271 * C00006)/(${Variables:E1_1_1_100_km} + (E1_1_1_100 * C01271 * C00006))</v>
      </c>
    </row>
    <row r="41" spans="1:11" ht="42.75" x14ac:dyDescent="0.45">
      <c r="A41" t="s">
        <v>3183</v>
      </c>
      <c r="B41" t="s">
        <v>3184</v>
      </c>
      <c r="C41" t="s">
        <v>14960</v>
      </c>
      <c r="D41">
        <v>40</v>
      </c>
      <c r="E41" t="str">
        <f t="shared" si="0"/>
        <v>E1_1_1_100</v>
      </c>
      <c r="F41" s="9" t="s">
        <v>15427</v>
      </c>
      <c r="G41" s="9" t="s">
        <v>15428</v>
      </c>
      <c r="H41" s="9" t="s">
        <v>15429</v>
      </c>
      <c r="I41" s="9" t="s">
        <v>15430</v>
      </c>
      <c r="J41" s="9" t="str">
        <f t="shared" si="1"/>
        <v>(${Variables:E1_1_1_100_kcat} * E1_1_1_100 * C04618 * C00006)/(${Variables:E1_1_1_100_km} + (E1_1_1_100 * C04618 * C00006))</v>
      </c>
      <c r="K41" s="38" t="str">
        <f t="shared" si="2"/>
        <v>r40: C04618 + C00006 -&gt; C05744 + C00005 + C00080 | (${Variables:E1_1_1_100_kcat} * E1_1_1_100 * C04618 * C00006)/(${Variables:E1_1_1_100_km} + (E1_1_1_100 * C04618 * C00006))</v>
      </c>
    </row>
    <row r="42" spans="1:11" ht="42.75" x14ac:dyDescent="0.45">
      <c r="A42" t="s">
        <v>3183</v>
      </c>
      <c r="B42" t="s">
        <v>3184</v>
      </c>
      <c r="C42" t="s">
        <v>14960</v>
      </c>
      <c r="D42">
        <v>41</v>
      </c>
      <c r="E42" t="str">
        <f t="shared" si="0"/>
        <v>E1_1_1_100</v>
      </c>
      <c r="F42" s="9" t="s">
        <v>15431</v>
      </c>
      <c r="G42" s="9" t="s">
        <v>15432</v>
      </c>
      <c r="H42" s="9" t="s">
        <v>15433</v>
      </c>
      <c r="I42" s="9" t="s">
        <v>15434</v>
      </c>
      <c r="J42" s="9" t="str">
        <f t="shared" si="1"/>
        <v>(${Variables:E1_1_1_100_kcat} * E1_1_1_100 * C04619 * C00006)/(${Variables:E1_1_1_100_km} + (E1_1_1_100 * C04619 * C00006))</v>
      </c>
      <c r="K42" s="38" t="str">
        <f t="shared" si="2"/>
        <v>r41: C04619 + C00006 -&gt; C05753 + C00005 | (${Variables:E1_1_1_100_kcat} * E1_1_1_100 * C04619 * C00006)/(${Variables:E1_1_1_100_km} + (E1_1_1_100 * C04619 * C00006))</v>
      </c>
    </row>
    <row r="43" spans="1:11" ht="42.75" x14ac:dyDescent="0.45">
      <c r="A43" t="s">
        <v>3183</v>
      </c>
      <c r="B43" t="s">
        <v>3184</v>
      </c>
      <c r="C43" t="s">
        <v>14960</v>
      </c>
      <c r="D43">
        <v>42</v>
      </c>
      <c r="E43" t="str">
        <f t="shared" si="0"/>
        <v>E1_1_1_100</v>
      </c>
      <c r="F43" s="9" t="s">
        <v>15435</v>
      </c>
      <c r="G43" s="9" t="s">
        <v>15436</v>
      </c>
      <c r="H43" s="9" t="s">
        <v>15437</v>
      </c>
      <c r="I43" s="9" t="s">
        <v>15438</v>
      </c>
      <c r="J43" s="9" t="str">
        <f t="shared" si="1"/>
        <v>(${Variables:E1_1_1_100_kcat} * E1_1_1_100 * C04620 * C00006)/(${Variables:E1_1_1_100_km} + (E1_1_1_100 * C04620 * C00006))</v>
      </c>
      <c r="K43" s="38" t="str">
        <f t="shared" si="2"/>
        <v>r42: C04620 + C00006 -&gt; C05750 + C00005 + C00080 | (${Variables:E1_1_1_100_kcat} * E1_1_1_100 * C04620 * C00006)/(${Variables:E1_1_1_100_km} + (E1_1_1_100 * C04620 * C00006))</v>
      </c>
    </row>
    <row r="44" spans="1:11" ht="42.75" x14ac:dyDescent="0.45">
      <c r="A44" t="s">
        <v>3183</v>
      </c>
      <c r="B44" t="s">
        <v>3184</v>
      </c>
      <c r="C44" t="s">
        <v>14960</v>
      </c>
      <c r="D44">
        <v>43</v>
      </c>
      <c r="E44" t="str">
        <f t="shared" si="0"/>
        <v>E1_1_1_100</v>
      </c>
      <c r="F44" s="9" t="s">
        <v>15439</v>
      </c>
      <c r="G44" s="9" t="s">
        <v>15440</v>
      </c>
      <c r="H44" s="9" t="s">
        <v>15441</v>
      </c>
      <c r="I44" s="9" t="s">
        <v>15442</v>
      </c>
      <c r="J44" s="9" t="str">
        <f t="shared" si="1"/>
        <v>(${Variables:E1_1_1_100_kcat} * E1_1_1_100 * C04633 * C00006)/(${Variables:E1_1_1_100_km} + (E1_1_1_100 * C04633 * C00006))</v>
      </c>
      <c r="K44" s="38" t="str">
        <f t="shared" si="2"/>
        <v>r43: C04633 + C00006 -&gt; C05762 + C00005 + C00080 | (${Variables:E1_1_1_100_kcat} * E1_1_1_100 * C04633 * C00006)/(${Variables:E1_1_1_100_km} + (E1_1_1_100 * C04633 * C00006))</v>
      </c>
    </row>
    <row r="45" spans="1:11" ht="42.75" x14ac:dyDescent="0.45">
      <c r="A45" t="s">
        <v>3183</v>
      </c>
      <c r="B45" t="s">
        <v>3184</v>
      </c>
      <c r="C45" t="s">
        <v>14960</v>
      </c>
      <c r="D45">
        <v>44</v>
      </c>
      <c r="E45" t="str">
        <f t="shared" si="0"/>
        <v>E1_1_1_100</v>
      </c>
      <c r="F45" s="9" t="s">
        <v>15443</v>
      </c>
      <c r="G45" s="9" t="s">
        <v>15444</v>
      </c>
      <c r="H45" s="9" t="s">
        <v>15445</v>
      </c>
      <c r="I45" s="9" t="s">
        <v>15446</v>
      </c>
      <c r="J45" s="9" t="str">
        <f t="shared" si="1"/>
        <v>(${Variables:E1_1_1_100_kcat} * E1_1_1_100 * C04688 * C00006)/(${Variables:E1_1_1_100_km} + (E1_1_1_100 * C04688 * C00006))</v>
      </c>
      <c r="K45" s="38" t="str">
        <f t="shared" si="2"/>
        <v>r44: C04688 + C00006 -&gt; C05759 + C00005 + C00080 | (${Variables:E1_1_1_100_kcat} * E1_1_1_100 * C04688 * C00006)/(${Variables:E1_1_1_100_km} + (E1_1_1_100 * C04688 * C00006))</v>
      </c>
    </row>
    <row r="46" spans="1:11" ht="42.75" x14ac:dyDescent="0.45">
      <c r="A46" t="s">
        <v>3183</v>
      </c>
      <c r="B46" t="s">
        <v>3184</v>
      </c>
      <c r="C46" t="s">
        <v>14960</v>
      </c>
      <c r="D46">
        <v>45</v>
      </c>
      <c r="E46" t="str">
        <f t="shared" si="0"/>
        <v>E1_1_1_100</v>
      </c>
      <c r="F46" s="9" t="s">
        <v>15447</v>
      </c>
      <c r="G46" s="9" t="s">
        <v>15448</v>
      </c>
      <c r="H46" s="9" t="s">
        <v>15449</v>
      </c>
      <c r="I46" s="9" t="s">
        <v>15450</v>
      </c>
      <c r="J46" s="9" t="str">
        <f t="shared" si="1"/>
        <v>(${Variables:E1_1_1_100_kcat} * E1_1_1_100 * C05747 * C00006)/(${Variables:E1_1_1_100_km} + (E1_1_1_100 * C05747 * C00006))</v>
      </c>
      <c r="K46" s="38" t="str">
        <f t="shared" si="2"/>
        <v>r45: C05747 + C00006 -&gt; C05746 + C00005 + C00080 | (${Variables:E1_1_1_100_kcat} * E1_1_1_100 * C05747 * C00006)/(${Variables:E1_1_1_100_km} + (E1_1_1_100 * C05747 * C00006))</v>
      </c>
    </row>
    <row r="47" spans="1:11" ht="42.75" x14ac:dyDescent="0.45">
      <c r="A47" t="s">
        <v>3183</v>
      </c>
      <c r="B47" t="s">
        <v>3184</v>
      </c>
      <c r="C47" t="s">
        <v>14960</v>
      </c>
      <c r="D47">
        <v>46</v>
      </c>
      <c r="E47" t="str">
        <f t="shared" si="0"/>
        <v>E1_1_1_100</v>
      </c>
      <c r="F47" s="9" t="s">
        <v>15451</v>
      </c>
      <c r="G47" s="9" t="s">
        <v>15452</v>
      </c>
      <c r="H47" s="9" t="s">
        <v>15453</v>
      </c>
      <c r="I47" s="9" t="s">
        <v>15454</v>
      </c>
      <c r="J47" s="9" t="str">
        <f t="shared" si="1"/>
        <v>(${Variables:E1_1_1_100_kcat} * E1_1_1_100 * C05757 * C00006)/(${Variables:E1_1_1_100_km} + (E1_1_1_100 * C05757 * C00006))</v>
      </c>
      <c r="K47" s="38" t="str">
        <f t="shared" si="2"/>
        <v>r46: C05757 + C00006 -&gt; C05756 + C00005 + C00080 | (${Variables:E1_1_1_100_kcat} * E1_1_1_100 * C05757 * C00006)/(${Variables:E1_1_1_100_km} + (E1_1_1_100 * C05757 * C00006))</v>
      </c>
    </row>
    <row r="48" spans="1:11" ht="57" x14ac:dyDescent="0.45">
      <c r="A48" t="s">
        <v>3183</v>
      </c>
      <c r="B48" t="s">
        <v>3184</v>
      </c>
      <c r="C48" t="s">
        <v>14960</v>
      </c>
      <c r="D48">
        <v>47</v>
      </c>
      <c r="E48" t="str">
        <f t="shared" si="0"/>
        <v>E1_1_1_100</v>
      </c>
      <c r="F48" s="9" t="s">
        <v>15455</v>
      </c>
      <c r="G48" s="9" t="s">
        <v>15456</v>
      </c>
      <c r="H48" s="9" t="s">
        <v>15457</v>
      </c>
      <c r="I48" s="9" t="s">
        <v>15458</v>
      </c>
      <c r="J48" s="9" t="str">
        <f t="shared" si="1"/>
        <v>(${Variables:E1_1_1_100_kcat} * E1_1_1_100 * C16219 * C00005 * C00080)/(${Variables:E1_1_1_100_km} + (E1_1_1_100 * C16219 * C00005 * C00080))</v>
      </c>
      <c r="K48" s="38" t="str">
        <f t="shared" si="2"/>
        <v>r47: C16219 + C00005 + C00080 -&gt; C16220 + C00006 | (${Variables:E1_1_1_100_kcat} * E1_1_1_100 * C16219 * C00005 * C00080)/(${Variables:E1_1_1_100_km} + (E1_1_1_100 * C16219 * C00005 * C00080))</v>
      </c>
    </row>
    <row r="49" spans="1:11" ht="57" x14ac:dyDescent="0.45">
      <c r="A49" t="s">
        <v>3183</v>
      </c>
      <c r="B49" t="s">
        <v>3184</v>
      </c>
      <c r="C49" t="s">
        <v>14960</v>
      </c>
      <c r="D49">
        <v>48</v>
      </c>
      <c r="E49" t="str">
        <f t="shared" si="0"/>
        <v>E1_1_1_100</v>
      </c>
      <c r="F49" s="9" t="s">
        <v>15459</v>
      </c>
      <c r="G49" s="9" t="s">
        <v>15460</v>
      </c>
      <c r="H49" s="9" t="s">
        <v>15461</v>
      </c>
      <c r="I49" s="9" t="s">
        <v>15462</v>
      </c>
      <c r="J49" s="9" t="str">
        <f t="shared" si="1"/>
        <v>(${Variables:E1_1_1_100_kcat} * E1_1_1_100 * C20372 * C00005 * C00080)/(${Variables:E1_1_1_100_km} + (E1_1_1_100 * C20372 * C00005 * C00080))</v>
      </c>
      <c r="K49" s="38" t="str">
        <f t="shared" si="2"/>
        <v>r48: C20372 + C00005 + C00080 -&gt; C20373 + C00006 | (${Variables:E1_1_1_100_kcat} * E1_1_1_100 * C20372 * C00005 * C00080)/(${Variables:E1_1_1_100_km} + (E1_1_1_100 * C20372 * C00005 * C00080))</v>
      </c>
    </row>
    <row r="50" spans="1:11" ht="57" x14ac:dyDescent="0.45">
      <c r="A50" t="s">
        <v>3183</v>
      </c>
      <c r="B50" t="s">
        <v>3184</v>
      </c>
      <c r="C50" t="s">
        <v>14960</v>
      </c>
      <c r="D50">
        <v>49</v>
      </c>
      <c r="E50" t="str">
        <f t="shared" si="0"/>
        <v>E1_1_1_100</v>
      </c>
      <c r="F50" s="9" t="s">
        <v>15463</v>
      </c>
      <c r="G50" s="9" t="s">
        <v>15464</v>
      </c>
      <c r="H50" s="9" t="s">
        <v>15465</v>
      </c>
      <c r="I50" s="9" t="s">
        <v>15466</v>
      </c>
      <c r="J50" s="9" t="str">
        <f t="shared" si="1"/>
        <v>(${Variables:E1_1_1_100_kcat} * E1_1_1_100 * C20376 * C00005 * C00080)/(${Variables:E1_1_1_100_km} + (E1_1_1_100 * C20376 * C00005 * C00080))</v>
      </c>
      <c r="K50" s="38" t="str">
        <f t="shared" si="2"/>
        <v>r49: C20376 + C00005 + C00080 -&gt; C20377 + C00006 | (${Variables:E1_1_1_100_kcat} * E1_1_1_100 * C20376 * C00005 * C00080)/(${Variables:E1_1_1_100_km} + (E1_1_1_100 * C20376 * C00005 * C00080))</v>
      </c>
    </row>
    <row r="51" spans="1:11" ht="42.75" x14ac:dyDescent="0.45">
      <c r="A51" t="s">
        <v>898</v>
      </c>
      <c r="B51" t="s">
        <v>899</v>
      </c>
      <c r="C51" t="s">
        <v>14961</v>
      </c>
      <c r="D51">
        <v>50</v>
      </c>
      <c r="E51" t="str">
        <f t="shared" si="0"/>
        <v>E1_1_1_133</v>
      </c>
      <c r="F51" s="9" t="s">
        <v>15467</v>
      </c>
      <c r="G51" s="9" t="s">
        <v>15468</v>
      </c>
      <c r="H51" s="9" t="s">
        <v>15469</v>
      </c>
      <c r="I51" s="9" t="s">
        <v>15470</v>
      </c>
      <c r="J51" s="9" t="str">
        <f t="shared" si="1"/>
        <v>(${Variables:E1_1_1_133_kcat} * E1_1_1_133 * C03319 * C00006)/(${Variables:E1_1_1_133_km} + (E1_1_1_133 * C03319 * C00006))</v>
      </c>
      <c r="K51" s="38" t="str">
        <f t="shared" si="2"/>
        <v>r50: C03319 + C00006 -&gt; C00688 + C00005 + C00080 | (${Variables:E1_1_1_133_kcat} * E1_1_1_133 * C03319 * C00006)/(${Variables:E1_1_1_133_km} + (E1_1_1_133 * C03319 * C00006))</v>
      </c>
    </row>
    <row r="52" spans="1:11" ht="42.75" x14ac:dyDescent="0.45">
      <c r="A52" t="s">
        <v>2276</v>
      </c>
      <c r="B52" t="s">
        <v>2277</v>
      </c>
      <c r="C52" t="s">
        <v>14962</v>
      </c>
      <c r="D52">
        <v>51</v>
      </c>
      <c r="E52" t="str">
        <f t="shared" si="0"/>
        <v>E1_1_1_140</v>
      </c>
      <c r="F52" s="9" t="s">
        <v>15471</v>
      </c>
      <c r="G52" s="9" t="s">
        <v>15472</v>
      </c>
      <c r="H52" s="9" t="s">
        <v>15473</v>
      </c>
      <c r="I52" s="9" t="s">
        <v>15474</v>
      </c>
      <c r="J52" s="9" t="str">
        <f t="shared" si="1"/>
        <v>(${Variables:E1_1_1_140_kcat} * E1_1_1_140 * C01096 * C00003)/(${Variables:E1_1_1_140_km} + (E1_1_1_140 * C01096 * C00003))</v>
      </c>
      <c r="K52" s="38" t="str">
        <f t="shared" si="2"/>
        <v>r51: C01096 + C00003 -&gt; C00085 + C00004 + C00080 | (${Variables:E1_1_1_140_kcat} * E1_1_1_140 * C01096 * C00003)/(${Variables:E1_1_1_140_km} + (E1_1_1_140 * C01096 * C00003))</v>
      </c>
    </row>
    <row r="53" spans="1:11" ht="42.75" x14ac:dyDescent="0.45">
      <c r="A53" t="s">
        <v>2276</v>
      </c>
      <c r="B53" t="s">
        <v>2277</v>
      </c>
      <c r="C53" t="s">
        <v>14962</v>
      </c>
      <c r="D53">
        <v>52</v>
      </c>
      <c r="E53" t="str">
        <f t="shared" si="0"/>
        <v>E1_1_1_140</v>
      </c>
      <c r="F53" s="9" t="s">
        <v>15471</v>
      </c>
      <c r="G53" s="9" t="s">
        <v>15472</v>
      </c>
      <c r="H53" s="9" t="s">
        <v>15475</v>
      </c>
      <c r="I53" s="9" t="s">
        <v>15476</v>
      </c>
      <c r="J53" s="9" t="str">
        <f t="shared" si="1"/>
        <v>(${Variables:E1_1_1_140_kcat} * E1_1_1_140 * C01096 * C00003)/(${Variables:E1_1_1_140_km} + (E1_1_1_140 * C01096 * C00003))</v>
      </c>
      <c r="K53" s="38" t="str">
        <f t="shared" si="2"/>
        <v>r52: C01096 + C00003 -&gt; C05345 + C00004 + C00080 | (${Variables:E1_1_1_140_kcat} * E1_1_1_140 * C01096 * C00003)/(${Variables:E1_1_1_140_km} + (E1_1_1_140 * C01096 * C00003))</v>
      </c>
    </row>
    <row r="54" spans="1:11" ht="42.75" x14ac:dyDescent="0.45">
      <c r="A54" t="s">
        <v>2872</v>
      </c>
      <c r="B54" t="s">
        <v>2873</v>
      </c>
      <c r="C54" t="s">
        <v>14963</v>
      </c>
      <c r="D54">
        <v>53</v>
      </c>
      <c r="E54" t="str">
        <f t="shared" si="0"/>
        <v>E1_1_1_157</v>
      </c>
      <c r="F54" s="9" t="s">
        <v>15477</v>
      </c>
      <c r="G54" s="9" t="s">
        <v>15478</v>
      </c>
      <c r="H54" s="9" t="s">
        <v>15479</v>
      </c>
      <c r="I54" s="9" t="s">
        <v>15480</v>
      </c>
      <c r="J54" s="9" t="str">
        <f t="shared" si="1"/>
        <v>(${Variables:E1_1_1_157_kcat} * E1_1_1_157 * C01144 * C00006)/(${Variables:E1_1_1_157_km} + (E1_1_1_157 * C01144 * C00006))</v>
      </c>
      <c r="K54" s="38" t="str">
        <f t="shared" si="2"/>
        <v>r53: C01144 + C00006 -&gt; C00332 + C00005 + C00080 | (${Variables:E1_1_1_157_kcat} * E1_1_1_157 * C01144 * C00006)/(${Variables:E1_1_1_157_km} + (E1_1_1_157 * C01144 * C00006))</v>
      </c>
    </row>
    <row r="55" spans="1:11" ht="42.75" x14ac:dyDescent="0.45">
      <c r="A55" t="s">
        <v>2872</v>
      </c>
      <c r="B55" t="s">
        <v>2873</v>
      </c>
      <c r="C55" t="s">
        <v>14963</v>
      </c>
      <c r="D55">
        <v>54</v>
      </c>
      <c r="E55" t="str">
        <f t="shared" si="0"/>
        <v>E1_1_1_157</v>
      </c>
      <c r="F55" s="9" t="s">
        <v>15481</v>
      </c>
      <c r="G55" s="9" t="s">
        <v>15482</v>
      </c>
      <c r="H55" s="9" t="s">
        <v>15479</v>
      </c>
      <c r="I55" s="9" t="s">
        <v>15480</v>
      </c>
      <c r="J55" s="9" t="str">
        <f t="shared" si="1"/>
        <v>(${Variables:E1_1_1_157_kcat} * E1_1_1_157 * C05116 * C00006)/(${Variables:E1_1_1_157_km} + (E1_1_1_157 * C05116 * C00006))</v>
      </c>
      <c r="K55" s="38" t="str">
        <f t="shared" si="2"/>
        <v>r54: C05116 + C00006 -&gt; C00332 + C00005 + C00080 | (${Variables:E1_1_1_157_kcat} * E1_1_1_157 * C05116 * C00006)/(${Variables:E1_1_1_157_km} + (E1_1_1_157 * C05116 * C00006))</v>
      </c>
    </row>
    <row r="56" spans="1:11" ht="42.75" x14ac:dyDescent="0.45">
      <c r="A56" t="s">
        <v>2872</v>
      </c>
      <c r="B56" t="s">
        <v>2873</v>
      </c>
      <c r="C56" t="s">
        <v>14963</v>
      </c>
      <c r="D56">
        <v>55</v>
      </c>
      <c r="E56" t="str">
        <f t="shared" si="0"/>
        <v>E1_1_1_157</v>
      </c>
      <c r="F56" s="9" t="s">
        <v>15483</v>
      </c>
      <c r="G56" s="9" t="s">
        <v>15484</v>
      </c>
      <c r="H56" s="9" t="s">
        <v>15485</v>
      </c>
      <c r="I56" s="9" t="s">
        <v>15486</v>
      </c>
      <c r="J56" s="9" t="str">
        <f t="shared" si="1"/>
        <v>(${Variables:E1_1_1_157_kcat} * E1_1_1_157 * C14145 * C00003)/(${Variables:E1_1_1_157_km} + (E1_1_1_157 * C14145 * C00003))</v>
      </c>
      <c r="K56" s="38" t="str">
        <f t="shared" si="2"/>
        <v>r55: C14145 + C00003 -&gt; C02232 + C00004 + C00080 | (${Variables:E1_1_1_157_kcat} * E1_1_1_157 * C14145 * C00003)/(${Variables:E1_1_1_157_km} + (E1_1_1_157 * C14145 * C00003))</v>
      </c>
    </row>
    <row r="57" spans="1:11" ht="42.75" x14ac:dyDescent="0.45">
      <c r="A57" t="s">
        <v>6574</v>
      </c>
      <c r="B57" t="s">
        <v>6575</v>
      </c>
      <c r="C57" t="s">
        <v>14964</v>
      </c>
      <c r="D57">
        <v>56</v>
      </c>
      <c r="E57" t="str">
        <f t="shared" si="0"/>
        <v>E1_1_1_17</v>
      </c>
      <c r="F57" s="9" t="s">
        <v>15487</v>
      </c>
      <c r="G57" s="9" t="s">
        <v>15488</v>
      </c>
      <c r="H57" s="9" t="s">
        <v>15473</v>
      </c>
      <c r="I57" s="9" t="s">
        <v>15474</v>
      </c>
      <c r="J57" s="9" t="str">
        <f t="shared" si="1"/>
        <v>(${Variables:E1_1_1_17_kcat} * E1_1_1_17 * C00644 * C00003)/(${Variables:E1_1_1_17_km} + (E1_1_1_17 * C00644 * C00003))</v>
      </c>
      <c r="K57" s="38" t="str">
        <f t="shared" si="2"/>
        <v>r56: C00644 + C00003 -&gt; C00085 + C00004 + C00080 | (${Variables:E1_1_1_17_kcat} * E1_1_1_17 * C00644 * C00003)/(${Variables:E1_1_1_17_km} + (E1_1_1_17 * C00644 * C00003))</v>
      </c>
    </row>
    <row r="58" spans="1:11" ht="42.75" x14ac:dyDescent="0.45">
      <c r="A58" t="s">
        <v>6574</v>
      </c>
      <c r="B58" t="s">
        <v>6575</v>
      </c>
      <c r="C58" t="s">
        <v>14964</v>
      </c>
      <c r="D58">
        <v>57</v>
      </c>
      <c r="E58" t="str">
        <f t="shared" si="0"/>
        <v>E1_1_1_17</v>
      </c>
      <c r="F58" s="9" t="s">
        <v>15487</v>
      </c>
      <c r="G58" s="9" t="s">
        <v>15488</v>
      </c>
      <c r="H58" s="9" t="s">
        <v>15475</v>
      </c>
      <c r="I58" s="9" t="s">
        <v>15476</v>
      </c>
      <c r="J58" s="9" t="str">
        <f t="shared" si="1"/>
        <v>(${Variables:E1_1_1_17_kcat} * E1_1_1_17 * C00644 * C00003)/(${Variables:E1_1_1_17_km} + (E1_1_1_17 * C00644 * C00003))</v>
      </c>
      <c r="K58" s="38" t="str">
        <f t="shared" si="2"/>
        <v>r57: C00644 + C00003 -&gt; C05345 + C00004 + C00080 | (${Variables:E1_1_1_17_kcat} * E1_1_1_17 * C00644 * C00003)/(${Variables:E1_1_1_17_km} + (E1_1_1_17 * C00644 * C00003))</v>
      </c>
    </row>
    <row r="59" spans="1:11" ht="42.75" x14ac:dyDescent="0.45">
      <c r="A59" t="s">
        <v>4858</v>
      </c>
      <c r="B59" t="s">
        <v>4859</v>
      </c>
      <c r="C59" t="s">
        <v>14965</v>
      </c>
      <c r="D59">
        <v>58</v>
      </c>
      <c r="E59" t="str">
        <f t="shared" si="0"/>
        <v>E1_1_1_193</v>
      </c>
      <c r="F59" s="9" t="s">
        <v>15489</v>
      </c>
      <c r="G59" s="9" t="s">
        <v>15490</v>
      </c>
      <c r="H59" s="9" t="s">
        <v>15491</v>
      </c>
      <c r="I59" s="9" t="s">
        <v>15492</v>
      </c>
      <c r="J59" s="9" t="str">
        <f t="shared" si="1"/>
        <v>(${Variables:E1_1_1_193_kcat} * E1_1_1_193 * C04454 * C00006)/(${Variables:E1_1_1_193_km} + (E1_1_1_193 * C04454 * C00006))</v>
      </c>
      <c r="K59" s="38" t="str">
        <f t="shared" si="2"/>
        <v>r58: C04454 + C00006 -&gt; C01268 + C00005 + C00080 | (${Variables:E1_1_1_193_kcat} * E1_1_1_193 * C04454 * C00006)/(${Variables:E1_1_1_193_km} + (E1_1_1_193 * C04454 * C00006))</v>
      </c>
    </row>
    <row r="60" spans="1:11" ht="57" x14ac:dyDescent="0.45">
      <c r="A60" t="s">
        <v>6584</v>
      </c>
      <c r="B60" t="s">
        <v>6585</v>
      </c>
      <c r="C60" t="s">
        <v>14966</v>
      </c>
      <c r="D60">
        <v>59</v>
      </c>
      <c r="E60" t="str">
        <f t="shared" si="0"/>
        <v>E1_1_1_205</v>
      </c>
      <c r="F60" s="9" t="s">
        <v>15493</v>
      </c>
      <c r="G60" s="9" t="s">
        <v>15494</v>
      </c>
      <c r="H60" s="9" t="s">
        <v>15495</v>
      </c>
      <c r="I60" s="9" t="s">
        <v>15496</v>
      </c>
      <c r="J60" s="9" t="str">
        <f t="shared" si="1"/>
        <v>(${Variables:E1_1_1_205_kcat} * E1_1_1_205 * C00130 * C00003 * C00001)/(${Variables:E1_1_1_205_km} + (E1_1_1_205 * C00130 * C00003 * C00001))</v>
      </c>
      <c r="K60" s="38" t="str">
        <f t="shared" si="2"/>
        <v>r59: C00130 + C00003 + C00001 -&gt; C00655 + C00004 + C00080 | (${Variables:E1_1_1_205_kcat} * E1_1_1_205 * C00130 * C00003 * C00001)/(${Variables:E1_1_1_205_km} + (E1_1_1_205 * C00130 * C00003 * C00001))</v>
      </c>
    </row>
    <row r="61" spans="1:11" ht="57" x14ac:dyDescent="0.45">
      <c r="A61" t="s">
        <v>6584</v>
      </c>
      <c r="B61" t="s">
        <v>6585</v>
      </c>
      <c r="C61" t="s">
        <v>14966</v>
      </c>
      <c r="D61">
        <v>60</v>
      </c>
      <c r="E61" t="str">
        <f t="shared" si="0"/>
        <v>E1_1_1_205</v>
      </c>
      <c r="F61" s="9" t="s">
        <v>15497</v>
      </c>
      <c r="G61" s="9" t="s">
        <v>15498</v>
      </c>
      <c r="H61" s="9" t="s">
        <v>15499</v>
      </c>
      <c r="I61" s="9" t="s">
        <v>15500</v>
      </c>
      <c r="J61" s="9" t="str">
        <f t="shared" si="1"/>
        <v>(${Variables:E1_1_1_205_kcat} * E1_1_1_205 * C04646 * C00003 * C00001)/(${Variables:E1_1_1_205_km} + (E1_1_1_205 * C04646 * C00003 * C00001))</v>
      </c>
      <c r="K61" s="38" t="str">
        <f t="shared" si="2"/>
        <v>r60: C04646 + C00003 + C00001 -&gt; C16618 + C00004 + C00080 | (${Variables:E1_1_1_205_kcat} * E1_1_1_205 * C04646 * C00003 * C00001)/(${Variables:E1_1_1_205_km} + (E1_1_1_205 * C04646 * C00003 * C00001))</v>
      </c>
    </row>
    <row r="62" spans="1:11" ht="42.75" x14ac:dyDescent="0.45">
      <c r="A62" t="s">
        <v>4529</v>
      </c>
      <c r="B62" t="s">
        <v>4530</v>
      </c>
      <c r="C62" t="s">
        <v>14967</v>
      </c>
      <c r="D62">
        <v>61</v>
      </c>
      <c r="E62" t="str">
        <f t="shared" si="0"/>
        <v>E1_1_1_23</v>
      </c>
      <c r="F62" s="9" t="s">
        <v>15505</v>
      </c>
      <c r="G62" s="9" t="s">
        <v>15506</v>
      </c>
      <c r="H62" s="9" t="s">
        <v>15507</v>
      </c>
      <c r="I62" s="9" t="s">
        <v>15508</v>
      </c>
      <c r="J62" s="9" t="str">
        <f t="shared" si="1"/>
        <v>(${Variables:E1_1_1_23_kcat} * E1_1_1_23 * C00860 * C00003 * C00001)/(${Variables:E1_1_1_23_km} + (E1_1_1_23 * C00860 * C00003 * C00001))</v>
      </c>
      <c r="K62" s="38" t="str">
        <f t="shared" si="2"/>
        <v>r61: C00860 + C00003 + C00001 -&gt; C00135 + C00004 + C00080 | (${Variables:E1_1_1_23_kcat} * E1_1_1_23 * C00860 * C00003 * C00001)/(${Variables:E1_1_1_23_km} + (E1_1_1_23 * C00860 * C00003 * C00001))</v>
      </c>
    </row>
    <row r="63" spans="1:11" ht="42.75" x14ac:dyDescent="0.45">
      <c r="A63" t="s">
        <v>4529</v>
      </c>
      <c r="B63" t="s">
        <v>4530</v>
      </c>
      <c r="C63" t="s">
        <v>14967</v>
      </c>
      <c r="D63">
        <v>62</v>
      </c>
      <c r="E63" t="str">
        <f t="shared" si="0"/>
        <v>E1_1_1_23</v>
      </c>
      <c r="F63" s="9" t="s">
        <v>15509</v>
      </c>
      <c r="G63" s="9" t="s">
        <v>15510</v>
      </c>
      <c r="H63" s="9" t="s">
        <v>15507</v>
      </c>
      <c r="I63" s="9" t="s">
        <v>15508</v>
      </c>
      <c r="J63" s="9" t="str">
        <f t="shared" si="1"/>
        <v>(${Variables:E1_1_1_23_kcat} * E1_1_1_23 * C01929 * C00001 * C00003)/(${Variables:E1_1_1_23_km} + (E1_1_1_23 * C01929 * C00001 * C00003))</v>
      </c>
      <c r="K63" s="38" t="str">
        <f t="shared" si="2"/>
        <v>r62: C01929 + C00001 + C00003 -&gt; C00135 + C00004 + C00080 | (${Variables:E1_1_1_23_kcat} * E1_1_1_23 * C01929 * C00001 * C00003)/(${Variables:E1_1_1_23_km} + (E1_1_1_23 * C01929 * C00001 * C00003))</v>
      </c>
    </row>
    <row r="64" spans="1:11" ht="42.75" x14ac:dyDescent="0.45">
      <c r="A64" t="s">
        <v>4529</v>
      </c>
      <c r="B64" t="s">
        <v>4530</v>
      </c>
      <c r="C64" t="s">
        <v>14967</v>
      </c>
      <c r="D64">
        <v>63</v>
      </c>
      <c r="E64" t="str">
        <f t="shared" si="0"/>
        <v>E1_1_1_23</v>
      </c>
      <c r="F64" s="9" t="s">
        <v>15501</v>
      </c>
      <c r="G64" s="9" t="s">
        <v>15502</v>
      </c>
      <c r="H64" s="9" t="s">
        <v>15503</v>
      </c>
      <c r="I64" s="9" t="s">
        <v>15504</v>
      </c>
      <c r="J64" s="9" t="str">
        <f t="shared" si="1"/>
        <v>(${Variables:E1_1_1_23_kcat} * E1_1_1_23 * C00860 * C00003)/(${Variables:E1_1_1_23_km} + (E1_1_1_23 * C00860 * C00003))</v>
      </c>
      <c r="K64" s="38" t="str">
        <f t="shared" si="2"/>
        <v>r63: C00860 + C00003 -&gt; C01929 + C00004 + C00080 | (${Variables:E1_1_1_23_kcat} * E1_1_1_23 * C00860 * C00003)/(${Variables:E1_1_1_23_km} + (E1_1_1_23 * C00860 * C00003))</v>
      </c>
    </row>
    <row r="65" spans="1:11" ht="42.75" x14ac:dyDescent="0.45">
      <c r="A65" t="s">
        <v>5237</v>
      </c>
      <c r="B65" t="s">
        <v>5238</v>
      </c>
      <c r="C65" t="s">
        <v>14968</v>
      </c>
      <c r="D65">
        <v>64</v>
      </c>
      <c r="E65" t="str">
        <f t="shared" si="0"/>
        <v>E1_1_1_25</v>
      </c>
      <c r="F65" s="9" t="s">
        <v>15511</v>
      </c>
      <c r="G65" s="9" t="s">
        <v>15512</v>
      </c>
      <c r="H65" s="9" t="s">
        <v>15513</v>
      </c>
      <c r="I65" s="9" t="s">
        <v>15514</v>
      </c>
      <c r="J65" s="9" t="str">
        <f t="shared" si="1"/>
        <v>(${Variables:E1_1_1_25_kcat} * E1_1_1_25 * C00493 * C00006)/(${Variables:E1_1_1_25_km} + (E1_1_1_25 * C00493 * C00006))</v>
      </c>
      <c r="K65" s="38" t="str">
        <f t="shared" si="2"/>
        <v>r64: C00493 + C00006 -&gt; C02637 + C00005 + C00080 | (${Variables:E1_1_1_25_kcat} * E1_1_1_25 * C00493 * C00006)/(${Variables:E1_1_1_25_km} + (E1_1_1_25 * C00493 * C00006))</v>
      </c>
    </row>
    <row r="66" spans="1:11" ht="42.75" x14ac:dyDescent="0.45">
      <c r="A66" t="s">
        <v>5237</v>
      </c>
      <c r="B66" t="s">
        <v>5238</v>
      </c>
      <c r="C66" t="s">
        <v>14968</v>
      </c>
      <c r="D66">
        <v>65</v>
      </c>
      <c r="E66" t="str">
        <f t="shared" si="0"/>
        <v>E1_1_1_25</v>
      </c>
      <c r="F66" s="9" t="s">
        <v>15515</v>
      </c>
      <c r="G66" s="9" t="s">
        <v>15516</v>
      </c>
      <c r="H66" s="9" t="s">
        <v>15517</v>
      </c>
      <c r="I66" s="9" t="s">
        <v>15518</v>
      </c>
      <c r="J66" s="9" t="str">
        <f t="shared" si="1"/>
        <v>(${Variables:E1_1_1_25_kcat} * E1_1_1_25 * C02637 * C00006)/(${Variables:E1_1_1_25_km} + (E1_1_1_25 * C02637 * C00006))</v>
      </c>
      <c r="K66" s="38" t="str">
        <f t="shared" si="2"/>
        <v>r65: C02637 + C00006 -&gt; C22438 + C00005 + C00080 | (${Variables:E1_1_1_25_kcat} * E1_1_1_25 * C02637 * C00006)/(${Variables:E1_1_1_25_km} + (E1_1_1_25 * C02637 * C00006))</v>
      </c>
    </row>
    <row r="67" spans="1:11" ht="42.75" x14ac:dyDescent="0.45">
      <c r="A67" t="s">
        <v>7649</v>
      </c>
      <c r="B67" t="s">
        <v>7650</v>
      </c>
      <c r="C67" t="s">
        <v>14968</v>
      </c>
      <c r="D67">
        <v>66</v>
      </c>
      <c r="E67" t="str">
        <f t="shared" ref="E67:E130" si="3">CONCATENATE("E",C67)</f>
        <v>E1_1_1_25</v>
      </c>
      <c r="F67" s="9" t="s">
        <v>15511</v>
      </c>
      <c r="G67" s="9" t="s">
        <v>15512</v>
      </c>
      <c r="H67" s="9" t="s">
        <v>15513</v>
      </c>
      <c r="I67" s="9" t="s">
        <v>15514</v>
      </c>
      <c r="J67" s="9" t="str">
        <f t="shared" ref="J67:J130" si="4">CONCATENATE("(${Variables:",E67,"_kcat","} * ",E67," * ",G67,")","/(${Variables:",E67,"_km","} + (",E67," * ",G67,"))")</f>
        <v>(${Variables:E1_1_1_25_kcat} * E1_1_1_25 * C00493 * C00006)/(${Variables:E1_1_1_25_km} + (E1_1_1_25 * C00493 * C00006))</v>
      </c>
      <c r="K67" s="38" t="str">
        <f t="shared" ref="K67:K130" si="5">CONCATENATE("r",D67,": ",F67," -&gt; ",H67," | ",J67)</f>
        <v>r66: C00493 + C00006 -&gt; C02637 + C00005 + C00080 | (${Variables:E1_1_1_25_kcat} * E1_1_1_25 * C00493 * C00006)/(${Variables:E1_1_1_25_km} + (E1_1_1_25 * C00493 * C00006))</v>
      </c>
    </row>
    <row r="68" spans="1:11" ht="42.75" x14ac:dyDescent="0.45">
      <c r="A68" t="s">
        <v>7649</v>
      </c>
      <c r="B68" t="s">
        <v>7650</v>
      </c>
      <c r="C68" t="s">
        <v>14968</v>
      </c>
      <c r="D68">
        <v>67</v>
      </c>
      <c r="E68" t="str">
        <f t="shared" si="3"/>
        <v>E1_1_1_25</v>
      </c>
      <c r="F68" s="9" t="s">
        <v>15515</v>
      </c>
      <c r="G68" s="9" t="s">
        <v>15516</v>
      </c>
      <c r="H68" s="9" t="s">
        <v>15517</v>
      </c>
      <c r="I68" s="9" t="s">
        <v>15518</v>
      </c>
      <c r="J68" s="9" t="str">
        <f t="shared" si="4"/>
        <v>(${Variables:E1_1_1_25_kcat} * E1_1_1_25 * C02637 * C00006)/(${Variables:E1_1_1_25_km} + (E1_1_1_25 * C02637 * C00006))</v>
      </c>
      <c r="K68" s="38" t="str">
        <f t="shared" si="5"/>
        <v>r67: C02637 + C00006 -&gt; C22438 + C00005 + C00080 | (${Variables:E1_1_1_25_kcat} * E1_1_1_25 * C02637 * C00006)/(${Variables:E1_1_1_25_km} + (E1_1_1_25 * C02637 * C00006))</v>
      </c>
    </row>
    <row r="69" spans="1:11" ht="42.75" x14ac:dyDescent="0.45">
      <c r="A69" t="s">
        <v>6106</v>
      </c>
      <c r="B69" t="s">
        <v>6107</v>
      </c>
      <c r="C69" t="s">
        <v>14969</v>
      </c>
      <c r="D69">
        <v>68</v>
      </c>
      <c r="E69" t="str">
        <f t="shared" si="3"/>
        <v>E1_1_1_267</v>
      </c>
      <c r="F69" s="9" t="s">
        <v>15519</v>
      </c>
      <c r="G69" s="9" t="s">
        <v>15520</v>
      </c>
      <c r="H69" s="9" t="s">
        <v>15521</v>
      </c>
      <c r="I69" s="9" t="s">
        <v>15522</v>
      </c>
      <c r="J69" s="9" t="str">
        <f t="shared" si="4"/>
        <v>(${Variables:E1_1_1_267_kcat} * E1_1_1_267 * C11434 * C00006)/(${Variables:E1_1_1_267_km} + (E1_1_1_267 * C11434 * C00006))</v>
      </c>
      <c r="K69" s="38" t="str">
        <f t="shared" si="5"/>
        <v>r68: C11434 + C00006 -&gt; C11437 + C00005 + C00080 | (${Variables:E1_1_1_267_kcat} * E1_1_1_267 * C11434 * C00006)/(${Variables:E1_1_1_267_km} + (E1_1_1_267 * C11434 * C00006))</v>
      </c>
    </row>
    <row r="70" spans="1:11" ht="42.75" x14ac:dyDescent="0.45">
      <c r="A70" t="s">
        <v>6203</v>
      </c>
      <c r="B70" t="s">
        <v>6204</v>
      </c>
      <c r="C70" t="s">
        <v>14970</v>
      </c>
      <c r="D70">
        <v>69</v>
      </c>
      <c r="E70" t="str">
        <f t="shared" si="3"/>
        <v>E1_1_1_27</v>
      </c>
      <c r="F70" s="9" t="s">
        <v>15523</v>
      </c>
      <c r="G70" s="9" t="s">
        <v>15524</v>
      </c>
      <c r="H70" s="9" t="s">
        <v>15525</v>
      </c>
      <c r="I70" s="9" t="s">
        <v>15526</v>
      </c>
      <c r="J70" s="9" t="str">
        <f t="shared" si="4"/>
        <v>(${Variables:E1_1_1_27_kcat} * E1_1_1_27 * C00186 * C00003)/(${Variables:E1_1_1_27_km} + (E1_1_1_27 * C00186 * C00003))</v>
      </c>
      <c r="K70" s="38" t="str">
        <f t="shared" si="5"/>
        <v>r69: C00186 + C00003 -&gt; C00022 + C00004 + C00080 | (${Variables:E1_1_1_27_kcat} * E1_1_1_27 * C00186 * C00003)/(${Variables:E1_1_1_27_km} + (E1_1_1_27 * C00186 * C00003))</v>
      </c>
    </row>
    <row r="71" spans="1:11" ht="42.75" x14ac:dyDescent="0.45">
      <c r="A71" t="s">
        <v>6203</v>
      </c>
      <c r="B71" t="s">
        <v>6204</v>
      </c>
      <c r="C71" t="s">
        <v>14970</v>
      </c>
      <c r="D71">
        <v>70</v>
      </c>
      <c r="E71" t="str">
        <f t="shared" si="3"/>
        <v>E1_1_1_27</v>
      </c>
      <c r="F71" s="9" t="s">
        <v>15531</v>
      </c>
      <c r="G71" s="9" t="s">
        <v>15532</v>
      </c>
      <c r="H71" s="9" t="s">
        <v>15533</v>
      </c>
      <c r="I71" s="9" t="s">
        <v>15534</v>
      </c>
      <c r="J71" s="9" t="str">
        <f t="shared" si="4"/>
        <v>(${Variables:E1_1_1_27_kcat} * E1_1_1_27 * C05984 * C00003)/(${Variables:E1_1_1_27_km} + (E1_1_1_27 * C05984 * C00003))</v>
      </c>
      <c r="K71" s="38" t="str">
        <f t="shared" si="5"/>
        <v>r70: C05984 + C00003 -&gt; C00109 + C00004 + C00080 | (${Variables:E1_1_1_27_kcat} * E1_1_1_27 * C05984 * C00003)/(${Variables:E1_1_1_27_km} + (E1_1_1_27 * C05984 * C00003))</v>
      </c>
    </row>
    <row r="72" spans="1:11" ht="42.75" x14ac:dyDescent="0.45">
      <c r="A72" t="s">
        <v>6203</v>
      </c>
      <c r="B72" t="s">
        <v>6204</v>
      </c>
      <c r="C72" t="s">
        <v>14970</v>
      </c>
      <c r="D72">
        <v>71</v>
      </c>
      <c r="E72" t="str">
        <f t="shared" si="3"/>
        <v>E1_1_1_27</v>
      </c>
      <c r="F72" s="9" t="s">
        <v>15527</v>
      </c>
      <c r="G72" s="9" t="s">
        <v>15528</v>
      </c>
      <c r="H72" s="9" t="s">
        <v>15529</v>
      </c>
      <c r="I72" s="9" t="s">
        <v>15530</v>
      </c>
      <c r="J72" s="9" t="str">
        <f t="shared" si="4"/>
        <v>(${Variables:E1_1_1_27_kcat} * E1_1_1_27 * C05823 * C00003)/(${Variables:E1_1_1_27_km} + (E1_1_1_27 * C05823 * C00003))</v>
      </c>
      <c r="K72" s="38" t="str">
        <f t="shared" si="5"/>
        <v>r71: C05823 + C00003 -&gt; C00957 + C00004 + C00080 | (${Variables:E1_1_1_27_kcat} * E1_1_1_27 * C05823 * C00003)/(${Variables:E1_1_1_27_km} + (E1_1_1_27 * C05823 * C00003))</v>
      </c>
    </row>
    <row r="73" spans="1:11" ht="42.75" x14ac:dyDescent="0.45">
      <c r="A73" t="s">
        <v>3128</v>
      </c>
      <c r="B73" t="s">
        <v>3129</v>
      </c>
      <c r="C73" t="s">
        <v>14971</v>
      </c>
      <c r="D73">
        <v>72</v>
      </c>
      <c r="E73" t="str">
        <f t="shared" si="3"/>
        <v>E1_1_1_3</v>
      </c>
      <c r="F73" s="9" t="s">
        <v>15535</v>
      </c>
      <c r="G73" s="9" t="s">
        <v>15536</v>
      </c>
      <c r="H73" s="9" t="s">
        <v>15537</v>
      </c>
      <c r="I73" s="9" t="s">
        <v>15538</v>
      </c>
      <c r="J73" s="9" t="str">
        <f t="shared" si="4"/>
        <v>(${Variables:E1_1_1_3_kcat} * E1_1_1_3 * C00263 * C00003)/(${Variables:E1_1_1_3_km} + (E1_1_1_3 * C00263 * C00003))</v>
      </c>
      <c r="K73" s="38" t="str">
        <f t="shared" si="5"/>
        <v>r72: C00263 + C00003 -&gt; C00441 + C00004 + C00080 | (${Variables:E1_1_1_3_kcat} * E1_1_1_3 * C00263 * C00003)/(${Variables:E1_1_1_3_km} + (E1_1_1_3 * C00263 * C00003))</v>
      </c>
    </row>
    <row r="74" spans="1:11" ht="42.75" x14ac:dyDescent="0.45">
      <c r="A74" t="s">
        <v>3128</v>
      </c>
      <c r="B74" t="s">
        <v>3129</v>
      </c>
      <c r="C74" t="s">
        <v>14971</v>
      </c>
      <c r="D74">
        <v>73</v>
      </c>
      <c r="E74" t="str">
        <f t="shared" si="3"/>
        <v>E1_1_1_3</v>
      </c>
      <c r="F74" s="9" t="s">
        <v>15539</v>
      </c>
      <c r="G74" s="9" t="s">
        <v>15540</v>
      </c>
      <c r="H74" s="9" t="s">
        <v>15541</v>
      </c>
      <c r="I74" s="9" t="s">
        <v>15542</v>
      </c>
      <c r="J74" s="9" t="str">
        <f t="shared" si="4"/>
        <v>(${Variables:E1_1_1_3_kcat} * E1_1_1_3 * C00263 * C00006)/(${Variables:E1_1_1_3_km} + (E1_1_1_3 * C00263 * C00006))</v>
      </c>
      <c r="K74" s="38" t="str">
        <f t="shared" si="5"/>
        <v>r73: C00263 + C00006 -&gt; C00441 + C00005 + C00080 | (${Variables:E1_1_1_3_kcat} * E1_1_1_3 * C00263 * C00006)/(${Variables:E1_1_1_3_km} + (E1_1_1_3 * C00263 * C00006))</v>
      </c>
    </row>
    <row r="75" spans="1:11" ht="42.75" x14ac:dyDescent="0.45">
      <c r="A75" t="s">
        <v>4521</v>
      </c>
      <c r="B75" t="s">
        <v>4522</v>
      </c>
      <c r="C75" t="s">
        <v>14971</v>
      </c>
      <c r="D75">
        <v>74</v>
      </c>
      <c r="E75" t="str">
        <f t="shared" si="3"/>
        <v>E1_1_1_3</v>
      </c>
      <c r="F75" s="9" t="s">
        <v>15535</v>
      </c>
      <c r="G75" s="9" t="s">
        <v>15536</v>
      </c>
      <c r="H75" s="9" t="s">
        <v>15537</v>
      </c>
      <c r="I75" s="9" t="s">
        <v>15538</v>
      </c>
      <c r="J75" s="9" t="str">
        <f t="shared" si="4"/>
        <v>(${Variables:E1_1_1_3_kcat} * E1_1_1_3 * C00263 * C00003)/(${Variables:E1_1_1_3_km} + (E1_1_1_3 * C00263 * C00003))</v>
      </c>
      <c r="K75" s="38" t="str">
        <f t="shared" si="5"/>
        <v>r74: C00263 + C00003 -&gt; C00441 + C00004 + C00080 | (${Variables:E1_1_1_3_kcat} * E1_1_1_3 * C00263 * C00003)/(${Variables:E1_1_1_3_km} + (E1_1_1_3 * C00263 * C00003))</v>
      </c>
    </row>
    <row r="76" spans="1:11" ht="42.75" x14ac:dyDescent="0.45">
      <c r="A76" t="s">
        <v>4521</v>
      </c>
      <c r="B76" t="s">
        <v>4522</v>
      </c>
      <c r="C76" t="s">
        <v>14971</v>
      </c>
      <c r="D76">
        <v>75</v>
      </c>
      <c r="E76" t="str">
        <f t="shared" si="3"/>
        <v>E1_1_1_3</v>
      </c>
      <c r="F76" s="9" t="s">
        <v>15539</v>
      </c>
      <c r="G76" s="9" t="s">
        <v>15540</v>
      </c>
      <c r="H76" s="9" t="s">
        <v>15541</v>
      </c>
      <c r="I76" s="9" t="s">
        <v>15542</v>
      </c>
      <c r="J76" s="9" t="str">
        <f t="shared" si="4"/>
        <v>(${Variables:E1_1_1_3_kcat} * E1_1_1_3 * C00263 * C00006)/(${Variables:E1_1_1_3_km} + (E1_1_1_3 * C00263 * C00006))</v>
      </c>
      <c r="K76" s="38" t="str">
        <f t="shared" si="5"/>
        <v>r75: C00263 + C00006 -&gt; C00441 + C00005 + C00080 | (${Variables:E1_1_1_3_kcat} * E1_1_1_3 * C00263 * C00006)/(${Variables:E1_1_1_3_km} + (E1_1_1_3 * C00263 * C00006))</v>
      </c>
    </row>
    <row r="77" spans="1:11" ht="42.75" x14ac:dyDescent="0.45">
      <c r="A77" t="s">
        <v>7571</v>
      </c>
      <c r="B77" t="s">
        <v>7572</v>
      </c>
      <c r="C77" t="s">
        <v>14972</v>
      </c>
      <c r="D77">
        <v>76</v>
      </c>
      <c r="E77" t="str">
        <f t="shared" si="3"/>
        <v>E1_1_1_30</v>
      </c>
      <c r="F77" s="9" t="s">
        <v>15543</v>
      </c>
      <c r="G77" s="9" t="s">
        <v>15544</v>
      </c>
      <c r="H77" s="9" t="s">
        <v>15545</v>
      </c>
      <c r="I77" s="9" t="s">
        <v>15546</v>
      </c>
      <c r="J77" s="9" t="str">
        <f t="shared" si="4"/>
        <v>(${Variables:E1_1_1_30_kcat} * E1_1_1_30 * C01089 * C00003)/(${Variables:E1_1_1_30_km} + (E1_1_1_30 * C01089 * C00003))</v>
      </c>
      <c r="K77" s="38" t="str">
        <f t="shared" si="5"/>
        <v>r76: C01089 + C00003 -&gt; C00164 + C00004 + C00080 | (${Variables:E1_1_1_30_kcat} * E1_1_1_30 * C01089 * C00003)/(${Variables:E1_1_1_30_km} + (E1_1_1_30 * C01089 * C00003))</v>
      </c>
    </row>
    <row r="78" spans="1:11" ht="42.75" x14ac:dyDescent="0.45">
      <c r="A78" t="s">
        <v>2718</v>
      </c>
      <c r="B78" t="s">
        <v>2719</v>
      </c>
      <c r="C78" t="s">
        <v>14973</v>
      </c>
      <c r="D78">
        <v>77</v>
      </c>
      <c r="E78" t="str">
        <f t="shared" si="3"/>
        <v>E1_1_1_40</v>
      </c>
      <c r="F78" s="9" t="s">
        <v>15549</v>
      </c>
      <c r="G78" s="9" t="s">
        <v>15550</v>
      </c>
      <c r="H78" s="9" t="s">
        <v>15551</v>
      </c>
      <c r="I78" s="9" t="s">
        <v>15552</v>
      </c>
      <c r="J78" s="9" t="str">
        <f t="shared" si="4"/>
        <v>(${Variables:E1_1_1_40_kcat} * E1_1_1_40 * C00149 * C00006)/(${Variables:E1_1_1_40_km} + (E1_1_1_40 * C00149 * C00006))</v>
      </c>
      <c r="K78" s="38" t="str">
        <f t="shared" si="5"/>
        <v>r77: C00149 + C00006 -&gt; C00022 + C00011 + C00005 + C00080 | (${Variables:E1_1_1_40_kcat} * E1_1_1_40 * C00149 * C00006)/(${Variables:E1_1_1_40_km} + (E1_1_1_40 * C00149 * C00006))</v>
      </c>
    </row>
    <row r="79" spans="1:11" ht="28.5" x14ac:dyDescent="0.45">
      <c r="A79" t="s">
        <v>2718</v>
      </c>
      <c r="B79" t="s">
        <v>2719</v>
      </c>
      <c r="C79" t="s">
        <v>14973</v>
      </c>
      <c r="D79">
        <v>78</v>
      </c>
      <c r="E79" t="str">
        <f t="shared" si="3"/>
        <v>E1_1_1_40</v>
      </c>
      <c r="F79" s="9" t="s">
        <v>10508</v>
      </c>
      <c r="G79" s="9" t="s">
        <v>10508</v>
      </c>
      <c r="H79" s="9" t="s">
        <v>15547</v>
      </c>
      <c r="I79" s="9" t="s">
        <v>15548</v>
      </c>
      <c r="J79" s="9" t="str">
        <f t="shared" si="4"/>
        <v>(${Variables:E1_1_1_40_kcat} * E1_1_1_40 * C00036)/(${Variables:E1_1_1_40_km} + (E1_1_1_40 * C00036))</v>
      </c>
      <c r="K79" s="38" t="str">
        <f t="shared" si="5"/>
        <v>r78: C00036 -&gt; C00022 + C00011 | (${Variables:E1_1_1_40_kcat} * E1_1_1_40 * C00036)/(${Variables:E1_1_1_40_km} + (E1_1_1_40 * C00036))</v>
      </c>
    </row>
    <row r="80" spans="1:11" ht="42.75" x14ac:dyDescent="0.45">
      <c r="A80" t="s">
        <v>7949</v>
      </c>
      <c r="B80" t="s">
        <v>7950</v>
      </c>
      <c r="C80" t="s">
        <v>14974</v>
      </c>
      <c r="D80">
        <v>79</v>
      </c>
      <c r="E80" t="str">
        <f t="shared" si="3"/>
        <v>E1_1_1_60</v>
      </c>
      <c r="F80" s="9" t="s">
        <v>15553</v>
      </c>
      <c r="G80" s="9" t="s">
        <v>15554</v>
      </c>
      <c r="H80" s="9" t="s">
        <v>15555</v>
      </c>
      <c r="I80" s="9" t="s">
        <v>15556</v>
      </c>
      <c r="J80" s="9" t="str">
        <f t="shared" si="4"/>
        <v>(${Variables:E1_1_1_60_kcat} * E1_1_1_60 * C00258 * C00003)/(${Variables:E1_1_1_60_km} + (E1_1_1_60 * C00258 * C00003))</v>
      </c>
      <c r="K80" s="38" t="str">
        <f t="shared" si="5"/>
        <v>r79: C00258 + C00003 -&gt; C01146 + C00004 + C00080 | (${Variables:E1_1_1_60_kcat} * E1_1_1_60 * C00258 * C00003)/(${Variables:E1_1_1_60_km} + (E1_1_1_60 * C00258 * C00003))</v>
      </c>
    </row>
    <row r="81" spans="1:11" ht="42.75" x14ac:dyDescent="0.45">
      <c r="A81" t="s">
        <v>7949</v>
      </c>
      <c r="B81" t="s">
        <v>7950</v>
      </c>
      <c r="C81" t="s">
        <v>14974</v>
      </c>
      <c r="D81">
        <v>80</v>
      </c>
      <c r="E81" t="str">
        <f t="shared" si="3"/>
        <v>E1_1_1_60</v>
      </c>
      <c r="F81" s="9" t="s">
        <v>15557</v>
      </c>
      <c r="G81" s="9" t="s">
        <v>15558</v>
      </c>
      <c r="H81" s="9" t="s">
        <v>15559</v>
      </c>
      <c r="I81" s="9" t="s">
        <v>15560</v>
      </c>
      <c r="J81" s="9" t="str">
        <f t="shared" si="4"/>
        <v>(${Variables:E1_1_1_60_kcat} * E1_1_1_60 * C00258 * C00006)/(${Variables:E1_1_1_60_km} + (E1_1_1_60 * C00258 * C00006))</v>
      </c>
      <c r="K81" s="38" t="str">
        <f t="shared" si="5"/>
        <v>r80: C00258 + C00006 -&gt; C01146 + C00005 + C00080 | (${Variables:E1_1_1_60_kcat} * E1_1_1_60 * C00258 * C00006)/(${Variables:E1_1_1_60_km} + (E1_1_1_60 * C00258 * C00006))</v>
      </c>
    </row>
    <row r="82" spans="1:11" ht="42.75" x14ac:dyDescent="0.45">
      <c r="A82" t="s">
        <v>2684</v>
      </c>
      <c r="B82" t="s">
        <v>2685</v>
      </c>
      <c r="C82" t="s">
        <v>14975</v>
      </c>
      <c r="D82">
        <v>81</v>
      </c>
      <c r="E82" t="str">
        <f t="shared" si="3"/>
        <v>E1_1_1_85</v>
      </c>
      <c r="F82" s="9" t="s">
        <v>15567</v>
      </c>
      <c r="G82" s="9" t="s">
        <v>15568</v>
      </c>
      <c r="H82" s="9" t="s">
        <v>15569</v>
      </c>
      <c r="I82" s="9" t="s">
        <v>15570</v>
      </c>
      <c r="J82" s="9" t="str">
        <f t="shared" si="4"/>
        <v>(${Variables:E1_1_1_85_kcat} * E1_1_1_85 * C04411 * C00003)/(${Variables:E1_1_1_85_km} + (E1_1_1_85 * C04411 * C00003))</v>
      </c>
      <c r="K82" s="38" t="str">
        <f t="shared" si="5"/>
        <v>r81: C04411 + C00003 -&gt; C00233 + C00011 + C00004 + C00080 | (${Variables:E1_1_1_85_kcat} * E1_1_1_85 * C04411 * C00003)/(${Variables:E1_1_1_85_km} + (E1_1_1_85 * C04411 * C00003))</v>
      </c>
    </row>
    <row r="83" spans="1:11" ht="42.75" x14ac:dyDescent="0.45">
      <c r="A83" t="s">
        <v>2684</v>
      </c>
      <c r="B83" t="s">
        <v>2685</v>
      </c>
      <c r="C83" t="s">
        <v>14975</v>
      </c>
      <c r="D83">
        <v>82</v>
      </c>
      <c r="E83" t="str">
        <f t="shared" si="3"/>
        <v>E1_1_1_85</v>
      </c>
      <c r="F83" s="9" t="s">
        <v>15567</v>
      </c>
      <c r="G83" s="9" t="s">
        <v>15568</v>
      </c>
      <c r="H83" s="9" t="s">
        <v>15571</v>
      </c>
      <c r="I83" s="9" t="s">
        <v>15572</v>
      </c>
      <c r="J83" s="9" t="str">
        <f t="shared" si="4"/>
        <v>(${Variables:E1_1_1_85_kcat} * E1_1_1_85 * C04411 * C00003)/(${Variables:E1_1_1_85_km} + (E1_1_1_85 * C04411 * C00003))</v>
      </c>
      <c r="K83" s="38" t="str">
        <f t="shared" si="5"/>
        <v>r82: C04411 + C00003 -&gt; C04236 + C00004 + C00080 | (${Variables:E1_1_1_85_kcat} * E1_1_1_85 * C04411 * C00003)/(${Variables:E1_1_1_85_km} + (E1_1_1_85 * C04411 * C00003))</v>
      </c>
    </row>
    <row r="84" spans="1:11" ht="42.75" x14ac:dyDescent="0.45">
      <c r="A84" t="s">
        <v>2684</v>
      </c>
      <c r="B84" t="s">
        <v>2685</v>
      </c>
      <c r="C84" t="s">
        <v>14975</v>
      </c>
      <c r="D84">
        <v>83</v>
      </c>
      <c r="E84" t="str">
        <f t="shared" si="3"/>
        <v>E1_1_1_85</v>
      </c>
      <c r="F84" s="9" t="s">
        <v>15565</v>
      </c>
      <c r="G84" s="9" t="s">
        <v>15566</v>
      </c>
      <c r="H84" s="9" t="s">
        <v>10527</v>
      </c>
      <c r="I84" s="9" t="s">
        <v>10527</v>
      </c>
      <c r="J84" s="9" t="str">
        <f t="shared" si="4"/>
        <v>(${Variables:E1_1_1_85_kcat} * E1_1_1_85 * C00233 * C00011)/(${Variables:E1_1_1_85_km} + (E1_1_1_85 * C00233 * C00011))</v>
      </c>
      <c r="K84" s="38" t="str">
        <f t="shared" si="5"/>
        <v>r83: C00233 + C00011 -&gt; C04236 | (${Variables:E1_1_1_85_kcat} * E1_1_1_85 * C00233 * C00011)/(${Variables:E1_1_1_85_km} + (E1_1_1_85 * C00233 * C00011))</v>
      </c>
    </row>
    <row r="85" spans="1:11" ht="57" x14ac:dyDescent="0.45">
      <c r="A85" t="s">
        <v>2684</v>
      </c>
      <c r="B85" t="s">
        <v>2685</v>
      </c>
      <c r="C85" t="s">
        <v>14975</v>
      </c>
      <c r="D85">
        <v>84</v>
      </c>
      <c r="E85" t="str">
        <f t="shared" si="3"/>
        <v>E1_1_1_85</v>
      </c>
      <c r="F85" s="9" t="s">
        <v>15561</v>
      </c>
      <c r="G85" s="9" t="s">
        <v>15562</v>
      </c>
      <c r="H85" s="9" t="s">
        <v>15563</v>
      </c>
      <c r="I85" s="9" t="s">
        <v>15564</v>
      </c>
      <c r="J85" s="9" t="str">
        <f t="shared" si="4"/>
        <v>(${Variables:E1_1_1_85_kcat} * E1_1_1_85 * C00109 * C00011 * C00004 * C00080)/(${Variables:E1_1_1_85_km} + (E1_1_1_85 * C00109 * C00011 * C00004 * C00080))</v>
      </c>
      <c r="K85" s="38" t="str">
        <f t="shared" si="5"/>
        <v>r84: C00109 + C00011 + C00004 + C00080 -&gt; C06032 + C00003 | (${Variables:E1_1_1_85_kcat} * E1_1_1_85 * C00109 * C00011 * C00004 * C00080)/(${Variables:E1_1_1_85_km} + (E1_1_1_85 * C00109 * C00011 * C00004 * C00080))</v>
      </c>
    </row>
    <row r="86" spans="1:11" ht="42.75" x14ac:dyDescent="0.45">
      <c r="A86" t="s">
        <v>4314</v>
      </c>
      <c r="B86" t="s">
        <v>4315</v>
      </c>
      <c r="C86" t="s">
        <v>14976</v>
      </c>
      <c r="D86">
        <v>85</v>
      </c>
      <c r="E86" t="str">
        <f t="shared" si="3"/>
        <v>E1_1_1_86</v>
      </c>
      <c r="F86" s="9" t="s">
        <v>15577</v>
      </c>
      <c r="G86" s="9" t="s">
        <v>15578</v>
      </c>
      <c r="H86" s="9" t="s">
        <v>15579</v>
      </c>
      <c r="I86" s="9" t="s">
        <v>15580</v>
      </c>
      <c r="J86" s="9" t="str">
        <f t="shared" si="4"/>
        <v>(${Variables:E1_1_1_86_kcat} * E1_1_1_86 * C04272 * C00006)/(${Variables:E1_1_1_86_km} + (E1_1_1_86 * C04272 * C00006))</v>
      </c>
      <c r="K86" s="38" t="str">
        <f t="shared" si="5"/>
        <v>r85: C04272 + C00006 -&gt; C06010 + C00005 + C00080 | (${Variables:E1_1_1_86_kcat} * E1_1_1_86 * C04272 * C00006)/(${Variables:E1_1_1_86_km} + (E1_1_1_86 * C04272 * C00006))</v>
      </c>
    </row>
    <row r="87" spans="1:11" ht="42.75" x14ac:dyDescent="0.45">
      <c r="A87" t="s">
        <v>4314</v>
      </c>
      <c r="B87" t="s">
        <v>4315</v>
      </c>
      <c r="C87" t="s">
        <v>14976</v>
      </c>
      <c r="D87">
        <v>86</v>
      </c>
      <c r="E87" t="str">
        <f t="shared" si="3"/>
        <v>E1_1_1_86</v>
      </c>
      <c r="F87" s="9" t="s">
        <v>15573</v>
      </c>
      <c r="G87" s="9" t="s">
        <v>15574</v>
      </c>
      <c r="H87" s="9" t="s">
        <v>15575</v>
      </c>
      <c r="I87" s="9" t="s">
        <v>15576</v>
      </c>
      <c r="J87" s="9" t="str">
        <f t="shared" si="4"/>
        <v>(${Variables:E1_1_1_86_kcat} * E1_1_1_86 * C00900 * C00005 * C00080)/(${Variables:E1_1_1_86_km} + (E1_1_1_86 * C00900 * C00005 * C00080))</v>
      </c>
      <c r="K87" s="38" t="str">
        <f t="shared" si="5"/>
        <v>r86: C00900 + C00005 + C00080 -&gt; C04039 + C00006 | (${Variables:E1_1_1_86_kcat} * E1_1_1_86 * C00900 * C00005 * C00080)/(${Variables:E1_1_1_86_km} + (E1_1_1_86 * C00900 * C00005 * C00080))</v>
      </c>
    </row>
    <row r="88" spans="1:11" ht="42.75" x14ac:dyDescent="0.45">
      <c r="A88" t="s">
        <v>4314</v>
      </c>
      <c r="B88" t="s">
        <v>4315</v>
      </c>
      <c r="C88" t="s">
        <v>14976</v>
      </c>
      <c r="D88">
        <v>87</v>
      </c>
      <c r="E88" t="str">
        <f t="shared" si="3"/>
        <v>E1_1_1_86</v>
      </c>
      <c r="F88" s="9" t="s">
        <v>15577</v>
      </c>
      <c r="G88" s="9" t="s">
        <v>15578</v>
      </c>
      <c r="H88" s="9" t="s">
        <v>15581</v>
      </c>
      <c r="I88" s="9" t="s">
        <v>15582</v>
      </c>
      <c r="J88" s="9" t="str">
        <f t="shared" si="4"/>
        <v>(${Variables:E1_1_1_86_kcat} * E1_1_1_86 * C04272 * C00006)/(${Variables:E1_1_1_86_km} + (E1_1_1_86 * C04272 * C00006))</v>
      </c>
      <c r="K88" s="38" t="str">
        <f t="shared" si="5"/>
        <v>r87: C04272 + C00006 -&gt; C04181 + C00005 + C00080 | (${Variables:E1_1_1_86_kcat} * E1_1_1_86 * C04272 * C00006)/(${Variables:E1_1_1_86_km} + (E1_1_1_86 * C04272 * C00006))</v>
      </c>
    </row>
    <row r="89" spans="1:11" ht="42.75" x14ac:dyDescent="0.45">
      <c r="A89" t="s">
        <v>4314</v>
      </c>
      <c r="B89" t="s">
        <v>4315</v>
      </c>
      <c r="C89" t="s">
        <v>14976</v>
      </c>
      <c r="D89">
        <v>88</v>
      </c>
      <c r="E89" t="str">
        <f t="shared" si="3"/>
        <v>E1_1_1_86</v>
      </c>
      <c r="F89" s="9" t="s">
        <v>15583</v>
      </c>
      <c r="G89" s="9" t="s">
        <v>15584</v>
      </c>
      <c r="H89" s="9" t="s">
        <v>15585</v>
      </c>
      <c r="I89" s="9" t="s">
        <v>15586</v>
      </c>
      <c r="J89" s="9" t="str">
        <f t="shared" si="4"/>
        <v>(${Variables:E1_1_1_86_kcat} * E1_1_1_86 * C06007 * C00006)/(${Variables:E1_1_1_86_km} + (E1_1_1_86 * C06007 * C00006))</v>
      </c>
      <c r="K89" s="38" t="str">
        <f t="shared" si="5"/>
        <v>r88: C06007 + C00006 -&gt; C14463 + C00005 + C00080 | (${Variables:E1_1_1_86_kcat} * E1_1_1_86 * C06007 * C00006)/(${Variables:E1_1_1_86_km} + (E1_1_1_86 * C06007 * C00006))</v>
      </c>
    </row>
    <row r="90" spans="1:11" ht="28.5" x14ac:dyDescent="0.45">
      <c r="A90" t="s">
        <v>4314</v>
      </c>
      <c r="B90" t="s">
        <v>4315</v>
      </c>
      <c r="C90" t="s">
        <v>14976</v>
      </c>
      <c r="D90">
        <v>89</v>
      </c>
      <c r="E90" t="str">
        <f t="shared" si="3"/>
        <v>E1_1_1_86</v>
      </c>
      <c r="F90" s="9" t="s">
        <v>10545</v>
      </c>
      <c r="G90" s="9" t="s">
        <v>10545</v>
      </c>
      <c r="H90" s="9" t="s">
        <v>10546</v>
      </c>
      <c r="I90" s="9" t="s">
        <v>10546</v>
      </c>
      <c r="J90" s="9" t="str">
        <f t="shared" si="4"/>
        <v>(${Variables:E1_1_1_86_kcat} * E1_1_1_86 * C06006)/(${Variables:E1_1_1_86_km} + (E1_1_1_86 * C06006))</v>
      </c>
      <c r="K90" s="38" t="str">
        <f t="shared" si="5"/>
        <v>r89: C06006 -&gt; C14463 | (${Variables:E1_1_1_86_kcat} * E1_1_1_86 * C06006)/(${Variables:E1_1_1_86_km} + (E1_1_1_86 * C06006))</v>
      </c>
    </row>
    <row r="91" spans="1:11" ht="28.5" x14ac:dyDescent="0.45">
      <c r="A91" t="s">
        <v>4314</v>
      </c>
      <c r="B91" t="s">
        <v>4315</v>
      </c>
      <c r="C91" t="s">
        <v>14976</v>
      </c>
      <c r="D91">
        <v>90</v>
      </c>
      <c r="E91" t="str">
        <f t="shared" si="3"/>
        <v>E1_1_1_86</v>
      </c>
      <c r="F91" s="9" t="s">
        <v>10548</v>
      </c>
      <c r="G91" s="9" t="s">
        <v>10548</v>
      </c>
      <c r="H91" s="9" t="s">
        <v>10549</v>
      </c>
      <c r="I91" s="9" t="s">
        <v>10549</v>
      </c>
      <c r="J91" s="9" t="str">
        <f t="shared" si="4"/>
        <v>(${Variables:E1_1_1_86_kcat} * E1_1_1_86 * C06010)/(${Variables:E1_1_1_86_km} + (E1_1_1_86 * C06010))</v>
      </c>
      <c r="K91" s="38" t="str">
        <f t="shared" si="5"/>
        <v>r90: C06010 -&gt; C04181 | (${Variables:E1_1_1_86_kcat} * E1_1_1_86 * C06010)/(${Variables:E1_1_1_86_km} + (E1_1_1_86 * C06010))</v>
      </c>
    </row>
    <row r="92" spans="1:11" ht="42.75" x14ac:dyDescent="0.45">
      <c r="A92" t="s">
        <v>7425</v>
      </c>
      <c r="B92" t="s">
        <v>7426</v>
      </c>
      <c r="C92" t="s">
        <v>14977</v>
      </c>
      <c r="D92">
        <v>91</v>
      </c>
      <c r="E92" t="str">
        <f t="shared" si="3"/>
        <v>E1_1_1_94</v>
      </c>
      <c r="F92" s="9" t="s">
        <v>15587</v>
      </c>
      <c r="G92" s="9" t="s">
        <v>15588</v>
      </c>
      <c r="H92" s="9" t="s">
        <v>15589</v>
      </c>
      <c r="I92" s="9" t="s">
        <v>15590</v>
      </c>
      <c r="J92" s="9" t="str">
        <f t="shared" si="4"/>
        <v>(${Variables:E1_1_1_94_kcat} * E1_1_1_94 * C00093 * C00003)/(${Variables:E1_1_1_94_km} + (E1_1_1_94 * C00093 * C00003))</v>
      </c>
      <c r="K92" s="38" t="str">
        <f t="shared" si="5"/>
        <v>r91: C00093 + C00003 -&gt; C00111 + C00004 + C00080 | (${Variables:E1_1_1_94_kcat} * E1_1_1_94 * C00093 * C00003)/(${Variables:E1_1_1_94_km} + (E1_1_1_94 * C00093 * C00003))</v>
      </c>
    </row>
    <row r="93" spans="1:11" ht="42.75" x14ac:dyDescent="0.45">
      <c r="A93" t="s">
        <v>7425</v>
      </c>
      <c r="B93" t="s">
        <v>7426</v>
      </c>
      <c r="C93" t="s">
        <v>14977</v>
      </c>
      <c r="D93">
        <v>92</v>
      </c>
      <c r="E93" t="str">
        <f t="shared" si="3"/>
        <v>E1_1_1_94</v>
      </c>
      <c r="F93" s="9" t="s">
        <v>15591</v>
      </c>
      <c r="G93" s="9" t="s">
        <v>15592</v>
      </c>
      <c r="H93" s="9" t="s">
        <v>15593</v>
      </c>
      <c r="I93" s="9" t="s">
        <v>15594</v>
      </c>
      <c r="J93" s="9" t="str">
        <f t="shared" si="4"/>
        <v>(${Variables:E1_1_1_94_kcat} * E1_1_1_94 * C00093 * C00006)/(${Variables:E1_1_1_94_km} + (E1_1_1_94 * C00093 * C00006))</v>
      </c>
      <c r="K93" s="38" t="str">
        <f t="shared" si="5"/>
        <v>r92: C00093 + C00006 -&gt; C00111 + C00005 + C00080 | (${Variables:E1_1_1_94_kcat} * E1_1_1_94 * C00093 * C00006)/(${Variables:E1_1_1_94_km} + (E1_1_1_94 * C00093 * C00006))</v>
      </c>
    </row>
    <row r="94" spans="1:11" ht="42.75" x14ac:dyDescent="0.45">
      <c r="A94" t="s">
        <v>2434</v>
      </c>
      <c r="B94" t="s">
        <v>2435</v>
      </c>
      <c r="C94" t="s">
        <v>14978</v>
      </c>
      <c r="D94">
        <v>93</v>
      </c>
      <c r="E94" t="str">
        <f t="shared" si="3"/>
        <v>E1_11_1_1</v>
      </c>
      <c r="F94" s="9" t="s">
        <v>15595</v>
      </c>
      <c r="G94" s="9" t="s">
        <v>15596</v>
      </c>
      <c r="H94" s="9" t="s">
        <v>15597</v>
      </c>
      <c r="I94" s="9" t="s">
        <v>15598</v>
      </c>
      <c r="J94" s="9" t="str">
        <f t="shared" si="4"/>
        <v>(${Variables:E1_11_1_1_kcat} * E1_11_1_1 * C00027 * C00004 * C00080)/(${Variables:E1_11_1_1_km} + (E1_11_1_1 * C00027 * C00004 * C00080))</v>
      </c>
      <c r="K94" s="38" t="str">
        <f t="shared" si="5"/>
        <v>r93: C00027 + C00004 + C00080 -&gt; C00003 + C00001 | (${Variables:E1_11_1_1_kcat} * E1_11_1_1 * C00027 * C00004 * C00080)/(${Variables:E1_11_1_1_km} + (E1_11_1_1 * C00027 * C00004 * C00080))</v>
      </c>
    </row>
    <row r="95" spans="1:11" ht="42.75" x14ac:dyDescent="0.45">
      <c r="A95" t="s">
        <v>4056</v>
      </c>
      <c r="B95" t="s">
        <v>4057</v>
      </c>
      <c r="C95" t="s">
        <v>14978</v>
      </c>
      <c r="D95">
        <v>94</v>
      </c>
      <c r="E95" t="str">
        <f t="shared" si="3"/>
        <v>E1_11_1_1</v>
      </c>
      <c r="F95" s="9" t="s">
        <v>15595</v>
      </c>
      <c r="G95" s="9" t="s">
        <v>15596</v>
      </c>
      <c r="H95" s="9" t="s">
        <v>15597</v>
      </c>
      <c r="I95" s="9" t="s">
        <v>15598</v>
      </c>
      <c r="J95" s="9" t="str">
        <f t="shared" si="4"/>
        <v>(${Variables:E1_11_1_1_kcat} * E1_11_1_1 * C00027 * C00004 * C00080)/(${Variables:E1_11_1_1_km} + (E1_11_1_1 * C00027 * C00004 * C00080))</v>
      </c>
      <c r="K95" s="38" t="str">
        <f t="shared" si="5"/>
        <v>r94: C00027 + C00004 + C00080 -&gt; C00003 + C00001 | (${Variables:E1_11_1_1_kcat} * E1_11_1_1 * C00027 * C00004 * C00080)/(${Variables:E1_11_1_1_km} + (E1_11_1_1 * C00027 * C00004 * C00080))</v>
      </c>
    </row>
    <row r="96" spans="1:11" ht="42.75" x14ac:dyDescent="0.45">
      <c r="A96" t="s">
        <v>4199</v>
      </c>
      <c r="B96" t="s">
        <v>4200</v>
      </c>
      <c r="C96" t="s">
        <v>14978</v>
      </c>
      <c r="D96">
        <v>95</v>
      </c>
      <c r="E96" t="str">
        <f t="shared" si="3"/>
        <v>E1_11_1_1</v>
      </c>
      <c r="F96" s="9" t="s">
        <v>15595</v>
      </c>
      <c r="G96" s="9" t="s">
        <v>15596</v>
      </c>
      <c r="H96" s="9" t="s">
        <v>15597</v>
      </c>
      <c r="I96" s="9" t="s">
        <v>15598</v>
      </c>
      <c r="J96" s="9" t="str">
        <f t="shared" si="4"/>
        <v>(${Variables:E1_11_1_1_kcat} * E1_11_1_1 * C00027 * C00004 * C00080)/(${Variables:E1_11_1_1_km} + (E1_11_1_1 * C00027 * C00004 * C00080))</v>
      </c>
      <c r="K96" s="38" t="str">
        <f t="shared" si="5"/>
        <v>r95: C00027 + C00004 + C00080 -&gt; C00003 + C00001 | (${Variables:E1_11_1_1_kcat} * E1_11_1_1 * C00027 * C00004 * C00080)/(${Variables:E1_11_1_1_km} + (E1_11_1_1 * C00027 * C00004 * C00080))</v>
      </c>
    </row>
    <row r="97" spans="1:11" ht="42.75" x14ac:dyDescent="0.45">
      <c r="A97" t="s">
        <v>8038</v>
      </c>
      <c r="B97" t="s">
        <v>8039</v>
      </c>
      <c r="C97" t="s">
        <v>14978</v>
      </c>
      <c r="D97">
        <v>96</v>
      </c>
      <c r="E97" t="str">
        <f t="shared" si="3"/>
        <v>E1_11_1_1</v>
      </c>
      <c r="F97" s="9" t="s">
        <v>15595</v>
      </c>
      <c r="G97" s="9" t="s">
        <v>15596</v>
      </c>
      <c r="H97" s="9" t="s">
        <v>15597</v>
      </c>
      <c r="I97" s="9" t="s">
        <v>15598</v>
      </c>
      <c r="J97" s="9" t="str">
        <f t="shared" si="4"/>
        <v>(${Variables:E1_11_1_1_kcat} * E1_11_1_1 * C00027 * C00004 * C00080)/(${Variables:E1_11_1_1_km} + (E1_11_1_1 * C00027 * C00004 * C00080))</v>
      </c>
      <c r="K97" s="38" t="str">
        <f t="shared" si="5"/>
        <v>r96: C00027 + C00004 + C00080 -&gt; C00003 + C00001 | (${Variables:E1_11_1_1_kcat} * E1_11_1_1 * C00027 * C00004 * C00080)/(${Variables:E1_11_1_1_km} + (E1_11_1_1 * C00027 * C00004 * C00080))</v>
      </c>
    </row>
    <row r="98" spans="1:11" ht="42.75" x14ac:dyDescent="0.45">
      <c r="A98" t="s">
        <v>3942</v>
      </c>
      <c r="B98" t="s">
        <v>3943</v>
      </c>
      <c r="C98" t="s">
        <v>14979</v>
      </c>
      <c r="D98">
        <v>97</v>
      </c>
      <c r="E98" t="str">
        <f t="shared" si="3"/>
        <v>E1_11_1_24</v>
      </c>
      <c r="F98" s="9" t="s">
        <v>15599</v>
      </c>
      <c r="G98" s="9" t="s">
        <v>15600</v>
      </c>
      <c r="H98" s="9" t="s">
        <v>15601</v>
      </c>
      <c r="I98" s="9" t="s">
        <v>15602</v>
      </c>
      <c r="J98" s="9" t="str">
        <f t="shared" si="4"/>
        <v>(${Variables:E1_11_1_24_kcat} * E1_11_1_24 * C00342 * C15498)/(${Variables:E1_11_1_24_km} + (E1_11_1_24 * C00342 * C15498))</v>
      </c>
      <c r="K98" s="38" t="str">
        <f t="shared" si="5"/>
        <v>r97: C00342 + C15498 -&gt; C00343 + C00001 + C01335 | (${Variables:E1_11_1_24_kcat} * E1_11_1_24 * C00342 * C15498)/(${Variables:E1_11_1_24_km} + (E1_11_1_24 * C00342 * C15498))</v>
      </c>
    </row>
    <row r="99" spans="1:11" ht="42.75" x14ac:dyDescent="0.45">
      <c r="A99" t="s">
        <v>5188</v>
      </c>
      <c r="B99" t="s">
        <v>5189</v>
      </c>
      <c r="C99" t="s">
        <v>14979</v>
      </c>
      <c r="D99">
        <v>98</v>
      </c>
      <c r="E99" t="str">
        <f t="shared" si="3"/>
        <v>E1_11_1_24</v>
      </c>
      <c r="F99" s="9" t="s">
        <v>15599</v>
      </c>
      <c r="G99" s="9" t="s">
        <v>15600</v>
      </c>
      <c r="H99" s="9" t="s">
        <v>15601</v>
      </c>
      <c r="I99" s="9" t="s">
        <v>15602</v>
      </c>
      <c r="J99" s="9" t="str">
        <f t="shared" si="4"/>
        <v>(${Variables:E1_11_1_24_kcat} * E1_11_1_24 * C00342 * C15498)/(${Variables:E1_11_1_24_km} + (E1_11_1_24 * C00342 * C15498))</v>
      </c>
      <c r="K99" s="38" t="str">
        <f t="shared" si="5"/>
        <v>r98: C00342 + C15498 -&gt; C00343 + C00001 + C01335 | (${Variables:E1_11_1_24_kcat} * E1_11_1_24 * C00342 * C15498)/(${Variables:E1_11_1_24_km} + (E1_11_1_24 * C00342 * C15498))</v>
      </c>
    </row>
    <row r="100" spans="1:11" ht="28.5" x14ac:dyDescent="0.45">
      <c r="A100" t="s">
        <v>1787</v>
      </c>
      <c r="B100" t="s">
        <v>1788</v>
      </c>
      <c r="C100" t="s">
        <v>14980</v>
      </c>
      <c r="D100">
        <v>99</v>
      </c>
      <c r="E100" t="str">
        <f t="shared" si="3"/>
        <v>E1_11_1_6</v>
      </c>
      <c r="F100" s="9" t="s">
        <v>10571</v>
      </c>
      <c r="G100" s="9" t="s">
        <v>10571</v>
      </c>
      <c r="H100" s="9" t="s">
        <v>15603</v>
      </c>
      <c r="I100" s="9" t="s">
        <v>15604</v>
      </c>
      <c r="J100" s="9" t="str">
        <f t="shared" si="4"/>
        <v>(${Variables:E1_11_1_6_kcat} * E1_11_1_6 * C00027)/(${Variables:E1_11_1_6_km} + (E1_11_1_6 * C00027))</v>
      </c>
      <c r="K100" s="38" t="str">
        <f t="shared" si="5"/>
        <v>r99: C00027 -&gt; C00007 + C00001 | (${Variables:E1_11_1_6_kcat} * E1_11_1_6 * C00027)/(${Variables:E1_11_1_6_km} + (E1_11_1_6 * C00027))</v>
      </c>
    </row>
    <row r="101" spans="1:11" ht="42.75" x14ac:dyDescent="0.45">
      <c r="A101" t="s">
        <v>1787</v>
      </c>
      <c r="B101" t="s">
        <v>1788</v>
      </c>
      <c r="C101" t="s">
        <v>14980</v>
      </c>
      <c r="D101">
        <v>100</v>
      </c>
      <c r="E101" t="str">
        <f t="shared" si="3"/>
        <v>E1_11_1_6</v>
      </c>
      <c r="F101" s="9" t="s">
        <v>15605</v>
      </c>
      <c r="G101" s="9" t="s">
        <v>15606</v>
      </c>
      <c r="H101" s="9" t="s">
        <v>15607</v>
      </c>
      <c r="I101" s="9" t="s">
        <v>15608</v>
      </c>
      <c r="J101" s="9" t="str">
        <f t="shared" si="4"/>
        <v>(${Variables:E1_11_1_6_kcat} * E1_11_1_6 * C00132 * C00027)/(${Variables:E1_11_1_6_km} + (E1_11_1_6 * C00132 * C00027))</v>
      </c>
      <c r="K101" s="38" t="str">
        <f t="shared" si="5"/>
        <v>r100: C00132 + C00027 -&gt; C00067 + C00001 | (${Variables:E1_11_1_6_kcat} * E1_11_1_6 * C00132 * C00027)/(${Variables:E1_11_1_6_km} + (E1_11_1_6 * C00132 * C00027))</v>
      </c>
    </row>
    <row r="102" spans="1:11" ht="42.75" x14ac:dyDescent="0.45">
      <c r="A102" t="s">
        <v>1787</v>
      </c>
      <c r="B102" t="s">
        <v>1788</v>
      </c>
      <c r="C102" t="s">
        <v>14980</v>
      </c>
      <c r="D102">
        <v>101</v>
      </c>
      <c r="E102" t="str">
        <f t="shared" si="3"/>
        <v>E1_11_1_6</v>
      </c>
      <c r="F102" s="9" t="s">
        <v>15609</v>
      </c>
      <c r="G102" s="9" t="s">
        <v>15610</v>
      </c>
      <c r="H102" s="9" t="s">
        <v>15611</v>
      </c>
      <c r="I102" s="9" t="s">
        <v>15612</v>
      </c>
      <c r="J102" s="9" t="str">
        <f t="shared" si="4"/>
        <v>(${Variables:E1_11_1_6_kcat} * E1_11_1_6 * C00632 * C00007)/(${Variables:E1_11_1_6_km} + (E1_11_1_6 * C00632 * C00007))</v>
      </c>
      <c r="K102" s="38" t="str">
        <f t="shared" si="5"/>
        <v>r101: C00632 + C00007 -&gt; C05640 + C00704 + C00027 + C00080 | (${Variables:E1_11_1_6_kcat} * E1_11_1_6 * C00632 * C00007)/(${Variables:E1_11_1_6_km} + (E1_11_1_6 * C00632 * C00007))</v>
      </c>
    </row>
    <row r="103" spans="1:11" ht="28.5" x14ac:dyDescent="0.45">
      <c r="A103" t="s">
        <v>4490</v>
      </c>
      <c r="B103" t="s">
        <v>4491</v>
      </c>
      <c r="C103" t="s">
        <v>14980</v>
      </c>
      <c r="D103">
        <v>102</v>
      </c>
      <c r="E103" t="str">
        <f t="shared" si="3"/>
        <v>E1_11_1_6</v>
      </c>
      <c r="F103" s="9" t="s">
        <v>10571</v>
      </c>
      <c r="G103" s="9" t="s">
        <v>10571</v>
      </c>
      <c r="H103" s="9" t="s">
        <v>15603</v>
      </c>
      <c r="I103" s="9" t="s">
        <v>15604</v>
      </c>
      <c r="J103" s="9" t="str">
        <f t="shared" si="4"/>
        <v>(${Variables:E1_11_1_6_kcat} * E1_11_1_6 * C00027)/(${Variables:E1_11_1_6_km} + (E1_11_1_6 * C00027))</v>
      </c>
      <c r="K103" s="38" t="str">
        <f t="shared" si="5"/>
        <v>r102: C00027 -&gt; C00007 + C00001 | (${Variables:E1_11_1_6_kcat} * E1_11_1_6 * C00027)/(${Variables:E1_11_1_6_km} + (E1_11_1_6 * C00027))</v>
      </c>
    </row>
    <row r="104" spans="1:11" ht="42.75" x14ac:dyDescent="0.45">
      <c r="A104" t="s">
        <v>4490</v>
      </c>
      <c r="B104" t="s">
        <v>4491</v>
      </c>
      <c r="C104" t="s">
        <v>14980</v>
      </c>
      <c r="D104">
        <v>103</v>
      </c>
      <c r="E104" t="str">
        <f t="shared" si="3"/>
        <v>E1_11_1_6</v>
      </c>
      <c r="F104" s="9" t="s">
        <v>15605</v>
      </c>
      <c r="G104" s="9" t="s">
        <v>15606</v>
      </c>
      <c r="H104" s="9" t="s">
        <v>15607</v>
      </c>
      <c r="I104" s="9" t="s">
        <v>15608</v>
      </c>
      <c r="J104" s="9" t="str">
        <f t="shared" si="4"/>
        <v>(${Variables:E1_11_1_6_kcat} * E1_11_1_6 * C00132 * C00027)/(${Variables:E1_11_1_6_km} + (E1_11_1_6 * C00132 * C00027))</v>
      </c>
      <c r="K104" s="38" t="str">
        <f t="shared" si="5"/>
        <v>r103: C00132 + C00027 -&gt; C00067 + C00001 | (${Variables:E1_11_1_6_kcat} * E1_11_1_6 * C00132 * C00027)/(${Variables:E1_11_1_6_km} + (E1_11_1_6 * C00132 * C00027))</v>
      </c>
    </row>
    <row r="105" spans="1:11" ht="42.75" x14ac:dyDescent="0.45">
      <c r="A105" t="s">
        <v>4490</v>
      </c>
      <c r="B105" t="s">
        <v>4491</v>
      </c>
      <c r="C105" t="s">
        <v>14980</v>
      </c>
      <c r="D105">
        <v>104</v>
      </c>
      <c r="E105" t="str">
        <f t="shared" si="3"/>
        <v>E1_11_1_6</v>
      </c>
      <c r="F105" s="9" t="s">
        <v>15609</v>
      </c>
      <c r="G105" s="9" t="s">
        <v>15610</v>
      </c>
      <c r="H105" s="9" t="s">
        <v>15611</v>
      </c>
      <c r="I105" s="9" t="s">
        <v>15612</v>
      </c>
      <c r="J105" s="9" t="str">
        <f t="shared" si="4"/>
        <v>(${Variables:E1_11_1_6_kcat} * E1_11_1_6 * C00632 * C00007)/(${Variables:E1_11_1_6_km} + (E1_11_1_6 * C00632 * C00007))</v>
      </c>
      <c r="K105" s="38" t="str">
        <f t="shared" si="5"/>
        <v>r104: C00632 + C00007 -&gt; C05640 + C00704 + C00027 + C00080 | (${Variables:E1_11_1_6_kcat} * E1_11_1_6 * C00632 * C00007)/(${Variables:E1_11_1_6_km} + (E1_11_1_6 * C00632 * C00007))</v>
      </c>
    </row>
    <row r="106" spans="1:11" ht="28.5" x14ac:dyDescent="0.45">
      <c r="A106" t="s">
        <v>6775</v>
      </c>
      <c r="B106" t="s">
        <v>6776</v>
      </c>
      <c r="C106" t="s">
        <v>14980</v>
      </c>
      <c r="D106">
        <v>105</v>
      </c>
      <c r="E106" t="str">
        <f t="shared" si="3"/>
        <v>E1_11_1_6</v>
      </c>
      <c r="F106" s="9" t="s">
        <v>10571</v>
      </c>
      <c r="G106" s="9" t="s">
        <v>10571</v>
      </c>
      <c r="H106" s="9" t="s">
        <v>15603</v>
      </c>
      <c r="I106" s="9" t="s">
        <v>15604</v>
      </c>
      <c r="J106" s="9" t="str">
        <f t="shared" si="4"/>
        <v>(${Variables:E1_11_1_6_kcat} * E1_11_1_6 * C00027)/(${Variables:E1_11_1_6_km} + (E1_11_1_6 * C00027))</v>
      </c>
      <c r="K106" s="38" t="str">
        <f t="shared" si="5"/>
        <v>r105: C00027 -&gt; C00007 + C00001 | (${Variables:E1_11_1_6_kcat} * E1_11_1_6 * C00027)/(${Variables:E1_11_1_6_km} + (E1_11_1_6 * C00027))</v>
      </c>
    </row>
    <row r="107" spans="1:11" ht="42.75" x14ac:dyDescent="0.45">
      <c r="A107" t="s">
        <v>6775</v>
      </c>
      <c r="B107" t="s">
        <v>6776</v>
      </c>
      <c r="C107" t="s">
        <v>14980</v>
      </c>
      <c r="D107">
        <v>106</v>
      </c>
      <c r="E107" t="str">
        <f t="shared" si="3"/>
        <v>E1_11_1_6</v>
      </c>
      <c r="F107" s="9" t="s">
        <v>15605</v>
      </c>
      <c r="G107" s="9" t="s">
        <v>15606</v>
      </c>
      <c r="H107" s="9" t="s">
        <v>15607</v>
      </c>
      <c r="I107" s="9" t="s">
        <v>15608</v>
      </c>
      <c r="J107" s="9" t="str">
        <f t="shared" si="4"/>
        <v>(${Variables:E1_11_1_6_kcat} * E1_11_1_6 * C00132 * C00027)/(${Variables:E1_11_1_6_km} + (E1_11_1_6 * C00132 * C00027))</v>
      </c>
      <c r="K107" s="38" t="str">
        <f t="shared" si="5"/>
        <v>r106: C00132 + C00027 -&gt; C00067 + C00001 | (${Variables:E1_11_1_6_kcat} * E1_11_1_6 * C00132 * C00027)/(${Variables:E1_11_1_6_km} + (E1_11_1_6 * C00132 * C00027))</v>
      </c>
    </row>
    <row r="108" spans="1:11" ht="42.75" x14ac:dyDescent="0.45">
      <c r="A108" t="s">
        <v>6775</v>
      </c>
      <c r="B108" t="s">
        <v>6776</v>
      </c>
      <c r="C108" t="s">
        <v>14980</v>
      </c>
      <c r="D108">
        <v>107</v>
      </c>
      <c r="E108" t="str">
        <f t="shared" si="3"/>
        <v>E1_11_1_6</v>
      </c>
      <c r="F108" s="9" t="s">
        <v>15609</v>
      </c>
      <c r="G108" s="9" t="s">
        <v>15610</v>
      </c>
      <c r="H108" s="9" t="s">
        <v>15611</v>
      </c>
      <c r="I108" s="9" t="s">
        <v>15612</v>
      </c>
      <c r="J108" s="9" t="str">
        <f t="shared" si="4"/>
        <v>(${Variables:E1_11_1_6_kcat} * E1_11_1_6 * C00632 * C00007)/(${Variables:E1_11_1_6_km} + (E1_11_1_6 * C00632 * C00007))</v>
      </c>
      <c r="K108" s="38" t="str">
        <f t="shared" si="5"/>
        <v>r107: C00632 + C00007 -&gt; C05640 + C00704 + C00027 + C00080 | (${Variables:E1_11_1_6_kcat} * E1_11_1_6 * C00632 * C00007)/(${Variables:E1_11_1_6_km} + (E1_11_1_6 * C00632 * C00007))</v>
      </c>
    </row>
    <row r="109" spans="1:11" ht="42.75" x14ac:dyDescent="0.45">
      <c r="A109" t="s">
        <v>4673</v>
      </c>
      <c r="B109" t="s">
        <v>4674</v>
      </c>
      <c r="C109" t="s">
        <v>14981</v>
      </c>
      <c r="D109">
        <v>108</v>
      </c>
      <c r="E109" t="str">
        <f t="shared" si="3"/>
        <v>E1_15_1_1</v>
      </c>
      <c r="F109" s="9" t="s">
        <v>15613</v>
      </c>
      <c r="G109" s="9" t="s">
        <v>15614</v>
      </c>
      <c r="H109" s="9" t="s">
        <v>15615</v>
      </c>
      <c r="I109" s="9" t="s">
        <v>15616</v>
      </c>
      <c r="J109" s="9" t="str">
        <f t="shared" si="4"/>
        <v>(${Variables:E1_15_1_1_kcat} * E1_15_1_1 * C00704 * C00080)/(${Variables:E1_15_1_1_km} + (E1_15_1_1 * C00704 * C00080))</v>
      </c>
      <c r="K109" s="38" t="str">
        <f t="shared" si="5"/>
        <v>r108: C00704 + C00080 -&gt; C00027 + C00007 | (${Variables:E1_15_1_1_kcat} * E1_15_1_1 * C00704 * C00080)/(${Variables:E1_15_1_1_km} + (E1_15_1_1 * C00704 * C00080))</v>
      </c>
    </row>
    <row r="110" spans="1:11" ht="42.75" x14ac:dyDescent="0.45">
      <c r="A110" t="s">
        <v>6276</v>
      </c>
      <c r="B110" t="s">
        <v>6277</v>
      </c>
      <c r="C110" t="s">
        <v>14982</v>
      </c>
      <c r="D110">
        <v>109</v>
      </c>
      <c r="E110" t="str">
        <f t="shared" si="3"/>
        <v>E1_16_3_2</v>
      </c>
      <c r="F110" s="9" t="s">
        <v>15617</v>
      </c>
      <c r="G110" s="9" t="s">
        <v>15618</v>
      </c>
      <c r="H110" s="9" t="s">
        <v>15619</v>
      </c>
      <c r="I110" s="9" t="s">
        <v>15620</v>
      </c>
      <c r="J110" s="9" t="str">
        <f t="shared" si="4"/>
        <v>(${Variables:E1_16_3_2_kcat} * E1_16_3_2 * C14818 * C00007 * C00001)/(${Variables:E1_16_3_2_km} + (E1_16_3_2 * C14818 * C00007 * C00001))</v>
      </c>
      <c r="K110" s="38" t="str">
        <f t="shared" si="5"/>
        <v>r109: C14818 + C00007 + C00001 -&gt; C22881 + C00080 | (${Variables:E1_16_3_2_kcat} * E1_16_3_2 * C14818 * C00007 * C00001)/(${Variables:E1_16_3_2_km} + (E1_16_3_2 * C14818 * C00007 * C00001))</v>
      </c>
    </row>
    <row r="111" spans="1:11" ht="42.75" x14ac:dyDescent="0.45">
      <c r="A111" t="s">
        <v>6276</v>
      </c>
      <c r="B111" t="s">
        <v>6277</v>
      </c>
      <c r="C111" t="s">
        <v>14982</v>
      </c>
      <c r="D111">
        <v>110</v>
      </c>
      <c r="E111" t="str">
        <f t="shared" si="3"/>
        <v>E1_16_3_2</v>
      </c>
      <c r="F111" s="9" t="s">
        <v>15617</v>
      </c>
      <c r="G111" s="9" t="s">
        <v>15618</v>
      </c>
      <c r="H111" s="9" t="s">
        <v>15621</v>
      </c>
      <c r="I111" s="9" t="s">
        <v>15622</v>
      </c>
      <c r="J111" s="9" t="str">
        <f t="shared" si="4"/>
        <v>(${Variables:E1_16_3_2_kcat} * E1_16_3_2 * C14818 * C00007 * C00001)/(${Variables:E1_16_3_2_km} + (E1_16_3_2 * C14818 * C00007 * C00001))</v>
      </c>
      <c r="K111" s="38" t="str">
        <f t="shared" si="5"/>
        <v>r110: C14818 + C00007 + C00001 -&gt; C22881 + C00080 + C00027 | (${Variables:E1_16_3_2_kcat} * E1_16_3_2 * C14818 * C00007 * C00001)/(${Variables:E1_16_3_2_km} + (E1_16_3_2 * C14818 * C00007 * C00001))</v>
      </c>
    </row>
    <row r="112" spans="1:11" ht="42.75" x14ac:dyDescent="0.45">
      <c r="A112" t="s">
        <v>6276</v>
      </c>
      <c r="B112" t="s">
        <v>6277</v>
      </c>
      <c r="C112" t="s">
        <v>14982</v>
      </c>
      <c r="D112">
        <v>111</v>
      </c>
      <c r="E112" t="str">
        <f t="shared" si="3"/>
        <v>E1_16_3_2</v>
      </c>
      <c r="F112" s="9" t="s">
        <v>15623</v>
      </c>
      <c r="G112" s="9" t="s">
        <v>15624</v>
      </c>
      <c r="H112" s="9" t="s">
        <v>15619</v>
      </c>
      <c r="I112" s="9" t="s">
        <v>15620</v>
      </c>
      <c r="J112" s="9" t="str">
        <f t="shared" si="4"/>
        <v>(${Variables:E1_16_3_2_kcat} * E1_16_3_2 * C14818 * C00027 * C00001)/(${Variables:E1_16_3_2_km} + (E1_16_3_2 * C14818 * C00027 * C00001))</v>
      </c>
      <c r="K112" s="38" t="str">
        <f t="shared" si="5"/>
        <v>r111: C14818 + C00027 + C00001 -&gt; C22881 + C00080 | (${Variables:E1_16_3_2_kcat} * E1_16_3_2 * C14818 * C00027 * C00001)/(${Variables:E1_16_3_2_km} + (E1_16_3_2 * C14818 * C00027 * C00001))</v>
      </c>
    </row>
    <row r="113" spans="1:11" ht="42.75" x14ac:dyDescent="0.45">
      <c r="A113" t="s">
        <v>8813</v>
      </c>
      <c r="B113" t="s">
        <v>8814</v>
      </c>
      <c r="C113" t="s">
        <v>14983</v>
      </c>
      <c r="D113">
        <v>112</v>
      </c>
      <c r="E113" t="str">
        <f t="shared" si="3"/>
        <v>E1_17_1_4</v>
      </c>
      <c r="F113" s="9" t="s">
        <v>15633</v>
      </c>
      <c r="G113" s="9" t="s">
        <v>15634</v>
      </c>
      <c r="H113" s="9" t="s">
        <v>15635</v>
      </c>
      <c r="I113" s="9" t="s">
        <v>15636</v>
      </c>
      <c r="J113" s="9" t="str">
        <f t="shared" si="4"/>
        <v>(${Variables:E1_17_1_4_kcat} * E1_17_1_4 * C00385 * C00003 * C00001)/(${Variables:E1_17_1_4_km} + (E1_17_1_4 * C00385 * C00003 * C00001))</v>
      </c>
      <c r="K113" s="38" t="str">
        <f t="shared" si="5"/>
        <v>r112: C00385 + C00003 + C00001 -&gt; C00366 + C00004 + C00080 | (${Variables:E1_17_1_4_kcat} * E1_17_1_4 * C00385 * C00003 * C00001)/(${Variables:E1_17_1_4_km} + (E1_17_1_4 * C00385 * C00003 * C00001))</v>
      </c>
    </row>
    <row r="114" spans="1:11" ht="42.75" x14ac:dyDescent="0.45">
      <c r="A114" t="s">
        <v>8813</v>
      </c>
      <c r="B114" t="s">
        <v>8814</v>
      </c>
      <c r="C114" t="s">
        <v>14983</v>
      </c>
      <c r="D114">
        <v>113</v>
      </c>
      <c r="E114" t="str">
        <f t="shared" si="3"/>
        <v>E1_17_1_4</v>
      </c>
      <c r="F114" s="9" t="s">
        <v>15629</v>
      </c>
      <c r="G114" s="9" t="s">
        <v>15630</v>
      </c>
      <c r="H114" s="9" t="s">
        <v>15631</v>
      </c>
      <c r="I114" s="9" t="s">
        <v>15632</v>
      </c>
      <c r="J114" s="9" t="str">
        <f t="shared" si="4"/>
        <v>(${Variables:E1_17_1_4_kcat} * E1_17_1_4 * C00262 * C00003 * C00001)/(${Variables:E1_17_1_4_km} + (E1_17_1_4 * C00262 * C00003 * C00001))</v>
      </c>
      <c r="K114" s="38" t="str">
        <f t="shared" si="5"/>
        <v>r113: C00262 + C00003 + C00001 -&gt; C00385 + C00004 + C00080 | (${Variables:E1_17_1_4_kcat} * E1_17_1_4 * C00262 * C00003 * C00001)/(${Variables:E1_17_1_4_km} + (E1_17_1_4 * C00262 * C00003 * C00001))</v>
      </c>
    </row>
    <row r="115" spans="1:11" ht="42.75" x14ac:dyDescent="0.45">
      <c r="A115" t="s">
        <v>8813</v>
      </c>
      <c r="B115" t="s">
        <v>8814</v>
      </c>
      <c r="C115" t="s">
        <v>14983</v>
      </c>
      <c r="D115">
        <v>114</v>
      </c>
      <c r="E115" t="str">
        <f t="shared" si="3"/>
        <v>E1_17_1_4</v>
      </c>
      <c r="F115" s="9" t="s">
        <v>15625</v>
      </c>
      <c r="G115" s="9" t="s">
        <v>15626</v>
      </c>
      <c r="H115" s="9" t="s">
        <v>15627</v>
      </c>
      <c r="I115" s="9" t="s">
        <v>15628</v>
      </c>
      <c r="J115" s="9" t="str">
        <f t="shared" si="4"/>
        <v>(${Variables:E1_17_1_4_kcat} * E1_17_1_4 * C00147 * C00003 * C00001)/(${Variables:E1_17_1_4_km} + (E1_17_1_4 * C00147 * C00003 * C00001))</v>
      </c>
      <c r="K115" s="38" t="str">
        <f t="shared" si="5"/>
        <v>r114: C00147 + C00003 + C00001 -&gt; C22499 + C00004 + C00080 | (${Variables:E1_17_1_4_kcat} * E1_17_1_4 * C00147 * C00003 * C00001)/(${Variables:E1_17_1_4_km} + (E1_17_1_4 * C00147 * C00003 * C00001))</v>
      </c>
    </row>
    <row r="116" spans="1:11" ht="42.75" x14ac:dyDescent="0.45">
      <c r="A116" t="s">
        <v>8813</v>
      </c>
      <c r="B116" t="s">
        <v>8814</v>
      </c>
      <c r="C116" t="s">
        <v>14983</v>
      </c>
      <c r="D116">
        <v>115</v>
      </c>
      <c r="E116" t="str">
        <f t="shared" si="3"/>
        <v>E1_17_1_4</v>
      </c>
      <c r="F116" s="9" t="s">
        <v>15637</v>
      </c>
      <c r="G116" s="9" t="s">
        <v>15638</v>
      </c>
      <c r="H116" s="9" t="s">
        <v>15639</v>
      </c>
      <c r="I116" s="9" t="s">
        <v>15640</v>
      </c>
      <c r="J116" s="9" t="str">
        <f t="shared" si="4"/>
        <v>(${Variables:E1_17_1_4_kcat} * E1_17_1_4 * C22499 * C00003 * C00001)/(${Variables:E1_17_1_4_km} + (E1_17_1_4 * C22499 * C00003 * C00001))</v>
      </c>
      <c r="K116" s="38" t="str">
        <f t="shared" si="5"/>
        <v>r115: C22499 + C00003 + C00001 -&gt; C22500 + C00004 + C00080 | (${Variables:E1_17_1_4_kcat} * E1_17_1_4 * C22499 * C00003 * C00001)/(${Variables:E1_17_1_4_km} + (E1_17_1_4 * C22499 * C00003 * C00001))</v>
      </c>
    </row>
    <row r="117" spans="1:11" ht="42.75" x14ac:dyDescent="0.45">
      <c r="A117" t="s">
        <v>8946</v>
      </c>
      <c r="B117" t="s">
        <v>8947</v>
      </c>
      <c r="C117" t="s">
        <v>14984</v>
      </c>
      <c r="D117">
        <v>116</v>
      </c>
      <c r="E117" t="str">
        <f t="shared" si="3"/>
        <v>E1_17_1_8</v>
      </c>
      <c r="F117" s="9" t="s">
        <v>15641</v>
      </c>
      <c r="G117" s="9" t="s">
        <v>15642</v>
      </c>
      <c r="H117" s="9" t="s">
        <v>15643</v>
      </c>
      <c r="I117" s="9" t="s">
        <v>15644</v>
      </c>
      <c r="J117" s="9" t="str">
        <f t="shared" si="4"/>
        <v>(${Variables:E1_17_1_8_kcat} * E1_17_1_8 * C03972 * C00003 * C00001)/(${Variables:E1_17_1_8_km} + (E1_17_1_8 * C03972 * C00003 * C00001))</v>
      </c>
      <c r="K117" s="38" t="str">
        <f t="shared" si="5"/>
        <v>r116: C03972 + C00003 + C00001 -&gt; C20258 + C00004 + C00080 | (${Variables:E1_17_1_8_kcat} * E1_17_1_8 * C03972 * C00003 * C00001)/(${Variables:E1_17_1_8_km} + (E1_17_1_8 * C03972 * C00003 * C00001))</v>
      </c>
    </row>
    <row r="118" spans="1:11" ht="42.75" x14ac:dyDescent="0.45">
      <c r="A118" t="s">
        <v>8946</v>
      </c>
      <c r="B118" t="s">
        <v>8947</v>
      </c>
      <c r="C118" t="s">
        <v>14984</v>
      </c>
      <c r="D118">
        <v>117</v>
      </c>
      <c r="E118" t="str">
        <f t="shared" si="3"/>
        <v>E1_17_1_8</v>
      </c>
      <c r="F118" s="9" t="s">
        <v>15645</v>
      </c>
      <c r="G118" s="9" t="s">
        <v>15646</v>
      </c>
      <c r="H118" s="9" t="s">
        <v>15647</v>
      </c>
      <c r="I118" s="9" t="s">
        <v>15648</v>
      </c>
      <c r="J118" s="9" t="str">
        <f t="shared" si="4"/>
        <v>(${Variables:E1_17_1_8_kcat} * E1_17_1_8 * C03972 * C00006 * C00001)/(${Variables:E1_17_1_8_km} + (E1_17_1_8 * C03972 * C00006 * C00001))</v>
      </c>
      <c r="K118" s="38" t="str">
        <f t="shared" si="5"/>
        <v>r117: C03972 + C00006 + C00001 -&gt; C20258 + C00005 + C00080 | (${Variables:E1_17_1_8_kcat} * E1_17_1_8 * C03972 * C00006 * C00001)/(${Variables:E1_17_1_8_km} + (E1_17_1_8 * C03972 * C00006 * C00001))</v>
      </c>
    </row>
    <row r="119" spans="1:11" ht="42.75" x14ac:dyDescent="0.45">
      <c r="A119" t="s">
        <v>8954</v>
      </c>
      <c r="B119" t="s">
        <v>8955</v>
      </c>
      <c r="C119" t="s">
        <v>14984</v>
      </c>
      <c r="D119">
        <v>118</v>
      </c>
      <c r="E119" t="str">
        <f t="shared" si="3"/>
        <v>E1_17_1_8</v>
      </c>
      <c r="F119" s="9" t="s">
        <v>15641</v>
      </c>
      <c r="G119" s="9" t="s">
        <v>15642</v>
      </c>
      <c r="H119" s="9" t="s">
        <v>15643</v>
      </c>
      <c r="I119" s="9" t="s">
        <v>15644</v>
      </c>
      <c r="J119" s="9" t="str">
        <f t="shared" si="4"/>
        <v>(${Variables:E1_17_1_8_kcat} * E1_17_1_8 * C03972 * C00003 * C00001)/(${Variables:E1_17_1_8_km} + (E1_17_1_8 * C03972 * C00003 * C00001))</v>
      </c>
      <c r="K119" s="38" t="str">
        <f t="shared" si="5"/>
        <v>r118: C03972 + C00003 + C00001 -&gt; C20258 + C00004 + C00080 | (${Variables:E1_17_1_8_kcat} * E1_17_1_8 * C03972 * C00003 * C00001)/(${Variables:E1_17_1_8_km} + (E1_17_1_8 * C03972 * C00003 * C00001))</v>
      </c>
    </row>
    <row r="120" spans="1:11" ht="42.75" x14ac:dyDescent="0.45">
      <c r="A120" t="s">
        <v>8954</v>
      </c>
      <c r="B120" t="s">
        <v>8955</v>
      </c>
      <c r="C120" t="s">
        <v>14984</v>
      </c>
      <c r="D120">
        <v>119</v>
      </c>
      <c r="E120" t="str">
        <f t="shared" si="3"/>
        <v>E1_17_1_8</v>
      </c>
      <c r="F120" s="9" t="s">
        <v>15645</v>
      </c>
      <c r="G120" s="9" t="s">
        <v>15646</v>
      </c>
      <c r="H120" s="9" t="s">
        <v>15647</v>
      </c>
      <c r="I120" s="9" t="s">
        <v>15648</v>
      </c>
      <c r="J120" s="9" t="str">
        <f t="shared" si="4"/>
        <v>(${Variables:E1_17_1_8_kcat} * E1_17_1_8 * C03972 * C00006 * C00001)/(${Variables:E1_17_1_8_km} + (E1_17_1_8 * C03972 * C00006 * C00001))</v>
      </c>
      <c r="K120" s="38" t="str">
        <f t="shared" si="5"/>
        <v>r119: C03972 + C00006 + C00001 -&gt; C20258 + C00005 + C00080 | (${Variables:E1_17_1_8_kcat} * E1_17_1_8 * C03972 * C00006 * C00001)/(${Variables:E1_17_1_8_km} + (E1_17_1_8 * C03972 * C00006 * C00001))</v>
      </c>
    </row>
    <row r="121" spans="1:11" ht="42.75" x14ac:dyDescent="0.45">
      <c r="A121" t="s">
        <v>9207</v>
      </c>
      <c r="B121" t="s">
        <v>9208</v>
      </c>
      <c r="C121" t="s">
        <v>14985</v>
      </c>
      <c r="D121">
        <v>120</v>
      </c>
      <c r="E121" t="str">
        <f t="shared" si="3"/>
        <v>E1_17_1_9</v>
      </c>
      <c r="F121" s="9" t="s">
        <v>15649</v>
      </c>
      <c r="G121" s="9" t="s">
        <v>15650</v>
      </c>
      <c r="H121" s="9" t="s">
        <v>15651</v>
      </c>
      <c r="I121" s="9" t="s">
        <v>15652</v>
      </c>
      <c r="J121" s="9" t="str">
        <f t="shared" si="4"/>
        <v>(${Variables:E1_17_1_9_kcat} * E1_17_1_9 * C00058 * C00003)/(${Variables:E1_17_1_9_km} + (E1_17_1_9 * C00058 * C00003))</v>
      </c>
      <c r="K121" s="38" t="str">
        <f t="shared" si="5"/>
        <v>r120: C00058 + C00003 -&gt; C00080 + C00011 + C00004 | (${Variables:E1_17_1_9_kcat} * E1_17_1_9 * C00058 * C00003)/(${Variables:E1_17_1_9_km} + (E1_17_1_9 * C00058 * C00003))</v>
      </c>
    </row>
    <row r="122" spans="1:11" ht="42.75" x14ac:dyDescent="0.45">
      <c r="A122" t="s">
        <v>3433</v>
      </c>
      <c r="B122" t="s">
        <v>3434</v>
      </c>
      <c r="C122" t="s">
        <v>14986</v>
      </c>
      <c r="D122">
        <v>121</v>
      </c>
      <c r="E122" t="str">
        <f t="shared" si="3"/>
        <v>E1_17_4_1</v>
      </c>
      <c r="F122" s="9" t="s">
        <v>15669</v>
      </c>
      <c r="G122" s="9" t="s">
        <v>15670</v>
      </c>
      <c r="H122" s="9" t="s">
        <v>15671</v>
      </c>
      <c r="I122" s="9" t="s">
        <v>15672</v>
      </c>
      <c r="J122" s="9" t="str">
        <f t="shared" si="4"/>
        <v>(${Variables:E1_17_4_1_kcat} * E1_17_4_1 * C04232 * C00343 * C00001)/(${Variables:E1_17_4_1_km} + (E1_17_4_1 * C04232 * C00343 * C00001))</v>
      </c>
      <c r="K122" s="38" t="str">
        <f t="shared" si="5"/>
        <v>r121: C04232 + C00343 + C00001 -&gt; C03723 + C00342 | (${Variables:E1_17_4_1_kcat} * E1_17_4_1 * C04232 * C00343 * C00001)/(${Variables:E1_17_4_1_km} + (E1_17_4_1 * C04232 * C00343 * C00001))</v>
      </c>
    </row>
    <row r="123" spans="1:11" ht="42.75" x14ac:dyDescent="0.45">
      <c r="A123" t="s">
        <v>3433</v>
      </c>
      <c r="B123" t="s">
        <v>3434</v>
      </c>
      <c r="C123" t="s">
        <v>14986</v>
      </c>
      <c r="D123">
        <v>122</v>
      </c>
      <c r="E123" t="str">
        <f t="shared" si="3"/>
        <v>E1_17_4_1</v>
      </c>
      <c r="F123" s="9" t="s">
        <v>15653</v>
      </c>
      <c r="G123" s="9" t="s">
        <v>15654</v>
      </c>
      <c r="H123" s="9" t="s">
        <v>15655</v>
      </c>
      <c r="I123" s="9" t="s">
        <v>15656</v>
      </c>
      <c r="J123" s="9" t="str">
        <f t="shared" si="4"/>
        <v>(${Variables:E1_17_4_1_kcat} * E1_17_4_1 * C00206 * C00343 * C00001)/(${Variables:E1_17_4_1_km} + (E1_17_4_1 * C00206 * C00343 * C00001))</v>
      </c>
      <c r="K123" s="38" t="str">
        <f t="shared" si="5"/>
        <v>r122: C00206 + C00343 + C00001 -&gt; C00342 + C00008 | (${Variables:E1_17_4_1_kcat} * E1_17_4_1 * C00206 * C00343 * C00001)/(${Variables:E1_17_4_1_km} + (E1_17_4_1 * C00206 * C00343 * C00001))</v>
      </c>
    </row>
    <row r="124" spans="1:11" ht="42.75" x14ac:dyDescent="0.45">
      <c r="A124" t="s">
        <v>3433</v>
      </c>
      <c r="B124" t="s">
        <v>3434</v>
      </c>
      <c r="C124" t="s">
        <v>14986</v>
      </c>
      <c r="D124">
        <v>123</v>
      </c>
      <c r="E124" t="str">
        <f t="shared" si="3"/>
        <v>E1_17_4_1</v>
      </c>
      <c r="F124" s="9" t="s">
        <v>15665</v>
      </c>
      <c r="G124" s="9" t="s">
        <v>15666</v>
      </c>
      <c r="H124" s="9" t="s">
        <v>15667</v>
      </c>
      <c r="I124" s="9" t="s">
        <v>15668</v>
      </c>
      <c r="J124" s="9" t="str">
        <f t="shared" si="4"/>
        <v>(${Variables:E1_17_4_1_kcat} * E1_17_4_1 * C01346 * C00343 * C00001)/(${Variables:E1_17_4_1_km} + (E1_17_4_1 * C01346 * C00343 * C00001))</v>
      </c>
      <c r="K124" s="38" t="str">
        <f t="shared" si="5"/>
        <v>r123: C01346 + C00343 + C00001 -&gt; C00342 + C00015 | (${Variables:E1_17_4_1_kcat} * E1_17_4_1 * C01346 * C00343 * C00001)/(${Variables:E1_17_4_1_km} + (E1_17_4_1 * C01346 * C00343 * C00001))</v>
      </c>
    </row>
    <row r="125" spans="1:11" ht="42.75" x14ac:dyDescent="0.45">
      <c r="A125" t="s">
        <v>3433</v>
      </c>
      <c r="B125" t="s">
        <v>3434</v>
      </c>
      <c r="C125" t="s">
        <v>14986</v>
      </c>
      <c r="D125">
        <v>124</v>
      </c>
      <c r="E125" t="str">
        <f t="shared" si="3"/>
        <v>E1_17_4_1</v>
      </c>
      <c r="F125" s="9" t="s">
        <v>15657</v>
      </c>
      <c r="G125" s="9" t="s">
        <v>15658</v>
      </c>
      <c r="H125" s="9" t="s">
        <v>15659</v>
      </c>
      <c r="I125" s="9" t="s">
        <v>15660</v>
      </c>
      <c r="J125" s="9" t="str">
        <f t="shared" si="4"/>
        <v>(${Variables:E1_17_4_1_kcat} * E1_17_4_1 * C00361 * C00343 * C00001)/(${Variables:E1_17_4_1_km} + (E1_17_4_1 * C00361 * C00343 * C00001))</v>
      </c>
      <c r="K125" s="38" t="str">
        <f t="shared" si="5"/>
        <v>r124: C00361 + C00343 + C00001 -&gt; C00035 + C00342 | (${Variables:E1_17_4_1_kcat} * E1_17_4_1 * C00361 * C00343 * C00001)/(${Variables:E1_17_4_1_km} + (E1_17_4_1 * C00361 * C00343 * C00001))</v>
      </c>
    </row>
    <row r="126" spans="1:11" ht="42.75" x14ac:dyDescent="0.45">
      <c r="A126" t="s">
        <v>3433</v>
      </c>
      <c r="B126" t="s">
        <v>3434</v>
      </c>
      <c r="C126" t="s">
        <v>14986</v>
      </c>
      <c r="D126">
        <v>125</v>
      </c>
      <c r="E126" t="str">
        <f t="shared" si="3"/>
        <v>E1_17_4_1</v>
      </c>
      <c r="F126" s="9" t="s">
        <v>15661</v>
      </c>
      <c r="G126" s="9" t="s">
        <v>15662</v>
      </c>
      <c r="H126" s="9" t="s">
        <v>15663</v>
      </c>
      <c r="I126" s="9" t="s">
        <v>15664</v>
      </c>
      <c r="J126" s="9" t="str">
        <f t="shared" si="4"/>
        <v>(${Variables:E1_17_4_1_kcat} * E1_17_4_1 * C00705 * C00343 * C00001)/(${Variables:E1_17_4_1_km} + (E1_17_4_1 * C00705 * C00343 * C00001))</v>
      </c>
      <c r="K126" s="38" t="str">
        <f t="shared" si="5"/>
        <v>r125: C00705 + C00343 + C00001 -&gt; C00342 + C00112 | (${Variables:E1_17_4_1_kcat} * E1_17_4_1 * C00705 * C00343 * C00001)/(${Variables:E1_17_4_1_km} + (E1_17_4_1 * C00705 * C00343 * C00001))</v>
      </c>
    </row>
    <row r="127" spans="1:11" ht="42.75" x14ac:dyDescent="0.45">
      <c r="A127" t="s">
        <v>3433</v>
      </c>
      <c r="B127" t="s">
        <v>3434</v>
      </c>
      <c r="C127" t="s">
        <v>14986</v>
      </c>
      <c r="D127">
        <v>126</v>
      </c>
      <c r="E127" t="str">
        <f t="shared" si="3"/>
        <v>E1_17_4_1</v>
      </c>
      <c r="F127" s="9" t="s">
        <v>15677</v>
      </c>
      <c r="G127" s="9" t="s">
        <v>15678</v>
      </c>
      <c r="H127" s="9" t="s">
        <v>15679</v>
      </c>
      <c r="I127" s="9" t="s">
        <v>15680</v>
      </c>
      <c r="J127" s="9" t="str">
        <f t="shared" si="4"/>
        <v>(${Variables:E1_17_4_1_kcat} * E1_17_4_1 * C04232 * C16664 * C00001)/(${Variables:E1_17_4_1_km} + (E1_17_4_1 * C04232 * C16664 * C00001))</v>
      </c>
      <c r="K127" s="38" t="str">
        <f t="shared" si="5"/>
        <v>r126: C04232 + C16664 + C00001 -&gt; C03723 + C16663 | (${Variables:E1_17_4_1_kcat} * E1_17_4_1 * C04232 * C16664 * C00001)/(${Variables:E1_17_4_1_km} + (E1_17_4_1 * C04232 * C16664 * C00001))</v>
      </c>
    </row>
    <row r="128" spans="1:11" ht="42.75" x14ac:dyDescent="0.45">
      <c r="A128" t="s">
        <v>3433</v>
      </c>
      <c r="B128" t="s">
        <v>3434</v>
      </c>
      <c r="C128" t="s">
        <v>14986</v>
      </c>
      <c r="D128">
        <v>127</v>
      </c>
      <c r="E128" t="str">
        <f t="shared" si="3"/>
        <v>E1_17_4_1</v>
      </c>
      <c r="F128" s="9" t="s">
        <v>15673</v>
      </c>
      <c r="G128" s="9" t="s">
        <v>15674</v>
      </c>
      <c r="H128" s="9" t="s">
        <v>15675</v>
      </c>
      <c r="I128" s="9" t="s">
        <v>15676</v>
      </c>
      <c r="J128" s="9" t="str">
        <f t="shared" si="4"/>
        <v>(${Variables:E1_17_4_1_kcat} * E1_17_4_1 * C04232 * C03170 * C00001)/(${Variables:E1_17_4_1_km} + (E1_17_4_1 * C04232 * C03170 * C00001))</v>
      </c>
      <c r="K128" s="38" t="str">
        <f t="shared" si="5"/>
        <v>r127: C04232 + C03170 + C00001 -&gt; C03723 + C02090 | (${Variables:E1_17_4_1_kcat} * E1_17_4_1 * C04232 * C03170 * C00001)/(${Variables:E1_17_4_1_km} + (E1_17_4_1 * C04232 * C03170 * C00001))</v>
      </c>
    </row>
    <row r="129" spans="1:11" ht="42.75" x14ac:dyDescent="0.45">
      <c r="A129" t="s">
        <v>3433</v>
      </c>
      <c r="B129" t="s">
        <v>3434</v>
      </c>
      <c r="C129" t="s">
        <v>14986</v>
      </c>
      <c r="D129">
        <v>128</v>
      </c>
      <c r="E129" t="str">
        <f t="shared" si="3"/>
        <v>E1_17_4_1</v>
      </c>
      <c r="F129" s="9" t="s">
        <v>15681</v>
      </c>
      <c r="G129" s="9" t="s">
        <v>15682</v>
      </c>
      <c r="H129" s="9" t="s">
        <v>15683</v>
      </c>
      <c r="I129" s="9" t="s">
        <v>15684</v>
      </c>
      <c r="J129" s="9" t="str">
        <f t="shared" si="4"/>
        <v>(${Variables:E1_17_4_1_kcat} * E1_17_4_1 * C21750 * C00343 * C00001)/(${Variables:E1_17_4_1_km} + (E1_17_4_1 * C21750 * C00343 * C00001))</v>
      </c>
      <c r="K129" s="38" t="str">
        <f t="shared" si="5"/>
        <v>r128: C21750 + C00343 + C00001 -&gt; C21748 + C00342 | (${Variables:E1_17_4_1_kcat} * E1_17_4_1 * C21750 * C00343 * C00001)/(${Variables:E1_17_4_1_km} + (E1_17_4_1 * C21750 * C00343 * C00001))</v>
      </c>
    </row>
    <row r="130" spans="1:11" ht="42.75" x14ac:dyDescent="0.45">
      <c r="A130" t="s">
        <v>8276</v>
      </c>
      <c r="B130" t="s">
        <v>8277</v>
      </c>
      <c r="C130" t="s">
        <v>14986</v>
      </c>
      <c r="D130">
        <v>129</v>
      </c>
      <c r="E130" t="str">
        <f t="shared" si="3"/>
        <v>E1_17_4_1</v>
      </c>
      <c r="F130" s="9" t="s">
        <v>15669</v>
      </c>
      <c r="G130" s="9" t="s">
        <v>15670</v>
      </c>
      <c r="H130" s="9" t="s">
        <v>15671</v>
      </c>
      <c r="I130" s="9" t="s">
        <v>15672</v>
      </c>
      <c r="J130" s="9" t="str">
        <f t="shared" si="4"/>
        <v>(${Variables:E1_17_4_1_kcat} * E1_17_4_1 * C04232 * C00343 * C00001)/(${Variables:E1_17_4_1_km} + (E1_17_4_1 * C04232 * C00343 * C00001))</v>
      </c>
      <c r="K130" s="38" t="str">
        <f t="shared" si="5"/>
        <v>r129: C04232 + C00343 + C00001 -&gt; C03723 + C00342 | (${Variables:E1_17_4_1_kcat} * E1_17_4_1 * C04232 * C00343 * C00001)/(${Variables:E1_17_4_1_km} + (E1_17_4_1 * C04232 * C00343 * C00001))</v>
      </c>
    </row>
    <row r="131" spans="1:11" ht="42.75" x14ac:dyDescent="0.45">
      <c r="A131" t="s">
        <v>8276</v>
      </c>
      <c r="B131" t="s">
        <v>8277</v>
      </c>
      <c r="C131" t="s">
        <v>14986</v>
      </c>
      <c r="D131">
        <v>130</v>
      </c>
      <c r="E131" t="str">
        <f t="shared" ref="E131:E194" si="6">CONCATENATE("E",C131)</f>
        <v>E1_17_4_1</v>
      </c>
      <c r="F131" s="9" t="s">
        <v>15653</v>
      </c>
      <c r="G131" s="9" t="s">
        <v>15654</v>
      </c>
      <c r="H131" s="9" t="s">
        <v>15655</v>
      </c>
      <c r="I131" s="9" t="s">
        <v>15656</v>
      </c>
      <c r="J131" s="9" t="str">
        <f t="shared" ref="J131:J194" si="7">CONCATENATE("(${Variables:",E131,"_kcat","} * ",E131," * ",G131,")","/(${Variables:",E131,"_km","} + (",E131," * ",G131,"))")</f>
        <v>(${Variables:E1_17_4_1_kcat} * E1_17_4_1 * C00206 * C00343 * C00001)/(${Variables:E1_17_4_1_km} + (E1_17_4_1 * C00206 * C00343 * C00001))</v>
      </c>
      <c r="K131" s="38" t="str">
        <f t="shared" ref="K131:K194" si="8">CONCATENATE("r",D131,": ",F131," -&gt; ",H131," | ",J131)</f>
        <v>r130: C00206 + C00343 + C00001 -&gt; C00342 + C00008 | (${Variables:E1_17_4_1_kcat} * E1_17_4_1 * C00206 * C00343 * C00001)/(${Variables:E1_17_4_1_km} + (E1_17_4_1 * C00206 * C00343 * C00001))</v>
      </c>
    </row>
    <row r="132" spans="1:11" ht="42.75" x14ac:dyDescent="0.45">
      <c r="A132" t="s">
        <v>8276</v>
      </c>
      <c r="B132" t="s">
        <v>8277</v>
      </c>
      <c r="C132" t="s">
        <v>14986</v>
      </c>
      <c r="D132">
        <v>131</v>
      </c>
      <c r="E132" t="str">
        <f t="shared" si="6"/>
        <v>E1_17_4_1</v>
      </c>
      <c r="F132" s="9" t="s">
        <v>15665</v>
      </c>
      <c r="G132" s="9" t="s">
        <v>15666</v>
      </c>
      <c r="H132" s="9" t="s">
        <v>15667</v>
      </c>
      <c r="I132" s="9" t="s">
        <v>15668</v>
      </c>
      <c r="J132" s="9" t="str">
        <f t="shared" si="7"/>
        <v>(${Variables:E1_17_4_1_kcat} * E1_17_4_1 * C01346 * C00343 * C00001)/(${Variables:E1_17_4_1_km} + (E1_17_4_1 * C01346 * C00343 * C00001))</v>
      </c>
      <c r="K132" s="38" t="str">
        <f t="shared" si="8"/>
        <v>r131: C01346 + C00343 + C00001 -&gt; C00342 + C00015 | (${Variables:E1_17_4_1_kcat} * E1_17_4_1 * C01346 * C00343 * C00001)/(${Variables:E1_17_4_1_km} + (E1_17_4_1 * C01346 * C00343 * C00001))</v>
      </c>
    </row>
    <row r="133" spans="1:11" ht="42.75" x14ac:dyDescent="0.45">
      <c r="A133" t="s">
        <v>8276</v>
      </c>
      <c r="B133" t="s">
        <v>8277</v>
      </c>
      <c r="C133" t="s">
        <v>14986</v>
      </c>
      <c r="D133">
        <v>132</v>
      </c>
      <c r="E133" t="str">
        <f t="shared" si="6"/>
        <v>E1_17_4_1</v>
      </c>
      <c r="F133" s="9" t="s">
        <v>15657</v>
      </c>
      <c r="G133" s="9" t="s">
        <v>15658</v>
      </c>
      <c r="H133" s="9" t="s">
        <v>15659</v>
      </c>
      <c r="I133" s="9" t="s">
        <v>15660</v>
      </c>
      <c r="J133" s="9" t="str">
        <f t="shared" si="7"/>
        <v>(${Variables:E1_17_4_1_kcat} * E1_17_4_1 * C00361 * C00343 * C00001)/(${Variables:E1_17_4_1_km} + (E1_17_4_1 * C00361 * C00343 * C00001))</v>
      </c>
      <c r="K133" s="38" t="str">
        <f t="shared" si="8"/>
        <v>r132: C00361 + C00343 + C00001 -&gt; C00035 + C00342 | (${Variables:E1_17_4_1_kcat} * E1_17_4_1 * C00361 * C00343 * C00001)/(${Variables:E1_17_4_1_km} + (E1_17_4_1 * C00361 * C00343 * C00001))</v>
      </c>
    </row>
    <row r="134" spans="1:11" ht="42.75" x14ac:dyDescent="0.45">
      <c r="A134" t="s">
        <v>8276</v>
      </c>
      <c r="B134" t="s">
        <v>8277</v>
      </c>
      <c r="C134" t="s">
        <v>14986</v>
      </c>
      <c r="D134">
        <v>133</v>
      </c>
      <c r="E134" t="str">
        <f t="shared" si="6"/>
        <v>E1_17_4_1</v>
      </c>
      <c r="F134" s="9" t="s">
        <v>15661</v>
      </c>
      <c r="G134" s="9" t="s">
        <v>15662</v>
      </c>
      <c r="H134" s="9" t="s">
        <v>15663</v>
      </c>
      <c r="I134" s="9" t="s">
        <v>15664</v>
      </c>
      <c r="J134" s="9" t="str">
        <f t="shared" si="7"/>
        <v>(${Variables:E1_17_4_1_kcat} * E1_17_4_1 * C00705 * C00343 * C00001)/(${Variables:E1_17_4_1_km} + (E1_17_4_1 * C00705 * C00343 * C00001))</v>
      </c>
      <c r="K134" s="38" t="str">
        <f t="shared" si="8"/>
        <v>r133: C00705 + C00343 + C00001 -&gt; C00342 + C00112 | (${Variables:E1_17_4_1_kcat} * E1_17_4_1 * C00705 * C00343 * C00001)/(${Variables:E1_17_4_1_km} + (E1_17_4_1 * C00705 * C00343 * C00001))</v>
      </c>
    </row>
    <row r="135" spans="1:11" ht="42.75" x14ac:dyDescent="0.45">
      <c r="A135" t="s">
        <v>8276</v>
      </c>
      <c r="B135" t="s">
        <v>8277</v>
      </c>
      <c r="C135" t="s">
        <v>14986</v>
      </c>
      <c r="D135">
        <v>134</v>
      </c>
      <c r="E135" t="str">
        <f t="shared" si="6"/>
        <v>E1_17_4_1</v>
      </c>
      <c r="F135" s="9" t="s">
        <v>15677</v>
      </c>
      <c r="G135" s="9" t="s">
        <v>15678</v>
      </c>
      <c r="H135" s="9" t="s">
        <v>15679</v>
      </c>
      <c r="I135" s="9" t="s">
        <v>15680</v>
      </c>
      <c r="J135" s="9" t="str">
        <f t="shared" si="7"/>
        <v>(${Variables:E1_17_4_1_kcat} * E1_17_4_1 * C04232 * C16664 * C00001)/(${Variables:E1_17_4_1_km} + (E1_17_4_1 * C04232 * C16664 * C00001))</v>
      </c>
      <c r="K135" s="38" t="str">
        <f t="shared" si="8"/>
        <v>r134: C04232 + C16664 + C00001 -&gt; C03723 + C16663 | (${Variables:E1_17_4_1_kcat} * E1_17_4_1 * C04232 * C16664 * C00001)/(${Variables:E1_17_4_1_km} + (E1_17_4_1 * C04232 * C16664 * C00001))</v>
      </c>
    </row>
    <row r="136" spans="1:11" ht="42.75" x14ac:dyDescent="0.45">
      <c r="A136" t="s">
        <v>8276</v>
      </c>
      <c r="B136" t="s">
        <v>8277</v>
      </c>
      <c r="C136" t="s">
        <v>14986</v>
      </c>
      <c r="D136">
        <v>135</v>
      </c>
      <c r="E136" t="str">
        <f t="shared" si="6"/>
        <v>E1_17_4_1</v>
      </c>
      <c r="F136" s="9" t="s">
        <v>15673</v>
      </c>
      <c r="G136" s="9" t="s">
        <v>15674</v>
      </c>
      <c r="H136" s="9" t="s">
        <v>15675</v>
      </c>
      <c r="I136" s="9" t="s">
        <v>15676</v>
      </c>
      <c r="J136" s="9" t="str">
        <f t="shared" si="7"/>
        <v>(${Variables:E1_17_4_1_kcat} * E1_17_4_1 * C04232 * C03170 * C00001)/(${Variables:E1_17_4_1_km} + (E1_17_4_1 * C04232 * C03170 * C00001))</v>
      </c>
      <c r="K136" s="38" t="str">
        <f t="shared" si="8"/>
        <v>r135: C04232 + C03170 + C00001 -&gt; C03723 + C02090 | (${Variables:E1_17_4_1_kcat} * E1_17_4_1 * C04232 * C03170 * C00001)/(${Variables:E1_17_4_1_km} + (E1_17_4_1 * C04232 * C03170 * C00001))</v>
      </c>
    </row>
    <row r="137" spans="1:11" ht="42.75" x14ac:dyDescent="0.45">
      <c r="A137" t="s">
        <v>8276</v>
      </c>
      <c r="B137" t="s">
        <v>8277</v>
      </c>
      <c r="C137" t="s">
        <v>14986</v>
      </c>
      <c r="D137">
        <v>136</v>
      </c>
      <c r="E137" t="str">
        <f t="shared" si="6"/>
        <v>E1_17_4_1</v>
      </c>
      <c r="F137" s="9" t="s">
        <v>15681</v>
      </c>
      <c r="G137" s="9" t="s">
        <v>15682</v>
      </c>
      <c r="H137" s="9" t="s">
        <v>15683</v>
      </c>
      <c r="I137" s="9" t="s">
        <v>15684</v>
      </c>
      <c r="J137" s="9" t="str">
        <f t="shared" si="7"/>
        <v>(${Variables:E1_17_4_1_kcat} * E1_17_4_1 * C21750 * C00343 * C00001)/(${Variables:E1_17_4_1_km} + (E1_17_4_1 * C21750 * C00343 * C00001))</v>
      </c>
      <c r="K137" s="38" t="str">
        <f t="shared" si="8"/>
        <v>r136: C21750 + C00343 + C00001 -&gt; C21748 + C00342 | (${Variables:E1_17_4_1_kcat} * E1_17_4_1 * C21750 * C00343 * C00001)/(${Variables:E1_17_4_1_km} + (E1_17_4_1 * C21750 * C00343 * C00001))</v>
      </c>
    </row>
    <row r="138" spans="1:11" ht="42.75" x14ac:dyDescent="0.45">
      <c r="A138" t="s">
        <v>8280</v>
      </c>
      <c r="B138" t="s">
        <v>8281</v>
      </c>
      <c r="C138" t="s">
        <v>14986</v>
      </c>
      <c r="D138">
        <v>137</v>
      </c>
      <c r="E138" t="str">
        <f t="shared" si="6"/>
        <v>E1_17_4_1</v>
      </c>
      <c r="F138" s="9" t="s">
        <v>15669</v>
      </c>
      <c r="G138" s="9" t="s">
        <v>15670</v>
      </c>
      <c r="H138" s="9" t="s">
        <v>15671</v>
      </c>
      <c r="I138" s="9" t="s">
        <v>15672</v>
      </c>
      <c r="J138" s="9" t="str">
        <f t="shared" si="7"/>
        <v>(${Variables:E1_17_4_1_kcat} * E1_17_4_1 * C04232 * C00343 * C00001)/(${Variables:E1_17_4_1_km} + (E1_17_4_1 * C04232 * C00343 * C00001))</v>
      </c>
      <c r="K138" s="38" t="str">
        <f t="shared" si="8"/>
        <v>r137: C04232 + C00343 + C00001 -&gt; C03723 + C00342 | (${Variables:E1_17_4_1_kcat} * E1_17_4_1 * C04232 * C00343 * C00001)/(${Variables:E1_17_4_1_km} + (E1_17_4_1 * C04232 * C00343 * C00001))</v>
      </c>
    </row>
    <row r="139" spans="1:11" ht="42.75" x14ac:dyDescent="0.45">
      <c r="A139" t="s">
        <v>8280</v>
      </c>
      <c r="B139" t="s">
        <v>8281</v>
      </c>
      <c r="C139" t="s">
        <v>14986</v>
      </c>
      <c r="D139">
        <v>138</v>
      </c>
      <c r="E139" t="str">
        <f t="shared" si="6"/>
        <v>E1_17_4_1</v>
      </c>
      <c r="F139" s="9" t="s">
        <v>15653</v>
      </c>
      <c r="G139" s="9" t="s">
        <v>15654</v>
      </c>
      <c r="H139" s="9" t="s">
        <v>15655</v>
      </c>
      <c r="I139" s="9" t="s">
        <v>15656</v>
      </c>
      <c r="J139" s="9" t="str">
        <f t="shared" si="7"/>
        <v>(${Variables:E1_17_4_1_kcat} * E1_17_4_1 * C00206 * C00343 * C00001)/(${Variables:E1_17_4_1_km} + (E1_17_4_1 * C00206 * C00343 * C00001))</v>
      </c>
      <c r="K139" s="38" t="str">
        <f t="shared" si="8"/>
        <v>r138: C00206 + C00343 + C00001 -&gt; C00342 + C00008 | (${Variables:E1_17_4_1_kcat} * E1_17_4_1 * C00206 * C00343 * C00001)/(${Variables:E1_17_4_1_km} + (E1_17_4_1 * C00206 * C00343 * C00001))</v>
      </c>
    </row>
    <row r="140" spans="1:11" ht="42.75" x14ac:dyDescent="0.45">
      <c r="A140" t="s">
        <v>8280</v>
      </c>
      <c r="B140" t="s">
        <v>8281</v>
      </c>
      <c r="C140" t="s">
        <v>14986</v>
      </c>
      <c r="D140">
        <v>139</v>
      </c>
      <c r="E140" t="str">
        <f t="shared" si="6"/>
        <v>E1_17_4_1</v>
      </c>
      <c r="F140" s="9" t="s">
        <v>15665</v>
      </c>
      <c r="G140" s="9" t="s">
        <v>15666</v>
      </c>
      <c r="H140" s="9" t="s">
        <v>15667</v>
      </c>
      <c r="I140" s="9" t="s">
        <v>15668</v>
      </c>
      <c r="J140" s="9" t="str">
        <f t="shared" si="7"/>
        <v>(${Variables:E1_17_4_1_kcat} * E1_17_4_1 * C01346 * C00343 * C00001)/(${Variables:E1_17_4_1_km} + (E1_17_4_1 * C01346 * C00343 * C00001))</v>
      </c>
      <c r="K140" s="38" t="str">
        <f t="shared" si="8"/>
        <v>r139: C01346 + C00343 + C00001 -&gt; C00342 + C00015 | (${Variables:E1_17_4_1_kcat} * E1_17_4_1 * C01346 * C00343 * C00001)/(${Variables:E1_17_4_1_km} + (E1_17_4_1 * C01346 * C00343 * C00001))</v>
      </c>
    </row>
    <row r="141" spans="1:11" ht="42.75" x14ac:dyDescent="0.45">
      <c r="A141" t="s">
        <v>8280</v>
      </c>
      <c r="B141" t="s">
        <v>8281</v>
      </c>
      <c r="C141" t="s">
        <v>14986</v>
      </c>
      <c r="D141">
        <v>140</v>
      </c>
      <c r="E141" t="str">
        <f t="shared" si="6"/>
        <v>E1_17_4_1</v>
      </c>
      <c r="F141" s="9" t="s">
        <v>15657</v>
      </c>
      <c r="G141" s="9" t="s">
        <v>15658</v>
      </c>
      <c r="H141" s="9" t="s">
        <v>15659</v>
      </c>
      <c r="I141" s="9" t="s">
        <v>15660</v>
      </c>
      <c r="J141" s="9" t="str">
        <f t="shared" si="7"/>
        <v>(${Variables:E1_17_4_1_kcat} * E1_17_4_1 * C00361 * C00343 * C00001)/(${Variables:E1_17_4_1_km} + (E1_17_4_1 * C00361 * C00343 * C00001))</v>
      </c>
      <c r="K141" s="38" t="str">
        <f t="shared" si="8"/>
        <v>r140: C00361 + C00343 + C00001 -&gt; C00035 + C00342 | (${Variables:E1_17_4_1_kcat} * E1_17_4_1 * C00361 * C00343 * C00001)/(${Variables:E1_17_4_1_km} + (E1_17_4_1 * C00361 * C00343 * C00001))</v>
      </c>
    </row>
    <row r="142" spans="1:11" ht="42.75" x14ac:dyDescent="0.45">
      <c r="A142" t="s">
        <v>8280</v>
      </c>
      <c r="B142" t="s">
        <v>8281</v>
      </c>
      <c r="C142" t="s">
        <v>14986</v>
      </c>
      <c r="D142">
        <v>141</v>
      </c>
      <c r="E142" t="str">
        <f t="shared" si="6"/>
        <v>E1_17_4_1</v>
      </c>
      <c r="F142" s="9" t="s">
        <v>15661</v>
      </c>
      <c r="G142" s="9" t="s">
        <v>15662</v>
      </c>
      <c r="H142" s="9" t="s">
        <v>15663</v>
      </c>
      <c r="I142" s="9" t="s">
        <v>15664</v>
      </c>
      <c r="J142" s="9" t="str">
        <f t="shared" si="7"/>
        <v>(${Variables:E1_17_4_1_kcat} * E1_17_4_1 * C00705 * C00343 * C00001)/(${Variables:E1_17_4_1_km} + (E1_17_4_1 * C00705 * C00343 * C00001))</v>
      </c>
      <c r="K142" s="38" t="str">
        <f t="shared" si="8"/>
        <v>r141: C00705 + C00343 + C00001 -&gt; C00342 + C00112 | (${Variables:E1_17_4_1_kcat} * E1_17_4_1 * C00705 * C00343 * C00001)/(${Variables:E1_17_4_1_km} + (E1_17_4_1 * C00705 * C00343 * C00001))</v>
      </c>
    </row>
    <row r="143" spans="1:11" ht="42.75" x14ac:dyDescent="0.45">
      <c r="A143" t="s">
        <v>8280</v>
      </c>
      <c r="B143" t="s">
        <v>8281</v>
      </c>
      <c r="C143" t="s">
        <v>14986</v>
      </c>
      <c r="D143">
        <v>142</v>
      </c>
      <c r="E143" t="str">
        <f t="shared" si="6"/>
        <v>E1_17_4_1</v>
      </c>
      <c r="F143" s="9" t="s">
        <v>15677</v>
      </c>
      <c r="G143" s="9" t="s">
        <v>15678</v>
      </c>
      <c r="H143" s="9" t="s">
        <v>15679</v>
      </c>
      <c r="I143" s="9" t="s">
        <v>15680</v>
      </c>
      <c r="J143" s="9" t="str">
        <f t="shared" si="7"/>
        <v>(${Variables:E1_17_4_1_kcat} * E1_17_4_1 * C04232 * C16664 * C00001)/(${Variables:E1_17_4_1_km} + (E1_17_4_1 * C04232 * C16664 * C00001))</v>
      </c>
      <c r="K143" s="38" t="str">
        <f t="shared" si="8"/>
        <v>r142: C04232 + C16664 + C00001 -&gt; C03723 + C16663 | (${Variables:E1_17_4_1_kcat} * E1_17_4_1 * C04232 * C16664 * C00001)/(${Variables:E1_17_4_1_km} + (E1_17_4_1 * C04232 * C16664 * C00001))</v>
      </c>
    </row>
    <row r="144" spans="1:11" ht="42.75" x14ac:dyDescent="0.45">
      <c r="A144" t="s">
        <v>8280</v>
      </c>
      <c r="B144" t="s">
        <v>8281</v>
      </c>
      <c r="C144" t="s">
        <v>14986</v>
      </c>
      <c r="D144">
        <v>143</v>
      </c>
      <c r="E144" t="str">
        <f t="shared" si="6"/>
        <v>E1_17_4_1</v>
      </c>
      <c r="F144" s="9" t="s">
        <v>15673</v>
      </c>
      <c r="G144" s="9" t="s">
        <v>15674</v>
      </c>
      <c r="H144" s="9" t="s">
        <v>15675</v>
      </c>
      <c r="I144" s="9" t="s">
        <v>15676</v>
      </c>
      <c r="J144" s="9" t="str">
        <f t="shared" si="7"/>
        <v>(${Variables:E1_17_4_1_kcat} * E1_17_4_1 * C04232 * C03170 * C00001)/(${Variables:E1_17_4_1_km} + (E1_17_4_1 * C04232 * C03170 * C00001))</v>
      </c>
      <c r="K144" s="38" t="str">
        <f t="shared" si="8"/>
        <v>r143: C04232 + C03170 + C00001 -&gt; C03723 + C02090 | (${Variables:E1_17_4_1_kcat} * E1_17_4_1 * C04232 * C03170 * C00001)/(${Variables:E1_17_4_1_km} + (E1_17_4_1 * C04232 * C03170 * C00001))</v>
      </c>
    </row>
    <row r="145" spans="1:11" ht="42.75" x14ac:dyDescent="0.45">
      <c r="A145" t="s">
        <v>8280</v>
      </c>
      <c r="B145" t="s">
        <v>8281</v>
      </c>
      <c r="C145" t="s">
        <v>14986</v>
      </c>
      <c r="D145">
        <v>144</v>
      </c>
      <c r="E145" t="str">
        <f t="shared" si="6"/>
        <v>E1_17_4_1</v>
      </c>
      <c r="F145" s="9" t="s">
        <v>15681</v>
      </c>
      <c r="G145" s="9" t="s">
        <v>15682</v>
      </c>
      <c r="H145" s="9" t="s">
        <v>15683</v>
      </c>
      <c r="I145" s="9" t="s">
        <v>15684</v>
      </c>
      <c r="J145" s="9" t="str">
        <f t="shared" si="7"/>
        <v>(${Variables:E1_17_4_1_kcat} * E1_17_4_1 * C21750 * C00343 * C00001)/(${Variables:E1_17_4_1_km} + (E1_17_4_1 * C21750 * C00343 * C00001))</v>
      </c>
      <c r="K145" s="38" t="str">
        <f t="shared" si="8"/>
        <v>r144: C21750 + C00343 + C00001 -&gt; C21748 + C00342 | (${Variables:E1_17_4_1_kcat} * E1_17_4_1 * C21750 * C00343 * C00001)/(${Variables:E1_17_4_1_km} + (E1_17_4_1 * C21750 * C00343 * C00001))</v>
      </c>
    </row>
    <row r="146" spans="1:11" ht="42.75" x14ac:dyDescent="0.45">
      <c r="A146" t="s">
        <v>513</v>
      </c>
      <c r="B146" t="s">
        <v>514</v>
      </c>
      <c r="C146" t="s">
        <v>14987</v>
      </c>
      <c r="D146">
        <v>145</v>
      </c>
      <c r="E146" t="str">
        <f t="shared" si="6"/>
        <v>E1_17_4_2</v>
      </c>
      <c r="F146" s="9" t="s">
        <v>15701</v>
      </c>
      <c r="G146" s="9" t="s">
        <v>15702</v>
      </c>
      <c r="H146" s="9" t="s">
        <v>15703</v>
      </c>
      <c r="I146" s="9" t="s">
        <v>15704</v>
      </c>
      <c r="J146" s="9" t="str">
        <f t="shared" si="7"/>
        <v>(${Variables:E1_17_4_2_kcat} * E1_17_4_2 * C00677 * C00343 * C00001)/(${Variables:E1_17_4_2_km} + (E1_17_4_2 * C00677 * C00343 * C00001))</v>
      </c>
      <c r="K146" s="38" t="str">
        <f t="shared" si="8"/>
        <v>r145: C00677 + C00343 + C00001 -&gt; C03802 + C00342 | (${Variables:E1_17_4_2_kcat} * E1_17_4_2 * C00677 * C00343 * C00001)/(${Variables:E1_17_4_2_km} + (E1_17_4_2 * C00677 * C00343 * C00001))</v>
      </c>
    </row>
    <row r="147" spans="1:11" ht="42.75" x14ac:dyDescent="0.45">
      <c r="A147" t="s">
        <v>513</v>
      </c>
      <c r="B147" t="s">
        <v>514</v>
      </c>
      <c r="C147" t="s">
        <v>14987</v>
      </c>
      <c r="D147">
        <v>146</v>
      </c>
      <c r="E147" t="str">
        <f t="shared" si="6"/>
        <v>E1_17_4_2</v>
      </c>
      <c r="F147" s="9" t="s">
        <v>15685</v>
      </c>
      <c r="G147" s="9" t="s">
        <v>15686</v>
      </c>
      <c r="H147" s="9" t="s">
        <v>15687</v>
      </c>
      <c r="I147" s="9" t="s">
        <v>15688</v>
      </c>
      <c r="J147" s="9" t="str">
        <f t="shared" si="7"/>
        <v>(${Variables:E1_17_4_2_kcat} * E1_17_4_2 * C00131 * C00343 * C00001)/(${Variables:E1_17_4_2_km} + (E1_17_4_2 * C00131 * C00343 * C00001))</v>
      </c>
      <c r="K147" s="38" t="str">
        <f t="shared" si="8"/>
        <v>r146: C00131 + C00343 + C00001 -&gt; C00002 + C00342 | (${Variables:E1_17_4_2_kcat} * E1_17_4_2 * C00131 * C00343 * C00001)/(${Variables:E1_17_4_2_km} + (E1_17_4_2 * C00131 * C00343 * C00001))</v>
      </c>
    </row>
    <row r="148" spans="1:11" ht="42.75" x14ac:dyDescent="0.45">
      <c r="A148" t="s">
        <v>513</v>
      </c>
      <c r="B148" t="s">
        <v>514</v>
      </c>
      <c r="C148" t="s">
        <v>14987</v>
      </c>
      <c r="D148">
        <v>147</v>
      </c>
      <c r="E148" t="str">
        <f t="shared" si="6"/>
        <v>E1_17_4_2</v>
      </c>
      <c r="F148" s="9" t="s">
        <v>15689</v>
      </c>
      <c r="G148" s="9" t="s">
        <v>15690</v>
      </c>
      <c r="H148" s="9" t="s">
        <v>15691</v>
      </c>
      <c r="I148" s="9" t="s">
        <v>15692</v>
      </c>
      <c r="J148" s="9" t="str">
        <f t="shared" si="7"/>
        <v>(${Variables:E1_17_4_2_kcat} * E1_17_4_2 * C00286 * C00343 * C00001)/(${Variables:E1_17_4_2_km} + (E1_17_4_2 * C00286 * C00343 * C00001))</v>
      </c>
      <c r="K148" s="38" t="str">
        <f t="shared" si="8"/>
        <v>r147: C00286 + C00343 + C00001 -&gt; C00044 + C00342 | (${Variables:E1_17_4_2_kcat} * E1_17_4_2 * C00286 * C00343 * C00001)/(${Variables:E1_17_4_2_km} + (E1_17_4_2 * C00286 * C00343 * C00001))</v>
      </c>
    </row>
    <row r="149" spans="1:11" ht="42.75" x14ac:dyDescent="0.45">
      <c r="A149" t="s">
        <v>513</v>
      </c>
      <c r="B149" t="s">
        <v>514</v>
      </c>
      <c r="C149" t="s">
        <v>14987</v>
      </c>
      <c r="D149">
        <v>148</v>
      </c>
      <c r="E149" t="str">
        <f t="shared" si="6"/>
        <v>E1_17_4_2</v>
      </c>
      <c r="F149" s="9" t="s">
        <v>15693</v>
      </c>
      <c r="G149" s="9" t="s">
        <v>15694</v>
      </c>
      <c r="H149" s="9" t="s">
        <v>15695</v>
      </c>
      <c r="I149" s="9" t="s">
        <v>15696</v>
      </c>
      <c r="J149" s="9" t="str">
        <f t="shared" si="7"/>
        <v>(${Variables:E1_17_4_2_kcat} * E1_17_4_2 * C00458 * C00343 * C00001)/(${Variables:E1_17_4_2_km} + (E1_17_4_2 * C00458 * C00343 * C00001))</v>
      </c>
      <c r="K149" s="38" t="str">
        <f t="shared" si="8"/>
        <v>r148: C00458 + C00343 + C00001 -&gt; C00063 + C00342 | (${Variables:E1_17_4_2_kcat} * E1_17_4_2 * C00458 * C00343 * C00001)/(${Variables:E1_17_4_2_km} + (E1_17_4_2 * C00458 * C00343 * C00001))</v>
      </c>
    </row>
    <row r="150" spans="1:11" ht="42.75" x14ac:dyDescent="0.45">
      <c r="A150" t="s">
        <v>513</v>
      </c>
      <c r="B150" t="s">
        <v>514</v>
      </c>
      <c r="C150" t="s">
        <v>14987</v>
      </c>
      <c r="D150">
        <v>149</v>
      </c>
      <c r="E150" t="str">
        <f t="shared" si="6"/>
        <v>E1_17_4_2</v>
      </c>
      <c r="F150" s="9" t="s">
        <v>15697</v>
      </c>
      <c r="G150" s="9" t="s">
        <v>15698</v>
      </c>
      <c r="H150" s="9" t="s">
        <v>15699</v>
      </c>
      <c r="I150" s="9" t="s">
        <v>15700</v>
      </c>
      <c r="J150" s="9" t="str">
        <f t="shared" si="7"/>
        <v>(${Variables:E1_17_4_2_kcat} * E1_17_4_2 * C00460 * C00343 * C00001)/(${Variables:E1_17_4_2_km} + (E1_17_4_2 * C00460 * C00343 * C00001))</v>
      </c>
      <c r="K150" s="38" t="str">
        <f t="shared" si="8"/>
        <v>r149: C00460 + C00343 + C00001 -&gt; C00075 + C00342 | (${Variables:E1_17_4_2_kcat} * E1_17_4_2 * C00460 * C00343 * C00001)/(${Variables:E1_17_4_2_km} + (E1_17_4_2 * C00460 * C00343 * C00001))</v>
      </c>
    </row>
    <row r="151" spans="1:11" ht="42.75" x14ac:dyDescent="0.45">
      <c r="A151" t="s">
        <v>6099</v>
      </c>
      <c r="B151" t="s">
        <v>6100</v>
      </c>
      <c r="C151" t="s">
        <v>14988</v>
      </c>
      <c r="D151">
        <v>150</v>
      </c>
      <c r="E151" t="str">
        <f t="shared" si="6"/>
        <v>E1_17_7_1</v>
      </c>
      <c r="F151" s="9" t="s">
        <v>15705</v>
      </c>
      <c r="G151" s="9" t="s">
        <v>15706</v>
      </c>
      <c r="H151" s="9" t="s">
        <v>15707</v>
      </c>
      <c r="I151" s="9" t="s">
        <v>15708</v>
      </c>
      <c r="J151" s="9" t="str">
        <f t="shared" si="7"/>
        <v>(${Variables:E1_17_7_1_kcat} * E1_17_7_1 * C11453 * C00138)/(${Variables:E1_17_7_1_km} + (E1_17_7_1 * C11453 * C00138))</v>
      </c>
      <c r="K151" s="38" t="str">
        <f t="shared" si="8"/>
        <v>r150: C11453 + C00138 -&gt; C11811 + C00001 + C00139 | (${Variables:E1_17_7_1_kcat} * E1_17_7_1 * C11453 * C00138)/(${Variables:E1_17_7_1_km} + (E1_17_7_1 * C11453 * C00138))</v>
      </c>
    </row>
    <row r="152" spans="1:11" ht="42.75" x14ac:dyDescent="0.45">
      <c r="A152" t="s">
        <v>5177</v>
      </c>
      <c r="B152" t="s">
        <v>5178</v>
      </c>
      <c r="C152" t="s">
        <v>14989</v>
      </c>
      <c r="D152">
        <v>151</v>
      </c>
      <c r="E152" t="str">
        <f t="shared" si="6"/>
        <v>E1_17_7_4</v>
      </c>
      <c r="F152" s="9" t="s">
        <v>15711</v>
      </c>
      <c r="G152" s="9" t="s">
        <v>15712</v>
      </c>
      <c r="H152" s="9" t="s">
        <v>15713</v>
      </c>
      <c r="I152" s="9" t="s">
        <v>15714</v>
      </c>
      <c r="J152" s="9" t="str">
        <f t="shared" si="7"/>
        <v>(${Variables:E1_17_7_4_kcat} * E1_17_7_4 * C11811 * C00138 * C00080)/(${Variables:E1_17_7_4_km} + (E1_17_7_4 * C11811 * C00138 * C00080))</v>
      </c>
      <c r="K152" s="38" t="str">
        <f t="shared" si="8"/>
        <v>r151: C11811 + C00138 + C00080 -&gt; C00129 + C00139 + C00001 | (${Variables:E1_17_7_4_kcat} * E1_17_7_4 * C11811 * C00138 * C00080)/(${Variables:E1_17_7_4_km} + (E1_17_7_4 * C11811 * C00138 * C00080))</v>
      </c>
    </row>
    <row r="153" spans="1:11" ht="42.75" x14ac:dyDescent="0.45">
      <c r="A153" t="s">
        <v>5177</v>
      </c>
      <c r="B153" t="s">
        <v>5178</v>
      </c>
      <c r="C153" t="s">
        <v>14989</v>
      </c>
      <c r="D153">
        <v>152</v>
      </c>
      <c r="E153" t="str">
        <f t="shared" si="6"/>
        <v>E1_17_7_4</v>
      </c>
      <c r="F153" s="9" t="s">
        <v>15709</v>
      </c>
      <c r="G153" s="9" t="s">
        <v>15710</v>
      </c>
      <c r="H153" s="9" t="s">
        <v>15711</v>
      </c>
      <c r="I153" s="9" t="s">
        <v>15712</v>
      </c>
      <c r="J153" s="9" t="str">
        <f t="shared" si="7"/>
        <v>(${Variables:E1_17_7_4_kcat} * E1_17_7_4 * C00235 * C00139 * C00001)/(${Variables:E1_17_7_4_km} + (E1_17_7_4 * C00235 * C00139 * C00001))</v>
      </c>
      <c r="K153" s="38" t="str">
        <f t="shared" si="8"/>
        <v>r152: C00235 + C00139 + C00001 -&gt; C11811 + C00138 + C00080 | (${Variables:E1_17_7_4_kcat} * E1_17_7_4 * C00235 * C00139 * C00001)/(${Variables:E1_17_7_4_km} + (E1_17_7_4 * C00235 * C00139 * C00001))</v>
      </c>
    </row>
    <row r="154" spans="1:11" ht="57" x14ac:dyDescent="0.45">
      <c r="A154" t="s">
        <v>1682</v>
      </c>
      <c r="B154" t="s">
        <v>1683</v>
      </c>
      <c r="C154" t="s">
        <v>14990</v>
      </c>
      <c r="D154">
        <v>153</v>
      </c>
      <c r="E154" t="str">
        <f t="shared" si="6"/>
        <v>E1_17_99_6</v>
      </c>
      <c r="F154" s="9" t="s">
        <v>15715</v>
      </c>
      <c r="G154" s="9" t="s">
        <v>15716</v>
      </c>
      <c r="H154" s="9" t="s">
        <v>15717</v>
      </c>
      <c r="I154" s="9" t="s">
        <v>15718</v>
      </c>
      <c r="J154" s="9" t="str">
        <f t="shared" si="7"/>
        <v>(${Variables:E1_17_99_6_kcat} * E1_17_99_6 * C01978 * C00028 * C00001)/(${Variables:E1_17_99_6_km} + (E1_17_99_6 * C01978 * C00028 * C00001))</v>
      </c>
      <c r="K154" s="38" t="str">
        <f t="shared" si="8"/>
        <v>r153: C01978 + C00028 + C00001 -&gt; C19647 + C00030 | (${Variables:E1_17_99_6_kcat} * E1_17_99_6 * C01978 * C00028 * C00001)/(${Variables:E1_17_99_6_km} + (E1_17_99_6 * C01978 * C00028 * C00001))</v>
      </c>
    </row>
    <row r="155" spans="1:11" ht="42.75" x14ac:dyDescent="0.45">
      <c r="A155" t="s">
        <v>5543</v>
      </c>
      <c r="B155" t="s">
        <v>5544</v>
      </c>
      <c r="C155" t="s">
        <v>14991</v>
      </c>
      <c r="D155">
        <v>154</v>
      </c>
      <c r="E155" t="str">
        <f t="shared" si="6"/>
        <v>E1_2_1_10</v>
      </c>
      <c r="F155" s="9" t="s">
        <v>15719</v>
      </c>
      <c r="G155" s="9" t="s">
        <v>15720</v>
      </c>
      <c r="H155" s="9" t="s">
        <v>15721</v>
      </c>
      <c r="I155" s="9" t="s">
        <v>15722</v>
      </c>
      <c r="J155" s="9" t="str">
        <f t="shared" si="7"/>
        <v>(${Variables:E1_2_1_10_kcat} * E1_2_1_10 * C00084 * C00010 * C00003)/(${Variables:E1_2_1_10_km} + (E1_2_1_10 * C00084 * C00010 * C00003))</v>
      </c>
      <c r="K155" s="38" t="str">
        <f t="shared" si="8"/>
        <v>r154: C00084 + C00010 + C00003 -&gt; C00024 + C00004 + C00080 | (${Variables:E1_2_1_10_kcat} * E1_2_1_10 * C00084 * C00010 * C00003)/(${Variables:E1_2_1_10_km} + (E1_2_1_10 * C00084 * C00010 * C00003))</v>
      </c>
    </row>
    <row r="156" spans="1:11" ht="42.75" x14ac:dyDescent="0.45">
      <c r="A156" t="s">
        <v>5543</v>
      </c>
      <c r="B156" t="s">
        <v>5544</v>
      </c>
      <c r="C156" t="s">
        <v>14991</v>
      </c>
      <c r="D156">
        <v>155</v>
      </c>
      <c r="E156" t="str">
        <f t="shared" si="6"/>
        <v>E1_2_1_10</v>
      </c>
      <c r="F156" s="9" t="s">
        <v>15723</v>
      </c>
      <c r="G156" s="9" t="s">
        <v>15724</v>
      </c>
      <c r="H156" s="9" t="s">
        <v>15725</v>
      </c>
      <c r="I156" s="9" t="s">
        <v>15726</v>
      </c>
      <c r="J156" s="9" t="str">
        <f t="shared" si="7"/>
        <v>(${Variables:E1_2_1_10_kcat} * E1_2_1_10 * C01412 * C00010 * C00003)/(${Variables:E1_2_1_10_km} + (E1_2_1_10 * C01412 * C00010 * C00003))</v>
      </c>
      <c r="K156" s="38" t="str">
        <f t="shared" si="8"/>
        <v>r155: C01412 + C00010 + C00003 -&gt; C00136 + C00004 + C00080 | (${Variables:E1_2_1_10_kcat} * E1_2_1_10 * C01412 * C00010 * C00003)/(${Variables:E1_2_1_10_km} + (E1_2_1_10 * C01412 * C00010 * C00003))</v>
      </c>
    </row>
    <row r="157" spans="1:11" ht="42.75" x14ac:dyDescent="0.45">
      <c r="A157" t="s">
        <v>1263</v>
      </c>
      <c r="B157" t="s">
        <v>1264</v>
      </c>
      <c r="C157" t="s">
        <v>14991</v>
      </c>
      <c r="D157">
        <v>156</v>
      </c>
      <c r="E157" t="str">
        <f t="shared" si="6"/>
        <v>E1_2_1_10</v>
      </c>
      <c r="F157" s="9" t="s">
        <v>15719</v>
      </c>
      <c r="G157" s="9" t="s">
        <v>15720</v>
      </c>
      <c r="H157" s="9" t="s">
        <v>15721</v>
      </c>
      <c r="I157" s="9" t="s">
        <v>15722</v>
      </c>
      <c r="J157" s="9" t="str">
        <f t="shared" si="7"/>
        <v>(${Variables:E1_2_1_10_kcat} * E1_2_1_10 * C00084 * C00010 * C00003)/(${Variables:E1_2_1_10_km} + (E1_2_1_10 * C00084 * C00010 * C00003))</v>
      </c>
      <c r="K157" s="38" t="str">
        <f t="shared" si="8"/>
        <v>r156: C00084 + C00010 + C00003 -&gt; C00024 + C00004 + C00080 | (${Variables:E1_2_1_10_kcat} * E1_2_1_10 * C00084 * C00010 * C00003)/(${Variables:E1_2_1_10_km} + (E1_2_1_10 * C00084 * C00010 * C00003))</v>
      </c>
    </row>
    <row r="158" spans="1:11" ht="42.75" x14ac:dyDescent="0.45">
      <c r="A158" t="s">
        <v>1263</v>
      </c>
      <c r="B158" t="s">
        <v>1264</v>
      </c>
      <c r="C158" t="s">
        <v>14991</v>
      </c>
      <c r="D158">
        <v>157</v>
      </c>
      <c r="E158" t="str">
        <f t="shared" si="6"/>
        <v>E1_2_1_10</v>
      </c>
      <c r="F158" s="9" t="s">
        <v>15723</v>
      </c>
      <c r="G158" s="9" t="s">
        <v>15724</v>
      </c>
      <c r="H158" s="9" t="s">
        <v>15725</v>
      </c>
      <c r="I158" s="9" t="s">
        <v>15726</v>
      </c>
      <c r="J158" s="9" t="str">
        <f t="shared" si="7"/>
        <v>(${Variables:E1_2_1_10_kcat} * E1_2_1_10 * C01412 * C00010 * C00003)/(${Variables:E1_2_1_10_km} + (E1_2_1_10 * C01412 * C00010 * C00003))</v>
      </c>
      <c r="K158" s="38" t="str">
        <f t="shared" si="8"/>
        <v>r157: C01412 + C00010 + C00003 -&gt; C00136 + C00004 + C00080 | (${Variables:E1_2_1_10_kcat} * E1_2_1_10 * C01412 * C00010 * C00003)/(${Variables:E1_2_1_10_km} + (E1_2_1_10 * C01412 * C00010 * C00003))</v>
      </c>
    </row>
    <row r="159" spans="1:11" ht="42.75" x14ac:dyDescent="0.45">
      <c r="A159" t="s">
        <v>8200</v>
      </c>
      <c r="B159" t="s">
        <v>8201</v>
      </c>
      <c r="C159" t="s">
        <v>14991</v>
      </c>
      <c r="D159">
        <v>158</v>
      </c>
      <c r="E159" t="str">
        <f t="shared" si="6"/>
        <v>E1_2_1_10</v>
      </c>
      <c r="F159" s="9" t="s">
        <v>15719</v>
      </c>
      <c r="G159" s="9" t="s">
        <v>15720</v>
      </c>
      <c r="H159" s="9" t="s">
        <v>15721</v>
      </c>
      <c r="I159" s="9" t="s">
        <v>15722</v>
      </c>
      <c r="J159" s="9" t="str">
        <f t="shared" si="7"/>
        <v>(${Variables:E1_2_1_10_kcat} * E1_2_1_10 * C00084 * C00010 * C00003)/(${Variables:E1_2_1_10_km} + (E1_2_1_10 * C00084 * C00010 * C00003))</v>
      </c>
      <c r="K159" s="38" t="str">
        <f t="shared" si="8"/>
        <v>r158: C00084 + C00010 + C00003 -&gt; C00024 + C00004 + C00080 | (${Variables:E1_2_1_10_kcat} * E1_2_1_10 * C00084 * C00010 * C00003)/(${Variables:E1_2_1_10_km} + (E1_2_1_10 * C00084 * C00010 * C00003))</v>
      </c>
    </row>
    <row r="160" spans="1:11" ht="42.75" x14ac:dyDescent="0.45">
      <c r="A160" t="s">
        <v>8200</v>
      </c>
      <c r="B160" t="s">
        <v>8201</v>
      </c>
      <c r="C160" t="s">
        <v>14991</v>
      </c>
      <c r="D160">
        <v>159</v>
      </c>
      <c r="E160" t="str">
        <f t="shared" si="6"/>
        <v>E1_2_1_10</v>
      </c>
      <c r="F160" s="9" t="s">
        <v>15723</v>
      </c>
      <c r="G160" s="9" t="s">
        <v>15724</v>
      </c>
      <c r="H160" s="9" t="s">
        <v>15725</v>
      </c>
      <c r="I160" s="9" t="s">
        <v>15726</v>
      </c>
      <c r="J160" s="9" t="str">
        <f t="shared" si="7"/>
        <v>(${Variables:E1_2_1_10_kcat} * E1_2_1_10 * C01412 * C00010 * C00003)/(${Variables:E1_2_1_10_km} + (E1_2_1_10 * C01412 * C00010 * C00003))</v>
      </c>
      <c r="K160" s="38" t="str">
        <f t="shared" si="8"/>
        <v>r159: C01412 + C00010 + C00003 -&gt; C00136 + C00004 + C00080 | (${Variables:E1_2_1_10_kcat} * E1_2_1_10 * C01412 * C00010 * C00003)/(${Variables:E1_2_1_10_km} + (E1_2_1_10 * C01412 * C00010 * C00003))</v>
      </c>
    </row>
    <row r="161" spans="1:11" ht="42.75" x14ac:dyDescent="0.45">
      <c r="A161" t="s">
        <v>8940</v>
      </c>
      <c r="B161" t="s">
        <v>8941</v>
      </c>
      <c r="C161" t="s">
        <v>14992</v>
      </c>
      <c r="D161">
        <v>160</v>
      </c>
      <c r="E161" t="str">
        <f t="shared" si="6"/>
        <v>E1_2_1_11</v>
      </c>
      <c r="F161" s="9" t="s">
        <v>15727</v>
      </c>
      <c r="G161" s="9" t="s">
        <v>15728</v>
      </c>
      <c r="H161" s="9" t="s">
        <v>15729</v>
      </c>
      <c r="I161" s="9" t="s">
        <v>15730</v>
      </c>
      <c r="J161" s="9" t="str">
        <f t="shared" si="7"/>
        <v>(${Variables:E1_2_1_11_kcat} * E1_2_1_11 * C00441 * C00009 * C00006)/(${Variables:E1_2_1_11_km} + (E1_2_1_11 * C00441 * C00009 * C00006))</v>
      </c>
      <c r="K161" s="38" t="str">
        <f t="shared" si="8"/>
        <v>r160: C00441 + C00009 + C00006 -&gt; C03082 + C00005 + C00080 | (${Variables:E1_2_1_11_kcat} * E1_2_1_11 * C00441 * C00009 * C00006)/(${Variables:E1_2_1_11_km} + (E1_2_1_11 * C00441 * C00009 * C00006))</v>
      </c>
    </row>
    <row r="162" spans="1:11" ht="42.75" x14ac:dyDescent="0.45">
      <c r="A162" t="s">
        <v>5857</v>
      </c>
      <c r="B162" t="s">
        <v>5858</v>
      </c>
      <c r="C162" t="s">
        <v>14993</v>
      </c>
      <c r="D162">
        <v>161</v>
      </c>
      <c r="E162" t="str">
        <f t="shared" si="6"/>
        <v>E1_2_1_38</v>
      </c>
      <c r="F162" s="9" t="s">
        <v>15731</v>
      </c>
      <c r="G162" s="9" t="s">
        <v>15732</v>
      </c>
      <c r="H162" s="9" t="s">
        <v>15733</v>
      </c>
      <c r="I162" s="9" t="s">
        <v>15734</v>
      </c>
      <c r="J162" s="9" t="str">
        <f t="shared" si="7"/>
        <v>(${Variables:E1_2_1_38_kcat} * E1_2_1_38 * C01250 * C00009 * C00006)/(${Variables:E1_2_1_38_km} + (E1_2_1_38 * C01250 * C00009 * C00006))</v>
      </c>
      <c r="K162" s="38" t="str">
        <f t="shared" si="8"/>
        <v>r161: C01250 + C00009 + C00006 -&gt; C04133 + C00005 + C00080 | (${Variables:E1_2_1_38_kcat} * E1_2_1_38 * C01250 * C00009 * C00006)/(${Variables:E1_2_1_38_km} + (E1_2_1_38 * C01250 * C00009 * C00006))</v>
      </c>
    </row>
    <row r="163" spans="1:11" ht="42.75" x14ac:dyDescent="0.45">
      <c r="A163" t="s">
        <v>749</v>
      </c>
      <c r="B163" t="s">
        <v>750</v>
      </c>
      <c r="C163" t="s">
        <v>14994</v>
      </c>
      <c r="D163">
        <v>162</v>
      </c>
      <c r="E163" t="str">
        <f t="shared" si="6"/>
        <v>E1_2_7_4</v>
      </c>
      <c r="F163" s="9" t="s">
        <v>15735</v>
      </c>
      <c r="G163" s="9" t="s">
        <v>15736</v>
      </c>
      <c r="H163" s="9" t="s">
        <v>15737</v>
      </c>
      <c r="I163" s="9" t="s">
        <v>15738</v>
      </c>
      <c r="J163" s="9" t="str">
        <f t="shared" si="7"/>
        <v>(${Variables:E1_2_7_4_kcat} * E1_2_7_4 * C00237 * C00001 * C00139)/(${Variables:E1_2_7_4_km} + (E1_2_7_4 * C00237 * C00001 * C00139))</v>
      </c>
      <c r="K163" s="38" t="str">
        <f t="shared" si="8"/>
        <v>r162: C00237 + C00001 + C00139 -&gt; C00011 + C00138 + C00080 | (${Variables:E1_2_7_4_kcat} * E1_2_7_4 * C00237 * C00001 * C00139)/(${Variables:E1_2_7_4_km} + (E1_2_7_4 * C00237 * C00001 * C00139))</v>
      </c>
    </row>
    <row r="164" spans="1:11" ht="28.5" x14ac:dyDescent="0.45">
      <c r="A164" t="s">
        <v>749</v>
      </c>
      <c r="B164" t="s">
        <v>750</v>
      </c>
      <c r="C164" t="s">
        <v>14994</v>
      </c>
      <c r="D164">
        <v>163</v>
      </c>
      <c r="E164" t="str">
        <f t="shared" si="6"/>
        <v>E1_2_7_4</v>
      </c>
      <c r="F164" s="9" t="s">
        <v>10706</v>
      </c>
      <c r="G164" s="9" t="s">
        <v>10706</v>
      </c>
      <c r="H164" s="9" t="s">
        <v>10707</v>
      </c>
      <c r="I164" s="9" t="s">
        <v>10707</v>
      </c>
      <c r="J164" s="9" t="str">
        <f t="shared" si="7"/>
        <v>(${Variables:E1_2_7_4_kcat} * E1_2_7_4 * C16396)/(${Variables:E1_2_7_4_km} + (E1_2_7_4 * C16396))</v>
      </c>
      <c r="K164" s="38" t="str">
        <f t="shared" si="8"/>
        <v>r163: C16396 -&gt; C16399 | (${Variables:E1_2_7_4_kcat} * E1_2_7_4 * C16396)/(${Variables:E1_2_7_4_km} + (E1_2_7_4 * C16396))</v>
      </c>
    </row>
    <row r="165" spans="1:11" ht="57" x14ac:dyDescent="0.45">
      <c r="A165" t="s">
        <v>749</v>
      </c>
      <c r="B165" t="s">
        <v>750</v>
      </c>
      <c r="C165" t="s">
        <v>14994</v>
      </c>
      <c r="D165">
        <v>164</v>
      </c>
      <c r="E165" t="str">
        <f t="shared" si="6"/>
        <v>E1_2_7_4</v>
      </c>
      <c r="F165" s="9" t="s">
        <v>15739</v>
      </c>
      <c r="G165" s="9" t="s">
        <v>15740</v>
      </c>
      <c r="H165" s="9" t="s">
        <v>15741</v>
      </c>
      <c r="I165" s="9" t="s">
        <v>15742</v>
      </c>
      <c r="J165" s="9" t="str">
        <f t="shared" si="7"/>
        <v>(${Variables:E1_2_7_4_kcat} * E1_2_7_4 * C06020 * C00010 * C00011 * C00138)/(${Variables:E1_2_7_4_km} + (E1_2_7_4 * C06020 * C00010 * C00011 * C00138))</v>
      </c>
      <c r="K165" s="38" t="str">
        <f t="shared" si="8"/>
        <v>r164: C06020 + C00010 + C00011 + C00138 -&gt; C00024 + C06021 + C00001 + C00139 | (${Variables:E1_2_7_4_kcat} * E1_2_7_4 * C06020 * C00010 * C00011 * C00138)/(${Variables:E1_2_7_4_km} + (E1_2_7_4 * C06020 * C00010 * C00011 * C00138))</v>
      </c>
    </row>
    <row r="166" spans="1:11" ht="42.75" x14ac:dyDescent="0.45">
      <c r="A166" t="s">
        <v>2118</v>
      </c>
      <c r="B166" t="s">
        <v>2119</v>
      </c>
      <c r="C166" t="s">
        <v>14994</v>
      </c>
      <c r="D166">
        <v>165</v>
      </c>
      <c r="E166" t="str">
        <f t="shared" si="6"/>
        <v>E1_2_7_4</v>
      </c>
      <c r="F166" s="9" t="s">
        <v>15735</v>
      </c>
      <c r="G166" s="9" t="s">
        <v>15736</v>
      </c>
      <c r="H166" s="9" t="s">
        <v>15737</v>
      </c>
      <c r="I166" s="9" t="s">
        <v>15738</v>
      </c>
      <c r="J166" s="9" t="str">
        <f t="shared" si="7"/>
        <v>(${Variables:E1_2_7_4_kcat} * E1_2_7_4 * C00237 * C00001 * C00139)/(${Variables:E1_2_7_4_km} + (E1_2_7_4 * C00237 * C00001 * C00139))</v>
      </c>
      <c r="K166" s="38" t="str">
        <f t="shared" si="8"/>
        <v>r165: C00237 + C00001 + C00139 -&gt; C00011 + C00138 + C00080 | (${Variables:E1_2_7_4_kcat} * E1_2_7_4 * C00237 * C00001 * C00139)/(${Variables:E1_2_7_4_km} + (E1_2_7_4 * C00237 * C00001 * C00139))</v>
      </c>
    </row>
    <row r="167" spans="1:11" ht="28.5" x14ac:dyDescent="0.45">
      <c r="A167" t="s">
        <v>2118</v>
      </c>
      <c r="B167" t="s">
        <v>2119</v>
      </c>
      <c r="C167" t="s">
        <v>14994</v>
      </c>
      <c r="D167">
        <v>166</v>
      </c>
      <c r="E167" t="str">
        <f t="shared" si="6"/>
        <v>E1_2_7_4</v>
      </c>
      <c r="F167" s="9" t="s">
        <v>10706</v>
      </c>
      <c r="G167" s="9" t="s">
        <v>10706</v>
      </c>
      <c r="H167" s="9" t="s">
        <v>10707</v>
      </c>
      <c r="I167" s="9" t="s">
        <v>10707</v>
      </c>
      <c r="J167" s="9" t="str">
        <f t="shared" si="7"/>
        <v>(${Variables:E1_2_7_4_kcat} * E1_2_7_4 * C16396)/(${Variables:E1_2_7_4_km} + (E1_2_7_4 * C16396))</v>
      </c>
      <c r="K167" s="38" t="str">
        <f t="shared" si="8"/>
        <v>r166: C16396 -&gt; C16399 | (${Variables:E1_2_7_4_kcat} * E1_2_7_4 * C16396)/(${Variables:E1_2_7_4_km} + (E1_2_7_4 * C16396))</v>
      </c>
    </row>
    <row r="168" spans="1:11" ht="57" x14ac:dyDescent="0.45">
      <c r="A168" t="s">
        <v>2118</v>
      </c>
      <c r="B168" t="s">
        <v>2119</v>
      </c>
      <c r="C168" t="s">
        <v>14994</v>
      </c>
      <c r="D168">
        <v>167</v>
      </c>
      <c r="E168" t="str">
        <f t="shared" si="6"/>
        <v>E1_2_7_4</v>
      </c>
      <c r="F168" s="9" t="s">
        <v>15739</v>
      </c>
      <c r="G168" s="9" t="s">
        <v>15740</v>
      </c>
      <c r="H168" s="9" t="s">
        <v>15741</v>
      </c>
      <c r="I168" s="9" t="s">
        <v>15742</v>
      </c>
      <c r="J168" s="9" t="str">
        <f t="shared" si="7"/>
        <v>(${Variables:E1_2_7_4_kcat} * E1_2_7_4 * C06020 * C00010 * C00011 * C00138)/(${Variables:E1_2_7_4_km} + (E1_2_7_4 * C06020 * C00010 * C00011 * C00138))</v>
      </c>
      <c r="K168" s="38" t="str">
        <f t="shared" si="8"/>
        <v>r167: C06020 + C00010 + C00011 + C00138 -&gt; C00024 + C06021 + C00001 + C00139 | (${Variables:E1_2_7_4_kcat} * E1_2_7_4 * C06020 * C00010 * C00011 * C00138)/(${Variables:E1_2_7_4_km} + (E1_2_7_4 * C06020 * C00010 * C00011 * C00138))</v>
      </c>
    </row>
    <row r="169" spans="1:11" ht="42.75" x14ac:dyDescent="0.45">
      <c r="A169" t="s">
        <v>6719</v>
      </c>
      <c r="B169" t="s">
        <v>6720</v>
      </c>
      <c r="C169" t="s">
        <v>14995</v>
      </c>
      <c r="D169">
        <v>168</v>
      </c>
      <c r="E169" t="str">
        <f t="shared" si="6"/>
        <v>E1_2_7_8</v>
      </c>
      <c r="F169" s="9" t="s">
        <v>15743</v>
      </c>
      <c r="G169" s="9" t="s">
        <v>15744</v>
      </c>
      <c r="H169" s="9" t="s">
        <v>15745</v>
      </c>
      <c r="I169" s="9" t="s">
        <v>15746</v>
      </c>
      <c r="J169" s="9" t="str">
        <f t="shared" si="7"/>
        <v>(${Variables:E1_2_7_8_kcat} * E1_2_7_8 * C00331 * C00010 * C00139)/(${Variables:E1_2_7_8_km} + (E1_2_7_8 * C00331 * C00010 * C00139))</v>
      </c>
      <c r="K169" s="38" t="str">
        <f t="shared" si="8"/>
        <v>r168: C00331 + C00010 + C00139 -&gt; C15489 + C00011 + C00138 | (${Variables:E1_2_7_8_kcat} * E1_2_7_8 * C00331 * C00010 * C00139)/(${Variables:E1_2_7_8_km} + (E1_2_7_8 * C00331 * C00010 * C00139))</v>
      </c>
    </row>
    <row r="170" spans="1:11" ht="28.5" x14ac:dyDescent="0.45">
      <c r="A170" t="s">
        <v>8989</v>
      </c>
      <c r="B170" t="s">
        <v>8990</v>
      </c>
      <c r="C170" t="s">
        <v>14996</v>
      </c>
      <c r="D170">
        <v>169</v>
      </c>
      <c r="E170" t="str">
        <f t="shared" si="6"/>
        <v>E1_21_4_1</v>
      </c>
      <c r="F170" s="9" t="s">
        <v>10720</v>
      </c>
      <c r="G170" s="9" t="s">
        <v>10720</v>
      </c>
      <c r="H170" s="9" t="s">
        <v>10721</v>
      </c>
      <c r="I170" s="9" t="s">
        <v>10721</v>
      </c>
      <c r="J170" s="9" t="str">
        <f t="shared" si="7"/>
        <v>(${Variables:E1_21_4_1_kcat} * E1_21_4_1 * C00431)/(${Variables:E1_21_4_1_km} + (E1_21_4_1 * C00431))</v>
      </c>
      <c r="K170" s="38" t="str">
        <f t="shared" si="8"/>
        <v>r169: C00431 -&gt; C00763 | (${Variables:E1_21_4_1_kcat} * E1_21_4_1 * C00431)/(${Variables:E1_21_4_1_km} + (E1_21_4_1 * C00431))</v>
      </c>
    </row>
    <row r="171" spans="1:11" ht="28.5" x14ac:dyDescent="0.45">
      <c r="A171" t="s">
        <v>8996</v>
      </c>
      <c r="B171" t="s">
        <v>8997</v>
      </c>
      <c r="C171" t="s">
        <v>14996</v>
      </c>
      <c r="D171">
        <v>170</v>
      </c>
      <c r="E171" t="str">
        <f t="shared" si="6"/>
        <v>E1_21_4_1</v>
      </c>
      <c r="F171" s="9" t="s">
        <v>10720</v>
      </c>
      <c r="G171" s="9" t="s">
        <v>10720</v>
      </c>
      <c r="H171" s="9" t="s">
        <v>10721</v>
      </c>
      <c r="I171" s="9" t="s">
        <v>10721</v>
      </c>
      <c r="J171" s="9" t="str">
        <f t="shared" si="7"/>
        <v>(${Variables:E1_21_4_1_kcat} * E1_21_4_1 * C00431)/(${Variables:E1_21_4_1_km} + (E1_21_4_1 * C00431))</v>
      </c>
      <c r="K171" s="38" t="str">
        <f t="shared" si="8"/>
        <v>r170: C00431 -&gt; C00763 | (${Variables:E1_21_4_1_kcat} * E1_21_4_1 * C00431)/(${Variables:E1_21_4_1_km} + (E1_21_4_1 * C00431))</v>
      </c>
    </row>
    <row r="172" spans="1:11" ht="57" x14ac:dyDescent="0.45">
      <c r="A172" t="s">
        <v>6627</v>
      </c>
      <c r="B172" t="s">
        <v>6628</v>
      </c>
      <c r="C172" t="s">
        <v>14997</v>
      </c>
      <c r="D172">
        <v>171</v>
      </c>
      <c r="E172" t="str">
        <f t="shared" si="6"/>
        <v>E1_21_4_2</v>
      </c>
      <c r="F172" s="9" t="s">
        <v>15747</v>
      </c>
      <c r="G172" s="9" t="s">
        <v>15748</v>
      </c>
      <c r="H172" s="9" t="s">
        <v>15749</v>
      </c>
      <c r="I172" s="9" t="s">
        <v>15750</v>
      </c>
      <c r="J172" s="9" t="str">
        <f t="shared" si="7"/>
        <v>(${Variables:E1_21_4_2_kcat} * E1_21_4_2 * C00227 * C00014 * C00343 * C00001)/(${Variables:E1_21_4_2_km} + (E1_21_4_2 * C00227 * C00014 * C00343 * C00001))</v>
      </c>
      <c r="K172" s="38" t="str">
        <f t="shared" si="8"/>
        <v>r171: C00227 + C00014 + C00343 + C00001 -&gt; C00037 + C00009 + C00342 | (${Variables:E1_21_4_2_kcat} * E1_21_4_2 * C00227 * C00014 * C00343 * C00001)/(${Variables:E1_21_4_2_km} + (E1_21_4_2 * C00227 * C00014 * C00343 * C00001))</v>
      </c>
    </row>
    <row r="173" spans="1:11" ht="57" x14ac:dyDescent="0.45">
      <c r="A173" t="s">
        <v>4975</v>
      </c>
      <c r="B173" t="s">
        <v>4976</v>
      </c>
      <c r="C173" t="s">
        <v>14998</v>
      </c>
      <c r="D173">
        <v>172</v>
      </c>
      <c r="E173" t="str">
        <f t="shared" si="6"/>
        <v>E1_21_4_3</v>
      </c>
      <c r="F173" s="9" t="s">
        <v>15751</v>
      </c>
      <c r="G173" s="9" t="s">
        <v>15752</v>
      </c>
      <c r="H173" s="9" t="s">
        <v>15753</v>
      </c>
      <c r="I173" s="9" t="s">
        <v>15754</v>
      </c>
      <c r="J173" s="9" t="str">
        <f t="shared" si="7"/>
        <v>(${Variables:E1_21_4_3_kcat} * E1_21_4_3 * C00227 * C00218 * C00343 * C00001)/(${Variables:E1_21_4_3_km} + (E1_21_4_3 * C00227 * C00218 * C00343 * C00001))</v>
      </c>
      <c r="K173" s="38" t="str">
        <f t="shared" si="8"/>
        <v>r172: C00227 + C00218 + C00343 + C00001 -&gt; C00213 + C00009 + C00342 | (${Variables:E1_21_4_3_kcat} * E1_21_4_3 * C00227 * C00218 * C00343 * C00001)/(${Variables:E1_21_4_3_km} + (E1_21_4_3 * C00227 * C00218 * C00343 * C00001))</v>
      </c>
    </row>
    <row r="174" spans="1:11" ht="42.75" x14ac:dyDescent="0.45">
      <c r="A174" t="s">
        <v>783</v>
      </c>
      <c r="B174" t="s">
        <v>784</v>
      </c>
      <c r="C174" t="s">
        <v>14999</v>
      </c>
      <c r="D174">
        <v>173</v>
      </c>
      <c r="E174" t="str">
        <f t="shared" si="6"/>
        <v>E1_3_1_14</v>
      </c>
      <c r="F174" s="9" t="s">
        <v>15755</v>
      </c>
      <c r="G174" s="9" t="s">
        <v>15756</v>
      </c>
      <c r="H174" s="9" t="s">
        <v>15757</v>
      </c>
      <c r="I174" s="9" t="s">
        <v>15758</v>
      </c>
      <c r="J174" s="9" t="str">
        <f t="shared" si="7"/>
        <v>(${Variables:E1_3_1_14_kcat} * E1_3_1_14 * C00337 * C00003)/(${Variables:E1_3_1_14_km} + (E1_3_1_14 * C00337 * C00003))</v>
      </c>
      <c r="K174" s="38" t="str">
        <f t="shared" si="8"/>
        <v>r173: C00337 + C00003 -&gt; C00295 + C00080 + C00004 | (${Variables:E1_3_1_14_kcat} * E1_3_1_14 * C00337 * C00003)/(${Variables:E1_3_1_14_km} + (E1_3_1_14 * C00337 * C00003))</v>
      </c>
    </row>
    <row r="175" spans="1:11" ht="42.75" x14ac:dyDescent="0.45">
      <c r="A175" t="s">
        <v>9391</v>
      </c>
      <c r="B175" t="s">
        <v>9392</v>
      </c>
      <c r="C175" t="s">
        <v>15000</v>
      </c>
      <c r="D175">
        <v>174</v>
      </c>
      <c r="E175" t="str">
        <f t="shared" si="6"/>
        <v>E1_3_1_54</v>
      </c>
      <c r="F175" s="9" t="s">
        <v>15759</v>
      </c>
      <c r="G175" s="9" t="s">
        <v>15760</v>
      </c>
      <c r="H175" s="9" t="s">
        <v>15761</v>
      </c>
      <c r="I175" s="9" t="s">
        <v>15762</v>
      </c>
      <c r="J175" s="9" t="str">
        <f t="shared" si="7"/>
        <v>(${Variables:E1_3_1_54_kcat} * E1_3_1_54 * C06319 * C00006)/(${Variables:E1_3_1_54_km} + (E1_3_1_54 * C06319 * C00006))</v>
      </c>
      <c r="K175" s="38" t="str">
        <f t="shared" si="8"/>
        <v>r174: C06319 + C00006 -&gt; C06320 + C00005 + C00080 | (${Variables:E1_3_1_54_kcat} * E1_3_1_54 * C06319 * C00006)/(${Variables:E1_3_1_54_km} + (E1_3_1_54 * C06319 * C00006))</v>
      </c>
    </row>
    <row r="176" spans="1:11" ht="42.75" x14ac:dyDescent="0.45">
      <c r="A176" t="s">
        <v>9372</v>
      </c>
      <c r="B176" t="s">
        <v>9373</v>
      </c>
      <c r="C176" t="s">
        <v>15001</v>
      </c>
      <c r="D176">
        <v>175</v>
      </c>
      <c r="E176" t="str">
        <f t="shared" si="6"/>
        <v>E1_3_1_76</v>
      </c>
      <c r="F176" s="9" t="s">
        <v>15763</v>
      </c>
      <c r="G176" s="9" t="s">
        <v>15764</v>
      </c>
      <c r="H176" s="9" t="s">
        <v>15765</v>
      </c>
      <c r="I176" s="9" t="s">
        <v>15766</v>
      </c>
      <c r="J176" s="9" t="str">
        <f t="shared" si="7"/>
        <v>(${Variables:E1_3_1_76_kcat} * E1_3_1_76 * C02463 * C00003)/(${Variables:E1_3_1_76_km} + (E1_3_1_76 * C02463 * C00003))</v>
      </c>
      <c r="K176" s="38" t="str">
        <f t="shared" si="8"/>
        <v>r175: C02463 + C00003 -&gt; C05778 + C00004 + C00080 | (${Variables:E1_3_1_76_kcat} * E1_3_1_76 * C02463 * C00003)/(${Variables:E1_3_1_76_km} + (E1_3_1_76 * C02463 * C00003))</v>
      </c>
    </row>
    <row r="177" spans="1:11" ht="42.75" x14ac:dyDescent="0.45">
      <c r="A177" t="s">
        <v>2388</v>
      </c>
      <c r="B177" t="s">
        <v>2389</v>
      </c>
      <c r="C177" t="s">
        <v>15002</v>
      </c>
      <c r="D177">
        <v>176</v>
      </c>
      <c r="E177" t="str">
        <f t="shared" si="6"/>
        <v>E1_3_1_95</v>
      </c>
      <c r="F177" s="9" t="s">
        <v>15767</v>
      </c>
      <c r="G177" s="9" t="s">
        <v>15768</v>
      </c>
      <c r="H177" s="9" t="s">
        <v>15769</v>
      </c>
      <c r="I177" s="9" t="s">
        <v>15770</v>
      </c>
      <c r="J177" s="9" t="str">
        <f t="shared" si="7"/>
        <v>(${Variables:E1_3_1_95_kcat} * E1_3_1_95 * C00100 * C00003)/(${Variables:E1_3_1_95_km} + (E1_3_1_95 * C00100 * C00003))</v>
      </c>
      <c r="K177" s="38" t="str">
        <f t="shared" si="8"/>
        <v>r176: C00100 + C00003 -&gt; C00894 + C00004 + C00080 | (${Variables:E1_3_1_95_kcat} * E1_3_1_95 * C00100 * C00003)/(${Variables:E1_3_1_95_km} + (E1_3_1_95 * C00100 * C00003))</v>
      </c>
    </row>
    <row r="178" spans="1:11" ht="42.75" x14ac:dyDescent="0.45">
      <c r="A178" t="s">
        <v>9325</v>
      </c>
      <c r="B178" t="s">
        <v>9326</v>
      </c>
      <c r="C178" t="s">
        <v>15003</v>
      </c>
      <c r="D178">
        <v>177</v>
      </c>
      <c r="E178" t="str">
        <f t="shared" si="6"/>
        <v>E1_3_1_98</v>
      </c>
      <c r="F178" s="9" t="s">
        <v>15775</v>
      </c>
      <c r="G178" s="9" t="s">
        <v>15776</v>
      </c>
      <c r="H178" s="9" t="s">
        <v>15777</v>
      </c>
      <c r="I178" s="9" t="s">
        <v>15778</v>
      </c>
      <c r="J178" s="9" t="str">
        <f t="shared" si="7"/>
        <v>(${Variables:E1_3_1_98_kcat} * E1_3_1_98 * C01050 * C00006)/(${Variables:E1_3_1_98_km} + (E1_3_1_98 * C01050 * C00006))</v>
      </c>
      <c r="K178" s="38" t="str">
        <f t="shared" si="8"/>
        <v>r177: C01050 + C00006 -&gt; C04631 + C00005 + C00080 | (${Variables:E1_3_1_98_kcat} * E1_3_1_98 * C01050 * C00006)/(${Variables:E1_3_1_98_km} + (E1_3_1_98 * C01050 * C00006))</v>
      </c>
    </row>
    <row r="179" spans="1:11" ht="42.75" x14ac:dyDescent="0.45">
      <c r="A179" t="s">
        <v>9325</v>
      </c>
      <c r="B179" t="s">
        <v>9326</v>
      </c>
      <c r="C179" t="s">
        <v>15003</v>
      </c>
      <c r="D179">
        <v>178</v>
      </c>
      <c r="E179" t="str">
        <f t="shared" si="6"/>
        <v>E1_3_1_98</v>
      </c>
      <c r="F179" s="9" t="s">
        <v>15771</v>
      </c>
      <c r="G179" s="9" t="s">
        <v>15772</v>
      </c>
      <c r="H179" s="9" t="s">
        <v>15773</v>
      </c>
      <c r="I179" s="9" t="s">
        <v>15774</v>
      </c>
      <c r="J179" s="9" t="str">
        <f t="shared" si="7"/>
        <v>(${Variables:E1_3_1_98_kcat} * E1_3_1_98 * C01050 * C00003)/(${Variables:E1_3_1_98_km} + (E1_3_1_98 * C01050 * C00003))</v>
      </c>
      <c r="K179" s="38" t="str">
        <f t="shared" si="8"/>
        <v>r178: C01050 + C00003 -&gt; C04631 + C00004 + C00080 | (${Variables:E1_3_1_98_kcat} * E1_3_1_98 * C01050 * C00003)/(${Variables:E1_3_1_98_km} + (E1_3_1_98 * C01050 * C00003))</v>
      </c>
    </row>
    <row r="180" spans="1:11" ht="42.75" x14ac:dyDescent="0.45">
      <c r="A180" t="s">
        <v>4233</v>
      </c>
      <c r="B180" t="s">
        <v>4234</v>
      </c>
      <c r="C180" t="s">
        <v>15004</v>
      </c>
      <c r="D180">
        <v>179</v>
      </c>
      <c r="E180" t="str">
        <f t="shared" si="6"/>
        <v>E1_4_1_13</v>
      </c>
      <c r="F180" s="9" t="s">
        <v>15779</v>
      </c>
      <c r="G180" s="9" t="s">
        <v>15780</v>
      </c>
      <c r="H180" s="9" t="s">
        <v>15781</v>
      </c>
      <c r="I180" s="9" t="s">
        <v>15782</v>
      </c>
      <c r="J180" s="9" t="str">
        <f t="shared" si="7"/>
        <v>(${Variables:E1_4_1_13_kcat} * E1_4_1_13 * C00025 * C00006)/(${Variables:E1_4_1_13_km} + (E1_4_1_13 * C00025 * C00006))</v>
      </c>
      <c r="K180" s="38" t="str">
        <f t="shared" si="8"/>
        <v>r179: C00025 + C00006 -&gt; C00064 + C00026 + C00005 + C00080 | (${Variables:E1_4_1_13_kcat} * E1_4_1_13 * C00025 * C00006)/(${Variables:E1_4_1_13_km} + (E1_4_1_13 * C00025 * C00006))</v>
      </c>
    </row>
    <row r="181" spans="1:11" ht="42.75" x14ac:dyDescent="0.45">
      <c r="A181" t="s">
        <v>4233</v>
      </c>
      <c r="B181" t="s">
        <v>4234</v>
      </c>
      <c r="C181" t="s">
        <v>15004</v>
      </c>
      <c r="D181">
        <v>180</v>
      </c>
      <c r="E181" t="str">
        <f t="shared" si="6"/>
        <v>E1_4_1_13</v>
      </c>
      <c r="F181" s="9" t="s">
        <v>15787</v>
      </c>
      <c r="G181" s="9" t="s">
        <v>15788</v>
      </c>
      <c r="H181" s="9" t="s">
        <v>15789</v>
      </c>
      <c r="I181" s="9" t="s">
        <v>15790</v>
      </c>
      <c r="J181" s="9" t="str">
        <f t="shared" si="7"/>
        <v>(${Variables:E1_4_1_13_kcat} * E1_4_1_13 * C00064 * C00001)/(${Variables:E1_4_1_13_km} + (E1_4_1_13 * C00064 * C00001))</v>
      </c>
      <c r="K181" s="38" t="str">
        <f t="shared" si="8"/>
        <v>r180: C00064 + C00001 -&gt; C00025 + C00014 | (${Variables:E1_4_1_13_kcat} * E1_4_1_13 * C00064 * C00001)/(${Variables:E1_4_1_13_km} + (E1_4_1_13 * C00064 * C00001))</v>
      </c>
    </row>
    <row r="182" spans="1:11" ht="42.75" x14ac:dyDescent="0.45">
      <c r="A182" t="s">
        <v>4233</v>
      </c>
      <c r="B182" t="s">
        <v>4234</v>
      </c>
      <c r="C182" t="s">
        <v>15004</v>
      </c>
      <c r="D182">
        <v>181</v>
      </c>
      <c r="E182" t="str">
        <f t="shared" si="6"/>
        <v>E1_4_1_13</v>
      </c>
      <c r="F182" s="9" t="s">
        <v>15783</v>
      </c>
      <c r="G182" s="9" t="s">
        <v>15784</v>
      </c>
      <c r="H182" s="9" t="s">
        <v>15785</v>
      </c>
      <c r="I182" s="9" t="s">
        <v>15786</v>
      </c>
      <c r="J182" s="9" t="str">
        <f t="shared" si="7"/>
        <v>(${Variables:E1_4_1_13_kcat} * E1_4_1_13 * C00025 * C00006 * C00001)/(${Variables:E1_4_1_13_km} + (E1_4_1_13 * C00025 * C00006 * C00001))</v>
      </c>
      <c r="K182" s="38" t="str">
        <f t="shared" si="8"/>
        <v>r181: C00025 + C00006 + C00001 -&gt; C00026 + C00014 + C00005 + C00080 | (${Variables:E1_4_1_13_kcat} * E1_4_1_13 * C00025 * C00006 * C00001)/(${Variables:E1_4_1_13_km} + (E1_4_1_13 * C00025 * C00006 * C00001))</v>
      </c>
    </row>
    <row r="183" spans="1:11" ht="42.75" x14ac:dyDescent="0.45">
      <c r="A183" t="s">
        <v>765</v>
      </c>
      <c r="B183" t="s">
        <v>766</v>
      </c>
      <c r="C183" t="s">
        <v>15005</v>
      </c>
      <c r="D183">
        <v>182</v>
      </c>
      <c r="E183" t="str">
        <f t="shared" si="6"/>
        <v>E1_4_1_2</v>
      </c>
      <c r="F183" s="9" t="s">
        <v>15791</v>
      </c>
      <c r="G183" s="9" t="s">
        <v>15792</v>
      </c>
      <c r="H183" s="9" t="s">
        <v>15793</v>
      </c>
      <c r="I183" s="9" t="s">
        <v>15794</v>
      </c>
      <c r="J183" s="9" t="str">
        <f t="shared" si="7"/>
        <v>(${Variables:E1_4_1_2_kcat} * E1_4_1_2 * C00025 * C00003 * C00001)/(${Variables:E1_4_1_2_km} + (E1_4_1_2 * C00025 * C00003 * C00001))</v>
      </c>
      <c r="K183" s="38" t="str">
        <f t="shared" si="8"/>
        <v>r182: C00025 + C00003 + C00001 -&gt; C00026 + C00014 + C00004 + C00080 | (${Variables:E1_4_1_2_kcat} * E1_4_1_2 * C00025 * C00003 * C00001)/(${Variables:E1_4_1_2_km} + (E1_4_1_2 * C00025 * C00003 * C00001))</v>
      </c>
    </row>
    <row r="184" spans="1:11" ht="42.75" x14ac:dyDescent="0.45">
      <c r="A184" t="s">
        <v>765</v>
      </c>
      <c r="B184" t="s">
        <v>766</v>
      </c>
      <c r="C184" t="s">
        <v>15005</v>
      </c>
      <c r="D184">
        <v>183</v>
      </c>
      <c r="E184" t="str">
        <f t="shared" si="6"/>
        <v>E1_4_1_2</v>
      </c>
      <c r="F184" s="9" t="s">
        <v>15795</v>
      </c>
      <c r="G184" s="9" t="s">
        <v>15796</v>
      </c>
      <c r="H184" s="9" t="s">
        <v>15797</v>
      </c>
      <c r="I184" s="9" t="s">
        <v>15798</v>
      </c>
      <c r="J184" s="9" t="str">
        <f t="shared" si="7"/>
        <v>(${Variables:E1_4_1_2_kcat} * E1_4_1_2 * C05167 * C00001 * C00003)/(${Variables:E1_4_1_2_km} + (E1_4_1_2 * C05167 * C00001 * C00003))</v>
      </c>
      <c r="K184" s="38" t="str">
        <f t="shared" si="8"/>
        <v>r183: C05167 + C00001 + C00003 -&gt; C00161 + C00014 + C00004 + C00080 | (${Variables:E1_4_1_2_kcat} * E1_4_1_2 * C05167 * C00001 * C00003)/(${Variables:E1_4_1_2_km} + (E1_4_1_2 * C05167 * C00001 * C00003))</v>
      </c>
    </row>
    <row r="185" spans="1:11" ht="42.75" x14ac:dyDescent="0.45">
      <c r="A185" t="s">
        <v>765</v>
      </c>
      <c r="B185" t="s">
        <v>766</v>
      </c>
      <c r="C185" t="s">
        <v>15005</v>
      </c>
      <c r="D185">
        <v>184</v>
      </c>
      <c r="E185" t="str">
        <f t="shared" si="6"/>
        <v>E1_4_1_2</v>
      </c>
      <c r="F185" s="9" t="s">
        <v>15799</v>
      </c>
      <c r="G185" s="9" t="s">
        <v>15800</v>
      </c>
      <c r="H185" s="9" t="s">
        <v>15801</v>
      </c>
      <c r="I185" s="9" t="s">
        <v>15802</v>
      </c>
      <c r="J185" s="9" t="str">
        <f t="shared" si="7"/>
        <v>(${Variables:E1_4_1_2_kcat} * E1_4_1_2 * C05167 * C00001 * C00006)/(${Variables:E1_4_1_2_km} + (E1_4_1_2 * C05167 * C00001 * C00006))</v>
      </c>
      <c r="K185" s="38" t="str">
        <f t="shared" si="8"/>
        <v>r184: C05167 + C00001 + C00006 -&gt; C00161 + C00014 + C00005 + C00080 | (${Variables:E1_4_1_2_kcat} * E1_4_1_2 * C05167 * C00001 * C00006)/(${Variables:E1_4_1_2_km} + (E1_4_1_2 * C05167 * C00001 * C00006))</v>
      </c>
    </row>
    <row r="186" spans="1:11" ht="42.75" x14ac:dyDescent="0.45">
      <c r="A186" t="s">
        <v>6692</v>
      </c>
      <c r="B186" t="s">
        <v>6693</v>
      </c>
      <c r="C186" t="s">
        <v>15006</v>
      </c>
      <c r="D186">
        <v>185</v>
      </c>
      <c r="E186" t="str">
        <f t="shared" si="6"/>
        <v>E1_4_3_16</v>
      </c>
      <c r="F186" s="9" t="s">
        <v>15807</v>
      </c>
      <c r="G186" s="9" t="s">
        <v>15808</v>
      </c>
      <c r="H186" s="9" t="s">
        <v>15809</v>
      </c>
      <c r="I186" s="9" t="s">
        <v>15810</v>
      </c>
      <c r="J186" s="9" t="str">
        <f t="shared" si="7"/>
        <v>(${Variables:E1_4_3_16_kcat} * E1_4_3_16 * C00049 * C00007)/(${Variables:E1_4_3_16_km} + (E1_4_3_16 * C00049 * C00007))</v>
      </c>
      <c r="K186" s="38" t="str">
        <f t="shared" si="8"/>
        <v>r185: C00049 + C00007 -&gt; C05840 + C00027 | (${Variables:E1_4_3_16_kcat} * E1_4_3_16 * C00049 * C00007)/(${Variables:E1_4_3_16_km} + (E1_4_3_16 * C00049 * C00007))</v>
      </c>
    </row>
    <row r="187" spans="1:11" ht="42.75" x14ac:dyDescent="0.45">
      <c r="A187" t="s">
        <v>6692</v>
      </c>
      <c r="B187" t="s">
        <v>6693</v>
      </c>
      <c r="C187" t="s">
        <v>15006</v>
      </c>
      <c r="D187">
        <v>186</v>
      </c>
      <c r="E187" t="str">
        <f t="shared" si="6"/>
        <v>E1_4_3_16</v>
      </c>
      <c r="F187" s="9" t="s">
        <v>15803</v>
      </c>
      <c r="G187" s="9" t="s">
        <v>15804</v>
      </c>
      <c r="H187" s="9" t="s">
        <v>15805</v>
      </c>
      <c r="I187" s="9" t="s">
        <v>15806</v>
      </c>
      <c r="J187" s="9" t="str">
        <f t="shared" si="7"/>
        <v>(${Variables:E1_4_3_16_kcat} * E1_4_3_16 * C00049 * C00001 * C00007)/(${Variables:E1_4_3_16_km} + (E1_4_3_16 * C00049 * C00001 * C00007))</v>
      </c>
      <c r="K187" s="38" t="str">
        <f t="shared" si="8"/>
        <v>r186: C00049 + C00001 + C00007 -&gt; C00036 + C00014 + C00027 | (${Variables:E1_4_3_16_kcat} * E1_4_3_16 * C00049 * C00001 * C00007)/(${Variables:E1_4_3_16_km} + (E1_4_3_16 * C00049 * C00001 * C00007))</v>
      </c>
    </row>
    <row r="188" spans="1:11" ht="42.75" x14ac:dyDescent="0.45">
      <c r="A188" t="s">
        <v>4740</v>
      </c>
      <c r="B188" t="s">
        <v>4741</v>
      </c>
      <c r="C188" t="s">
        <v>15007</v>
      </c>
      <c r="D188">
        <v>187</v>
      </c>
      <c r="E188" t="str">
        <f t="shared" si="6"/>
        <v>E1_4_4_2</v>
      </c>
      <c r="F188" s="9" t="s">
        <v>15811</v>
      </c>
      <c r="G188" s="9" t="s">
        <v>15812</v>
      </c>
      <c r="H188" s="9" t="s">
        <v>15813</v>
      </c>
      <c r="I188" s="9" t="s">
        <v>15814</v>
      </c>
      <c r="J188" s="9" t="str">
        <f t="shared" si="7"/>
        <v>(${Variables:E1_4_4_2_kcat} * E1_4_4_2 * C00037 * C02051)/(${Variables:E1_4_4_2_km} + (E1_4_4_2 * C00037 * C02051))</v>
      </c>
      <c r="K188" s="38" t="str">
        <f t="shared" si="8"/>
        <v>r187: C00037 + C02051 -&gt; C01242 + C00011 | (${Variables:E1_4_4_2_kcat} * E1_4_4_2 * C00037 * C02051)/(${Variables:E1_4_4_2_km} + (E1_4_4_2 * C00037 * C02051))</v>
      </c>
    </row>
    <row r="189" spans="1:11" ht="42.75" x14ac:dyDescent="0.45">
      <c r="A189" t="s">
        <v>4744</v>
      </c>
      <c r="B189" t="s">
        <v>4745</v>
      </c>
      <c r="C189" t="s">
        <v>15007</v>
      </c>
      <c r="D189">
        <v>188</v>
      </c>
      <c r="E189" t="str">
        <f t="shared" si="6"/>
        <v>E1_4_4_2</v>
      </c>
      <c r="F189" s="9" t="s">
        <v>15811</v>
      </c>
      <c r="G189" s="9" t="s">
        <v>15812</v>
      </c>
      <c r="H189" s="9" t="s">
        <v>15813</v>
      </c>
      <c r="I189" s="9" t="s">
        <v>15814</v>
      </c>
      <c r="J189" s="9" t="str">
        <f t="shared" si="7"/>
        <v>(${Variables:E1_4_4_2_kcat} * E1_4_4_2 * C00037 * C02051)/(${Variables:E1_4_4_2_km} + (E1_4_4_2 * C00037 * C02051))</v>
      </c>
      <c r="K189" s="38" t="str">
        <f t="shared" si="8"/>
        <v>r188: C00037 + C02051 -&gt; C01242 + C00011 | (${Variables:E1_4_4_2_kcat} * E1_4_4_2 * C00037 * C02051)/(${Variables:E1_4_4_2_km} + (E1_4_4_2 * C00037 * C02051))</v>
      </c>
    </row>
    <row r="190" spans="1:11" ht="42.75" x14ac:dyDescent="0.45">
      <c r="A190" t="s">
        <v>4117</v>
      </c>
      <c r="B190" t="s">
        <v>4118</v>
      </c>
      <c r="C190" t="s">
        <v>15008</v>
      </c>
      <c r="D190">
        <v>189</v>
      </c>
      <c r="E190" t="str">
        <f t="shared" si="6"/>
        <v>E1_5_1_2</v>
      </c>
      <c r="F190" s="9" t="s">
        <v>15815</v>
      </c>
      <c r="G190" s="9" t="s">
        <v>15816</v>
      </c>
      <c r="H190" s="9" t="s">
        <v>15817</v>
      </c>
      <c r="I190" s="9" t="s">
        <v>15818</v>
      </c>
      <c r="J190" s="9" t="str">
        <f t="shared" si="7"/>
        <v>(${Variables:E1_5_1_2_kcat} * E1_5_1_2 * C00148 * C00003)/(${Variables:E1_5_1_2_km} + (E1_5_1_2 * C00148 * C00003))</v>
      </c>
      <c r="K190" s="38" t="str">
        <f t="shared" si="8"/>
        <v>r189: C00148 + C00003 -&gt; C03912 + C00004 + C00080 | (${Variables:E1_5_1_2_kcat} * E1_5_1_2 * C00148 * C00003)/(${Variables:E1_5_1_2_km} + (E1_5_1_2 * C00148 * C00003))</v>
      </c>
    </row>
    <row r="191" spans="1:11" ht="42.75" x14ac:dyDescent="0.45">
      <c r="A191" t="s">
        <v>4117</v>
      </c>
      <c r="B191" t="s">
        <v>4118</v>
      </c>
      <c r="C191" t="s">
        <v>15008</v>
      </c>
      <c r="D191">
        <v>190</v>
      </c>
      <c r="E191" t="str">
        <f t="shared" si="6"/>
        <v>E1_5_1_2</v>
      </c>
      <c r="F191" s="9" t="s">
        <v>15819</v>
      </c>
      <c r="G191" s="9" t="s">
        <v>15820</v>
      </c>
      <c r="H191" s="9" t="s">
        <v>15821</v>
      </c>
      <c r="I191" s="9" t="s">
        <v>15822</v>
      </c>
      <c r="J191" s="9" t="str">
        <f t="shared" si="7"/>
        <v>(${Variables:E1_5_1_2_kcat} * E1_5_1_2 * C00148 * C00006)/(${Variables:E1_5_1_2_km} + (E1_5_1_2 * C00148 * C00006))</v>
      </c>
      <c r="K191" s="38" t="str">
        <f t="shared" si="8"/>
        <v>r190: C00148 + C00006 -&gt; C03912 + C00005 + C00080 | (${Variables:E1_5_1_2_kcat} * E1_5_1_2 * C00148 * C00006)/(${Variables:E1_5_1_2_km} + (E1_5_1_2 * C00148 * C00006))</v>
      </c>
    </row>
    <row r="192" spans="1:11" ht="42.75" x14ac:dyDescent="0.45">
      <c r="A192" t="s">
        <v>4117</v>
      </c>
      <c r="B192" t="s">
        <v>4118</v>
      </c>
      <c r="C192" t="s">
        <v>15008</v>
      </c>
      <c r="D192">
        <v>191</v>
      </c>
      <c r="E192" t="str">
        <f t="shared" si="6"/>
        <v>E1_5_1_2</v>
      </c>
      <c r="F192" s="9" t="s">
        <v>15823</v>
      </c>
      <c r="G192" s="9" t="s">
        <v>15824</v>
      </c>
      <c r="H192" s="9" t="s">
        <v>15825</v>
      </c>
      <c r="I192" s="9" t="s">
        <v>15826</v>
      </c>
      <c r="J192" s="9" t="str">
        <f t="shared" si="7"/>
        <v>(${Variables:E1_5_1_2_kcat} * E1_5_1_2 * C01157 * C00003)/(${Variables:E1_5_1_2_km} + (E1_5_1_2 * C01157 * C00003))</v>
      </c>
      <c r="K192" s="38" t="str">
        <f t="shared" si="8"/>
        <v>r191: C01157 + C00003 -&gt; C04281 + C00004 + C00080 | (${Variables:E1_5_1_2_kcat} * E1_5_1_2 * C01157 * C00003)/(${Variables:E1_5_1_2_km} + (E1_5_1_2 * C01157 * C00003))</v>
      </c>
    </row>
    <row r="193" spans="1:11" ht="42.75" x14ac:dyDescent="0.45">
      <c r="A193" t="s">
        <v>4117</v>
      </c>
      <c r="B193" t="s">
        <v>4118</v>
      </c>
      <c r="C193" t="s">
        <v>15008</v>
      </c>
      <c r="D193">
        <v>192</v>
      </c>
      <c r="E193" t="str">
        <f t="shared" si="6"/>
        <v>E1_5_1_2</v>
      </c>
      <c r="F193" s="9" t="s">
        <v>15827</v>
      </c>
      <c r="G193" s="9" t="s">
        <v>15828</v>
      </c>
      <c r="H193" s="9" t="s">
        <v>15829</v>
      </c>
      <c r="I193" s="9" t="s">
        <v>15830</v>
      </c>
      <c r="J193" s="9" t="str">
        <f t="shared" si="7"/>
        <v>(${Variables:E1_5_1_2_kcat} * E1_5_1_2 * C01157 * C00006)/(${Variables:E1_5_1_2_km} + (E1_5_1_2 * C01157 * C00006))</v>
      </c>
      <c r="K193" s="38" t="str">
        <f t="shared" si="8"/>
        <v>r192: C01157 + C00006 -&gt; C04281 + C00005 + C00080 | (${Variables:E1_5_1_2_kcat} * E1_5_1_2 * C01157 * C00006)/(${Variables:E1_5_1_2_km} + (E1_5_1_2 * C01157 * C00006))</v>
      </c>
    </row>
    <row r="194" spans="1:11" ht="42.75" x14ac:dyDescent="0.45">
      <c r="A194" t="s">
        <v>9100</v>
      </c>
      <c r="B194" t="s">
        <v>9101</v>
      </c>
      <c r="C194" t="s">
        <v>15008</v>
      </c>
      <c r="D194">
        <v>193</v>
      </c>
      <c r="E194" t="str">
        <f t="shared" si="6"/>
        <v>E1_5_1_2</v>
      </c>
      <c r="F194" s="9" t="s">
        <v>15815</v>
      </c>
      <c r="G194" s="9" t="s">
        <v>15816</v>
      </c>
      <c r="H194" s="9" t="s">
        <v>15817</v>
      </c>
      <c r="I194" s="9" t="s">
        <v>15818</v>
      </c>
      <c r="J194" s="9" t="str">
        <f t="shared" si="7"/>
        <v>(${Variables:E1_5_1_2_kcat} * E1_5_1_2 * C00148 * C00003)/(${Variables:E1_5_1_2_km} + (E1_5_1_2 * C00148 * C00003))</v>
      </c>
      <c r="K194" s="38" t="str">
        <f t="shared" si="8"/>
        <v>r193: C00148 + C00003 -&gt; C03912 + C00004 + C00080 | (${Variables:E1_5_1_2_kcat} * E1_5_1_2 * C00148 * C00003)/(${Variables:E1_5_1_2_km} + (E1_5_1_2 * C00148 * C00003))</v>
      </c>
    </row>
    <row r="195" spans="1:11" ht="42.75" x14ac:dyDescent="0.45">
      <c r="A195" t="s">
        <v>9100</v>
      </c>
      <c r="B195" t="s">
        <v>9101</v>
      </c>
      <c r="C195" t="s">
        <v>15008</v>
      </c>
      <c r="D195">
        <v>194</v>
      </c>
      <c r="E195" t="str">
        <f t="shared" ref="E195:E258" si="9">CONCATENATE("E",C195)</f>
        <v>E1_5_1_2</v>
      </c>
      <c r="F195" s="9" t="s">
        <v>15819</v>
      </c>
      <c r="G195" s="9" t="s">
        <v>15820</v>
      </c>
      <c r="H195" s="9" t="s">
        <v>15821</v>
      </c>
      <c r="I195" s="9" t="s">
        <v>15822</v>
      </c>
      <c r="J195" s="9" t="str">
        <f t="shared" ref="J195:J258" si="10">CONCATENATE("(${Variables:",E195,"_kcat","} * ",E195," * ",G195,")","/(${Variables:",E195,"_km","} + (",E195," * ",G195,"))")</f>
        <v>(${Variables:E1_5_1_2_kcat} * E1_5_1_2 * C00148 * C00006)/(${Variables:E1_5_1_2_km} + (E1_5_1_2 * C00148 * C00006))</v>
      </c>
      <c r="K195" s="38" t="str">
        <f t="shared" ref="K195:K258" si="11">CONCATENATE("r",D195,": ",F195," -&gt; ",H195," | ",J195)</f>
        <v>r194: C00148 + C00006 -&gt; C03912 + C00005 + C00080 | (${Variables:E1_5_1_2_kcat} * E1_5_1_2 * C00148 * C00006)/(${Variables:E1_5_1_2_km} + (E1_5_1_2 * C00148 * C00006))</v>
      </c>
    </row>
    <row r="196" spans="1:11" ht="42.75" x14ac:dyDescent="0.45">
      <c r="A196" t="s">
        <v>9100</v>
      </c>
      <c r="B196" t="s">
        <v>9101</v>
      </c>
      <c r="C196" t="s">
        <v>15008</v>
      </c>
      <c r="D196">
        <v>195</v>
      </c>
      <c r="E196" t="str">
        <f t="shared" si="9"/>
        <v>E1_5_1_2</v>
      </c>
      <c r="F196" s="9" t="s">
        <v>15823</v>
      </c>
      <c r="G196" s="9" t="s">
        <v>15824</v>
      </c>
      <c r="H196" s="9" t="s">
        <v>15825</v>
      </c>
      <c r="I196" s="9" t="s">
        <v>15826</v>
      </c>
      <c r="J196" s="9" t="str">
        <f t="shared" si="10"/>
        <v>(${Variables:E1_5_1_2_kcat} * E1_5_1_2 * C01157 * C00003)/(${Variables:E1_5_1_2_km} + (E1_5_1_2 * C01157 * C00003))</v>
      </c>
      <c r="K196" s="38" t="str">
        <f t="shared" si="11"/>
        <v>r195: C01157 + C00003 -&gt; C04281 + C00004 + C00080 | (${Variables:E1_5_1_2_kcat} * E1_5_1_2 * C01157 * C00003)/(${Variables:E1_5_1_2_km} + (E1_5_1_2 * C01157 * C00003))</v>
      </c>
    </row>
    <row r="197" spans="1:11" ht="42.75" x14ac:dyDescent="0.45">
      <c r="A197" t="s">
        <v>9100</v>
      </c>
      <c r="B197" t="s">
        <v>9101</v>
      </c>
      <c r="C197" t="s">
        <v>15008</v>
      </c>
      <c r="D197">
        <v>196</v>
      </c>
      <c r="E197" t="str">
        <f t="shared" si="9"/>
        <v>E1_5_1_2</v>
      </c>
      <c r="F197" s="9" t="s">
        <v>15827</v>
      </c>
      <c r="G197" s="9" t="s">
        <v>15828</v>
      </c>
      <c r="H197" s="9" t="s">
        <v>15829</v>
      </c>
      <c r="I197" s="9" t="s">
        <v>15830</v>
      </c>
      <c r="J197" s="9" t="str">
        <f t="shared" si="10"/>
        <v>(${Variables:E1_5_1_2_kcat} * E1_5_1_2 * C01157 * C00006)/(${Variables:E1_5_1_2_km} + (E1_5_1_2 * C01157 * C00006))</v>
      </c>
      <c r="K197" s="38" t="str">
        <f t="shared" si="11"/>
        <v>r196: C01157 + C00006 -&gt; C04281 + C00005 + C00080 | (${Variables:E1_5_1_2_kcat} * E1_5_1_2 * C01157 * C00006)/(${Variables:E1_5_1_2_km} + (E1_5_1_2 * C01157 * C00006))</v>
      </c>
    </row>
    <row r="198" spans="1:11" ht="42.75" x14ac:dyDescent="0.45">
      <c r="A198" t="s">
        <v>2135</v>
      </c>
      <c r="B198" t="s">
        <v>2136</v>
      </c>
      <c r="C198" t="s">
        <v>15009</v>
      </c>
      <c r="D198">
        <v>197</v>
      </c>
      <c r="E198" t="str">
        <f t="shared" si="9"/>
        <v>E1_5_1_20</v>
      </c>
      <c r="F198" s="9" t="s">
        <v>15835</v>
      </c>
      <c r="G198" s="9" t="s">
        <v>15836</v>
      </c>
      <c r="H198" s="9" t="s">
        <v>15837</v>
      </c>
      <c r="I198" s="9" t="s">
        <v>15838</v>
      </c>
      <c r="J198" s="9" t="str">
        <f t="shared" si="10"/>
        <v>(${Variables:E1_5_1_20_kcat} * E1_5_1_20 * C00440 * C00006)/(${Variables:E1_5_1_20_km} + (E1_5_1_20 * C00440 * C00006))</v>
      </c>
      <c r="K198" s="38" t="str">
        <f t="shared" si="11"/>
        <v>r197: C00440 + C00006 -&gt; C00143 + C00005 + C00080 | (${Variables:E1_5_1_20_kcat} * E1_5_1_20 * C00440 * C00006)/(${Variables:E1_5_1_20_km} + (E1_5_1_20 * C00440 * C00006))</v>
      </c>
    </row>
    <row r="199" spans="1:11" ht="42.75" x14ac:dyDescent="0.45">
      <c r="A199" t="s">
        <v>2135</v>
      </c>
      <c r="B199" t="s">
        <v>2136</v>
      </c>
      <c r="C199" t="s">
        <v>15009</v>
      </c>
      <c r="D199">
        <v>198</v>
      </c>
      <c r="E199" t="str">
        <f t="shared" si="9"/>
        <v>E1_5_1_20</v>
      </c>
      <c r="F199" s="9" t="s">
        <v>15831</v>
      </c>
      <c r="G199" s="9" t="s">
        <v>15832</v>
      </c>
      <c r="H199" s="9" t="s">
        <v>15833</v>
      </c>
      <c r="I199" s="9" t="s">
        <v>15834</v>
      </c>
      <c r="J199" s="9" t="str">
        <f t="shared" si="10"/>
        <v>(${Variables:E1_5_1_20_kcat} * E1_5_1_20 * C00440 * C00003)/(${Variables:E1_5_1_20_km} + (E1_5_1_20 * C00440 * C00003))</v>
      </c>
      <c r="K199" s="38" t="str">
        <f t="shared" si="11"/>
        <v>r198: C00440 + C00003 -&gt; C00143 + C00004 + C00080 | (${Variables:E1_5_1_20_kcat} * E1_5_1_20 * C00440 * C00003)/(${Variables:E1_5_1_20_km} + (E1_5_1_20 * C00440 * C00003))</v>
      </c>
    </row>
    <row r="200" spans="1:11" ht="42.75" x14ac:dyDescent="0.45">
      <c r="A200" t="s">
        <v>279</v>
      </c>
      <c r="B200" t="s">
        <v>280</v>
      </c>
      <c r="C200" t="s">
        <v>15010</v>
      </c>
      <c r="D200">
        <v>199</v>
      </c>
      <c r="E200" t="str">
        <f t="shared" si="9"/>
        <v>E1_5_1_3</v>
      </c>
      <c r="F200" s="9" t="s">
        <v>15845</v>
      </c>
      <c r="G200" s="9" t="s">
        <v>15846</v>
      </c>
      <c r="H200" s="9" t="s">
        <v>15847</v>
      </c>
      <c r="I200" s="9" t="s">
        <v>15848</v>
      </c>
      <c r="J200" s="9" t="str">
        <f t="shared" si="10"/>
        <v>(${Variables:E1_5_1_3_kcat} * E1_5_1_3 * C00101 * C00006)/(${Variables:E1_5_1_3_km} + (E1_5_1_3 * C00101 * C00006))</v>
      </c>
      <c r="K200" s="38" t="str">
        <f t="shared" si="11"/>
        <v>r199: C00101 + C00006 -&gt; C00415 + C00005 + C00080 | (${Variables:E1_5_1_3_kcat} * E1_5_1_3 * C00101 * C00006)/(${Variables:E1_5_1_3_km} + (E1_5_1_3 * C00101 * C00006))</v>
      </c>
    </row>
    <row r="201" spans="1:11" ht="42.75" x14ac:dyDescent="0.45">
      <c r="A201" t="s">
        <v>279</v>
      </c>
      <c r="B201" t="s">
        <v>280</v>
      </c>
      <c r="C201" t="s">
        <v>15010</v>
      </c>
      <c r="D201">
        <v>200</v>
      </c>
      <c r="E201" t="str">
        <f t="shared" si="9"/>
        <v>E1_5_1_3</v>
      </c>
      <c r="F201" s="9" t="s">
        <v>15839</v>
      </c>
      <c r="G201" s="9" t="s">
        <v>15840</v>
      </c>
      <c r="H201" s="9" t="s">
        <v>15841</v>
      </c>
      <c r="I201" s="9" t="s">
        <v>15842</v>
      </c>
      <c r="J201" s="9" t="str">
        <f t="shared" si="10"/>
        <v>(${Variables:E1_5_1_3_kcat} * E1_5_1_3 * C00101 * C00003)/(${Variables:E1_5_1_3_km} + (E1_5_1_3 * C00101 * C00003))</v>
      </c>
      <c r="K201" s="38" t="str">
        <f t="shared" si="11"/>
        <v>r200: C00101 + C00003 -&gt; C00415 + C00004 + C00080 | (${Variables:E1_5_1_3_kcat} * E1_5_1_3 * C00101 * C00003)/(${Variables:E1_5_1_3_km} + (E1_5_1_3 * C00101 * C00003))</v>
      </c>
    </row>
    <row r="202" spans="1:11" ht="42.75" x14ac:dyDescent="0.45">
      <c r="A202" t="s">
        <v>279</v>
      </c>
      <c r="B202" t="s">
        <v>280</v>
      </c>
      <c r="C202" t="s">
        <v>15010</v>
      </c>
      <c r="D202">
        <v>201</v>
      </c>
      <c r="E202" t="str">
        <f t="shared" si="9"/>
        <v>E1_5_1_3</v>
      </c>
      <c r="F202" s="9" t="s">
        <v>15839</v>
      </c>
      <c r="G202" s="9" t="s">
        <v>15840</v>
      </c>
      <c r="H202" s="9" t="s">
        <v>15843</v>
      </c>
      <c r="I202" s="9" t="s">
        <v>15844</v>
      </c>
      <c r="J202" s="9" t="str">
        <f t="shared" si="10"/>
        <v>(${Variables:E1_5_1_3_kcat} * E1_5_1_3 * C00101 * C00003)/(${Variables:E1_5_1_3_km} + (E1_5_1_3 * C00101 * C00003))</v>
      </c>
      <c r="K202" s="38" t="str">
        <f t="shared" si="11"/>
        <v>r201: C00101 + C00003 -&gt; C00504 + C00004 + C00080 | (${Variables:E1_5_1_3_kcat} * E1_5_1_3 * C00101 * C00003)/(${Variables:E1_5_1_3_km} + (E1_5_1_3 * C00101 * C00003))</v>
      </c>
    </row>
    <row r="203" spans="1:11" ht="42.75" x14ac:dyDescent="0.45">
      <c r="A203" t="s">
        <v>279</v>
      </c>
      <c r="B203" t="s">
        <v>280</v>
      </c>
      <c r="C203" t="s">
        <v>15010</v>
      </c>
      <c r="D203">
        <v>202</v>
      </c>
      <c r="E203" t="str">
        <f t="shared" si="9"/>
        <v>E1_5_1_3</v>
      </c>
      <c r="F203" s="9" t="s">
        <v>15845</v>
      </c>
      <c r="G203" s="9" t="s">
        <v>15846</v>
      </c>
      <c r="H203" s="9" t="s">
        <v>15849</v>
      </c>
      <c r="I203" s="9" t="s">
        <v>15850</v>
      </c>
      <c r="J203" s="9" t="str">
        <f t="shared" si="10"/>
        <v>(${Variables:E1_5_1_3_kcat} * E1_5_1_3 * C00101 * C00006)/(${Variables:E1_5_1_3_km} + (E1_5_1_3 * C00101 * C00006))</v>
      </c>
      <c r="K203" s="38" t="str">
        <f t="shared" si="11"/>
        <v>r202: C00101 + C00006 -&gt; C00504 + C00005 + C00080 | (${Variables:E1_5_1_3_kcat} * E1_5_1_3 * C00101 * C00006)/(${Variables:E1_5_1_3_km} + (E1_5_1_3 * C00101 * C00006))</v>
      </c>
    </row>
    <row r="204" spans="1:11" ht="42.75" x14ac:dyDescent="0.45">
      <c r="A204" t="s">
        <v>279</v>
      </c>
      <c r="B204" t="s">
        <v>280</v>
      </c>
      <c r="C204" t="s">
        <v>15010</v>
      </c>
      <c r="D204">
        <v>203</v>
      </c>
      <c r="E204" t="str">
        <f t="shared" si="9"/>
        <v>E1_5_1_3</v>
      </c>
      <c r="F204" s="9" t="s">
        <v>15855</v>
      </c>
      <c r="G204" s="9" t="s">
        <v>15856</v>
      </c>
      <c r="H204" s="9" t="s">
        <v>15843</v>
      </c>
      <c r="I204" s="9" t="s">
        <v>15844</v>
      </c>
      <c r="J204" s="9" t="str">
        <f t="shared" si="10"/>
        <v>(${Variables:E1_5_1_3_kcat} * E1_5_1_3 * C00415 * C00003)/(${Variables:E1_5_1_3_km} + (E1_5_1_3 * C00415 * C00003))</v>
      </c>
      <c r="K204" s="38" t="str">
        <f t="shared" si="11"/>
        <v>r203: C00415 + C00003 -&gt; C00504 + C00004 + C00080 | (${Variables:E1_5_1_3_kcat} * E1_5_1_3 * C00415 * C00003)/(${Variables:E1_5_1_3_km} + (E1_5_1_3 * C00415 * C00003))</v>
      </c>
    </row>
    <row r="205" spans="1:11" ht="42.75" x14ac:dyDescent="0.45">
      <c r="A205" t="s">
        <v>279</v>
      </c>
      <c r="B205" t="s">
        <v>280</v>
      </c>
      <c r="C205" t="s">
        <v>15010</v>
      </c>
      <c r="D205">
        <v>204</v>
      </c>
      <c r="E205" t="str">
        <f t="shared" si="9"/>
        <v>E1_5_1_3</v>
      </c>
      <c r="F205" s="9" t="s">
        <v>15857</v>
      </c>
      <c r="G205" s="9" t="s">
        <v>15858</v>
      </c>
      <c r="H205" s="9" t="s">
        <v>15849</v>
      </c>
      <c r="I205" s="9" t="s">
        <v>15850</v>
      </c>
      <c r="J205" s="9" t="str">
        <f t="shared" si="10"/>
        <v>(${Variables:E1_5_1_3_kcat} * E1_5_1_3 * C00415 * C00006)/(${Variables:E1_5_1_3_km} + (E1_5_1_3 * C00415 * C00006))</v>
      </c>
      <c r="K205" s="38" t="str">
        <f t="shared" si="11"/>
        <v>r204: C00415 + C00006 -&gt; C00504 + C00005 + C00080 | (${Variables:E1_5_1_3_kcat} * E1_5_1_3 * C00415 * C00006)/(${Variables:E1_5_1_3_km} + (E1_5_1_3 * C00415 * C00006))</v>
      </c>
    </row>
    <row r="206" spans="1:11" ht="42.75" x14ac:dyDescent="0.45">
      <c r="A206" t="s">
        <v>279</v>
      </c>
      <c r="B206" t="s">
        <v>280</v>
      </c>
      <c r="C206" t="s">
        <v>15010</v>
      </c>
      <c r="D206">
        <v>205</v>
      </c>
      <c r="E206" t="str">
        <f t="shared" si="9"/>
        <v>E1_5_1_3</v>
      </c>
      <c r="F206" s="9" t="s">
        <v>15851</v>
      </c>
      <c r="G206" s="9" t="s">
        <v>15852</v>
      </c>
      <c r="H206" s="9" t="s">
        <v>15853</v>
      </c>
      <c r="I206" s="9" t="s">
        <v>15854</v>
      </c>
      <c r="J206" s="9" t="str">
        <f t="shared" si="10"/>
        <v>(${Variables:E1_5_1_3_kcat} * E1_5_1_3 * C00272 * C00006)/(${Variables:E1_5_1_3_km} + (E1_5_1_3 * C00272 * C00006))</v>
      </c>
      <c r="K206" s="38" t="str">
        <f t="shared" si="11"/>
        <v>r205: C00272 + C00006 -&gt; C02953 + C00005 + C00080 | (${Variables:E1_5_1_3_kcat} * E1_5_1_3 * C00272 * C00006)/(${Variables:E1_5_1_3_km} + (E1_5_1_3 * C00272 * C00006))</v>
      </c>
    </row>
    <row r="207" spans="1:11" ht="42.75" x14ac:dyDescent="0.45">
      <c r="A207" t="s">
        <v>7962</v>
      </c>
      <c r="B207" t="s">
        <v>7963</v>
      </c>
      <c r="C207" t="s">
        <v>15010</v>
      </c>
      <c r="D207">
        <v>206</v>
      </c>
      <c r="E207" t="str">
        <f t="shared" si="9"/>
        <v>E1_5_1_3</v>
      </c>
      <c r="F207" s="9" t="s">
        <v>15845</v>
      </c>
      <c r="G207" s="9" t="s">
        <v>15846</v>
      </c>
      <c r="H207" s="9" t="s">
        <v>15847</v>
      </c>
      <c r="I207" s="9" t="s">
        <v>15848</v>
      </c>
      <c r="J207" s="9" t="str">
        <f t="shared" si="10"/>
        <v>(${Variables:E1_5_1_3_kcat} * E1_5_1_3 * C00101 * C00006)/(${Variables:E1_5_1_3_km} + (E1_5_1_3 * C00101 * C00006))</v>
      </c>
      <c r="K207" s="38" t="str">
        <f t="shared" si="11"/>
        <v>r206: C00101 + C00006 -&gt; C00415 + C00005 + C00080 | (${Variables:E1_5_1_3_kcat} * E1_5_1_3 * C00101 * C00006)/(${Variables:E1_5_1_3_km} + (E1_5_1_3 * C00101 * C00006))</v>
      </c>
    </row>
    <row r="208" spans="1:11" ht="42.75" x14ac:dyDescent="0.45">
      <c r="A208" t="s">
        <v>7962</v>
      </c>
      <c r="B208" t="s">
        <v>7963</v>
      </c>
      <c r="C208" t="s">
        <v>15010</v>
      </c>
      <c r="D208">
        <v>207</v>
      </c>
      <c r="E208" t="str">
        <f t="shared" si="9"/>
        <v>E1_5_1_3</v>
      </c>
      <c r="F208" s="9" t="s">
        <v>15839</v>
      </c>
      <c r="G208" s="9" t="s">
        <v>15840</v>
      </c>
      <c r="H208" s="9" t="s">
        <v>15841</v>
      </c>
      <c r="I208" s="9" t="s">
        <v>15842</v>
      </c>
      <c r="J208" s="9" t="str">
        <f t="shared" si="10"/>
        <v>(${Variables:E1_5_1_3_kcat} * E1_5_1_3 * C00101 * C00003)/(${Variables:E1_5_1_3_km} + (E1_5_1_3 * C00101 * C00003))</v>
      </c>
      <c r="K208" s="38" t="str">
        <f t="shared" si="11"/>
        <v>r207: C00101 + C00003 -&gt; C00415 + C00004 + C00080 | (${Variables:E1_5_1_3_kcat} * E1_5_1_3 * C00101 * C00003)/(${Variables:E1_5_1_3_km} + (E1_5_1_3 * C00101 * C00003))</v>
      </c>
    </row>
    <row r="209" spans="1:11" ht="42.75" x14ac:dyDescent="0.45">
      <c r="A209" t="s">
        <v>7962</v>
      </c>
      <c r="B209" t="s">
        <v>7963</v>
      </c>
      <c r="C209" t="s">
        <v>15010</v>
      </c>
      <c r="D209">
        <v>208</v>
      </c>
      <c r="E209" t="str">
        <f t="shared" si="9"/>
        <v>E1_5_1_3</v>
      </c>
      <c r="F209" s="9" t="s">
        <v>15839</v>
      </c>
      <c r="G209" s="9" t="s">
        <v>15840</v>
      </c>
      <c r="H209" s="9" t="s">
        <v>15843</v>
      </c>
      <c r="I209" s="9" t="s">
        <v>15844</v>
      </c>
      <c r="J209" s="9" t="str">
        <f t="shared" si="10"/>
        <v>(${Variables:E1_5_1_3_kcat} * E1_5_1_3 * C00101 * C00003)/(${Variables:E1_5_1_3_km} + (E1_5_1_3 * C00101 * C00003))</v>
      </c>
      <c r="K209" s="38" t="str">
        <f t="shared" si="11"/>
        <v>r208: C00101 + C00003 -&gt; C00504 + C00004 + C00080 | (${Variables:E1_5_1_3_kcat} * E1_5_1_3 * C00101 * C00003)/(${Variables:E1_5_1_3_km} + (E1_5_1_3 * C00101 * C00003))</v>
      </c>
    </row>
    <row r="210" spans="1:11" ht="42.75" x14ac:dyDescent="0.45">
      <c r="A210" t="s">
        <v>7962</v>
      </c>
      <c r="B210" t="s">
        <v>7963</v>
      </c>
      <c r="C210" t="s">
        <v>15010</v>
      </c>
      <c r="D210">
        <v>209</v>
      </c>
      <c r="E210" t="str">
        <f t="shared" si="9"/>
        <v>E1_5_1_3</v>
      </c>
      <c r="F210" s="9" t="s">
        <v>15845</v>
      </c>
      <c r="G210" s="9" t="s">
        <v>15846</v>
      </c>
      <c r="H210" s="9" t="s">
        <v>15849</v>
      </c>
      <c r="I210" s="9" t="s">
        <v>15850</v>
      </c>
      <c r="J210" s="9" t="str">
        <f t="shared" si="10"/>
        <v>(${Variables:E1_5_1_3_kcat} * E1_5_1_3 * C00101 * C00006)/(${Variables:E1_5_1_3_km} + (E1_5_1_3 * C00101 * C00006))</v>
      </c>
      <c r="K210" s="38" t="str">
        <f t="shared" si="11"/>
        <v>r209: C00101 + C00006 -&gt; C00504 + C00005 + C00080 | (${Variables:E1_5_1_3_kcat} * E1_5_1_3 * C00101 * C00006)/(${Variables:E1_5_1_3_km} + (E1_5_1_3 * C00101 * C00006))</v>
      </c>
    </row>
    <row r="211" spans="1:11" ht="42.75" x14ac:dyDescent="0.45">
      <c r="A211" t="s">
        <v>7962</v>
      </c>
      <c r="B211" t="s">
        <v>7963</v>
      </c>
      <c r="C211" t="s">
        <v>15010</v>
      </c>
      <c r="D211">
        <v>210</v>
      </c>
      <c r="E211" t="str">
        <f t="shared" si="9"/>
        <v>E1_5_1_3</v>
      </c>
      <c r="F211" s="9" t="s">
        <v>15855</v>
      </c>
      <c r="G211" s="9" t="s">
        <v>15856</v>
      </c>
      <c r="H211" s="9" t="s">
        <v>15843</v>
      </c>
      <c r="I211" s="9" t="s">
        <v>15844</v>
      </c>
      <c r="J211" s="9" t="str">
        <f t="shared" si="10"/>
        <v>(${Variables:E1_5_1_3_kcat} * E1_5_1_3 * C00415 * C00003)/(${Variables:E1_5_1_3_km} + (E1_5_1_3 * C00415 * C00003))</v>
      </c>
      <c r="K211" s="38" t="str">
        <f t="shared" si="11"/>
        <v>r210: C00415 + C00003 -&gt; C00504 + C00004 + C00080 | (${Variables:E1_5_1_3_kcat} * E1_5_1_3 * C00415 * C00003)/(${Variables:E1_5_1_3_km} + (E1_5_1_3 * C00415 * C00003))</v>
      </c>
    </row>
    <row r="212" spans="1:11" ht="42.75" x14ac:dyDescent="0.45">
      <c r="A212" t="s">
        <v>7962</v>
      </c>
      <c r="B212" t="s">
        <v>7963</v>
      </c>
      <c r="C212" t="s">
        <v>15010</v>
      </c>
      <c r="D212">
        <v>211</v>
      </c>
      <c r="E212" t="str">
        <f t="shared" si="9"/>
        <v>E1_5_1_3</v>
      </c>
      <c r="F212" s="9" t="s">
        <v>15857</v>
      </c>
      <c r="G212" s="9" t="s">
        <v>15858</v>
      </c>
      <c r="H212" s="9" t="s">
        <v>15849</v>
      </c>
      <c r="I212" s="9" t="s">
        <v>15850</v>
      </c>
      <c r="J212" s="9" t="str">
        <f t="shared" si="10"/>
        <v>(${Variables:E1_5_1_3_kcat} * E1_5_1_3 * C00415 * C00006)/(${Variables:E1_5_1_3_km} + (E1_5_1_3 * C00415 * C00006))</v>
      </c>
      <c r="K212" s="38" t="str">
        <f t="shared" si="11"/>
        <v>r211: C00415 + C00006 -&gt; C00504 + C00005 + C00080 | (${Variables:E1_5_1_3_kcat} * E1_5_1_3 * C00415 * C00006)/(${Variables:E1_5_1_3_km} + (E1_5_1_3 * C00415 * C00006))</v>
      </c>
    </row>
    <row r="213" spans="1:11" ht="42.75" x14ac:dyDescent="0.45">
      <c r="A213" t="s">
        <v>7962</v>
      </c>
      <c r="B213" t="s">
        <v>7963</v>
      </c>
      <c r="C213" t="s">
        <v>15010</v>
      </c>
      <c r="D213">
        <v>212</v>
      </c>
      <c r="E213" t="str">
        <f t="shared" si="9"/>
        <v>E1_5_1_3</v>
      </c>
      <c r="F213" s="9" t="s">
        <v>15851</v>
      </c>
      <c r="G213" s="9" t="s">
        <v>15852</v>
      </c>
      <c r="H213" s="9" t="s">
        <v>15853</v>
      </c>
      <c r="I213" s="9" t="s">
        <v>15854</v>
      </c>
      <c r="J213" s="9" t="str">
        <f t="shared" si="10"/>
        <v>(${Variables:E1_5_1_3_kcat} * E1_5_1_3 * C00272 * C00006)/(${Variables:E1_5_1_3_km} + (E1_5_1_3 * C00272 * C00006))</v>
      </c>
      <c r="K213" s="38" t="str">
        <f t="shared" si="11"/>
        <v>r212: C00272 + C00006 -&gt; C02953 + C00005 + C00080 | (${Variables:E1_5_1_3_kcat} * E1_5_1_3 * C00272 * C00006)/(${Variables:E1_5_1_3_km} + (E1_5_1_3 * C00272 * C00006))</v>
      </c>
    </row>
    <row r="214" spans="1:11" ht="42.75" x14ac:dyDescent="0.45">
      <c r="A214" t="s">
        <v>7964</v>
      </c>
      <c r="B214" t="s">
        <v>7965</v>
      </c>
      <c r="C214" t="s">
        <v>15010</v>
      </c>
      <c r="D214">
        <v>213</v>
      </c>
      <c r="E214" t="str">
        <f t="shared" si="9"/>
        <v>E1_5_1_3</v>
      </c>
      <c r="F214" s="9" t="s">
        <v>15845</v>
      </c>
      <c r="G214" s="9" t="s">
        <v>15846</v>
      </c>
      <c r="H214" s="9" t="s">
        <v>15847</v>
      </c>
      <c r="I214" s="9" t="s">
        <v>15848</v>
      </c>
      <c r="J214" s="9" t="str">
        <f t="shared" si="10"/>
        <v>(${Variables:E1_5_1_3_kcat} * E1_5_1_3 * C00101 * C00006)/(${Variables:E1_5_1_3_km} + (E1_5_1_3 * C00101 * C00006))</v>
      </c>
      <c r="K214" s="38" t="str">
        <f t="shared" si="11"/>
        <v>r213: C00101 + C00006 -&gt; C00415 + C00005 + C00080 | (${Variables:E1_5_1_3_kcat} * E1_5_1_3 * C00101 * C00006)/(${Variables:E1_5_1_3_km} + (E1_5_1_3 * C00101 * C00006))</v>
      </c>
    </row>
    <row r="215" spans="1:11" ht="42.75" x14ac:dyDescent="0.45">
      <c r="A215" t="s">
        <v>7964</v>
      </c>
      <c r="B215" t="s">
        <v>7965</v>
      </c>
      <c r="C215" t="s">
        <v>15010</v>
      </c>
      <c r="D215">
        <v>214</v>
      </c>
      <c r="E215" t="str">
        <f t="shared" si="9"/>
        <v>E1_5_1_3</v>
      </c>
      <c r="F215" s="9" t="s">
        <v>15839</v>
      </c>
      <c r="G215" s="9" t="s">
        <v>15840</v>
      </c>
      <c r="H215" s="9" t="s">
        <v>15841</v>
      </c>
      <c r="I215" s="9" t="s">
        <v>15842</v>
      </c>
      <c r="J215" s="9" t="str">
        <f t="shared" si="10"/>
        <v>(${Variables:E1_5_1_3_kcat} * E1_5_1_3 * C00101 * C00003)/(${Variables:E1_5_1_3_km} + (E1_5_1_3 * C00101 * C00003))</v>
      </c>
      <c r="K215" s="38" t="str">
        <f t="shared" si="11"/>
        <v>r214: C00101 + C00003 -&gt; C00415 + C00004 + C00080 | (${Variables:E1_5_1_3_kcat} * E1_5_1_3 * C00101 * C00003)/(${Variables:E1_5_1_3_km} + (E1_5_1_3 * C00101 * C00003))</v>
      </c>
    </row>
    <row r="216" spans="1:11" ht="42.75" x14ac:dyDescent="0.45">
      <c r="A216" t="s">
        <v>7964</v>
      </c>
      <c r="B216" t="s">
        <v>7965</v>
      </c>
      <c r="C216" t="s">
        <v>15010</v>
      </c>
      <c r="D216">
        <v>215</v>
      </c>
      <c r="E216" t="str">
        <f t="shared" si="9"/>
        <v>E1_5_1_3</v>
      </c>
      <c r="F216" s="9" t="s">
        <v>15839</v>
      </c>
      <c r="G216" s="9" t="s">
        <v>15840</v>
      </c>
      <c r="H216" s="9" t="s">
        <v>15843</v>
      </c>
      <c r="I216" s="9" t="s">
        <v>15844</v>
      </c>
      <c r="J216" s="9" t="str">
        <f t="shared" si="10"/>
        <v>(${Variables:E1_5_1_3_kcat} * E1_5_1_3 * C00101 * C00003)/(${Variables:E1_5_1_3_km} + (E1_5_1_3 * C00101 * C00003))</v>
      </c>
      <c r="K216" s="38" t="str">
        <f t="shared" si="11"/>
        <v>r215: C00101 + C00003 -&gt; C00504 + C00004 + C00080 | (${Variables:E1_5_1_3_kcat} * E1_5_1_3 * C00101 * C00003)/(${Variables:E1_5_1_3_km} + (E1_5_1_3 * C00101 * C00003))</v>
      </c>
    </row>
    <row r="217" spans="1:11" ht="42.75" x14ac:dyDescent="0.45">
      <c r="A217" t="s">
        <v>7964</v>
      </c>
      <c r="B217" t="s">
        <v>7965</v>
      </c>
      <c r="C217" t="s">
        <v>15010</v>
      </c>
      <c r="D217">
        <v>216</v>
      </c>
      <c r="E217" t="str">
        <f t="shared" si="9"/>
        <v>E1_5_1_3</v>
      </c>
      <c r="F217" s="9" t="s">
        <v>15845</v>
      </c>
      <c r="G217" s="9" t="s">
        <v>15846</v>
      </c>
      <c r="H217" s="9" t="s">
        <v>15849</v>
      </c>
      <c r="I217" s="9" t="s">
        <v>15850</v>
      </c>
      <c r="J217" s="9" t="str">
        <f t="shared" si="10"/>
        <v>(${Variables:E1_5_1_3_kcat} * E1_5_1_3 * C00101 * C00006)/(${Variables:E1_5_1_3_km} + (E1_5_1_3 * C00101 * C00006))</v>
      </c>
      <c r="K217" s="38" t="str">
        <f t="shared" si="11"/>
        <v>r216: C00101 + C00006 -&gt; C00504 + C00005 + C00080 | (${Variables:E1_5_1_3_kcat} * E1_5_1_3 * C00101 * C00006)/(${Variables:E1_5_1_3_km} + (E1_5_1_3 * C00101 * C00006))</v>
      </c>
    </row>
    <row r="218" spans="1:11" ht="42.75" x14ac:dyDescent="0.45">
      <c r="A218" t="s">
        <v>7964</v>
      </c>
      <c r="B218" t="s">
        <v>7965</v>
      </c>
      <c r="C218" t="s">
        <v>15010</v>
      </c>
      <c r="D218">
        <v>217</v>
      </c>
      <c r="E218" t="str">
        <f t="shared" si="9"/>
        <v>E1_5_1_3</v>
      </c>
      <c r="F218" s="9" t="s">
        <v>15855</v>
      </c>
      <c r="G218" s="9" t="s">
        <v>15856</v>
      </c>
      <c r="H218" s="9" t="s">
        <v>15843</v>
      </c>
      <c r="I218" s="9" t="s">
        <v>15844</v>
      </c>
      <c r="J218" s="9" t="str">
        <f t="shared" si="10"/>
        <v>(${Variables:E1_5_1_3_kcat} * E1_5_1_3 * C00415 * C00003)/(${Variables:E1_5_1_3_km} + (E1_5_1_3 * C00415 * C00003))</v>
      </c>
      <c r="K218" s="38" t="str">
        <f t="shared" si="11"/>
        <v>r217: C00415 + C00003 -&gt; C00504 + C00004 + C00080 | (${Variables:E1_5_1_3_kcat} * E1_5_1_3 * C00415 * C00003)/(${Variables:E1_5_1_3_km} + (E1_5_1_3 * C00415 * C00003))</v>
      </c>
    </row>
    <row r="219" spans="1:11" ht="42.75" x14ac:dyDescent="0.45">
      <c r="A219" t="s">
        <v>7964</v>
      </c>
      <c r="B219" t="s">
        <v>7965</v>
      </c>
      <c r="C219" t="s">
        <v>15010</v>
      </c>
      <c r="D219">
        <v>218</v>
      </c>
      <c r="E219" t="str">
        <f t="shared" si="9"/>
        <v>E1_5_1_3</v>
      </c>
      <c r="F219" s="9" t="s">
        <v>15857</v>
      </c>
      <c r="G219" s="9" t="s">
        <v>15858</v>
      </c>
      <c r="H219" s="9" t="s">
        <v>15849</v>
      </c>
      <c r="I219" s="9" t="s">
        <v>15850</v>
      </c>
      <c r="J219" s="9" t="str">
        <f t="shared" si="10"/>
        <v>(${Variables:E1_5_1_3_kcat} * E1_5_1_3 * C00415 * C00006)/(${Variables:E1_5_1_3_km} + (E1_5_1_3 * C00415 * C00006))</v>
      </c>
      <c r="K219" s="38" t="str">
        <f t="shared" si="11"/>
        <v>r218: C00415 + C00006 -&gt; C00504 + C00005 + C00080 | (${Variables:E1_5_1_3_kcat} * E1_5_1_3 * C00415 * C00006)/(${Variables:E1_5_1_3_km} + (E1_5_1_3 * C00415 * C00006))</v>
      </c>
    </row>
    <row r="220" spans="1:11" ht="42.75" x14ac:dyDescent="0.45">
      <c r="A220" t="s">
        <v>7964</v>
      </c>
      <c r="B220" t="s">
        <v>7965</v>
      </c>
      <c r="C220" t="s">
        <v>15010</v>
      </c>
      <c r="D220">
        <v>219</v>
      </c>
      <c r="E220" t="str">
        <f t="shared" si="9"/>
        <v>E1_5_1_3</v>
      </c>
      <c r="F220" s="9" t="s">
        <v>15851</v>
      </c>
      <c r="G220" s="9" t="s">
        <v>15852</v>
      </c>
      <c r="H220" s="9" t="s">
        <v>15853</v>
      </c>
      <c r="I220" s="9" t="s">
        <v>15854</v>
      </c>
      <c r="J220" s="9" t="str">
        <f t="shared" si="10"/>
        <v>(${Variables:E1_5_1_3_kcat} * E1_5_1_3 * C00272 * C00006)/(${Variables:E1_5_1_3_km} + (E1_5_1_3 * C00272 * C00006))</v>
      </c>
      <c r="K220" s="38" t="str">
        <f t="shared" si="11"/>
        <v>r219: C00272 + C00006 -&gt; C02953 + C00005 + C00080 | (${Variables:E1_5_1_3_kcat} * E1_5_1_3 * C00272 * C00006)/(${Variables:E1_5_1_3_km} + (E1_5_1_3 * C00272 * C00006))</v>
      </c>
    </row>
    <row r="221" spans="1:11" ht="42.75" x14ac:dyDescent="0.45">
      <c r="A221" t="s">
        <v>2129</v>
      </c>
      <c r="B221" t="s">
        <v>2130</v>
      </c>
      <c r="C221" t="s">
        <v>15011</v>
      </c>
      <c r="D221">
        <v>220</v>
      </c>
      <c r="E221" t="str">
        <f t="shared" si="9"/>
        <v>E1_5_1_5</v>
      </c>
      <c r="F221" s="9" t="s">
        <v>15859</v>
      </c>
      <c r="G221" s="9" t="s">
        <v>15860</v>
      </c>
      <c r="H221" s="9" t="s">
        <v>15861</v>
      </c>
      <c r="I221" s="9" t="s">
        <v>15862</v>
      </c>
      <c r="J221" s="9" t="str">
        <f t="shared" si="10"/>
        <v>(${Variables:E1_5_1_5_kcat} * E1_5_1_5 * C00143 * C00006)/(${Variables:E1_5_1_5_km} + (E1_5_1_5 * C00143 * C00006))</v>
      </c>
      <c r="K221" s="38" t="str">
        <f t="shared" si="11"/>
        <v>r220: C00143 + C00006 -&gt; C00445 + C00005 | (${Variables:E1_5_1_5_kcat} * E1_5_1_5 * C00143 * C00006)/(${Variables:E1_5_1_5_km} + (E1_5_1_5 * C00143 * C00006))</v>
      </c>
    </row>
    <row r="222" spans="1:11" ht="42.75" x14ac:dyDescent="0.45">
      <c r="A222" t="s">
        <v>6215</v>
      </c>
      <c r="B222" t="s">
        <v>6216</v>
      </c>
      <c r="C222" t="s">
        <v>15012</v>
      </c>
      <c r="D222">
        <v>221</v>
      </c>
      <c r="E222" t="str">
        <f t="shared" si="9"/>
        <v>E1_7_99_1</v>
      </c>
      <c r="F222" s="9" t="s">
        <v>15867</v>
      </c>
      <c r="G222" s="9" t="s">
        <v>15868</v>
      </c>
      <c r="H222" s="9" t="s">
        <v>15869</v>
      </c>
      <c r="I222" s="9" t="s">
        <v>15870</v>
      </c>
      <c r="J222" s="9" t="str">
        <f t="shared" si="10"/>
        <v>(${Variables:E1_7_99_1_kcat} * E1_7_99_1 * C00028 * C00014 * C00001)/(${Variables:E1_7_99_1_km} + (E1_7_99_1 * C00028 * C00014 * C00001))</v>
      </c>
      <c r="K222" s="38" t="str">
        <f t="shared" si="11"/>
        <v>r221: C00028 + C00014 + C00001 -&gt; C00192 + C00030 | (${Variables:E1_7_99_1_kcat} * E1_7_99_1 * C00028 * C00014 * C00001)/(${Variables:E1_7_99_1_km} + (E1_7_99_1 * C00028 * C00014 * C00001))</v>
      </c>
    </row>
    <row r="223" spans="1:11" ht="42.75" x14ac:dyDescent="0.45">
      <c r="A223" t="s">
        <v>6215</v>
      </c>
      <c r="B223" t="s">
        <v>6216</v>
      </c>
      <c r="C223" t="s">
        <v>15012</v>
      </c>
      <c r="D223">
        <v>222</v>
      </c>
      <c r="E223" t="str">
        <f t="shared" si="9"/>
        <v>E1_7_99_1</v>
      </c>
      <c r="F223" s="9" t="s">
        <v>15863</v>
      </c>
      <c r="G223" s="9" t="s">
        <v>15864</v>
      </c>
      <c r="H223" s="9" t="s">
        <v>15865</v>
      </c>
      <c r="I223" s="9" t="s">
        <v>15866</v>
      </c>
      <c r="J223" s="9" t="str">
        <f t="shared" si="10"/>
        <v>(${Variables:E1_7_99_1_kcat} * E1_7_99_1 * C00014 * C00003 * C00001)/(${Variables:E1_7_99_1_km} + (E1_7_99_1 * C00014 * C00003 * C00001))</v>
      </c>
      <c r="K223" s="38" t="str">
        <f t="shared" si="11"/>
        <v>r222: C00014 + C00003 + C00001 -&gt; C00192 + C00004 + C00080 | (${Variables:E1_7_99_1_kcat} * E1_7_99_1 * C00014 * C00003 * C00001)/(${Variables:E1_7_99_1_km} + (E1_7_99_1 * C00014 * C00003 * C00001))</v>
      </c>
    </row>
    <row r="224" spans="1:11" ht="42.75" x14ac:dyDescent="0.45">
      <c r="A224" t="s">
        <v>7166</v>
      </c>
      <c r="B224" t="s">
        <v>7167</v>
      </c>
      <c r="C224" t="s">
        <v>15013</v>
      </c>
      <c r="D224">
        <v>223</v>
      </c>
      <c r="E224" t="str">
        <f t="shared" si="9"/>
        <v>E1_8_1_14</v>
      </c>
      <c r="F224" s="9" t="s">
        <v>15871</v>
      </c>
      <c r="G224" s="9" t="s">
        <v>15872</v>
      </c>
      <c r="H224" s="9" t="s">
        <v>15873</v>
      </c>
      <c r="I224" s="9" t="s">
        <v>15874</v>
      </c>
      <c r="J224" s="9" t="str">
        <f t="shared" si="10"/>
        <v>(${Variables:E1_8_1_14_kcat} * E1_8_1_14 * C00010 * C00006)/(${Variables:E1_8_1_14_km} + (E1_8_1_14 * C00010 * C00006))</v>
      </c>
      <c r="K224" s="38" t="str">
        <f t="shared" si="11"/>
        <v>r223: C00010 + C00006 -&gt; C02015 + C00005 + C00080 | (${Variables:E1_8_1_14_kcat} * E1_8_1_14 * C00010 * C00006)/(${Variables:E1_8_1_14_km} + (E1_8_1_14 * C00010 * C00006))</v>
      </c>
    </row>
    <row r="225" spans="1:11" ht="42.75" x14ac:dyDescent="0.45">
      <c r="A225" t="s">
        <v>222</v>
      </c>
      <c r="B225" t="s">
        <v>223</v>
      </c>
      <c r="C225" t="s">
        <v>15014</v>
      </c>
      <c r="D225">
        <v>224</v>
      </c>
      <c r="E225" t="str">
        <f t="shared" si="9"/>
        <v>E1_8_1_4</v>
      </c>
      <c r="F225" s="9" t="s">
        <v>15887</v>
      </c>
      <c r="G225" s="9" t="s">
        <v>15888</v>
      </c>
      <c r="H225" s="9" t="s">
        <v>15889</v>
      </c>
      <c r="I225" s="9" t="s">
        <v>15890</v>
      </c>
      <c r="J225" s="9" t="str">
        <f t="shared" si="10"/>
        <v>(${Variables:E1_8_1_4_kcat} * E1_8_1_4 * C16832 * C00003)/(${Variables:E1_8_1_4_km} + (E1_8_1_4 * C16832 * C00003))</v>
      </c>
      <c r="K225" s="38" t="str">
        <f t="shared" si="11"/>
        <v>r224: C16832 + C00003 -&gt; C16237 + C00004 + C00080 | (${Variables:E1_8_1_4_kcat} * E1_8_1_4 * C16832 * C00003)/(${Variables:E1_8_1_4_km} + (E1_8_1_4 * C16832 * C00003))</v>
      </c>
    </row>
    <row r="226" spans="1:11" ht="42.75" x14ac:dyDescent="0.45">
      <c r="A226" t="s">
        <v>222</v>
      </c>
      <c r="B226" t="s">
        <v>223</v>
      </c>
      <c r="C226" t="s">
        <v>15014</v>
      </c>
      <c r="D226">
        <v>225</v>
      </c>
      <c r="E226" t="str">
        <f t="shared" si="9"/>
        <v>E1_8_1_4</v>
      </c>
      <c r="F226" s="9" t="s">
        <v>15879</v>
      </c>
      <c r="G226" s="9" t="s">
        <v>15880</v>
      </c>
      <c r="H226" s="9" t="s">
        <v>15881</v>
      </c>
      <c r="I226" s="9" t="s">
        <v>15882</v>
      </c>
      <c r="J226" s="9" t="str">
        <f t="shared" si="10"/>
        <v>(${Variables:E1_8_1_4_kcat} * E1_8_1_4 * C02972 * C00003)/(${Variables:E1_8_1_4_km} + (E1_8_1_4 * C02972 * C00003))</v>
      </c>
      <c r="K226" s="38" t="str">
        <f t="shared" si="11"/>
        <v>r225: C02972 + C00003 -&gt; C02051 + C00004 + C00080 | (${Variables:E1_8_1_4_kcat} * E1_8_1_4 * C02972 * C00003)/(${Variables:E1_8_1_4_km} + (E1_8_1_4 * C02972 * C00003))</v>
      </c>
    </row>
    <row r="227" spans="1:11" ht="42.75" x14ac:dyDescent="0.45">
      <c r="A227" t="s">
        <v>222</v>
      </c>
      <c r="B227" t="s">
        <v>223</v>
      </c>
      <c r="C227" t="s">
        <v>15014</v>
      </c>
      <c r="D227">
        <v>226</v>
      </c>
      <c r="E227" t="str">
        <f t="shared" si="9"/>
        <v>E1_8_1_4</v>
      </c>
      <c r="F227" s="9" t="s">
        <v>15883</v>
      </c>
      <c r="G227" s="9" t="s">
        <v>15884</v>
      </c>
      <c r="H227" s="9" t="s">
        <v>15885</v>
      </c>
      <c r="I227" s="9" t="s">
        <v>15886</v>
      </c>
      <c r="J227" s="9" t="str">
        <f t="shared" si="10"/>
        <v>(${Variables:E1_8_1_4_kcat} * E1_8_1_4 * C15973 * C00003)/(${Variables:E1_8_1_4_km} + (E1_8_1_4 * C15973 * C00003))</v>
      </c>
      <c r="K227" s="38" t="str">
        <f t="shared" si="11"/>
        <v>r226: C15973 + C00003 -&gt; C15972 + C00004 + C00080 | (${Variables:E1_8_1_4_kcat} * E1_8_1_4 * C15973 * C00003)/(${Variables:E1_8_1_4_km} + (E1_8_1_4 * C15973 * C00003))</v>
      </c>
    </row>
    <row r="228" spans="1:11" ht="42.75" x14ac:dyDescent="0.45">
      <c r="A228" t="s">
        <v>222</v>
      </c>
      <c r="B228" t="s">
        <v>223</v>
      </c>
      <c r="C228" t="s">
        <v>15014</v>
      </c>
      <c r="D228">
        <v>227</v>
      </c>
      <c r="E228" t="str">
        <f t="shared" si="9"/>
        <v>E1_8_1_4</v>
      </c>
      <c r="F228" s="9" t="s">
        <v>15875</v>
      </c>
      <c r="G228" s="9" t="s">
        <v>15876</v>
      </c>
      <c r="H228" s="9" t="s">
        <v>15877</v>
      </c>
      <c r="I228" s="9" t="s">
        <v>15878</v>
      </c>
      <c r="J228" s="9" t="str">
        <f t="shared" si="10"/>
        <v>(${Variables:E1_8_1_4_kcat} * E1_8_1_4 * C00579 * C00003)/(${Variables:E1_8_1_4_km} + (E1_8_1_4 * C00579 * C00003))</v>
      </c>
      <c r="K228" s="38" t="str">
        <f t="shared" si="11"/>
        <v>r227: C00579 + C00003 -&gt; C00248 + C00004 + C00080 | (${Variables:E1_8_1_4_kcat} * E1_8_1_4 * C00579 * C00003)/(${Variables:E1_8_1_4_km} + (E1_8_1_4 * C00579 * C00003))</v>
      </c>
    </row>
    <row r="229" spans="1:11" ht="42.75" x14ac:dyDescent="0.45">
      <c r="A229" t="s">
        <v>2137</v>
      </c>
      <c r="B229" t="s">
        <v>2138</v>
      </c>
      <c r="C229" t="s">
        <v>15014</v>
      </c>
      <c r="D229">
        <v>228</v>
      </c>
      <c r="E229" t="str">
        <f t="shared" si="9"/>
        <v>E1_8_1_4</v>
      </c>
      <c r="F229" s="9" t="s">
        <v>15887</v>
      </c>
      <c r="G229" s="9" t="s">
        <v>15888</v>
      </c>
      <c r="H229" s="9" t="s">
        <v>15889</v>
      </c>
      <c r="I229" s="9" t="s">
        <v>15890</v>
      </c>
      <c r="J229" s="9" t="str">
        <f t="shared" si="10"/>
        <v>(${Variables:E1_8_1_4_kcat} * E1_8_1_4 * C16832 * C00003)/(${Variables:E1_8_1_4_km} + (E1_8_1_4 * C16832 * C00003))</v>
      </c>
      <c r="K229" s="38" t="str">
        <f t="shared" si="11"/>
        <v>r228: C16832 + C00003 -&gt; C16237 + C00004 + C00080 | (${Variables:E1_8_1_4_kcat} * E1_8_1_4 * C16832 * C00003)/(${Variables:E1_8_1_4_km} + (E1_8_1_4 * C16832 * C00003))</v>
      </c>
    </row>
    <row r="230" spans="1:11" ht="42.75" x14ac:dyDescent="0.45">
      <c r="A230" t="s">
        <v>2137</v>
      </c>
      <c r="B230" t="s">
        <v>2138</v>
      </c>
      <c r="C230" t="s">
        <v>15014</v>
      </c>
      <c r="D230">
        <v>229</v>
      </c>
      <c r="E230" t="str">
        <f t="shared" si="9"/>
        <v>E1_8_1_4</v>
      </c>
      <c r="F230" s="9" t="s">
        <v>15879</v>
      </c>
      <c r="G230" s="9" t="s">
        <v>15880</v>
      </c>
      <c r="H230" s="9" t="s">
        <v>15881</v>
      </c>
      <c r="I230" s="9" t="s">
        <v>15882</v>
      </c>
      <c r="J230" s="9" t="str">
        <f t="shared" si="10"/>
        <v>(${Variables:E1_8_1_4_kcat} * E1_8_1_4 * C02972 * C00003)/(${Variables:E1_8_1_4_km} + (E1_8_1_4 * C02972 * C00003))</v>
      </c>
      <c r="K230" s="38" t="str">
        <f t="shared" si="11"/>
        <v>r229: C02972 + C00003 -&gt; C02051 + C00004 + C00080 | (${Variables:E1_8_1_4_kcat} * E1_8_1_4 * C02972 * C00003)/(${Variables:E1_8_1_4_km} + (E1_8_1_4 * C02972 * C00003))</v>
      </c>
    </row>
    <row r="231" spans="1:11" ht="42.75" x14ac:dyDescent="0.45">
      <c r="A231" t="s">
        <v>2137</v>
      </c>
      <c r="B231" t="s">
        <v>2138</v>
      </c>
      <c r="C231" t="s">
        <v>15014</v>
      </c>
      <c r="D231">
        <v>230</v>
      </c>
      <c r="E231" t="str">
        <f t="shared" si="9"/>
        <v>E1_8_1_4</v>
      </c>
      <c r="F231" s="9" t="s">
        <v>15883</v>
      </c>
      <c r="G231" s="9" t="s">
        <v>15884</v>
      </c>
      <c r="H231" s="9" t="s">
        <v>15885</v>
      </c>
      <c r="I231" s="9" t="s">
        <v>15886</v>
      </c>
      <c r="J231" s="9" t="str">
        <f t="shared" si="10"/>
        <v>(${Variables:E1_8_1_4_kcat} * E1_8_1_4 * C15973 * C00003)/(${Variables:E1_8_1_4_km} + (E1_8_1_4 * C15973 * C00003))</v>
      </c>
      <c r="K231" s="38" t="str">
        <f t="shared" si="11"/>
        <v>r230: C15973 + C00003 -&gt; C15972 + C00004 + C00080 | (${Variables:E1_8_1_4_kcat} * E1_8_1_4 * C15973 * C00003)/(${Variables:E1_8_1_4_km} + (E1_8_1_4 * C15973 * C00003))</v>
      </c>
    </row>
    <row r="232" spans="1:11" ht="42.75" x14ac:dyDescent="0.45">
      <c r="A232" t="s">
        <v>2137</v>
      </c>
      <c r="B232" t="s">
        <v>2138</v>
      </c>
      <c r="C232" t="s">
        <v>15014</v>
      </c>
      <c r="D232">
        <v>231</v>
      </c>
      <c r="E232" t="str">
        <f t="shared" si="9"/>
        <v>E1_8_1_4</v>
      </c>
      <c r="F232" s="9" t="s">
        <v>15875</v>
      </c>
      <c r="G232" s="9" t="s">
        <v>15876</v>
      </c>
      <c r="H232" s="9" t="s">
        <v>15877</v>
      </c>
      <c r="I232" s="9" t="s">
        <v>15878</v>
      </c>
      <c r="J232" s="9" t="str">
        <f t="shared" si="10"/>
        <v>(${Variables:E1_8_1_4_kcat} * E1_8_1_4 * C00579 * C00003)/(${Variables:E1_8_1_4_km} + (E1_8_1_4 * C00579 * C00003))</v>
      </c>
      <c r="K232" s="38" t="str">
        <f t="shared" si="11"/>
        <v>r231: C00579 + C00003 -&gt; C00248 + C00004 + C00080 | (${Variables:E1_8_1_4_kcat} * E1_8_1_4 * C00579 * C00003)/(${Variables:E1_8_1_4_km} + (E1_8_1_4 * C00579 * C00003))</v>
      </c>
    </row>
    <row r="233" spans="1:11" ht="42.75" x14ac:dyDescent="0.45">
      <c r="A233" t="s">
        <v>6058</v>
      </c>
      <c r="B233" t="s">
        <v>6059</v>
      </c>
      <c r="C233" t="s">
        <v>15015</v>
      </c>
      <c r="D233">
        <v>232</v>
      </c>
      <c r="E233" t="str">
        <f t="shared" si="9"/>
        <v>E1_8_1_9</v>
      </c>
      <c r="F233" s="9" t="s">
        <v>15899</v>
      </c>
      <c r="G233" s="9" t="s">
        <v>15900</v>
      </c>
      <c r="H233" s="9" t="s">
        <v>15901</v>
      </c>
      <c r="I233" s="9" t="s">
        <v>15902</v>
      </c>
      <c r="J233" s="9" t="str">
        <f t="shared" si="10"/>
        <v>(${Variables:E1_8_1_9_kcat} * E1_8_1_9 * C00342 * C00006)/(${Variables:E1_8_1_9_km} + (E1_8_1_9 * C00342 * C00006))</v>
      </c>
      <c r="K233" s="38" t="str">
        <f t="shared" si="11"/>
        <v>r232: C00342 + C00006 -&gt; C00343 + C00005 + C00080 | (${Variables:E1_8_1_9_kcat} * E1_8_1_9 * C00342 * C00006)/(${Variables:E1_8_1_9_km} + (E1_8_1_9 * C00342 * C00006))</v>
      </c>
    </row>
    <row r="234" spans="1:11" ht="42.75" x14ac:dyDescent="0.45">
      <c r="A234" t="s">
        <v>6058</v>
      </c>
      <c r="B234" t="s">
        <v>6059</v>
      </c>
      <c r="C234" t="s">
        <v>15015</v>
      </c>
      <c r="D234">
        <v>233</v>
      </c>
      <c r="E234" t="str">
        <f t="shared" si="9"/>
        <v>E1_8_1_9</v>
      </c>
      <c r="F234" s="9" t="s">
        <v>15895</v>
      </c>
      <c r="G234" s="9" t="s">
        <v>15896</v>
      </c>
      <c r="H234" s="9" t="s">
        <v>15897</v>
      </c>
      <c r="I234" s="9" t="s">
        <v>15898</v>
      </c>
      <c r="J234" s="9" t="str">
        <f t="shared" si="10"/>
        <v>(${Variables:E1_8_1_9_kcat} * E1_8_1_9 * C00097 * C00051 * C00006)/(${Variables:E1_8_1_9_km} + (E1_8_1_9 * C00097 * C00051 * C00006))</v>
      </c>
      <c r="K234" s="38" t="str">
        <f t="shared" si="11"/>
        <v>r233: C00097 + C00051 + C00006 -&gt; C05526 + C00005 | (${Variables:E1_8_1_9_kcat} * E1_8_1_9 * C00097 * C00051 * C00006)/(${Variables:E1_8_1_9_km} + (E1_8_1_9 * C00097 * C00051 * C00006))</v>
      </c>
    </row>
    <row r="235" spans="1:11" ht="42.75" x14ac:dyDescent="0.45">
      <c r="A235" t="s">
        <v>6058</v>
      </c>
      <c r="B235" t="s">
        <v>6059</v>
      </c>
      <c r="C235" t="s">
        <v>15015</v>
      </c>
      <c r="D235">
        <v>234</v>
      </c>
      <c r="E235" t="str">
        <f t="shared" si="9"/>
        <v>E1_8_1_9</v>
      </c>
      <c r="F235" s="9" t="s">
        <v>15903</v>
      </c>
      <c r="G235" s="9" t="s">
        <v>15904</v>
      </c>
      <c r="H235" s="9" t="s">
        <v>15905</v>
      </c>
      <c r="I235" s="9" t="s">
        <v>15906</v>
      </c>
      <c r="J235" s="9" t="str">
        <f t="shared" si="10"/>
        <v>(${Variables:E1_8_1_9_kcat} * E1_8_1_9 * C01528 * C00006 * C00001)/(${Variables:E1_8_1_9_km} + (E1_8_1_9 * C01528 * C00006 * C00001))</v>
      </c>
      <c r="K235" s="38" t="str">
        <f t="shared" si="11"/>
        <v>r234: C01528 + C00006 + C00001 -&gt; C05684 + C00005 + C00080 | (${Variables:E1_8_1_9_kcat} * E1_8_1_9 * C01528 * C00006 * C00001)/(${Variables:E1_8_1_9_km} + (E1_8_1_9 * C01528 * C00006 * C00001))</v>
      </c>
    </row>
    <row r="236" spans="1:11" ht="42.75" x14ac:dyDescent="0.45">
      <c r="A236" t="s">
        <v>6058</v>
      </c>
      <c r="B236" t="s">
        <v>6059</v>
      </c>
      <c r="C236" t="s">
        <v>15015</v>
      </c>
      <c r="D236">
        <v>235</v>
      </c>
      <c r="E236" t="str">
        <f t="shared" si="9"/>
        <v>E1_8_1_9</v>
      </c>
      <c r="F236" s="9" t="s">
        <v>15891</v>
      </c>
      <c r="G236" s="9" t="s">
        <v>15892</v>
      </c>
      <c r="H236" s="9" t="s">
        <v>15893</v>
      </c>
      <c r="I236" s="9" t="s">
        <v>15894</v>
      </c>
      <c r="J236" s="9" t="str">
        <f t="shared" si="10"/>
        <v>(${Variables:E1_8_1_9_kcat} * E1_8_1_9 * C00005 * C00080 * C18902)/(${Variables:E1_8_1_9_km} + (E1_8_1_9 * C00005 * C00080 * C18902))</v>
      </c>
      <c r="K236" s="38" t="str">
        <f t="shared" si="11"/>
        <v>r235: C00005 + C00080 + C18902 -&gt; C00006 + C00001 + C05703 | (${Variables:E1_8_1_9_kcat} * E1_8_1_9 * C00005 * C00080 * C18902)/(${Variables:E1_8_1_9_km} + (E1_8_1_9 * C00005 * C00080 * C18902))</v>
      </c>
    </row>
    <row r="237" spans="1:11" ht="42.75" x14ac:dyDescent="0.45">
      <c r="A237" t="s">
        <v>6639</v>
      </c>
      <c r="B237" t="s">
        <v>6640</v>
      </c>
      <c r="C237" t="s">
        <v>15015</v>
      </c>
      <c r="D237">
        <v>236</v>
      </c>
      <c r="E237" t="str">
        <f t="shared" si="9"/>
        <v>E1_8_1_9</v>
      </c>
      <c r="F237" s="9" t="s">
        <v>15899</v>
      </c>
      <c r="G237" s="9" t="s">
        <v>15900</v>
      </c>
      <c r="H237" s="9" t="s">
        <v>15901</v>
      </c>
      <c r="I237" s="9" t="s">
        <v>15902</v>
      </c>
      <c r="J237" s="9" t="str">
        <f t="shared" si="10"/>
        <v>(${Variables:E1_8_1_9_kcat} * E1_8_1_9 * C00342 * C00006)/(${Variables:E1_8_1_9_km} + (E1_8_1_9 * C00342 * C00006))</v>
      </c>
      <c r="K237" s="38" t="str">
        <f t="shared" si="11"/>
        <v>r236: C00342 + C00006 -&gt; C00343 + C00005 + C00080 | (${Variables:E1_8_1_9_kcat} * E1_8_1_9 * C00342 * C00006)/(${Variables:E1_8_1_9_km} + (E1_8_1_9 * C00342 * C00006))</v>
      </c>
    </row>
    <row r="238" spans="1:11" ht="42.75" x14ac:dyDescent="0.45">
      <c r="A238" t="s">
        <v>6639</v>
      </c>
      <c r="B238" t="s">
        <v>6640</v>
      </c>
      <c r="C238" t="s">
        <v>15015</v>
      </c>
      <c r="D238">
        <v>237</v>
      </c>
      <c r="E238" t="str">
        <f t="shared" si="9"/>
        <v>E1_8_1_9</v>
      </c>
      <c r="F238" s="9" t="s">
        <v>15895</v>
      </c>
      <c r="G238" s="9" t="s">
        <v>15896</v>
      </c>
      <c r="H238" s="9" t="s">
        <v>15897</v>
      </c>
      <c r="I238" s="9" t="s">
        <v>15898</v>
      </c>
      <c r="J238" s="9" t="str">
        <f t="shared" si="10"/>
        <v>(${Variables:E1_8_1_9_kcat} * E1_8_1_9 * C00097 * C00051 * C00006)/(${Variables:E1_8_1_9_km} + (E1_8_1_9 * C00097 * C00051 * C00006))</v>
      </c>
      <c r="K238" s="38" t="str">
        <f t="shared" si="11"/>
        <v>r237: C00097 + C00051 + C00006 -&gt; C05526 + C00005 | (${Variables:E1_8_1_9_kcat} * E1_8_1_9 * C00097 * C00051 * C00006)/(${Variables:E1_8_1_9_km} + (E1_8_1_9 * C00097 * C00051 * C00006))</v>
      </c>
    </row>
    <row r="239" spans="1:11" ht="42.75" x14ac:dyDescent="0.45">
      <c r="A239" t="s">
        <v>6639</v>
      </c>
      <c r="B239" t="s">
        <v>6640</v>
      </c>
      <c r="C239" t="s">
        <v>15015</v>
      </c>
      <c r="D239">
        <v>238</v>
      </c>
      <c r="E239" t="str">
        <f t="shared" si="9"/>
        <v>E1_8_1_9</v>
      </c>
      <c r="F239" s="9" t="s">
        <v>15903</v>
      </c>
      <c r="G239" s="9" t="s">
        <v>15904</v>
      </c>
      <c r="H239" s="9" t="s">
        <v>15905</v>
      </c>
      <c r="I239" s="9" t="s">
        <v>15906</v>
      </c>
      <c r="J239" s="9" t="str">
        <f t="shared" si="10"/>
        <v>(${Variables:E1_8_1_9_kcat} * E1_8_1_9 * C01528 * C00006 * C00001)/(${Variables:E1_8_1_9_km} + (E1_8_1_9 * C01528 * C00006 * C00001))</v>
      </c>
      <c r="K239" s="38" t="str">
        <f t="shared" si="11"/>
        <v>r238: C01528 + C00006 + C00001 -&gt; C05684 + C00005 + C00080 | (${Variables:E1_8_1_9_kcat} * E1_8_1_9 * C01528 * C00006 * C00001)/(${Variables:E1_8_1_9_km} + (E1_8_1_9 * C01528 * C00006 * C00001))</v>
      </c>
    </row>
    <row r="240" spans="1:11" ht="42.75" x14ac:dyDescent="0.45">
      <c r="A240" t="s">
        <v>6639</v>
      </c>
      <c r="B240" t="s">
        <v>6640</v>
      </c>
      <c r="C240" t="s">
        <v>15015</v>
      </c>
      <c r="D240">
        <v>239</v>
      </c>
      <c r="E240" t="str">
        <f t="shared" si="9"/>
        <v>E1_8_1_9</v>
      </c>
      <c r="F240" s="9" t="s">
        <v>15891</v>
      </c>
      <c r="G240" s="9" t="s">
        <v>15892</v>
      </c>
      <c r="H240" s="9" t="s">
        <v>15893</v>
      </c>
      <c r="I240" s="9" t="s">
        <v>15894</v>
      </c>
      <c r="J240" s="9" t="str">
        <f t="shared" si="10"/>
        <v>(${Variables:E1_8_1_9_kcat} * E1_8_1_9 * C00005 * C00080 * C18902)/(${Variables:E1_8_1_9_km} + (E1_8_1_9 * C00005 * C00080 * C18902))</v>
      </c>
      <c r="K240" s="38" t="str">
        <f t="shared" si="11"/>
        <v>r239: C00005 + C00080 + C18902 -&gt; C00006 + C00001 + C05703 | (${Variables:E1_8_1_9_kcat} * E1_8_1_9 * C00005 * C00080 * C18902)/(${Variables:E1_8_1_9_km} + (E1_8_1_9 * C00005 * C00080 * C18902))</v>
      </c>
    </row>
    <row r="241" spans="1:11" ht="42.75" x14ac:dyDescent="0.45">
      <c r="A241" t="s">
        <v>6209</v>
      </c>
      <c r="B241" t="s">
        <v>6210</v>
      </c>
      <c r="C241" t="s">
        <v>15016</v>
      </c>
      <c r="D241">
        <v>240</v>
      </c>
      <c r="E241" t="str">
        <f t="shared" si="9"/>
        <v>E1_8_4_11</v>
      </c>
      <c r="F241" s="9" t="s">
        <v>15911</v>
      </c>
      <c r="G241" s="9" t="s">
        <v>15912</v>
      </c>
      <c r="H241" s="9" t="s">
        <v>15913</v>
      </c>
      <c r="I241" s="9" t="s">
        <v>15914</v>
      </c>
      <c r="J241" s="9" t="str">
        <f t="shared" si="10"/>
        <v>(${Variables:E1_8_4_11_kcat} * E1_8_4_11 * C03023 * C00343 * C00001)/(${Variables:E1_8_4_11_km} + (E1_8_4_11 * C03023 * C00343 * C00001))</v>
      </c>
      <c r="K241" s="38" t="str">
        <f t="shared" si="11"/>
        <v>r240: C03023 + C00343 + C00001 -&gt; C03895 + C00342 | (${Variables:E1_8_4_11_kcat} * E1_8_4_11 * C03023 * C00343 * C00001)/(${Variables:E1_8_4_11_km} + (E1_8_4_11 * C03023 * C00343 * C00001))</v>
      </c>
    </row>
    <row r="242" spans="1:11" ht="42.75" x14ac:dyDescent="0.45">
      <c r="A242" t="s">
        <v>6209</v>
      </c>
      <c r="B242" t="s">
        <v>6210</v>
      </c>
      <c r="C242" t="s">
        <v>15016</v>
      </c>
      <c r="D242">
        <v>241</v>
      </c>
      <c r="E242" t="str">
        <f t="shared" si="9"/>
        <v>E1_8_4_11</v>
      </c>
      <c r="F242" s="9" t="s">
        <v>15907</v>
      </c>
      <c r="G242" s="9" t="s">
        <v>15908</v>
      </c>
      <c r="H242" s="9" t="s">
        <v>15909</v>
      </c>
      <c r="I242" s="9" t="s">
        <v>15910</v>
      </c>
      <c r="J242" s="9" t="str">
        <f t="shared" si="10"/>
        <v>(${Variables:E1_8_4_11_kcat} * E1_8_4_11 * C00073 * C00343 * C00001)/(${Variables:E1_8_4_11_km} + (E1_8_4_11 * C00073 * C00343 * C00001))</v>
      </c>
      <c r="K242" s="38" t="str">
        <f t="shared" si="11"/>
        <v>r241: C00073 + C00343 + C00001 -&gt; C15999 + C00342 | (${Variables:E1_8_4_11_kcat} * E1_8_4_11 * C00073 * C00343 * C00001)/(${Variables:E1_8_4_11_km} + (E1_8_4_11 * C00073 * C00343 * C00001))</v>
      </c>
    </row>
    <row r="243" spans="1:11" ht="42.75" x14ac:dyDescent="0.45">
      <c r="A243" t="s">
        <v>2248</v>
      </c>
      <c r="B243" t="s">
        <v>2249</v>
      </c>
      <c r="C243" t="s">
        <v>15017</v>
      </c>
      <c r="D243">
        <v>242</v>
      </c>
      <c r="E243" t="str">
        <f t="shared" si="9"/>
        <v>E1_97_1_4</v>
      </c>
      <c r="F243" s="9" t="s">
        <v>15915</v>
      </c>
      <c r="G243" s="9" t="s">
        <v>15916</v>
      </c>
      <c r="H243" s="9" t="s">
        <v>15917</v>
      </c>
      <c r="I243" s="9" t="s">
        <v>15918</v>
      </c>
      <c r="J243" s="9" t="str">
        <f t="shared" si="10"/>
        <v>(${Variables:E1_97_1_4_kcat} * E1_97_1_4 * C00019 * C05196 * C05197)/(${Variables:E1_97_1_4_km} + (E1_97_1_4 * C00019 * C05196 * C05197))</v>
      </c>
      <c r="K243" s="38" t="str">
        <f t="shared" si="11"/>
        <v>r242: C00019 + C05196 + C05197 -&gt; C05198 + C00073 + C05199 + C05312 | (${Variables:E1_97_1_4_kcat} * E1_97_1_4 * C00019 * C05196 * C05197)/(${Variables:E1_97_1_4_km} + (E1_97_1_4 * C00019 * C05196 * C05197))</v>
      </c>
    </row>
    <row r="244" spans="1:11" ht="42.75" x14ac:dyDescent="0.45">
      <c r="A244" t="s">
        <v>9380</v>
      </c>
      <c r="B244" t="s">
        <v>9381</v>
      </c>
      <c r="C244" t="s">
        <v>15018</v>
      </c>
      <c r="D244">
        <v>243</v>
      </c>
      <c r="E244" t="str">
        <f t="shared" si="9"/>
        <v>E2_1_1_107</v>
      </c>
      <c r="F244" s="9" t="s">
        <v>15919</v>
      </c>
      <c r="G244" s="9" t="s">
        <v>15920</v>
      </c>
      <c r="H244" s="9" t="s">
        <v>15921</v>
      </c>
      <c r="I244" s="9" t="s">
        <v>15922</v>
      </c>
      <c r="J244" s="9" t="str">
        <f t="shared" si="10"/>
        <v>(${Variables:E2_1_1_107_kcat} * E2_1_1_107 * C00019 * C01051)/(${Variables:E2_1_1_107_km} + (E2_1_1_107 * C00019 * C01051))</v>
      </c>
      <c r="K244" s="38" t="str">
        <f t="shared" si="11"/>
        <v>r243: C00019 + C01051 -&gt; C00021 + C02463 | (${Variables:E2_1_1_107_kcat} * E2_1_1_107 * C00019 * C01051)/(${Variables:E2_1_1_107_km} + (E2_1_1_107 * C00019 * C01051))</v>
      </c>
    </row>
    <row r="245" spans="1:11" ht="42.75" x14ac:dyDescent="0.45">
      <c r="A245" t="s">
        <v>9380</v>
      </c>
      <c r="B245" t="s">
        <v>9381</v>
      </c>
      <c r="C245" t="s">
        <v>15018</v>
      </c>
      <c r="D245">
        <v>244</v>
      </c>
      <c r="E245" t="str">
        <f t="shared" si="9"/>
        <v>E2_1_1_107</v>
      </c>
      <c r="F245" s="9" t="s">
        <v>15919</v>
      </c>
      <c r="G245" s="9" t="s">
        <v>15920</v>
      </c>
      <c r="H245" s="9" t="s">
        <v>15923</v>
      </c>
      <c r="I245" s="9" t="s">
        <v>15924</v>
      </c>
      <c r="J245" s="9" t="str">
        <f t="shared" si="10"/>
        <v>(${Variables:E2_1_1_107_kcat} * E2_1_1_107 * C00019 * C01051)/(${Variables:E2_1_1_107_km} + (E2_1_1_107 * C00019 * C01051))</v>
      </c>
      <c r="K245" s="38" t="str">
        <f t="shared" si="11"/>
        <v>r244: C00019 + C01051 -&gt; C00021 + C15527 | (${Variables:E2_1_1_107_kcat} * E2_1_1_107 * C00019 * C01051)/(${Variables:E2_1_1_107_km} + (E2_1_1_107 * C00019 * C01051))</v>
      </c>
    </row>
    <row r="246" spans="1:11" ht="42.75" x14ac:dyDescent="0.45">
      <c r="A246" t="s">
        <v>9380</v>
      </c>
      <c r="B246" t="s">
        <v>9381</v>
      </c>
      <c r="C246" t="s">
        <v>15018</v>
      </c>
      <c r="D246">
        <v>245</v>
      </c>
      <c r="E246" t="str">
        <f t="shared" si="9"/>
        <v>E2_1_1_107</v>
      </c>
      <c r="F246" s="9" t="s">
        <v>15929</v>
      </c>
      <c r="G246" s="9" t="s">
        <v>15930</v>
      </c>
      <c r="H246" s="9" t="s">
        <v>15921</v>
      </c>
      <c r="I246" s="9" t="s">
        <v>15922</v>
      </c>
      <c r="J246" s="9" t="str">
        <f t="shared" si="10"/>
        <v>(${Variables:E2_1_1_107_kcat} * E2_1_1_107 * C00019 * C15527)/(${Variables:E2_1_1_107_km} + (E2_1_1_107 * C00019 * C15527))</v>
      </c>
      <c r="K246" s="38" t="str">
        <f t="shared" si="11"/>
        <v>r245: C00019 + C15527 -&gt; C00021 + C02463 | (${Variables:E2_1_1_107_kcat} * E2_1_1_107 * C00019 * C15527)/(${Variables:E2_1_1_107_km} + (E2_1_1_107 * C00019 * C15527))</v>
      </c>
    </row>
    <row r="247" spans="1:11" ht="42.75" x14ac:dyDescent="0.45">
      <c r="A247" t="s">
        <v>9380</v>
      </c>
      <c r="B247" t="s">
        <v>9381</v>
      </c>
      <c r="C247" t="s">
        <v>15018</v>
      </c>
      <c r="D247">
        <v>246</v>
      </c>
      <c r="E247" t="str">
        <f t="shared" si="9"/>
        <v>E2_1_1_107</v>
      </c>
      <c r="F247" s="9" t="s">
        <v>15925</v>
      </c>
      <c r="G247" s="9" t="s">
        <v>15926</v>
      </c>
      <c r="H247" s="9" t="s">
        <v>15927</v>
      </c>
      <c r="I247" s="9" t="s">
        <v>15928</v>
      </c>
      <c r="J247" s="9" t="str">
        <f t="shared" si="10"/>
        <v>(${Variables:E2_1_1_107_kcat} * E2_1_1_107 * C00019 * C02469)/(${Variables:E2_1_1_107_km} + (E2_1_1_107 * C00019 * C02469))</v>
      </c>
      <c r="K247" s="38" t="str">
        <f t="shared" si="11"/>
        <v>r246: C00019 + C02469 -&gt; C00021 + C05778 | (${Variables:E2_1_1_107_kcat} * E2_1_1_107 * C00019 * C02469)/(${Variables:E2_1_1_107_km} + (E2_1_1_107 * C00019 * C02469))</v>
      </c>
    </row>
    <row r="248" spans="1:11" ht="42.75" x14ac:dyDescent="0.45">
      <c r="A248" t="s">
        <v>9395</v>
      </c>
      <c r="B248" t="s">
        <v>9396</v>
      </c>
      <c r="C248" t="s">
        <v>15019</v>
      </c>
      <c r="D248">
        <v>247</v>
      </c>
      <c r="E248" t="str">
        <f t="shared" si="9"/>
        <v>E2_1_1_131</v>
      </c>
      <c r="F248" s="9" t="s">
        <v>15931</v>
      </c>
      <c r="G248" s="9" t="s">
        <v>15932</v>
      </c>
      <c r="H248" s="9" t="s">
        <v>15933</v>
      </c>
      <c r="I248" s="9" t="s">
        <v>15934</v>
      </c>
      <c r="J248" s="9" t="str">
        <f t="shared" si="10"/>
        <v>(${Variables:E2_1_1_131_kcat} * E2_1_1_131 * C00019 * C06406)/(${Variables:E2_1_1_131_km} + (E2_1_1_131 * C00019 * C06406))</v>
      </c>
      <c r="K248" s="38" t="str">
        <f t="shared" si="11"/>
        <v>r247: C00019 + C06406 -&gt; C00021 + C06407 | (${Variables:E2_1_1_131_kcat} * E2_1_1_131 * C00019 * C06406)/(${Variables:E2_1_1_131_km} + (E2_1_1_131 * C00019 * C06406))</v>
      </c>
    </row>
    <row r="249" spans="1:11" ht="42.75" x14ac:dyDescent="0.45">
      <c r="A249" t="s">
        <v>9395</v>
      </c>
      <c r="B249" t="s">
        <v>9396</v>
      </c>
      <c r="C249" t="s">
        <v>15019</v>
      </c>
      <c r="D249">
        <v>248</v>
      </c>
      <c r="E249" t="str">
        <f t="shared" si="9"/>
        <v>E2_1_1_131</v>
      </c>
      <c r="F249" s="9" t="s">
        <v>15935</v>
      </c>
      <c r="G249" s="9" t="s">
        <v>15936</v>
      </c>
      <c r="H249" s="9" t="s">
        <v>15937</v>
      </c>
      <c r="I249" s="9" t="s">
        <v>15938</v>
      </c>
      <c r="J249" s="9" t="str">
        <f t="shared" si="10"/>
        <v>(${Variables:E2_1_1_131_kcat} * E2_1_1_131 * C11539 * C00019)/(${Variables:E2_1_1_131_km} + (E2_1_1_131 * C11539 * C00019))</v>
      </c>
      <c r="K249" s="38" t="str">
        <f t="shared" si="11"/>
        <v>r248: C11539 + C00019 -&gt; C11540 + C00021 | (${Variables:E2_1_1_131_kcat} * E2_1_1_131 * C11539 * C00019)/(${Variables:E2_1_1_131_km} + (E2_1_1_131 * C11539 * C00019))</v>
      </c>
    </row>
    <row r="250" spans="1:11" ht="42.75" x14ac:dyDescent="0.45">
      <c r="A250" t="s">
        <v>9387</v>
      </c>
      <c r="B250" t="s">
        <v>9388</v>
      </c>
      <c r="C250" t="s">
        <v>15020</v>
      </c>
      <c r="D250">
        <v>249</v>
      </c>
      <c r="E250" t="str">
        <f t="shared" si="9"/>
        <v>E2_1_1_151</v>
      </c>
      <c r="F250" s="9" t="s">
        <v>15939</v>
      </c>
      <c r="G250" s="9" t="s">
        <v>15940</v>
      </c>
      <c r="H250" s="9" t="s">
        <v>15941</v>
      </c>
      <c r="I250" s="9" t="s">
        <v>15942</v>
      </c>
      <c r="J250" s="9" t="str">
        <f t="shared" si="10"/>
        <v>(${Variables:E2_1_1_151_kcat} * E2_1_1_151 * C11538 * C00019)/(${Variables:E2_1_1_151_km} + (E2_1_1_151 * C11538 * C00019))</v>
      </c>
      <c r="K250" s="38" t="str">
        <f t="shared" si="11"/>
        <v>r249: C11538 + C00019 -&gt; C17401 + C00021 | (${Variables:E2_1_1_151_kcat} * E2_1_1_151 * C11538 * C00019)/(${Variables:E2_1_1_151_km} + (E2_1_1_151 * C11538 * C00019))</v>
      </c>
    </row>
    <row r="251" spans="1:11" ht="42.75" x14ac:dyDescent="0.45">
      <c r="A251" t="s">
        <v>7211</v>
      </c>
      <c r="B251" t="s">
        <v>7212</v>
      </c>
      <c r="C251" t="s">
        <v>15021</v>
      </c>
      <c r="D251">
        <v>250</v>
      </c>
      <c r="E251" t="str">
        <f t="shared" si="9"/>
        <v>E2_1_1_171</v>
      </c>
      <c r="F251" s="9" t="s">
        <v>15943</v>
      </c>
      <c r="G251" s="9" t="s">
        <v>15944</v>
      </c>
      <c r="H251" s="9" t="s">
        <v>15945</v>
      </c>
      <c r="I251" s="9" t="s">
        <v>15946</v>
      </c>
      <c r="J251" s="9" t="str">
        <f t="shared" si="10"/>
        <v>(${Variables:E2_1_1_171_kcat} * E2_1_1_171 * C00019 * C00240)/(${Variables:E2_1_1_171_km} + (E2_1_1_171 * C00019 * C00240))</v>
      </c>
      <c r="K251" s="38" t="str">
        <f t="shared" si="11"/>
        <v>r250: C00019 + C00240 -&gt; C00021 + C04153 | (${Variables:E2_1_1_171_kcat} * E2_1_1_171 * C00019 * C00240)/(${Variables:E2_1_1_171_km} + (E2_1_1_171 * C00019 * C00240))</v>
      </c>
    </row>
    <row r="252" spans="1:11" ht="42.75" x14ac:dyDescent="0.45">
      <c r="A252" t="s">
        <v>9732</v>
      </c>
      <c r="B252" t="s">
        <v>9733</v>
      </c>
      <c r="C252" t="s">
        <v>15022</v>
      </c>
      <c r="D252">
        <v>251</v>
      </c>
      <c r="E252" t="str">
        <f t="shared" si="9"/>
        <v>E2_1_1_182</v>
      </c>
      <c r="F252" s="9" t="s">
        <v>15947</v>
      </c>
      <c r="G252" s="9" t="s">
        <v>15948</v>
      </c>
      <c r="H252" s="9" t="s">
        <v>15949</v>
      </c>
      <c r="I252" s="9" t="s">
        <v>15950</v>
      </c>
      <c r="J252" s="9" t="str">
        <f t="shared" si="10"/>
        <v>(${Variables:E2_1_1_182_kcat} * E2_1_1_182 * C00019 * C20648)/(${Variables:E2_1_1_182_km} + (E2_1_1_182 * C00019 * C20648))</v>
      </c>
      <c r="K252" s="38" t="str">
        <f t="shared" si="11"/>
        <v>r251: C00019 + C20648 -&gt; C00021 + C20796 | (${Variables:E2_1_1_182_kcat} * E2_1_1_182 * C00019 * C20648)/(${Variables:E2_1_1_182_km} + (E2_1_1_182 * C00019 * C20648))</v>
      </c>
    </row>
    <row r="253" spans="1:11" ht="42.75" x14ac:dyDescent="0.45">
      <c r="A253" t="s">
        <v>9412</v>
      </c>
      <c r="B253" t="s">
        <v>9413</v>
      </c>
      <c r="C253" t="s">
        <v>15023</v>
      </c>
      <c r="D253">
        <v>252</v>
      </c>
      <c r="E253" t="str">
        <f t="shared" si="9"/>
        <v>E2_1_1_195</v>
      </c>
      <c r="F253" s="9" t="s">
        <v>15951</v>
      </c>
      <c r="G253" s="9" t="s">
        <v>15952</v>
      </c>
      <c r="H253" s="9" t="s">
        <v>15953</v>
      </c>
      <c r="I253" s="9" t="s">
        <v>15954</v>
      </c>
      <c r="J253" s="9" t="str">
        <f t="shared" si="10"/>
        <v>(${Variables:E2_1_1_195_kcat} * E2_1_1_195 * C16243 * C00019)/(${Variables:E2_1_1_195_km} + (E2_1_1_195 * C16243 * C00019))</v>
      </c>
      <c r="K253" s="38" t="str">
        <f t="shared" si="11"/>
        <v>r252: C16243 + C00019 -&gt; C11542 + C00021 | (${Variables:E2_1_1_195_kcat} * E2_1_1_195 * C16243 * C00019)/(${Variables:E2_1_1_195_km} + (E2_1_1_195 * C16243 * C00019))</v>
      </c>
    </row>
    <row r="254" spans="1:11" ht="42.75" x14ac:dyDescent="0.45">
      <c r="A254" t="s">
        <v>3416</v>
      </c>
      <c r="B254" t="s">
        <v>3417</v>
      </c>
      <c r="C254" t="s">
        <v>15024</v>
      </c>
      <c r="D254">
        <v>253</v>
      </c>
      <c r="E254" t="str">
        <f t="shared" si="9"/>
        <v>E2_1_1_228</v>
      </c>
      <c r="F254" s="9" t="s">
        <v>15955</v>
      </c>
      <c r="G254" s="9" t="s">
        <v>15956</v>
      </c>
      <c r="H254" s="9" t="s">
        <v>15957</v>
      </c>
      <c r="I254" s="9" t="s">
        <v>15958</v>
      </c>
      <c r="J254" s="9" t="str">
        <f t="shared" si="10"/>
        <v>(${Variables:E2_1_1_228_kcat} * E2_1_1_228 * C00019 * C01977)/(${Variables:E2_1_1_228_km} + (E2_1_1_228 * C00019 * C01977))</v>
      </c>
      <c r="K254" s="38" t="str">
        <f t="shared" si="11"/>
        <v>r253: C00019 + C01977 -&gt; C00021 + C04157 | (${Variables:E2_1_1_228_kcat} * E2_1_1_228 * C00019 * C01977)/(${Variables:E2_1_1_228_km} + (E2_1_1_228 * C00019 * C01977))</v>
      </c>
    </row>
    <row r="255" spans="1:11" ht="42.75" x14ac:dyDescent="0.45">
      <c r="A255" t="s">
        <v>9402</v>
      </c>
      <c r="B255" t="s">
        <v>9403</v>
      </c>
      <c r="C255" t="s">
        <v>15025</v>
      </c>
      <c r="D255">
        <v>254</v>
      </c>
      <c r="E255" t="str">
        <f t="shared" si="9"/>
        <v>E2_1_1_271</v>
      </c>
      <c r="F255" s="9" t="s">
        <v>15959</v>
      </c>
      <c r="G255" s="9" t="s">
        <v>15960</v>
      </c>
      <c r="H255" s="9" t="s">
        <v>15961</v>
      </c>
      <c r="I255" s="9" t="s">
        <v>15962</v>
      </c>
      <c r="J255" s="9" t="str">
        <f t="shared" si="10"/>
        <v>(${Variables:E2_1_1_271_kcat} * E2_1_1_271 * C11540 * C00019)/(${Variables:E2_1_1_271_km} + (E2_1_1_271 * C11540 * C00019))</v>
      </c>
      <c r="K255" s="38" t="str">
        <f t="shared" si="11"/>
        <v>r254: C11540 + C00019 -&gt; C16242 + C00021 | (${Variables:E2_1_1_271_kcat} * E2_1_1_271 * C11540 * C00019)/(${Variables:E2_1_1_271_km} + (E2_1_1_271 * C11540 * C00019))</v>
      </c>
    </row>
    <row r="256" spans="1:11" ht="42.75" x14ac:dyDescent="0.45">
      <c r="A256" t="s">
        <v>9408</v>
      </c>
      <c r="B256" t="s">
        <v>9409</v>
      </c>
      <c r="C256" t="s">
        <v>15026</v>
      </c>
      <c r="D256">
        <v>255</v>
      </c>
      <c r="E256" t="str">
        <f t="shared" si="9"/>
        <v>E2_1_1_289</v>
      </c>
      <c r="F256" s="9" t="s">
        <v>15963</v>
      </c>
      <c r="G256" s="9" t="s">
        <v>15964</v>
      </c>
      <c r="H256" s="9" t="s">
        <v>15965</v>
      </c>
      <c r="I256" s="9" t="s">
        <v>15966</v>
      </c>
      <c r="J256" s="9" t="str">
        <f t="shared" si="10"/>
        <v>(${Variables:E2_1_1_289_kcat} * E2_1_1_289 * C16244 * C00019)/(${Variables:E2_1_1_289_km} + (E2_1_1_289 * C16244 * C00019))</v>
      </c>
      <c r="K256" s="38" t="str">
        <f t="shared" si="11"/>
        <v>r255: C16244 + C00019 -&gt; C11545 + C00021 | (${Variables:E2_1_1_289_kcat} * E2_1_1_289 * C16244 * C00019)/(${Variables:E2_1_1_289_km} + (E2_1_1_289 * C16244 * C00019))</v>
      </c>
    </row>
    <row r="257" spans="1:11" ht="42.75" x14ac:dyDescent="0.45">
      <c r="A257" t="s">
        <v>9615</v>
      </c>
      <c r="B257" t="s">
        <v>9616</v>
      </c>
      <c r="C257" t="s">
        <v>15027</v>
      </c>
      <c r="D257">
        <v>256</v>
      </c>
      <c r="E257" t="str">
        <f t="shared" si="9"/>
        <v>E2_1_1_297</v>
      </c>
      <c r="F257" s="9" t="s">
        <v>15967</v>
      </c>
      <c r="G257" s="9" t="s">
        <v>15968</v>
      </c>
      <c r="H257" s="9" t="s">
        <v>15969</v>
      </c>
      <c r="I257" s="9" t="s">
        <v>15970</v>
      </c>
      <c r="J257" s="9" t="str">
        <f t="shared" si="10"/>
        <v>(${Variables:E2_1_1_297_kcat} * E2_1_1_297 * C02583 * C00019)/(${Variables:E2_1_1_297_km} + (E2_1_1_297 * C02583 * C00019))</v>
      </c>
      <c r="K257" s="38" t="str">
        <f t="shared" si="11"/>
        <v>r256: C02583 + C00019 -&gt; C20858 + C00021 | (${Variables:E2_1_1_297_kcat} * E2_1_1_297 * C02583 * C00019)/(${Variables:E2_1_1_297_km} + (E2_1_1_297 * C02583 * C00019))</v>
      </c>
    </row>
    <row r="258" spans="1:11" ht="42.75" x14ac:dyDescent="0.45">
      <c r="A258" t="s">
        <v>5626</v>
      </c>
      <c r="B258" t="s">
        <v>5627</v>
      </c>
      <c r="C258" t="s">
        <v>15028</v>
      </c>
      <c r="D258">
        <v>257</v>
      </c>
      <c r="E258" t="str">
        <f t="shared" si="9"/>
        <v>E2_1_1_33</v>
      </c>
      <c r="F258" s="9" t="s">
        <v>15955</v>
      </c>
      <c r="G258" s="9" t="s">
        <v>15956</v>
      </c>
      <c r="H258" s="9" t="s">
        <v>15971</v>
      </c>
      <c r="I258" s="9" t="s">
        <v>15972</v>
      </c>
      <c r="J258" s="9" t="str">
        <f t="shared" si="10"/>
        <v>(${Variables:E2_1_1_33_kcat} * E2_1_1_33 * C00019 * C01977)/(${Variables:E2_1_1_33_km} + (E2_1_1_33 * C00019 * C01977))</v>
      </c>
      <c r="K258" s="38" t="str">
        <f t="shared" si="11"/>
        <v>r257: C00019 + C01977 -&gt; C00021 + C04160 | (${Variables:E2_1_1_33_kcat} * E2_1_1_33 * C00019 * C01977)/(${Variables:E2_1_1_33_km} + (E2_1_1_33 * C00019 * C01977))</v>
      </c>
    </row>
    <row r="259" spans="1:11" ht="42.75" x14ac:dyDescent="0.45">
      <c r="A259" t="s">
        <v>276</v>
      </c>
      <c r="B259" t="s">
        <v>277</v>
      </c>
      <c r="C259" t="s">
        <v>15029</v>
      </c>
      <c r="D259">
        <v>258</v>
      </c>
      <c r="E259" t="str">
        <f t="shared" ref="E259:E322" si="12">CONCATENATE("E",C259)</f>
        <v>E2_1_1_45</v>
      </c>
      <c r="F259" s="9" t="s">
        <v>15973</v>
      </c>
      <c r="G259" s="9" t="s">
        <v>15974</v>
      </c>
      <c r="H259" s="9" t="s">
        <v>15975</v>
      </c>
      <c r="I259" s="9" t="s">
        <v>15976</v>
      </c>
      <c r="J259" s="9" t="str">
        <f t="shared" ref="J259:J322" si="13">CONCATENATE("(${Variables:",E259,"_kcat","} * ",E259," * ",G259,")","/(${Variables:",E259,"_km","} + (",E259," * ",G259,"))")</f>
        <v>(${Variables:E2_1_1_45_kcat} * E2_1_1_45 * C00365 * C00143)/(${Variables:E2_1_1_45_km} + (E2_1_1_45 * C00365 * C00143))</v>
      </c>
      <c r="K259" s="38" t="str">
        <f t="shared" ref="K259:K322" si="14">CONCATENATE("r",D259,": ",F259," -&gt; ",H259," | ",J259)</f>
        <v>r258: C00365 + C00143 -&gt; C00415 + C00364 | (${Variables:E2_1_1_45_kcat} * E2_1_1_45 * C00365 * C00143)/(${Variables:E2_1_1_45_km} + (E2_1_1_45 * C00365 * C00143))</v>
      </c>
    </row>
    <row r="260" spans="1:11" ht="42.75" x14ac:dyDescent="0.45">
      <c r="A260" t="s">
        <v>5882</v>
      </c>
      <c r="B260" t="s">
        <v>5883</v>
      </c>
      <c r="C260" t="s">
        <v>15030</v>
      </c>
      <c r="D260">
        <v>259</v>
      </c>
      <c r="E260" t="str">
        <f t="shared" si="12"/>
        <v>E2_1_1_61</v>
      </c>
      <c r="F260" s="9" t="s">
        <v>15977</v>
      </c>
      <c r="G260" s="9" t="s">
        <v>15978</v>
      </c>
      <c r="H260" s="9" t="s">
        <v>15979</v>
      </c>
      <c r="I260" s="9" t="s">
        <v>15980</v>
      </c>
      <c r="J260" s="9" t="str">
        <f t="shared" si="13"/>
        <v>(${Variables:E2_1_1_61_kcat} * E2_1_1_61 * C00019 * C11478)/(${Variables:E2_1_1_61_km} + (E2_1_1_61 * C00019 * C11478))</v>
      </c>
      <c r="K260" s="38" t="str">
        <f t="shared" si="14"/>
        <v>r259: C00019 + C11478 -&gt; C00021 + C04728 | (${Variables:E2_1_1_61_kcat} * E2_1_1_61 * C00019 * C11478)/(${Variables:E2_1_1_61_km} + (E2_1_1_61 * C00019 * C11478))</v>
      </c>
    </row>
    <row r="261" spans="1:11" ht="42.75" x14ac:dyDescent="0.45">
      <c r="A261" t="s">
        <v>1790</v>
      </c>
      <c r="B261" t="s">
        <v>1791</v>
      </c>
      <c r="C261" t="s">
        <v>15031</v>
      </c>
      <c r="D261">
        <v>260</v>
      </c>
      <c r="E261" t="str">
        <f t="shared" si="12"/>
        <v>E2_1_1_63</v>
      </c>
      <c r="F261" s="9" t="s">
        <v>15981</v>
      </c>
      <c r="G261" s="9" t="s">
        <v>15982</v>
      </c>
      <c r="H261" s="9" t="s">
        <v>15983</v>
      </c>
      <c r="I261" s="9" t="s">
        <v>15984</v>
      </c>
      <c r="J261" s="9" t="str">
        <f t="shared" si="13"/>
        <v>(${Variables:E2_1_1_63_kcat} * E2_1_1_63 * C04250 * C02743)/(${Variables:E2_1_1_63_km} + (E2_1_1_63 * C04250 * C02743))</v>
      </c>
      <c r="K261" s="38" t="str">
        <f t="shared" si="14"/>
        <v>r260: C04250 + C02743 -&gt; C03800 + C11475 | (${Variables:E2_1_1_63_kcat} * E2_1_1_63 * C04250 * C02743)/(${Variables:E2_1_1_63_km} + (E2_1_1_63 * C04250 * C02743))</v>
      </c>
    </row>
    <row r="262" spans="1:11" ht="42.75" x14ac:dyDescent="0.45">
      <c r="A262" t="s">
        <v>5053</v>
      </c>
      <c r="B262" t="s">
        <v>5054</v>
      </c>
      <c r="C262" t="s">
        <v>15031</v>
      </c>
      <c r="D262">
        <v>261</v>
      </c>
      <c r="E262" t="str">
        <f t="shared" si="12"/>
        <v>E2_1_1_63</v>
      </c>
      <c r="F262" s="9" t="s">
        <v>15981</v>
      </c>
      <c r="G262" s="9" t="s">
        <v>15982</v>
      </c>
      <c r="H262" s="9" t="s">
        <v>15983</v>
      </c>
      <c r="I262" s="9" t="s">
        <v>15984</v>
      </c>
      <c r="J262" s="9" t="str">
        <f t="shared" si="13"/>
        <v>(${Variables:E2_1_1_63_kcat} * E2_1_1_63 * C04250 * C02743)/(${Variables:E2_1_1_63_km} + (E2_1_1_63 * C04250 * C02743))</v>
      </c>
      <c r="K262" s="38" t="str">
        <f t="shared" si="14"/>
        <v>r261: C04250 + C02743 -&gt; C03800 + C11475 | (${Variables:E2_1_1_63_kcat} * E2_1_1_63 * C04250 * C02743)/(${Variables:E2_1_1_63_km} + (E2_1_1_63 * C04250 * C02743))</v>
      </c>
    </row>
    <row r="263" spans="1:11" ht="42.75" x14ac:dyDescent="0.45">
      <c r="A263" t="s">
        <v>7705</v>
      </c>
      <c r="B263" t="s">
        <v>7706</v>
      </c>
      <c r="C263" t="s">
        <v>15032</v>
      </c>
      <c r="D263">
        <v>262</v>
      </c>
      <c r="E263" t="str">
        <f t="shared" si="12"/>
        <v>E2_1_2_1</v>
      </c>
      <c r="F263" s="9" t="s">
        <v>15989</v>
      </c>
      <c r="G263" s="9" t="s">
        <v>15990</v>
      </c>
      <c r="H263" s="9" t="s">
        <v>15991</v>
      </c>
      <c r="I263" s="9" t="s">
        <v>15992</v>
      </c>
      <c r="J263" s="9" t="str">
        <f t="shared" si="13"/>
        <v>(${Variables:E2_1_2_1_kcat} * E2_1_2_1 * C00143 * C00037 * C00001)/(${Variables:E2_1_2_1_km} + (E2_1_2_1 * C00143 * C00037 * C00001))</v>
      </c>
      <c r="K263" s="38" t="str">
        <f t="shared" si="14"/>
        <v>r262: C00143 + C00037 + C00001 -&gt; C00101 + C00065 | (${Variables:E2_1_2_1_kcat} * E2_1_2_1 * C00143 * C00037 * C00001)/(${Variables:E2_1_2_1_km} + (E2_1_2_1 * C00143 * C00037 * C00001))</v>
      </c>
    </row>
    <row r="264" spans="1:11" ht="42.75" x14ac:dyDescent="0.45">
      <c r="A264" t="s">
        <v>7705</v>
      </c>
      <c r="B264" t="s">
        <v>7706</v>
      </c>
      <c r="C264" t="s">
        <v>15032</v>
      </c>
      <c r="D264">
        <v>263</v>
      </c>
      <c r="E264" t="str">
        <f t="shared" si="12"/>
        <v>E2_1_2_1</v>
      </c>
      <c r="F264" s="9" t="s">
        <v>15985</v>
      </c>
      <c r="G264" s="9" t="s">
        <v>15986</v>
      </c>
      <c r="H264" s="9" t="s">
        <v>15987</v>
      </c>
      <c r="I264" s="9" t="s">
        <v>15988</v>
      </c>
      <c r="J264" s="9" t="str">
        <f t="shared" si="13"/>
        <v>(${Variables:E2_1_2_1_kcat} * E2_1_2_1 * C00065 * C01217)/(${Variables:E2_1_2_1_km} + (E2_1_2_1 * C00065 * C01217))</v>
      </c>
      <c r="K264" s="38" t="str">
        <f t="shared" si="14"/>
        <v>r263: C00065 + C01217 -&gt; C04377 + C00037 + C00001 | (${Variables:E2_1_2_1_kcat} * E2_1_2_1 * C00065 * C01217)/(${Variables:E2_1_2_1_km} + (E2_1_2_1 * C00065 * C01217))</v>
      </c>
    </row>
    <row r="265" spans="1:11" ht="42.75" x14ac:dyDescent="0.45">
      <c r="A265" t="s">
        <v>8014</v>
      </c>
      <c r="B265" t="s">
        <v>8015</v>
      </c>
      <c r="C265" t="s">
        <v>15032</v>
      </c>
      <c r="D265">
        <v>264</v>
      </c>
      <c r="E265" t="str">
        <f t="shared" si="12"/>
        <v>E2_1_2_1</v>
      </c>
      <c r="F265" s="9" t="s">
        <v>15989</v>
      </c>
      <c r="G265" s="9" t="s">
        <v>15990</v>
      </c>
      <c r="H265" s="9" t="s">
        <v>15991</v>
      </c>
      <c r="I265" s="9" t="s">
        <v>15992</v>
      </c>
      <c r="J265" s="9" t="str">
        <f t="shared" si="13"/>
        <v>(${Variables:E2_1_2_1_kcat} * E2_1_2_1 * C00143 * C00037 * C00001)/(${Variables:E2_1_2_1_km} + (E2_1_2_1 * C00143 * C00037 * C00001))</v>
      </c>
      <c r="K265" s="38" t="str">
        <f t="shared" si="14"/>
        <v>r264: C00143 + C00037 + C00001 -&gt; C00101 + C00065 | (${Variables:E2_1_2_1_kcat} * E2_1_2_1 * C00143 * C00037 * C00001)/(${Variables:E2_1_2_1_km} + (E2_1_2_1 * C00143 * C00037 * C00001))</v>
      </c>
    </row>
    <row r="266" spans="1:11" ht="42.75" x14ac:dyDescent="0.45">
      <c r="A266" t="s">
        <v>8014</v>
      </c>
      <c r="B266" t="s">
        <v>8015</v>
      </c>
      <c r="C266" t="s">
        <v>15032</v>
      </c>
      <c r="D266">
        <v>265</v>
      </c>
      <c r="E266" t="str">
        <f t="shared" si="12"/>
        <v>E2_1_2_1</v>
      </c>
      <c r="F266" s="9" t="s">
        <v>15985</v>
      </c>
      <c r="G266" s="9" t="s">
        <v>15986</v>
      </c>
      <c r="H266" s="9" t="s">
        <v>15987</v>
      </c>
      <c r="I266" s="9" t="s">
        <v>15988</v>
      </c>
      <c r="J266" s="9" t="str">
        <f t="shared" si="13"/>
        <v>(${Variables:E2_1_2_1_kcat} * E2_1_2_1 * C00065 * C01217)/(${Variables:E2_1_2_1_km} + (E2_1_2_1 * C00065 * C01217))</v>
      </c>
      <c r="K266" s="38" t="str">
        <f t="shared" si="14"/>
        <v>r265: C00065 + C01217 -&gt; C04377 + C00037 + C00001 | (${Variables:E2_1_2_1_kcat} * E2_1_2_1 * C00065 * C01217)/(${Variables:E2_1_2_1_km} + (E2_1_2_1 * C00065 * C01217))</v>
      </c>
    </row>
    <row r="267" spans="1:11" ht="42.75" x14ac:dyDescent="0.45">
      <c r="A267" t="s">
        <v>4169</v>
      </c>
      <c r="B267" t="s">
        <v>4170</v>
      </c>
      <c r="C267" t="s">
        <v>15033</v>
      </c>
      <c r="D267">
        <v>266</v>
      </c>
      <c r="E267" t="str">
        <f t="shared" si="12"/>
        <v>E2_1_2_11</v>
      </c>
      <c r="F267" s="9" t="s">
        <v>15993</v>
      </c>
      <c r="G267" s="9" t="s">
        <v>15994</v>
      </c>
      <c r="H267" s="9" t="s">
        <v>15995</v>
      </c>
      <c r="I267" s="9" t="s">
        <v>15996</v>
      </c>
      <c r="J267" s="9" t="str">
        <f t="shared" si="13"/>
        <v>(${Variables:E2_1_2_11_kcat} * E2_1_2_11 * C00143 * C00141 * C00001)/(${Variables:E2_1_2_11_km} + (E2_1_2_11 * C00143 * C00141 * C00001))</v>
      </c>
      <c r="K267" s="38" t="str">
        <f t="shared" si="14"/>
        <v>r266: C00143 + C00141 + C00001 -&gt; C00101 + C00966 | (${Variables:E2_1_2_11_kcat} * E2_1_2_11 * C00143 * C00141 * C00001)/(${Variables:E2_1_2_11_km} + (E2_1_2_11 * C00143 * C00141 * C00001))</v>
      </c>
    </row>
    <row r="268" spans="1:11" ht="28.5" x14ac:dyDescent="0.45">
      <c r="A268" t="s">
        <v>4169</v>
      </c>
      <c r="B268" t="s">
        <v>4170</v>
      </c>
      <c r="C268" t="s">
        <v>15033</v>
      </c>
      <c r="D268">
        <v>267</v>
      </c>
      <c r="E268" t="str">
        <f t="shared" si="12"/>
        <v>E2_1_2_11</v>
      </c>
      <c r="F268" s="9" t="s">
        <v>11018</v>
      </c>
      <c r="G268" s="9" t="s">
        <v>11018</v>
      </c>
      <c r="H268" s="9" t="s">
        <v>15997</v>
      </c>
      <c r="I268" s="9" t="s">
        <v>15998</v>
      </c>
      <c r="J268" s="9" t="str">
        <f t="shared" si="13"/>
        <v>(${Variables:E2_1_2_11_kcat} * E2_1_2_11 * C00966)/(${Variables:E2_1_2_11_km} + (E2_1_2_11 * C00966))</v>
      </c>
      <c r="K268" s="38" t="str">
        <f t="shared" si="14"/>
        <v>r267: C00966 -&gt; C00141 + C00067 | (${Variables:E2_1_2_11_kcat} * E2_1_2_11 * C00966)/(${Variables:E2_1_2_11_km} + (E2_1_2_11 * C00966))</v>
      </c>
    </row>
    <row r="269" spans="1:11" ht="42.75" x14ac:dyDescent="0.45">
      <c r="A269" t="s">
        <v>883</v>
      </c>
      <c r="B269" t="s">
        <v>884</v>
      </c>
      <c r="C269" t="s">
        <v>15034</v>
      </c>
      <c r="D269">
        <v>268</v>
      </c>
      <c r="E269" t="str">
        <f t="shared" si="12"/>
        <v>E2_1_2_2</v>
      </c>
      <c r="F269" s="9" t="s">
        <v>15999</v>
      </c>
      <c r="G269" s="9" t="s">
        <v>16000</v>
      </c>
      <c r="H269" s="9" t="s">
        <v>16001</v>
      </c>
      <c r="I269" s="9" t="s">
        <v>16002</v>
      </c>
      <c r="J269" s="9" t="str">
        <f t="shared" si="13"/>
        <v>(${Variables:E2_1_2_2_kcat} * E2_1_2_2 * C00234 * C03838)/(${Variables:E2_1_2_2_km} + (E2_1_2_2 * C00234 * C03838))</v>
      </c>
      <c r="K269" s="38" t="str">
        <f t="shared" si="14"/>
        <v>r268: C00234 + C03838 -&gt; C00101 + C04376 | (${Variables:E2_1_2_2_kcat} * E2_1_2_2 * C00234 * C03838)/(${Variables:E2_1_2_2_km} + (E2_1_2_2 * C00234 * C03838))</v>
      </c>
    </row>
    <row r="270" spans="1:11" ht="42.75" x14ac:dyDescent="0.45">
      <c r="A270" t="s">
        <v>883</v>
      </c>
      <c r="B270" t="s">
        <v>884</v>
      </c>
      <c r="C270" t="s">
        <v>15034</v>
      </c>
      <c r="D270">
        <v>269</v>
      </c>
      <c r="E270" t="str">
        <f t="shared" si="12"/>
        <v>E2_1_2_2</v>
      </c>
      <c r="F270" s="9" t="s">
        <v>16003</v>
      </c>
      <c r="G270" s="9" t="s">
        <v>16004</v>
      </c>
      <c r="H270" s="9" t="s">
        <v>16005</v>
      </c>
      <c r="I270" s="9" t="s">
        <v>16006</v>
      </c>
      <c r="J270" s="9" t="str">
        <f t="shared" si="13"/>
        <v>(${Variables:E2_1_2_2_kcat} * E2_1_2_2 * C03838 * C00445 * C00001)/(${Variables:E2_1_2_2_km} + (E2_1_2_2 * C03838 * C00445 * C00001))</v>
      </c>
      <c r="K270" s="38" t="str">
        <f t="shared" si="14"/>
        <v>r269: C03838 + C00445 + C00001 -&gt; C04376 + C00101 | (${Variables:E2_1_2_2_kcat} * E2_1_2_2 * C03838 * C00445 * C00001)/(${Variables:E2_1_2_2_km} + (E2_1_2_2 * C03838 * C00445 * C00001))</v>
      </c>
    </row>
    <row r="271" spans="1:11" ht="42.75" x14ac:dyDescent="0.45">
      <c r="A271" t="s">
        <v>2475</v>
      </c>
      <c r="B271" t="s">
        <v>2476</v>
      </c>
      <c r="C271" t="s">
        <v>15035</v>
      </c>
      <c r="D271">
        <v>270</v>
      </c>
      <c r="E271" t="str">
        <f t="shared" si="12"/>
        <v>E2_1_2_3</v>
      </c>
      <c r="F271" s="9" t="s">
        <v>16007</v>
      </c>
      <c r="G271" s="9" t="s">
        <v>16008</v>
      </c>
      <c r="H271" s="9" t="s">
        <v>16009</v>
      </c>
      <c r="I271" s="9" t="s">
        <v>16010</v>
      </c>
      <c r="J271" s="9" t="str">
        <f t="shared" si="13"/>
        <v>(${Variables:E2_1_2_3_kcat} * E2_1_2_3 * C00234 * C04677)/(${Variables:E2_1_2_3_km} + (E2_1_2_3 * C00234 * C04677))</v>
      </c>
      <c r="K271" s="38" t="str">
        <f t="shared" si="14"/>
        <v>r270: C00234 + C04677 -&gt; C00101 + C04734 | (${Variables:E2_1_2_3_kcat} * E2_1_2_3 * C00234 * C04677)/(${Variables:E2_1_2_3_km} + (E2_1_2_3 * C00234 * C04677))</v>
      </c>
    </row>
    <row r="272" spans="1:11" ht="42.75" x14ac:dyDescent="0.45">
      <c r="A272" t="s">
        <v>887</v>
      </c>
      <c r="B272" t="s">
        <v>888</v>
      </c>
      <c r="C272" t="s">
        <v>15035</v>
      </c>
      <c r="D272">
        <v>271</v>
      </c>
      <c r="E272" t="str">
        <f t="shared" si="12"/>
        <v>E2_1_2_3</v>
      </c>
      <c r="F272" s="9" t="s">
        <v>16007</v>
      </c>
      <c r="G272" s="9" t="s">
        <v>16008</v>
      </c>
      <c r="H272" s="9" t="s">
        <v>16009</v>
      </c>
      <c r="I272" s="9" t="s">
        <v>16010</v>
      </c>
      <c r="J272" s="9" t="str">
        <f t="shared" si="13"/>
        <v>(${Variables:E2_1_2_3_kcat} * E2_1_2_3 * C00234 * C04677)/(${Variables:E2_1_2_3_km} + (E2_1_2_3 * C00234 * C04677))</v>
      </c>
      <c r="K272" s="38" t="str">
        <f t="shared" si="14"/>
        <v>r271: C00234 + C04677 -&gt; C00101 + C04734 | (${Variables:E2_1_2_3_kcat} * E2_1_2_3 * C00234 * C04677)/(${Variables:E2_1_2_3_km} + (E2_1_2_3 * C00234 * C04677))</v>
      </c>
    </row>
    <row r="273" spans="1:11" ht="42.75" x14ac:dyDescent="0.45">
      <c r="A273" t="s">
        <v>7287</v>
      </c>
      <c r="B273" t="s">
        <v>7288</v>
      </c>
      <c r="C273" t="s">
        <v>15036</v>
      </c>
      <c r="D273">
        <v>272</v>
      </c>
      <c r="E273" t="str">
        <f t="shared" si="12"/>
        <v>E2_1_2_9</v>
      </c>
      <c r="F273" s="9" t="s">
        <v>16011</v>
      </c>
      <c r="G273" s="9" t="s">
        <v>16012</v>
      </c>
      <c r="H273" s="9" t="s">
        <v>16013</v>
      </c>
      <c r="I273" s="9" t="s">
        <v>16014</v>
      </c>
      <c r="J273" s="9" t="str">
        <f t="shared" si="13"/>
        <v>(${Variables:E2_1_2_9_kcat} * E2_1_2_9 * C02430 * C00234)/(${Variables:E2_1_2_9_km} + (E2_1_2_9 * C02430 * C00234))</v>
      </c>
      <c r="K273" s="38" t="str">
        <f t="shared" si="14"/>
        <v>r272: C02430 + C00234 -&gt; C00101 + C03294 | (${Variables:E2_1_2_9_kcat} * E2_1_2_9 * C02430 * C00234)/(${Variables:E2_1_2_9_km} + (E2_1_2_9 * C02430 * C00234))</v>
      </c>
    </row>
    <row r="274" spans="1:11" ht="42.75" x14ac:dyDescent="0.45">
      <c r="A274" t="s">
        <v>777</v>
      </c>
      <c r="B274" t="s">
        <v>778</v>
      </c>
      <c r="C274" t="s">
        <v>15037</v>
      </c>
      <c r="D274">
        <v>273</v>
      </c>
      <c r="E274" t="str">
        <f t="shared" si="12"/>
        <v>E2_1_3_2</v>
      </c>
      <c r="F274" s="9" t="s">
        <v>16015</v>
      </c>
      <c r="G274" s="9" t="s">
        <v>16016</v>
      </c>
      <c r="H274" s="9" t="s">
        <v>16017</v>
      </c>
      <c r="I274" s="9" t="s">
        <v>16018</v>
      </c>
      <c r="J274" s="9" t="str">
        <f t="shared" si="13"/>
        <v>(${Variables:E2_1_3_2_kcat} * E2_1_3_2 * C00169 * C00049)/(${Variables:E2_1_3_2_km} + (E2_1_3_2 * C00169 * C00049))</v>
      </c>
      <c r="K274" s="38" t="str">
        <f t="shared" si="14"/>
        <v>r273: C00169 + C00049 -&gt; C00009 + C00438 | (${Variables:E2_1_3_2_kcat} * E2_1_3_2 * C00169 * C00049)/(${Variables:E2_1_3_2_km} + (E2_1_3_2 * C00169 * C00049))</v>
      </c>
    </row>
    <row r="275" spans="1:11" ht="42.75" x14ac:dyDescent="0.45">
      <c r="A275" t="s">
        <v>5842</v>
      </c>
      <c r="B275" t="s">
        <v>5843</v>
      </c>
      <c r="C275" t="s">
        <v>15038</v>
      </c>
      <c r="D275">
        <v>274</v>
      </c>
      <c r="E275" t="str">
        <f t="shared" si="12"/>
        <v>E2_1_3_3</v>
      </c>
      <c r="F275" s="9" t="s">
        <v>16019</v>
      </c>
      <c r="G275" s="9" t="s">
        <v>16020</v>
      </c>
      <c r="H275" s="9" t="s">
        <v>16021</v>
      </c>
      <c r="I275" s="9" t="s">
        <v>16022</v>
      </c>
      <c r="J275" s="9" t="str">
        <f t="shared" si="13"/>
        <v>(${Variables:E2_1_3_3_kcat} * E2_1_3_3 * C00169 * C00077)/(${Variables:E2_1_3_3_km} + (E2_1_3_3 * C00169 * C00077))</v>
      </c>
      <c r="K275" s="38" t="str">
        <f t="shared" si="14"/>
        <v>r274: C00169 + C00077 -&gt; C00009 + C00327 | (${Variables:E2_1_3_3_kcat} * E2_1_3_3 * C00169 * C00077)/(${Variables:E2_1_3_3_km} + (E2_1_3_3 * C00169 * C00077))</v>
      </c>
    </row>
    <row r="276" spans="1:11" ht="42.75" x14ac:dyDescent="0.45">
      <c r="A276" t="s">
        <v>6553</v>
      </c>
      <c r="B276" t="s">
        <v>6554</v>
      </c>
      <c r="C276" t="s">
        <v>15039</v>
      </c>
      <c r="D276">
        <v>275</v>
      </c>
      <c r="E276" t="str">
        <f t="shared" si="12"/>
        <v>E2_2_1_1</v>
      </c>
      <c r="F276" s="9" t="s">
        <v>16037</v>
      </c>
      <c r="G276" s="9" t="s">
        <v>16038</v>
      </c>
      <c r="H276" s="9" t="s">
        <v>16039</v>
      </c>
      <c r="I276" s="9" t="s">
        <v>16040</v>
      </c>
      <c r="J276" s="9" t="str">
        <f t="shared" si="13"/>
        <v>(${Variables:E2_2_1_1_kcat} * E2_2_1_1 * C05382 * C00118)/(${Variables:E2_2_1_1_km} + (E2_2_1_1 * C05382 * C00118))</v>
      </c>
      <c r="K276" s="38" t="str">
        <f t="shared" si="14"/>
        <v>r275: C05382 + C00118 -&gt; C00117 + C00231 | (${Variables:E2_2_1_1_kcat} * E2_2_1_1 * C05382 * C00118)/(${Variables:E2_2_1_1_km} + (E2_2_1_1 * C05382 * C00118))</v>
      </c>
    </row>
    <row r="277" spans="1:11" ht="42.75" x14ac:dyDescent="0.45">
      <c r="A277" t="s">
        <v>6553</v>
      </c>
      <c r="B277" t="s">
        <v>6554</v>
      </c>
      <c r="C277" t="s">
        <v>15039</v>
      </c>
      <c r="D277">
        <v>276</v>
      </c>
      <c r="E277" t="str">
        <f t="shared" si="12"/>
        <v>E2_2_1_1</v>
      </c>
      <c r="F277" s="9" t="s">
        <v>16023</v>
      </c>
      <c r="G277" s="9" t="s">
        <v>16024</v>
      </c>
      <c r="H277" s="9" t="s">
        <v>16025</v>
      </c>
      <c r="I277" s="9" t="s">
        <v>16026</v>
      </c>
      <c r="J277" s="9" t="str">
        <f t="shared" si="13"/>
        <v>(${Variables:E2_2_1_1_kcat} * E2_2_1_1 * C00085 * C00118)/(${Variables:E2_2_1_1_km} + (E2_2_1_1 * C00085 * C00118))</v>
      </c>
      <c r="K277" s="38" t="str">
        <f t="shared" si="14"/>
        <v>r276: C00085 + C00118 -&gt; C00279 + C00231 | (${Variables:E2_2_1_1_kcat} * E2_2_1_1 * C00085 * C00118)/(${Variables:E2_2_1_1_km} + (E2_2_1_1 * C00085 * C00118))</v>
      </c>
    </row>
    <row r="278" spans="1:11" ht="42.75" x14ac:dyDescent="0.45">
      <c r="A278" t="s">
        <v>6553</v>
      </c>
      <c r="B278" t="s">
        <v>6554</v>
      </c>
      <c r="C278" t="s">
        <v>15039</v>
      </c>
      <c r="D278">
        <v>277</v>
      </c>
      <c r="E278" t="str">
        <f t="shared" si="12"/>
        <v>E2_2_1_1</v>
      </c>
      <c r="F278" s="9" t="s">
        <v>16031</v>
      </c>
      <c r="G278" s="9" t="s">
        <v>16032</v>
      </c>
      <c r="H278" s="9" t="s">
        <v>16025</v>
      </c>
      <c r="I278" s="9" t="s">
        <v>16026</v>
      </c>
      <c r="J278" s="9" t="str">
        <f t="shared" si="13"/>
        <v>(${Variables:E2_2_1_1_kcat} * E2_2_1_1 * C05345 * C00118)/(${Variables:E2_2_1_1_km} + (E2_2_1_1 * C05345 * C00118))</v>
      </c>
      <c r="K278" s="38" t="str">
        <f t="shared" si="14"/>
        <v>r277: C05345 + C00118 -&gt; C00279 + C00231 | (${Variables:E2_2_1_1_kcat} * E2_2_1_1 * C05345 * C00118)/(${Variables:E2_2_1_1_km} + (E2_2_1_1 * C05345 * C00118))</v>
      </c>
    </row>
    <row r="279" spans="1:11" ht="42.75" x14ac:dyDescent="0.45">
      <c r="A279" t="s">
        <v>6553</v>
      </c>
      <c r="B279" t="s">
        <v>6554</v>
      </c>
      <c r="C279" t="s">
        <v>15039</v>
      </c>
      <c r="D279">
        <v>278</v>
      </c>
      <c r="E279" t="str">
        <f t="shared" si="12"/>
        <v>E2_2_1_1</v>
      </c>
      <c r="F279" s="9" t="s">
        <v>16041</v>
      </c>
      <c r="G279" s="9" t="s">
        <v>16042</v>
      </c>
      <c r="H279" s="9" t="s">
        <v>16043</v>
      </c>
      <c r="I279" s="9" t="s">
        <v>16044</v>
      </c>
      <c r="J279" s="9" t="str">
        <f t="shared" si="13"/>
        <v>(${Variables:E2_2_1_1_kcat} * E2_2_1_1 * C12214 * C00117)/(${Variables:E2_2_1_1_km} + (E2_2_1_1 * C12214 * C00117))</v>
      </c>
      <c r="K279" s="38" t="str">
        <f t="shared" si="14"/>
        <v>r278: C12214 + C00117 -&gt; C12215 + C05382 | (${Variables:E2_2_1_1_kcat} * E2_2_1_1 * C12214 * C00117)/(${Variables:E2_2_1_1_km} + (E2_2_1_1 * C12214 * C00117))</v>
      </c>
    </row>
    <row r="280" spans="1:11" ht="42.75" x14ac:dyDescent="0.45">
      <c r="A280" t="s">
        <v>6553</v>
      </c>
      <c r="B280" t="s">
        <v>6554</v>
      </c>
      <c r="C280" t="s">
        <v>15039</v>
      </c>
      <c r="D280">
        <v>279</v>
      </c>
      <c r="E280" t="str">
        <f t="shared" si="12"/>
        <v>E2_2_1_1</v>
      </c>
      <c r="F280" s="9" t="s">
        <v>16027</v>
      </c>
      <c r="G280" s="9" t="s">
        <v>16028</v>
      </c>
      <c r="H280" s="9" t="s">
        <v>16029</v>
      </c>
      <c r="I280" s="9" t="s">
        <v>16030</v>
      </c>
      <c r="J280" s="9" t="str">
        <f t="shared" si="13"/>
        <v>(${Variables:E2_2_1_1_kcat} * E2_2_1_1 * C00231 * C00068)/(${Variables:E2_2_1_1_km} + (E2_2_1_1 * C00231 * C00068))</v>
      </c>
      <c r="K280" s="38" t="str">
        <f t="shared" si="14"/>
        <v>r279: C00231 + C00068 -&gt; C13378 + C00118 | (${Variables:E2_2_1_1_kcat} * E2_2_1_1 * C00231 * C00068)/(${Variables:E2_2_1_1_km} + (E2_2_1_1 * C00231 * C00068))</v>
      </c>
    </row>
    <row r="281" spans="1:11" ht="42.75" x14ac:dyDescent="0.45">
      <c r="A281" t="s">
        <v>6553</v>
      </c>
      <c r="B281" t="s">
        <v>6554</v>
      </c>
      <c r="C281" t="s">
        <v>15039</v>
      </c>
      <c r="D281">
        <v>280</v>
      </c>
      <c r="E281" t="str">
        <f t="shared" si="12"/>
        <v>E2_2_1_1</v>
      </c>
      <c r="F281" s="9" t="s">
        <v>16033</v>
      </c>
      <c r="G281" s="9" t="s">
        <v>16034</v>
      </c>
      <c r="H281" s="9" t="s">
        <v>16035</v>
      </c>
      <c r="I281" s="9" t="s">
        <v>16036</v>
      </c>
      <c r="J281" s="9" t="str">
        <f t="shared" si="13"/>
        <v>(${Variables:E2_2_1_1_kcat} * E2_2_1_1 * C05382 * C00068)/(${Variables:E2_2_1_1_km} + (E2_2_1_1 * C05382 * C00068))</v>
      </c>
      <c r="K281" s="38" t="str">
        <f t="shared" si="14"/>
        <v>r280: C05382 + C00068 -&gt; C13378 + C00117 | (${Variables:E2_2_1_1_kcat} * E2_2_1_1 * C05382 * C00068)/(${Variables:E2_2_1_1_km} + (E2_2_1_1 * C05382 * C00068))</v>
      </c>
    </row>
    <row r="282" spans="1:11" ht="42.75" x14ac:dyDescent="0.45">
      <c r="A282" t="s">
        <v>9530</v>
      </c>
      <c r="B282" t="s">
        <v>9531</v>
      </c>
      <c r="C282" t="s">
        <v>15039</v>
      </c>
      <c r="D282">
        <v>281</v>
      </c>
      <c r="E282" t="str">
        <f t="shared" si="12"/>
        <v>E2_2_1_1</v>
      </c>
      <c r="F282" s="9" t="s">
        <v>16037</v>
      </c>
      <c r="G282" s="9" t="s">
        <v>16038</v>
      </c>
      <c r="H282" s="9" t="s">
        <v>16039</v>
      </c>
      <c r="I282" s="9" t="s">
        <v>16040</v>
      </c>
      <c r="J282" s="9" t="str">
        <f t="shared" si="13"/>
        <v>(${Variables:E2_2_1_1_kcat} * E2_2_1_1 * C05382 * C00118)/(${Variables:E2_2_1_1_km} + (E2_2_1_1 * C05382 * C00118))</v>
      </c>
      <c r="K282" s="38" t="str">
        <f t="shared" si="14"/>
        <v>r281: C05382 + C00118 -&gt; C00117 + C00231 | (${Variables:E2_2_1_1_kcat} * E2_2_1_1 * C05382 * C00118)/(${Variables:E2_2_1_1_km} + (E2_2_1_1 * C05382 * C00118))</v>
      </c>
    </row>
    <row r="283" spans="1:11" ht="42.75" x14ac:dyDescent="0.45">
      <c r="A283" t="s">
        <v>9530</v>
      </c>
      <c r="B283" t="s">
        <v>9531</v>
      </c>
      <c r="C283" t="s">
        <v>15039</v>
      </c>
      <c r="D283">
        <v>282</v>
      </c>
      <c r="E283" t="str">
        <f t="shared" si="12"/>
        <v>E2_2_1_1</v>
      </c>
      <c r="F283" s="9" t="s">
        <v>16023</v>
      </c>
      <c r="G283" s="9" t="s">
        <v>16024</v>
      </c>
      <c r="H283" s="9" t="s">
        <v>16025</v>
      </c>
      <c r="I283" s="9" t="s">
        <v>16026</v>
      </c>
      <c r="J283" s="9" t="str">
        <f t="shared" si="13"/>
        <v>(${Variables:E2_2_1_1_kcat} * E2_2_1_1 * C00085 * C00118)/(${Variables:E2_2_1_1_km} + (E2_2_1_1 * C00085 * C00118))</v>
      </c>
      <c r="K283" s="38" t="str">
        <f t="shared" si="14"/>
        <v>r282: C00085 + C00118 -&gt; C00279 + C00231 | (${Variables:E2_2_1_1_kcat} * E2_2_1_1 * C00085 * C00118)/(${Variables:E2_2_1_1_km} + (E2_2_1_1 * C00085 * C00118))</v>
      </c>
    </row>
    <row r="284" spans="1:11" ht="42.75" x14ac:dyDescent="0.45">
      <c r="A284" t="s">
        <v>9530</v>
      </c>
      <c r="B284" t="s">
        <v>9531</v>
      </c>
      <c r="C284" t="s">
        <v>15039</v>
      </c>
      <c r="D284">
        <v>283</v>
      </c>
      <c r="E284" t="str">
        <f t="shared" si="12"/>
        <v>E2_2_1_1</v>
      </c>
      <c r="F284" s="9" t="s">
        <v>16031</v>
      </c>
      <c r="G284" s="9" t="s">
        <v>16032</v>
      </c>
      <c r="H284" s="9" t="s">
        <v>16025</v>
      </c>
      <c r="I284" s="9" t="s">
        <v>16026</v>
      </c>
      <c r="J284" s="9" t="str">
        <f t="shared" si="13"/>
        <v>(${Variables:E2_2_1_1_kcat} * E2_2_1_1 * C05345 * C00118)/(${Variables:E2_2_1_1_km} + (E2_2_1_1 * C05345 * C00118))</v>
      </c>
      <c r="K284" s="38" t="str">
        <f t="shared" si="14"/>
        <v>r283: C05345 + C00118 -&gt; C00279 + C00231 | (${Variables:E2_2_1_1_kcat} * E2_2_1_1 * C05345 * C00118)/(${Variables:E2_2_1_1_km} + (E2_2_1_1 * C05345 * C00118))</v>
      </c>
    </row>
    <row r="285" spans="1:11" ht="42.75" x14ac:dyDescent="0.45">
      <c r="A285" t="s">
        <v>9530</v>
      </c>
      <c r="B285" t="s">
        <v>9531</v>
      </c>
      <c r="C285" t="s">
        <v>15039</v>
      </c>
      <c r="D285">
        <v>284</v>
      </c>
      <c r="E285" t="str">
        <f t="shared" si="12"/>
        <v>E2_2_1_1</v>
      </c>
      <c r="F285" s="9" t="s">
        <v>16041</v>
      </c>
      <c r="G285" s="9" t="s">
        <v>16042</v>
      </c>
      <c r="H285" s="9" t="s">
        <v>16043</v>
      </c>
      <c r="I285" s="9" t="s">
        <v>16044</v>
      </c>
      <c r="J285" s="9" t="str">
        <f t="shared" si="13"/>
        <v>(${Variables:E2_2_1_1_kcat} * E2_2_1_1 * C12214 * C00117)/(${Variables:E2_2_1_1_km} + (E2_2_1_1 * C12214 * C00117))</v>
      </c>
      <c r="K285" s="38" t="str">
        <f t="shared" si="14"/>
        <v>r284: C12214 + C00117 -&gt; C12215 + C05382 | (${Variables:E2_2_1_1_kcat} * E2_2_1_1 * C12214 * C00117)/(${Variables:E2_2_1_1_km} + (E2_2_1_1 * C12214 * C00117))</v>
      </c>
    </row>
    <row r="286" spans="1:11" ht="42.75" x14ac:dyDescent="0.45">
      <c r="A286" t="s">
        <v>9530</v>
      </c>
      <c r="B286" t="s">
        <v>9531</v>
      </c>
      <c r="C286" t="s">
        <v>15039</v>
      </c>
      <c r="D286">
        <v>285</v>
      </c>
      <c r="E286" t="str">
        <f t="shared" si="12"/>
        <v>E2_2_1_1</v>
      </c>
      <c r="F286" s="9" t="s">
        <v>16027</v>
      </c>
      <c r="G286" s="9" t="s">
        <v>16028</v>
      </c>
      <c r="H286" s="9" t="s">
        <v>16029</v>
      </c>
      <c r="I286" s="9" t="s">
        <v>16030</v>
      </c>
      <c r="J286" s="9" t="str">
        <f t="shared" si="13"/>
        <v>(${Variables:E2_2_1_1_kcat} * E2_2_1_1 * C00231 * C00068)/(${Variables:E2_2_1_1_km} + (E2_2_1_1 * C00231 * C00068))</v>
      </c>
      <c r="K286" s="38" t="str">
        <f t="shared" si="14"/>
        <v>r285: C00231 + C00068 -&gt; C13378 + C00118 | (${Variables:E2_2_1_1_kcat} * E2_2_1_1 * C00231 * C00068)/(${Variables:E2_2_1_1_km} + (E2_2_1_1 * C00231 * C00068))</v>
      </c>
    </row>
    <row r="287" spans="1:11" ht="42.75" x14ac:dyDescent="0.45">
      <c r="A287" t="s">
        <v>9530</v>
      </c>
      <c r="B287" t="s">
        <v>9531</v>
      </c>
      <c r="C287" t="s">
        <v>15039</v>
      </c>
      <c r="D287">
        <v>286</v>
      </c>
      <c r="E287" t="str">
        <f t="shared" si="12"/>
        <v>E2_2_1_1</v>
      </c>
      <c r="F287" s="9" t="s">
        <v>16033</v>
      </c>
      <c r="G287" s="9" t="s">
        <v>16034</v>
      </c>
      <c r="H287" s="9" t="s">
        <v>16035</v>
      </c>
      <c r="I287" s="9" t="s">
        <v>16036</v>
      </c>
      <c r="J287" s="9" t="str">
        <f t="shared" si="13"/>
        <v>(${Variables:E2_2_1_1_kcat} * E2_2_1_1 * C05382 * C00068)/(${Variables:E2_2_1_1_km} + (E2_2_1_1 * C05382 * C00068))</v>
      </c>
      <c r="K287" s="38" t="str">
        <f t="shared" si="14"/>
        <v>r286: C05382 + C00068 -&gt; C13378 + C00117 | (${Variables:E2_2_1_1_kcat} * E2_2_1_1 * C05382 * C00068)/(${Variables:E2_2_1_1_km} + (E2_2_1_1 * C05382 * C00068))</v>
      </c>
    </row>
    <row r="288" spans="1:11" ht="42.75" x14ac:dyDescent="0.45">
      <c r="A288" t="s">
        <v>8563</v>
      </c>
      <c r="B288" t="s">
        <v>8564</v>
      </c>
      <c r="C288" t="s">
        <v>15040</v>
      </c>
      <c r="D288">
        <v>287</v>
      </c>
      <c r="E288" t="str">
        <f t="shared" si="12"/>
        <v>E2_2_1_2</v>
      </c>
      <c r="F288" s="9" t="s">
        <v>16037</v>
      </c>
      <c r="G288" s="9" t="s">
        <v>16038</v>
      </c>
      <c r="H288" s="9" t="s">
        <v>16045</v>
      </c>
      <c r="I288" s="9" t="s">
        <v>16046</v>
      </c>
      <c r="J288" s="9" t="str">
        <f t="shared" si="13"/>
        <v>(${Variables:E2_2_1_2_kcat} * E2_2_1_2 * C05382 * C00118)/(${Variables:E2_2_1_2_km} + (E2_2_1_2 * C05382 * C00118))</v>
      </c>
      <c r="K288" s="38" t="str">
        <f t="shared" si="14"/>
        <v>r287: C05382 + C00118 -&gt; C00279 + C00085 | (${Variables:E2_2_1_2_kcat} * E2_2_1_2 * C05382 * C00118)/(${Variables:E2_2_1_2_km} + (E2_2_1_2 * C05382 * C00118))</v>
      </c>
    </row>
    <row r="289" spans="1:11" ht="42.75" x14ac:dyDescent="0.45">
      <c r="A289" t="s">
        <v>8563</v>
      </c>
      <c r="B289" t="s">
        <v>8564</v>
      </c>
      <c r="C289" t="s">
        <v>15040</v>
      </c>
      <c r="D289">
        <v>288</v>
      </c>
      <c r="E289" t="str">
        <f t="shared" si="12"/>
        <v>E2_2_1_2</v>
      </c>
      <c r="F289" s="9" t="s">
        <v>16037</v>
      </c>
      <c r="G289" s="9" t="s">
        <v>16038</v>
      </c>
      <c r="H289" s="9" t="s">
        <v>16047</v>
      </c>
      <c r="I289" s="9" t="s">
        <v>16048</v>
      </c>
      <c r="J289" s="9" t="str">
        <f t="shared" si="13"/>
        <v>(${Variables:E2_2_1_2_kcat} * E2_2_1_2 * C05382 * C00118)/(${Variables:E2_2_1_2_km} + (E2_2_1_2 * C05382 * C00118))</v>
      </c>
      <c r="K289" s="38" t="str">
        <f t="shared" si="14"/>
        <v>r288: C05382 + C00118 -&gt; C00279 + C05345 | (${Variables:E2_2_1_2_kcat} * E2_2_1_2 * C05382 * C00118)/(${Variables:E2_2_1_2_km} + (E2_2_1_2 * C05382 * C00118))</v>
      </c>
    </row>
    <row r="290" spans="1:11" ht="42.75" x14ac:dyDescent="0.45">
      <c r="A290" t="s">
        <v>4318</v>
      </c>
      <c r="B290" t="s">
        <v>4319</v>
      </c>
      <c r="C290" t="s">
        <v>15041</v>
      </c>
      <c r="D290">
        <v>289</v>
      </c>
      <c r="E290" t="str">
        <f t="shared" si="12"/>
        <v>E2_2_1_6</v>
      </c>
      <c r="F290" s="9" t="s">
        <v>16061</v>
      </c>
      <c r="G290" s="9" t="s">
        <v>16062</v>
      </c>
      <c r="H290" s="9" t="s">
        <v>11078</v>
      </c>
      <c r="I290" s="9" t="s">
        <v>11078</v>
      </c>
      <c r="J290" s="9" t="str">
        <f t="shared" si="13"/>
        <v>(${Variables:E2_2_1_6_kcat} * E2_2_1_6 * C00900 * C00011)/(${Variables:E2_2_1_6_km} + (E2_2_1_6 * C00900 * C00011))</v>
      </c>
      <c r="K290" s="38" t="str">
        <f t="shared" si="14"/>
        <v>r289: C00900 + C00011 -&gt; C00022 | (${Variables:E2_2_1_6_kcat} * E2_2_1_6 * C00900 * C00011)/(${Variables:E2_2_1_6_km} + (E2_2_1_6 * C00900 * C00011))</v>
      </c>
    </row>
    <row r="291" spans="1:11" ht="42.75" x14ac:dyDescent="0.45">
      <c r="A291" t="s">
        <v>4318</v>
      </c>
      <c r="B291" t="s">
        <v>4319</v>
      </c>
      <c r="C291" t="s">
        <v>15041</v>
      </c>
      <c r="D291">
        <v>290</v>
      </c>
      <c r="E291" t="str">
        <f t="shared" si="12"/>
        <v>E2_2_1_6</v>
      </c>
      <c r="F291" s="9" t="s">
        <v>16067</v>
      </c>
      <c r="G291" s="9" t="s">
        <v>16068</v>
      </c>
      <c r="H291" s="9" t="s">
        <v>11078</v>
      </c>
      <c r="I291" s="9" t="s">
        <v>11078</v>
      </c>
      <c r="J291" s="9" t="str">
        <f t="shared" si="13"/>
        <v>(${Variables:E2_2_1_6_kcat} * E2_2_1_6 * C06010 * C00011)/(${Variables:E2_2_1_6_km} + (E2_2_1_6 * C06010 * C00011))</v>
      </c>
      <c r="K291" s="38" t="str">
        <f t="shared" si="14"/>
        <v>r290: C06010 + C00011 -&gt; C00022 | (${Variables:E2_2_1_6_kcat} * E2_2_1_6 * C06010 * C00011)/(${Variables:E2_2_1_6_km} + (E2_2_1_6 * C06010 * C00011))</v>
      </c>
    </row>
    <row r="292" spans="1:11" ht="42.75" x14ac:dyDescent="0.45">
      <c r="A292" t="s">
        <v>4318</v>
      </c>
      <c r="B292" t="s">
        <v>4319</v>
      </c>
      <c r="C292" t="s">
        <v>15041</v>
      </c>
      <c r="D292">
        <v>291</v>
      </c>
      <c r="E292" t="str">
        <f t="shared" si="12"/>
        <v>E2_2_1_6</v>
      </c>
      <c r="F292" s="9" t="s">
        <v>16049</v>
      </c>
      <c r="G292" s="9" t="s">
        <v>16050</v>
      </c>
      <c r="H292" s="9" t="s">
        <v>16051</v>
      </c>
      <c r="I292" s="9" t="s">
        <v>16052</v>
      </c>
      <c r="J292" s="9" t="str">
        <f t="shared" si="13"/>
        <v>(${Variables:E2_2_1_6_kcat} * E2_2_1_6 * C00022 * C00068)/(${Variables:E2_2_1_6_km} + (E2_2_1_6 * C00022 * C00068))</v>
      </c>
      <c r="K292" s="38" t="str">
        <f t="shared" si="14"/>
        <v>r291: C00022 + C00068 -&gt; C05125 + C00011 | (${Variables:E2_2_1_6_kcat} * E2_2_1_6 * C00022 * C00068)/(${Variables:E2_2_1_6_km} + (E2_2_1_6 * C00022 * C00068))</v>
      </c>
    </row>
    <row r="293" spans="1:11" ht="42.75" x14ac:dyDescent="0.45">
      <c r="A293" t="s">
        <v>4318</v>
      </c>
      <c r="B293" t="s">
        <v>4319</v>
      </c>
      <c r="C293" t="s">
        <v>15041</v>
      </c>
      <c r="D293">
        <v>292</v>
      </c>
      <c r="E293" t="str">
        <f t="shared" si="12"/>
        <v>E2_2_1_6</v>
      </c>
      <c r="F293" s="9" t="s">
        <v>16063</v>
      </c>
      <c r="G293" s="9" t="s">
        <v>16064</v>
      </c>
      <c r="H293" s="9" t="s">
        <v>16065</v>
      </c>
      <c r="I293" s="9" t="s">
        <v>16066</v>
      </c>
      <c r="J293" s="9" t="str">
        <f t="shared" si="13"/>
        <v>(${Variables:E2_2_1_6_kcat} * E2_2_1_6 * C00900 * C00068)/(${Variables:E2_2_1_6_km} + (E2_2_1_6 * C00900 * C00068))</v>
      </c>
      <c r="K293" s="38" t="str">
        <f t="shared" si="14"/>
        <v>r292: C00900 + C00068 -&gt; C05125 + C00022 | (${Variables:E2_2_1_6_kcat} * E2_2_1_6 * C00900 * C00068)/(${Variables:E2_2_1_6_km} + (E2_2_1_6 * C00900 * C00068))</v>
      </c>
    </row>
    <row r="294" spans="1:11" ht="42.75" x14ac:dyDescent="0.45">
      <c r="A294" t="s">
        <v>4318</v>
      </c>
      <c r="B294" t="s">
        <v>4319</v>
      </c>
      <c r="C294" t="s">
        <v>15041</v>
      </c>
      <c r="D294">
        <v>293</v>
      </c>
      <c r="E294" t="str">
        <f t="shared" si="12"/>
        <v>E2_2_1_6</v>
      </c>
      <c r="F294" s="9" t="s">
        <v>16069</v>
      </c>
      <c r="G294" s="9" t="s">
        <v>16070</v>
      </c>
      <c r="H294" s="9" t="s">
        <v>16065</v>
      </c>
      <c r="I294" s="9" t="s">
        <v>16066</v>
      </c>
      <c r="J294" s="9" t="str">
        <f t="shared" si="13"/>
        <v>(${Variables:E2_2_1_6_kcat} * E2_2_1_6 * C06010 * C00068)/(${Variables:E2_2_1_6_km} + (E2_2_1_6 * C06010 * C00068))</v>
      </c>
      <c r="K294" s="38" t="str">
        <f t="shared" si="14"/>
        <v>r293: C06010 + C00068 -&gt; C05125 + C00022 | (${Variables:E2_2_1_6_kcat} * E2_2_1_6 * C06010 * C00068)/(${Variables:E2_2_1_6_km} + (E2_2_1_6 * C06010 * C00068))</v>
      </c>
    </row>
    <row r="295" spans="1:11" ht="42.75" x14ac:dyDescent="0.45">
      <c r="A295" t="s">
        <v>4318</v>
      </c>
      <c r="B295" t="s">
        <v>4319</v>
      </c>
      <c r="C295" t="s">
        <v>15041</v>
      </c>
      <c r="D295">
        <v>294</v>
      </c>
      <c r="E295" t="str">
        <f t="shared" si="12"/>
        <v>E2_2_1_6</v>
      </c>
      <c r="F295" s="9" t="s">
        <v>16057</v>
      </c>
      <c r="G295" s="9" t="s">
        <v>16058</v>
      </c>
      <c r="H295" s="9" t="s">
        <v>16059</v>
      </c>
      <c r="I295" s="9" t="s">
        <v>16060</v>
      </c>
      <c r="J295" s="9" t="str">
        <f t="shared" si="13"/>
        <v>(${Variables:E2_2_1_6_kcat} * E2_2_1_6 * C00109 * C05125)/(${Variables:E2_2_1_6_km} + (E2_2_1_6 * C00109 * C05125))</v>
      </c>
      <c r="K295" s="38" t="str">
        <f t="shared" si="14"/>
        <v>r294: C00109 + C05125 -&gt; C06006 + C00068 | (${Variables:E2_2_1_6_kcat} * E2_2_1_6 * C00109 * C05125)/(${Variables:E2_2_1_6_km} + (E2_2_1_6 * C00109 * C05125))</v>
      </c>
    </row>
    <row r="296" spans="1:11" ht="42.75" x14ac:dyDescent="0.45">
      <c r="A296" t="s">
        <v>4318</v>
      </c>
      <c r="B296" t="s">
        <v>4319</v>
      </c>
      <c r="C296" t="s">
        <v>15041</v>
      </c>
      <c r="D296">
        <v>295</v>
      </c>
      <c r="E296" t="str">
        <f t="shared" si="12"/>
        <v>E2_2_1_6</v>
      </c>
      <c r="F296" s="9" t="s">
        <v>16053</v>
      </c>
      <c r="G296" s="9" t="s">
        <v>16054</v>
      </c>
      <c r="H296" s="9" t="s">
        <v>16055</v>
      </c>
      <c r="I296" s="9" t="s">
        <v>16056</v>
      </c>
      <c r="J296" s="9" t="str">
        <f t="shared" si="13"/>
        <v>(${Variables:E2_2_1_6_kcat} * E2_2_1_6 * C00022 * C00109)/(${Variables:E2_2_1_6_km} + (E2_2_1_6 * C00022 * C00109))</v>
      </c>
      <c r="K296" s="38" t="str">
        <f t="shared" si="14"/>
        <v>r295: C00022 + C00109 -&gt; C06006 + C00011 | (${Variables:E2_2_1_6_kcat} * E2_2_1_6 * C00022 * C00109)/(${Variables:E2_2_1_6_km} + (E2_2_1_6 * C00022 * C00109))</v>
      </c>
    </row>
    <row r="297" spans="1:11" ht="42.75" x14ac:dyDescent="0.45">
      <c r="A297" t="s">
        <v>3262</v>
      </c>
      <c r="B297" t="s">
        <v>3263</v>
      </c>
      <c r="C297" t="s">
        <v>15042</v>
      </c>
      <c r="D297">
        <v>296</v>
      </c>
      <c r="E297" t="str">
        <f t="shared" si="12"/>
        <v>E2_2_1_7</v>
      </c>
      <c r="F297" s="9" t="s">
        <v>16071</v>
      </c>
      <c r="G297" s="9" t="s">
        <v>16072</v>
      </c>
      <c r="H297" s="9" t="s">
        <v>16073</v>
      </c>
      <c r="I297" s="9" t="s">
        <v>16074</v>
      </c>
      <c r="J297" s="9" t="str">
        <f t="shared" si="13"/>
        <v>(${Variables:E2_2_1_7_kcat} * E2_2_1_7 * C00022 * C00118)/(${Variables:E2_2_1_7_km} + (E2_2_1_7 * C00022 * C00118))</v>
      </c>
      <c r="K297" s="38" t="str">
        <f t="shared" si="14"/>
        <v>r296: C00022 + C00118 -&gt; C11437 + C00011 | (${Variables:E2_2_1_7_kcat} * E2_2_1_7 * C00022 * C00118)/(${Variables:E2_2_1_7_km} + (E2_2_1_7 * C00022 * C00118))</v>
      </c>
    </row>
    <row r="298" spans="1:11" ht="42.75" x14ac:dyDescent="0.45">
      <c r="A298" t="s">
        <v>5853</v>
      </c>
      <c r="B298" t="s">
        <v>5854</v>
      </c>
      <c r="C298" t="s">
        <v>15043</v>
      </c>
      <c r="D298">
        <v>297</v>
      </c>
      <c r="E298" t="str">
        <f t="shared" si="12"/>
        <v>E2_3_1_1</v>
      </c>
      <c r="F298" s="9" t="s">
        <v>16075</v>
      </c>
      <c r="G298" s="9" t="s">
        <v>16076</v>
      </c>
      <c r="H298" s="9" t="s">
        <v>16077</v>
      </c>
      <c r="I298" s="9" t="s">
        <v>16078</v>
      </c>
      <c r="J298" s="9" t="str">
        <f t="shared" si="13"/>
        <v>(${Variables:E2_3_1_1_kcat} * E2_3_1_1 * C00024 * C00025)/(${Variables:E2_3_1_1_km} + (E2_3_1_1 * C00024 * C00025))</v>
      </c>
      <c r="K298" s="38" t="str">
        <f t="shared" si="14"/>
        <v>r297: C00024 + C00025 -&gt; C00010 + C00624 | (${Variables:E2_3_1_1_kcat} * E2_3_1_1 * C00024 * C00025)/(${Variables:E2_3_1_1_km} + (E2_3_1_1 * C00024 * C00025))</v>
      </c>
    </row>
    <row r="299" spans="1:11" ht="42.75" x14ac:dyDescent="0.45">
      <c r="A299" t="s">
        <v>7429</v>
      </c>
      <c r="B299" t="s">
        <v>7430</v>
      </c>
      <c r="C299" t="s">
        <v>15044</v>
      </c>
      <c r="D299">
        <v>298</v>
      </c>
      <c r="E299" t="str">
        <f t="shared" si="12"/>
        <v>E2_3_1_15</v>
      </c>
      <c r="F299" s="9" t="s">
        <v>16079</v>
      </c>
      <c r="G299" s="9" t="s">
        <v>16080</v>
      </c>
      <c r="H299" s="9" t="s">
        <v>16081</v>
      </c>
      <c r="I299" s="9" t="s">
        <v>16082</v>
      </c>
      <c r="J299" s="9" t="str">
        <f t="shared" si="13"/>
        <v>(${Variables:E2_3_1_15_kcat} * E2_3_1_15 * C00093 * C00040)/(${Variables:E2_3_1_15_km} + (E2_3_1_15 * C00093 * C00040))</v>
      </c>
      <c r="K299" s="38" t="str">
        <f t="shared" si="14"/>
        <v>r298: C00093 + C00040 -&gt; C00681 + C00010 | (${Variables:E2_3_1_15_kcat} * E2_3_1_15 * C00093 * C00040)/(${Variables:E2_3_1_15_km} + (E2_3_1_15 * C00093 * C00040))</v>
      </c>
    </row>
    <row r="300" spans="1:11" ht="42.75" x14ac:dyDescent="0.45">
      <c r="A300" t="s">
        <v>7429</v>
      </c>
      <c r="B300" t="s">
        <v>7430</v>
      </c>
      <c r="C300" t="s">
        <v>15044</v>
      </c>
      <c r="D300">
        <v>299</v>
      </c>
      <c r="E300" t="str">
        <f t="shared" si="12"/>
        <v>E2_3_1_15</v>
      </c>
      <c r="F300" s="9" t="s">
        <v>16087</v>
      </c>
      <c r="G300" s="9" t="s">
        <v>16088</v>
      </c>
      <c r="H300" s="9" t="s">
        <v>16089</v>
      </c>
      <c r="I300" s="9" t="s">
        <v>16090</v>
      </c>
      <c r="J300" s="9" t="str">
        <f t="shared" si="13"/>
        <v>(${Variables:E2_3_1_15_kcat} * E2_3_1_15 * C00605 * C00093)/(${Variables:E2_3_1_15_km} + (E2_3_1_15 * C00605 * C00093))</v>
      </c>
      <c r="K300" s="38" t="str">
        <f t="shared" si="14"/>
        <v>r299: C00605 + C00093 -&gt; C00010 + C00681 | (${Variables:E2_3_1_15_kcat} * E2_3_1_15 * C00605 * C00093)/(${Variables:E2_3_1_15_km} + (E2_3_1_15 * C00605 * C00093))</v>
      </c>
    </row>
    <row r="301" spans="1:11" ht="42.75" x14ac:dyDescent="0.45">
      <c r="A301" t="s">
        <v>7429</v>
      </c>
      <c r="B301" t="s">
        <v>7430</v>
      </c>
      <c r="C301" t="s">
        <v>15044</v>
      </c>
      <c r="D301">
        <v>300</v>
      </c>
      <c r="E301" t="str">
        <f t="shared" si="12"/>
        <v>E2_3_1_15</v>
      </c>
      <c r="F301" s="9" t="s">
        <v>16083</v>
      </c>
      <c r="G301" s="9" t="s">
        <v>16084</v>
      </c>
      <c r="H301" s="9" t="s">
        <v>16085</v>
      </c>
      <c r="I301" s="9" t="s">
        <v>16086</v>
      </c>
      <c r="J301" s="9" t="str">
        <f t="shared" si="13"/>
        <v>(${Variables:E2_3_1_15_kcat} * E2_3_1_15 * C00173 * C00093)/(${Variables:E2_3_1_15_km} + (E2_3_1_15 * C00173 * C00093))</v>
      </c>
      <c r="K301" s="38" t="str">
        <f t="shared" si="14"/>
        <v>r300: C00173 + C00093 -&gt; C00681 + C00229 | (${Variables:E2_3_1_15_kcat} * E2_3_1_15 * C00173 * C00093)/(${Variables:E2_3_1_15_km} + (E2_3_1_15 * C00173 * C00093))</v>
      </c>
    </row>
    <row r="302" spans="1:11" ht="42.75" x14ac:dyDescent="0.45">
      <c r="A302" t="s">
        <v>9708</v>
      </c>
      <c r="B302" t="s">
        <v>9709</v>
      </c>
      <c r="C302" t="s">
        <v>15045</v>
      </c>
      <c r="D302">
        <v>301</v>
      </c>
      <c r="E302" t="str">
        <f t="shared" si="12"/>
        <v>E2_3_1_157</v>
      </c>
      <c r="F302" s="9" t="s">
        <v>16091</v>
      </c>
      <c r="G302" s="9" t="s">
        <v>16092</v>
      </c>
      <c r="H302" s="9" t="s">
        <v>16093</v>
      </c>
      <c r="I302" s="9" t="s">
        <v>16094</v>
      </c>
      <c r="J302" s="9" t="str">
        <f t="shared" si="13"/>
        <v>(${Variables:E2_3_1_157_kcat} * E2_3_1_157 * C00024 * C06156)/(${Variables:E2_3_1_157_km} + (E2_3_1_157 * C00024 * C06156))</v>
      </c>
      <c r="K302" s="38" t="str">
        <f t="shared" si="14"/>
        <v>r301: C00024 + C06156 -&gt; C00010 + C04501 | (${Variables:E2_3_1_157_kcat} * E2_3_1_157 * C00024 * C06156)/(${Variables:E2_3_1_157_km} + (E2_3_1_157 * C00024 * C06156))</v>
      </c>
    </row>
    <row r="303" spans="1:11" ht="57" x14ac:dyDescent="0.45">
      <c r="A303" t="s">
        <v>2156</v>
      </c>
      <c r="B303" t="s">
        <v>2157</v>
      </c>
      <c r="C303" t="s">
        <v>15046</v>
      </c>
      <c r="D303">
        <v>302</v>
      </c>
      <c r="E303" t="str">
        <f t="shared" si="12"/>
        <v>E2_3_1_169</v>
      </c>
      <c r="F303" s="9" t="s">
        <v>16095</v>
      </c>
      <c r="G303" s="9" t="s">
        <v>16096</v>
      </c>
      <c r="H303" s="9" t="s">
        <v>16097</v>
      </c>
      <c r="I303" s="9" t="s">
        <v>16098</v>
      </c>
      <c r="J303" s="9" t="str">
        <f t="shared" si="13"/>
        <v>(${Variables:E2_3_1_169_kcat} * E2_3_1_169 * C00024 * C06021 * C00080)/(${Variables:E2_3_1_169_km} + (E2_3_1_169 * C00024 * C06021 * C00080))</v>
      </c>
      <c r="K303" s="38" t="str">
        <f t="shared" si="14"/>
        <v>r302: C00024 + C06021 + C00080 -&gt; C00237 + C06020 + C00010 | (${Variables:E2_3_1_169_kcat} * E2_3_1_169 * C00024 * C06021 * C00080)/(${Variables:E2_3_1_169_km} + (E2_3_1_169 * C00024 * C06021 * C00080))</v>
      </c>
    </row>
    <row r="304" spans="1:11" ht="57" x14ac:dyDescent="0.45">
      <c r="A304" t="s">
        <v>2156</v>
      </c>
      <c r="B304" t="s">
        <v>2157</v>
      </c>
      <c r="C304" t="s">
        <v>15046</v>
      </c>
      <c r="D304">
        <v>303</v>
      </c>
      <c r="E304" t="str">
        <f t="shared" si="12"/>
        <v>E2_3_1_169</v>
      </c>
      <c r="F304" s="9" t="s">
        <v>15739</v>
      </c>
      <c r="G304" s="9" t="s">
        <v>15740</v>
      </c>
      <c r="H304" s="9" t="s">
        <v>15741</v>
      </c>
      <c r="I304" s="9" t="s">
        <v>15742</v>
      </c>
      <c r="J304" s="9" t="str">
        <f t="shared" si="13"/>
        <v>(${Variables:E2_3_1_169_kcat} * E2_3_1_169 * C06020 * C00010 * C00011 * C00138)/(${Variables:E2_3_1_169_km} + (E2_3_1_169 * C06020 * C00010 * C00011 * C00138))</v>
      </c>
      <c r="K304" s="38" t="str">
        <f t="shared" si="14"/>
        <v>r303: C06020 + C00010 + C00011 + C00138 -&gt; C00024 + C06021 + C00001 + C00139 | (${Variables:E2_3_1_169_kcat} * E2_3_1_169 * C06020 * C00010 * C00011 * C00138)/(${Variables:E2_3_1_169_km} + (E2_3_1_169 * C06020 * C00010 * C00011 * C00138))</v>
      </c>
    </row>
    <row r="305" spans="1:11" ht="42.75" x14ac:dyDescent="0.45">
      <c r="A305" t="s">
        <v>2156</v>
      </c>
      <c r="B305" t="s">
        <v>2157</v>
      </c>
      <c r="C305" t="s">
        <v>15046</v>
      </c>
      <c r="D305">
        <v>304</v>
      </c>
      <c r="E305" t="str">
        <f t="shared" si="12"/>
        <v>E2_3_1_169</v>
      </c>
      <c r="F305" s="9" t="s">
        <v>16099</v>
      </c>
      <c r="G305" s="9" t="s">
        <v>16100</v>
      </c>
      <c r="H305" s="9" t="s">
        <v>16101</v>
      </c>
      <c r="I305" s="9" t="s">
        <v>16102</v>
      </c>
      <c r="J305" s="9" t="str">
        <f t="shared" si="13"/>
        <v>(${Variables:E2_3_1_169_kcat} * E2_3_1_169 * C00101 * C00024)/(${Variables:E2_3_1_169_km} + (E2_3_1_169 * C00101 * C00024))</v>
      </c>
      <c r="K305" s="38" t="str">
        <f t="shared" si="14"/>
        <v>r304: C00101 + C00024 -&gt; C00440 + C00010 + C00237 | (${Variables:E2_3_1_169_kcat} * E2_3_1_169 * C00101 * C00024)/(${Variables:E2_3_1_169_km} + (E2_3_1_169 * C00101 * C00024))</v>
      </c>
    </row>
    <row r="306" spans="1:11" ht="42.75" x14ac:dyDescent="0.45">
      <c r="A306" t="s">
        <v>3189</v>
      </c>
      <c r="B306" t="s">
        <v>3190</v>
      </c>
      <c r="C306" t="s">
        <v>15047</v>
      </c>
      <c r="D306">
        <v>305</v>
      </c>
      <c r="E306" t="str">
        <f t="shared" si="12"/>
        <v>E2_3_1_179</v>
      </c>
      <c r="F306" s="9" t="s">
        <v>16103</v>
      </c>
      <c r="G306" s="9" t="s">
        <v>16104</v>
      </c>
      <c r="H306" s="9" t="s">
        <v>16105</v>
      </c>
      <c r="I306" s="9" t="s">
        <v>16106</v>
      </c>
      <c r="J306" s="9" t="str">
        <f t="shared" si="13"/>
        <v>(${Variables:E2_3_1_179_kcat} * E2_3_1_179 * C00173 * C01209)/(${Variables:E2_3_1_179_km} + (E2_3_1_179 * C00173 * C01209))</v>
      </c>
      <c r="K306" s="38" t="str">
        <f t="shared" si="14"/>
        <v>r305: C00173 + C01209 -&gt; C00685 + C00011 + C00229 | (${Variables:E2_3_1_179_kcat} * E2_3_1_179 * C00173 * C01209)/(${Variables:E2_3_1_179_km} + (E2_3_1_179 * C00173 * C01209))</v>
      </c>
    </row>
    <row r="307" spans="1:11" ht="42.75" x14ac:dyDescent="0.45">
      <c r="A307" t="s">
        <v>3189</v>
      </c>
      <c r="B307" t="s">
        <v>3190</v>
      </c>
      <c r="C307" t="s">
        <v>15047</v>
      </c>
      <c r="D307">
        <v>306</v>
      </c>
      <c r="E307" t="str">
        <f t="shared" si="12"/>
        <v>E2_3_1_179</v>
      </c>
      <c r="F307" s="9" t="s">
        <v>16107</v>
      </c>
      <c r="G307" s="9" t="s">
        <v>16108</v>
      </c>
      <c r="H307" s="9" t="s">
        <v>16109</v>
      </c>
      <c r="I307" s="9" t="s">
        <v>16110</v>
      </c>
      <c r="J307" s="9" t="str">
        <f t="shared" si="13"/>
        <v>(${Variables:E2_3_1_179_kcat} * E2_3_1_179 * C03939 * C01209)/(${Variables:E2_3_1_179_km} + (E2_3_1_179 * C03939 * C01209))</v>
      </c>
      <c r="K307" s="38" t="str">
        <f t="shared" si="14"/>
        <v>r306: C03939 + C01209 -&gt; C05744 + C00011 + C00229 | (${Variables:E2_3_1_179_kcat} * E2_3_1_179 * C03939 * C01209)/(${Variables:E2_3_1_179_km} + (E2_3_1_179 * C03939 * C01209))</v>
      </c>
    </row>
    <row r="308" spans="1:11" ht="42.75" x14ac:dyDescent="0.45">
      <c r="A308" t="s">
        <v>3189</v>
      </c>
      <c r="B308" t="s">
        <v>3190</v>
      </c>
      <c r="C308" t="s">
        <v>15047</v>
      </c>
      <c r="D308">
        <v>307</v>
      </c>
      <c r="E308" t="str">
        <f t="shared" si="12"/>
        <v>E2_3_1_179</v>
      </c>
      <c r="F308" s="9" t="s">
        <v>16111</v>
      </c>
      <c r="G308" s="9" t="s">
        <v>16112</v>
      </c>
      <c r="H308" s="9" t="s">
        <v>16113</v>
      </c>
      <c r="I308" s="9" t="s">
        <v>16114</v>
      </c>
      <c r="J308" s="9" t="str">
        <f t="shared" si="13"/>
        <v>(${Variables:E2_3_1_179_kcat} * E2_3_1_179 * C05223 * C01209)/(${Variables:E2_3_1_179_km} + (E2_3_1_179 * C05223 * C01209))</v>
      </c>
      <c r="K308" s="38" t="str">
        <f t="shared" si="14"/>
        <v>r307: C05223 + C01209 -&gt; C05759 + C00011 + C00229 | (${Variables:E2_3_1_179_kcat} * E2_3_1_179 * C05223 * C01209)/(${Variables:E2_3_1_179_km} + (E2_3_1_179 * C05223 * C01209))</v>
      </c>
    </row>
    <row r="309" spans="1:11" ht="42.75" x14ac:dyDescent="0.45">
      <c r="A309" t="s">
        <v>3189</v>
      </c>
      <c r="B309" t="s">
        <v>3190</v>
      </c>
      <c r="C309" t="s">
        <v>15047</v>
      </c>
      <c r="D309">
        <v>308</v>
      </c>
      <c r="E309" t="str">
        <f t="shared" si="12"/>
        <v>E2_3_1_179</v>
      </c>
      <c r="F309" s="9" t="s">
        <v>16115</v>
      </c>
      <c r="G309" s="9" t="s">
        <v>16116</v>
      </c>
      <c r="H309" s="9" t="s">
        <v>16117</v>
      </c>
      <c r="I309" s="9" t="s">
        <v>16118</v>
      </c>
      <c r="J309" s="9" t="str">
        <f t="shared" si="13"/>
        <v>(${Variables:E2_3_1_179_kcat} * E2_3_1_179 * C05745 * C01209)/(${Variables:E2_3_1_179_km} + (E2_3_1_179 * C05745 * C01209))</v>
      </c>
      <c r="K309" s="38" t="str">
        <f t="shared" si="14"/>
        <v>r308: C05745 + C01209 -&gt; C05746 + C00011 + C00229 | (${Variables:E2_3_1_179_kcat} * E2_3_1_179 * C05745 * C01209)/(${Variables:E2_3_1_179_km} + (E2_3_1_179 * C05745 * C01209))</v>
      </c>
    </row>
    <row r="310" spans="1:11" ht="42.75" x14ac:dyDescent="0.45">
      <c r="A310" t="s">
        <v>3189</v>
      </c>
      <c r="B310" t="s">
        <v>3190</v>
      </c>
      <c r="C310" t="s">
        <v>15047</v>
      </c>
      <c r="D310">
        <v>309</v>
      </c>
      <c r="E310" t="str">
        <f t="shared" si="12"/>
        <v>E2_3_1_179</v>
      </c>
      <c r="F310" s="9" t="s">
        <v>16119</v>
      </c>
      <c r="G310" s="9" t="s">
        <v>16120</v>
      </c>
      <c r="H310" s="9" t="s">
        <v>16121</v>
      </c>
      <c r="I310" s="9" t="s">
        <v>16122</v>
      </c>
      <c r="J310" s="9" t="str">
        <f t="shared" si="13"/>
        <v>(${Variables:E2_3_1_179_kcat} * E2_3_1_179 * C05749 * C01209)/(${Variables:E2_3_1_179_km} + (E2_3_1_179 * C05749 * C01209))</v>
      </c>
      <c r="K310" s="38" t="str">
        <f t="shared" si="14"/>
        <v>r309: C05749 + C01209 -&gt; C05750 + C00011 + C00229 | (${Variables:E2_3_1_179_kcat} * E2_3_1_179 * C05749 * C01209)/(${Variables:E2_3_1_179_km} + (E2_3_1_179 * C05749 * C01209))</v>
      </c>
    </row>
    <row r="311" spans="1:11" ht="42.75" x14ac:dyDescent="0.45">
      <c r="A311" t="s">
        <v>3189</v>
      </c>
      <c r="B311" t="s">
        <v>3190</v>
      </c>
      <c r="C311" t="s">
        <v>15047</v>
      </c>
      <c r="D311">
        <v>310</v>
      </c>
      <c r="E311" t="str">
        <f t="shared" si="12"/>
        <v>E2_3_1_179</v>
      </c>
      <c r="F311" s="9" t="s">
        <v>16123</v>
      </c>
      <c r="G311" s="9" t="s">
        <v>16124</v>
      </c>
      <c r="H311" s="9" t="s">
        <v>16125</v>
      </c>
      <c r="I311" s="9" t="s">
        <v>16126</v>
      </c>
      <c r="J311" s="9" t="str">
        <f t="shared" si="13"/>
        <v>(${Variables:E2_3_1_179_kcat} * E2_3_1_179 * C05752 * C01209)/(${Variables:E2_3_1_179_km} + (E2_3_1_179 * C05752 * C01209))</v>
      </c>
      <c r="K311" s="38" t="str">
        <f t="shared" si="14"/>
        <v>r310: C05752 + C01209 -&gt; C05753 + C00011 + C00229 | (${Variables:E2_3_1_179_kcat} * E2_3_1_179 * C05752 * C01209)/(${Variables:E2_3_1_179_km} + (E2_3_1_179 * C05752 * C01209))</v>
      </c>
    </row>
    <row r="312" spans="1:11" ht="42.75" x14ac:dyDescent="0.45">
      <c r="A312" t="s">
        <v>3189</v>
      </c>
      <c r="B312" t="s">
        <v>3190</v>
      </c>
      <c r="C312" t="s">
        <v>15047</v>
      </c>
      <c r="D312">
        <v>311</v>
      </c>
      <c r="E312" t="str">
        <f t="shared" si="12"/>
        <v>E2_3_1_179</v>
      </c>
      <c r="F312" s="9" t="s">
        <v>16127</v>
      </c>
      <c r="G312" s="9" t="s">
        <v>16128</v>
      </c>
      <c r="H312" s="9" t="s">
        <v>16129</v>
      </c>
      <c r="I312" s="9" t="s">
        <v>16130</v>
      </c>
      <c r="J312" s="9" t="str">
        <f t="shared" si="13"/>
        <v>(${Variables:E2_3_1_179_kcat} * E2_3_1_179 * C05755 * C01209)/(${Variables:E2_3_1_179_km} + (E2_3_1_179 * C05755 * C01209))</v>
      </c>
      <c r="K312" s="38" t="str">
        <f t="shared" si="14"/>
        <v>r311: C05755 + C01209 -&gt; C05756 + C00011 + C00229 | (${Variables:E2_3_1_179_kcat} * E2_3_1_179 * C05755 * C01209)/(${Variables:E2_3_1_179_km} + (E2_3_1_179 * C05755 * C01209))</v>
      </c>
    </row>
    <row r="313" spans="1:11" ht="42.75" x14ac:dyDescent="0.45">
      <c r="A313" t="s">
        <v>3189</v>
      </c>
      <c r="B313" t="s">
        <v>3190</v>
      </c>
      <c r="C313" t="s">
        <v>15047</v>
      </c>
      <c r="D313">
        <v>312</v>
      </c>
      <c r="E313" t="str">
        <f t="shared" si="12"/>
        <v>E2_3_1_179</v>
      </c>
      <c r="F313" s="9" t="s">
        <v>16131</v>
      </c>
      <c r="G313" s="9" t="s">
        <v>16132</v>
      </c>
      <c r="H313" s="9" t="s">
        <v>16133</v>
      </c>
      <c r="I313" s="9" t="s">
        <v>16134</v>
      </c>
      <c r="J313" s="9" t="str">
        <f t="shared" si="13"/>
        <v>(${Variables:E2_3_1_179_kcat} * E2_3_1_179 * C05761 * C01209)/(${Variables:E2_3_1_179_km} + (E2_3_1_179 * C05761 * C01209))</v>
      </c>
      <c r="K313" s="38" t="str">
        <f t="shared" si="14"/>
        <v>r312: C05761 + C01209 -&gt; C05762 + C00011 + C00229 | (${Variables:E2_3_1_179_kcat} * E2_3_1_179 * C05761 * C01209)/(${Variables:E2_3_1_179_km} + (E2_3_1_179 * C05761 * C01209))</v>
      </c>
    </row>
    <row r="314" spans="1:11" ht="42.75" x14ac:dyDescent="0.45">
      <c r="A314" t="s">
        <v>3189</v>
      </c>
      <c r="B314" t="s">
        <v>3190</v>
      </c>
      <c r="C314" t="s">
        <v>15047</v>
      </c>
      <c r="D314">
        <v>313</v>
      </c>
      <c r="E314" t="str">
        <f t="shared" si="12"/>
        <v>E2_3_1_179</v>
      </c>
      <c r="F314" s="9" t="s">
        <v>16135</v>
      </c>
      <c r="G314" s="9" t="s">
        <v>16136</v>
      </c>
      <c r="H314" s="9" t="s">
        <v>16137</v>
      </c>
      <c r="I314" s="9" t="s">
        <v>16138</v>
      </c>
      <c r="J314" s="9" t="str">
        <f t="shared" si="13"/>
        <v>(${Variables:E2_3_1_179_kcat} * E2_3_1_179 * C05764 * C01209)/(${Variables:E2_3_1_179_km} + (E2_3_1_179 * C05764 * C01209))</v>
      </c>
      <c r="K314" s="38" t="str">
        <f t="shared" si="14"/>
        <v>r313: C05764 + C01209 -&gt; C16219 + C00229 + C00011 | (${Variables:E2_3_1_179_kcat} * E2_3_1_179 * C05764 * C01209)/(${Variables:E2_3_1_179_km} + (E2_3_1_179 * C05764 * C01209))</v>
      </c>
    </row>
    <row r="315" spans="1:11" ht="42.75" x14ac:dyDescent="0.45">
      <c r="A315" t="s">
        <v>3189</v>
      </c>
      <c r="B315" t="s">
        <v>3190</v>
      </c>
      <c r="C315" t="s">
        <v>15047</v>
      </c>
      <c r="D315">
        <v>314</v>
      </c>
      <c r="E315" t="str">
        <f t="shared" si="12"/>
        <v>E2_3_1_179</v>
      </c>
      <c r="F315" s="9" t="s">
        <v>16139</v>
      </c>
      <c r="G315" s="9" t="s">
        <v>16140</v>
      </c>
      <c r="H315" s="9" t="s">
        <v>16141</v>
      </c>
      <c r="I315" s="9" t="s">
        <v>16142</v>
      </c>
      <c r="J315" s="9" t="str">
        <f t="shared" si="13"/>
        <v>(${Variables:E2_3_1_179_kcat} * E2_3_1_179 * C19673 * C01209)/(${Variables:E2_3_1_179_km} + (E2_3_1_179 * C19673 * C01209))</v>
      </c>
      <c r="K315" s="38" t="str">
        <f t="shared" si="14"/>
        <v>r314: C19673 + C01209 -&gt; C20372 + C00011 + C00229 | (${Variables:E2_3_1_179_kcat} * E2_3_1_179 * C19673 * C01209)/(${Variables:E2_3_1_179_km} + (E2_3_1_179 * C19673 * C01209))</v>
      </c>
    </row>
    <row r="316" spans="1:11" ht="42.75" x14ac:dyDescent="0.45">
      <c r="A316" t="s">
        <v>3189</v>
      </c>
      <c r="B316" t="s">
        <v>3190</v>
      </c>
      <c r="C316" t="s">
        <v>15047</v>
      </c>
      <c r="D316">
        <v>315</v>
      </c>
      <c r="E316" t="str">
        <f t="shared" si="12"/>
        <v>E2_3_1_179</v>
      </c>
      <c r="F316" s="9" t="s">
        <v>16143</v>
      </c>
      <c r="G316" s="9" t="s">
        <v>16144</v>
      </c>
      <c r="H316" s="9" t="s">
        <v>16145</v>
      </c>
      <c r="I316" s="9" t="s">
        <v>16146</v>
      </c>
      <c r="J316" s="9" t="str">
        <f t="shared" si="13"/>
        <v>(${Variables:E2_3_1_179_kcat} * E2_3_1_179 * C20375 * C01209)/(${Variables:E2_3_1_179_km} + (E2_3_1_179 * C20375 * C01209))</v>
      </c>
      <c r="K316" s="38" t="str">
        <f t="shared" si="14"/>
        <v>r315: C20375 + C01209 -&gt; C20376 + C00011 + C00229 | (${Variables:E2_3_1_179_kcat} * E2_3_1_179 * C20375 * C01209)/(${Variables:E2_3_1_179_km} + (E2_3_1_179 * C20375 * C01209))</v>
      </c>
    </row>
    <row r="317" spans="1:11" ht="42.75" x14ac:dyDescent="0.45">
      <c r="A317" t="s">
        <v>3171</v>
      </c>
      <c r="B317" t="s">
        <v>3172</v>
      </c>
      <c r="C317" t="s">
        <v>15048</v>
      </c>
      <c r="D317">
        <v>316</v>
      </c>
      <c r="E317" t="str">
        <f t="shared" si="12"/>
        <v>E2_3_1_180</v>
      </c>
      <c r="F317" s="9" t="s">
        <v>16147</v>
      </c>
      <c r="G317" s="9" t="s">
        <v>16148</v>
      </c>
      <c r="H317" s="9" t="s">
        <v>16149</v>
      </c>
      <c r="I317" s="9" t="s">
        <v>16150</v>
      </c>
      <c r="J317" s="9" t="str">
        <f t="shared" si="13"/>
        <v>(${Variables:E2_3_1_180_kcat} * E2_3_1_180 * C00024 * C01209)/(${Variables:E2_3_1_180_km} + (E2_3_1_180 * C00024 * C01209))</v>
      </c>
      <c r="K317" s="38" t="str">
        <f t="shared" si="14"/>
        <v>r316: C00024 + C01209 -&gt; C05744 + C00010 + C00011 | (${Variables:E2_3_1_180_kcat} * E2_3_1_180 * C00024 * C01209)/(${Variables:E2_3_1_180_km} + (E2_3_1_180 * C00024 * C01209))</v>
      </c>
    </row>
    <row r="318" spans="1:11" ht="42.75" x14ac:dyDescent="0.45">
      <c r="A318" t="s">
        <v>540</v>
      </c>
      <c r="B318" t="s">
        <v>541</v>
      </c>
      <c r="C318" t="s">
        <v>15049</v>
      </c>
      <c r="D318">
        <v>317</v>
      </c>
      <c r="E318" t="str">
        <f t="shared" si="12"/>
        <v>E2_3_1_19</v>
      </c>
      <c r="F318" s="9" t="s">
        <v>16151</v>
      </c>
      <c r="G318" s="9" t="s">
        <v>16152</v>
      </c>
      <c r="H318" s="9" t="s">
        <v>16153</v>
      </c>
      <c r="I318" s="9" t="s">
        <v>16154</v>
      </c>
      <c r="J318" s="9" t="str">
        <f t="shared" si="13"/>
        <v>(${Variables:E2_3_1_19_kcat} * E2_3_1_19 * C00136 * C00009)/(${Variables:E2_3_1_19_km} + (E2_3_1_19 * C00136 * C00009))</v>
      </c>
      <c r="K318" s="38" t="str">
        <f t="shared" si="14"/>
        <v>r317: C00136 + C00009 -&gt; C00010 + C02527 | (${Variables:E2_3_1_19_kcat} * E2_3_1_19 * C00136 * C00009)/(${Variables:E2_3_1_19_km} + (E2_3_1_19 * C00136 * C00009))</v>
      </c>
    </row>
    <row r="319" spans="1:11" ht="42.75" x14ac:dyDescent="0.45">
      <c r="A319" t="s">
        <v>7583</v>
      </c>
      <c r="B319" t="s">
        <v>7584</v>
      </c>
      <c r="C319" t="s">
        <v>15050</v>
      </c>
      <c r="D319">
        <v>318</v>
      </c>
      <c r="E319" t="str">
        <f t="shared" si="12"/>
        <v>E2_3_1_222</v>
      </c>
      <c r="F319" s="9" t="s">
        <v>16155</v>
      </c>
      <c r="G319" s="9" t="s">
        <v>16156</v>
      </c>
      <c r="H319" s="9" t="s">
        <v>16157</v>
      </c>
      <c r="I319" s="9" t="s">
        <v>16158</v>
      </c>
      <c r="J319" s="9" t="str">
        <f t="shared" si="13"/>
        <v>(${Variables:E2_3_1_222_kcat} * E2_3_1_222 * C00100 * C00009)/(${Variables:E2_3_1_222_km} + (E2_3_1_222 * C00100 * C00009))</v>
      </c>
      <c r="K319" s="38" t="str">
        <f t="shared" si="14"/>
        <v>r318: C00100 + C00009 -&gt; C02876 + C00010 | (${Variables:E2_3_1_222_kcat} * E2_3_1_222 * C00100 * C00009)/(${Variables:E2_3_1_222_km} + (E2_3_1_222 * C00100 * C00009))</v>
      </c>
    </row>
    <row r="320" spans="1:11" ht="42.75" x14ac:dyDescent="0.45">
      <c r="A320" t="s">
        <v>667</v>
      </c>
      <c r="B320" t="s">
        <v>668</v>
      </c>
      <c r="C320" t="s">
        <v>15051</v>
      </c>
      <c r="D320">
        <v>319</v>
      </c>
      <c r="E320" t="str">
        <f t="shared" si="12"/>
        <v>E2_3_1_234</v>
      </c>
      <c r="F320" s="9" t="s">
        <v>16159</v>
      </c>
      <c r="G320" s="9" t="s">
        <v>16160</v>
      </c>
      <c r="H320" s="9" t="s">
        <v>16161</v>
      </c>
      <c r="I320" s="9" t="s">
        <v>16162</v>
      </c>
      <c r="J320" s="9" t="str">
        <f t="shared" si="13"/>
        <v>(${Variables:E2_3_1_234_kcat} * E2_3_1_234 * C20641 * C17324)/(${Variables:E2_3_1_234_km} + (E2_3_1_234 * C20641 * C17324))</v>
      </c>
      <c r="K320" s="38" t="str">
        <f t="shared" si="14"/>
        <v>r319: C20641 + C17324 -&gt; C00020 + C20751 | (${Variables:E2_3_1_234_kcat} * E2_3_1_234 * C20641 * C17324)/(${Variables:E2_3_1_234_km} + (E2_3_1_234 * C20641 * C17324))</v>
      </c>
    </row>
    <row r="321" spans="1:11" ht="42.75" x14ac:dyDescent="0.45">
      <c r="A321" t="s">
        <v>675</v>
      </c>
      <c r="B321" t="s">
        <v>676</v>
      </c>
      <c r="C321" t="s">
        <v>15051</v>
      </c>
      <c r="D321">
        <v>320</v>
      </c>
      <c r="E321" t="str">
        <f t="shared" si="12"/>
        <v>E2_3_1_234</v>
      </c>
      <c r="F321" s="9" t="s">
        <v>16159</v>
      </c>
      <c r="G321" s="9" t="s">
        <v>16160</v>
      </c>
      <c r="H321" s="9" t="s">
        <v>16161</v>
      </c>
      <c r="I321" s="9" t="s">
        <v>16162</v>
      </c>
      <c r="J321" s="9" t="str">
        <f t="shared" si="13"/>
        <v>(${Variables:E2_3_1_234_kcat} * E2_3_1_234 * C20641 * C17324)/(${Variables:E2_3_1_234_km} + (E2_3_1_234 * C20641 * C17324))</v>
      </c>
      <c r="K321" s="38" t="str">
        <f t="shared" si="14"/>
        <v>r320: C20641 + C17324 -&gt; C00020 + C20751 | (${Variables:E2_3_1_234_kcat} * E2_3_1_234 * C20641 * C17324)/(${Variables:E2_3_1_234_km} + (E2_3_1_234 * C20641 * C17324))</v>
      </c>
    </row>
    <row r="322" spans="1:11" ht="42.75" x14ac:dyDescent="0.45">
      <c r="A322" t="s">
        <v>1403</v>
      </c>
      <c r="B322" t="s">
        <v>1404</v>
      </c>
      <c r="C322" t="s">
        <v>15052</v>
      </c>
      <c r="D322">
        <v>321</v>
      </c>
      <c r="E322" t="str">
        <f t="shared" si="12"/>
        <v>E2_3_1_263</v>
      </c>
      <c r="F322" s="9" t="s">
        <v>16163</v>
      </c>
      <c r="G322" s="9" t="s">
        <v>16164</v>
      </c>
      <c r="H322" s="9" t="s">
        <v>16165</v>
      </c>
      <c r="I322" s="9" t="s">
        <v>16166</v>
      </c>
      <c r="J322" s="9" t="str">
        <f t="shared" si="13"/>
        <v>(${Variables:E2_3_1_263_kcat} * E2_3_1_263 * C00133 * C00024)/(${Variables:E2_3_1_263_km} + (E2_3_1_263 * C00133 * C00024))</v>
      </c>
      <c r="K322" s="38" t="str">
        <f t="shared" si="14"/>
        <v>r321: C00133 + C00024 -&gt; C03341 + C00010 | (${Variables:E2_3_1_263_kcat} * E2_3_1_263 * C00133 * C00024)/(${Variables:E2_3_1_263_km} + (E2_3_1_263 * C00133 * C00024))</v>
      </c>
    </row>
    <row r="323" spans="1:11" ht="42.75" x14ac:dyDescent="0.45">
      <c r="A323" t="s">
        <v>1407</v>
      </c>
      <c r="B323" t="s">
        <v>1408</v>
      </c>
      <c r="C323" t="s">
        <v>15052</v>
      </c>
      <c r="D323">
        <v>322</v>
      </c>
      <c r="E323" t="str">
        <f t="shared" ref="E323:E386" si="15">CONCATENATE("E",C323)</f>
        <v>E2_3_1_263</v>
      </c>
      <c r="F323" s="9" t="s">
        <v>16163</v>
      </c>
      <c r="G323" s="9" t="s">
        <v>16164</v>
      </c>
      <c r="H323" s="9" t="s">
        <v>16165</v>
      </c>
      <c r="I323" s="9" t="s">
        <v>16166</v>
      </c>
      <c r="J323" s="9" t="str">
        <f t="shared" ref="J323:J386" si="16">CONCATENATE("(${Variables:",E323,"_kcat","} * ",E323," * ",G323,")","/(${Variables:",E323,"_km","} + (",E323," * ",G323,"))")</f>
        <v>(${Variables:E2_3_1_263_kcat} * E2_3_1_263 * C00133 * C00024)/(${Variables:E2_3_1_263_km} + (E2_3_1_263 * C00133 * C00024))</v>
      </c>
      <c r="K323" s="38" t="str">
        <f t="shared" ref="K323:K386" si="17">CONCATENATE("r",D323,": ",F323," -&gt; ",H323," | ",J323)</f>
        <v>r322: C00133 + C00024 -&gt; C03341 + C00010 | (${Variables:E2_3_1_263_kcat} * E2_3_1_263 * C00133 * C00024)/(${Variables:E2_3_1_263_km} + (E2_3_1_263 * C00133 * C00024))</v>
      </c>
    </row>
    <row r="324" spans="1:11" ht="42.75" x14ac:dyDescent="0.45">
      <c r="A324" t="s">
        <v>671</v>
      </c>
      <c r="B324" t="s">
        <v>672</v>
      </c>
      <c r="C324" t="s">
        <v>15053</v>
      </c>
      <c r="D324">
        <v>323</v>
      </c>
      <c r="E324" t="str">
        <f t="shared" si="15"/>
        <v>E2_3_1_266</v>
      </c>
      <c r="F324" s="9" t="s">
        <v>16167</v>
      </c>
      <c r="G324" s="9" t="s">
        <v>16168</v>
      </c>
      <c r="H324" s="9" t="s">
        <v>16169</v>
      </c>
      <c r="I324" s="9" t="s">
        <v>16170</v>
      </c>
      <c r="J324" s="9" t="str">
        <f t="shared" si="16"/>
        <v>(${Variables:E2_3_1_266_kcat} * E2_3_1_266 * C00024 * C03803)/(${Variables:E2_3_1_266_km} + (E2_3_1_266 * C00024 * C03803))</v>
      </c>
      <c r="K324" s="38" t="str">
        <f t="shared" si="17"/>
        <v>r323: C00024 + C03803 -&gt; C00010 + C04341 | (${Variables:E2_3_1_266_kcat} * E2_3_1_266 * C00024 * C03803)/(${Variables:E2_3_1_266_km} + (E2_3_1_266 * C00024 * C03803))</v>
      </c>
    </row>
    <row r="325" spans="1:11" ht="42.75" x14ac:dyDescent="0.45">
      <c r="A325" t="s">
        <v>3168</v>
      </c>
      <c r="B325" t="s">
        <v>3169</v>
      </c>
      <c r="C325" t="s">
        <v>15054</v>
      </c>
      <c r="D325">
        <v>324</v>
      </c>
      <c r="E325" t="str">
        <f t="shared" si="15"/>
        <v>E2_3_1_274</v>
      </c>
      <c r="F325" s="9" t="s">
        <v>16171</v>
      </c>
      <c r="G325" s="9" t="s">
        <v>16172</v>
      </c>
      <c r="H325" s="9" t="s">
        <v>16173</v>
      </c>
      <c r="I325" s="9" t="s">
        <v>16174</v>
      </c>
      <c r="J325" s="9" t="str">
        <f t="shared" si="16"/>
        <v>(${Variables:E2_3_1_274_kcat} * E2_3_1_274 * C00173 * C00009)/(${Variables:E2_3_1_274_km} + (E2_3_1_274 * C00173 * C00009))</v>
      </c>
      <c r="K325" s="38" t="str">
        <f t="shared" si="17"/>
        <v>r324: C00173 + C00009 -&gt; C02133 + C00229 | (${Variables:E2_3_1_274_kcat} * E2_3_1_274 * C00173 * C00009)/(${Variables:E2_3_1_274_km} + (E2_3_1_274 * C00173 * C00009))</v>
      </c>
    </row>
    <row r="326" spans="1:11" ht="57" x14ac:dyDescent="0.45">
      <c r="A326" t="s">
        <v>3558</v>
      </c>
      <c r="B326" t="s">
        <v>3559</v>
      </c>
      <c r="C326" t="s">
        <v>15055</v>
      </c>
      <c r="D326">
        <v>325</v>
      </c>
      <c r="E326" t="str">
        <f t="shared" si="15"/>
        <v>E2_3_1_286</v>
      </c>
      <c r="F326" s="9" t="s">
        <v>16179</v>
      </c>
      <c r="G326" s="9" t="s">
        <v>16180</v>
      </c>
      <c r="H326" s="9" t="s">
        <v>16181</v>
      </c>
      <c r="I326" s="9" t="s">
        <v>16182</v>
      </c>
      <c r="J326" s="9" t="str">
        <f t="shared" si="16"/>
        <v>(${Variables:E2_3_1_286_kcat} * E2_3_1_286 * C00003 * C20743 * C00001)/(${Variables:E2_3_1_286_km} + (E2_3_1_286 * C00003 * C20743 * C00001))</v>
      </c>
      <c r="K326" s="38" t="str">
        <f t="shared" si="17"/>
        <v>r325: C00003 + C20743 + C00001 -&gt; C00153 + C02188 + C20658 + C00080 | (${Variables:E2_3_1_286_kcat} * E2_3_1_286 * C00003 * C20743 * C00001)/(${Variables:E2_3_1_286_km} + (E2_3_1_286 * C00003 * C20743 * C00001))</v>
      </c>
    </row>
    <row r="327" spans="1:11" ht="57" x14ac:dyDescent="0.45">
      <c r="A327" t="s">
        <v>3558</v>
      </c>
      <c r="B327" t="s">
        <v>3559</v>
      </c>
      <c r="C327" t="s">
        <v>15055</v>
      </c>
      <c r="D327">
        <v>326</v>
      </c>
      <c r="E327" t="str">
        <f t="shared" si="15"/>
        <v>E2_3_1_286</v>
      </c>
      <c r="F327" s="9" t="s">
        <v>16175</v>
      </c>
      <c r="G327" s="9" t="s">
        <v>16176</v>
      </c>
      <c r="H327" s="9" t="s">
        <v>16177</v>
      </c>
      <c r="I327" s="9" t="s">
        <v>16178</v>
      </c>
      <c r="J327" s="9" t="str">
        <f t="shared" si="16"/>
        <v>(${Variables:E2_3_1_286_kcat} * E2_3_1_286 * C00003 * C01997 * C00001)/(${Variables:E2_3_1_286_km} + (E2_3_1_286 * C00003 * C01997 * C00001))</v>
      </c>
      <c r="K327" s="38" t="str">
        <f t="shared" si="17"/>
        <v>r326: C00003 + C01997 + C00001 -&gt; C00153 + C02415 + C20658 + C00080 | (${Variables:E2_3_1_286_kcat} * E2_3_1_286 * C00003 * C01997 * C00001)/(${Variables:E2_3_1_286_km} + (E2_3_1_286 * C00003 * C01997 * C00001))</v>
      </c>
    </row>
    <row r="328" spans="1:11" ht="42.75" x14ac:dyDescent="0.45">
      <c r="A328" t="s">
        <v>5200</v>
      </c>
      <c r="B328" t="s">
        <v>5201</v>
      </c>
      <c r="C328" t="s">
        <v>15056</v>
      </c>
      <c r="D328">
        <v>327</v>
      </c>
      <c r="E328" t="str">
        <f t="shared" si="15"/>
        <v>E2_3_1_31</v>
      </c>
      <c r="F328" s="9" t="s">
        <v>16183</v>
      </c>
      <c r="G328" s="9" t="s">
        <v>16184</v>
      </c>
      <c r="H328" s="9" t="s">
        <v>16185</v>
      </c>
      <c r="I328" s="9" t="s">
        <v>16186</v>
      </c>
      <c r="J328" s="9" t="str">
        <f t="shared" si="16"/>
        <v>(${Variables:E2_3_1_31_kcat} * E2_3_1_31 * C00024 * C00263)/(${Variables:E2_3_1_31_km} + (E2_3_1_31 * C00024 * C00263))</v>
      </c>
      <c r="K328" s="38" t="str">
        <f t="shared" si="17"/>
        <v>r327: C00024 + C00263 -&gt; C00010 + C01077 | (${Variables:E2_3_1_31_kcat} * E2_3_1_31 * C00024 * C00263)/(${Variables:E2_3_1_31_km} + (E2_3_1_31 * C00024 * C00263))</v>
      </c>
    </row>
    <row r="329" spans="1:11" ht="42.75" x14ac:dyDescent="0.45">
      <c r="A329" t="s">
        <v>5853</v>
      </c>
      <c r="B329" t="s">
        <v>5854</v>
      </c>
      <c r="C329" t="s">
        <v>15057</v>
      </c>
      <c r="D329">
        <v>328</v>
      </c>
      <c r="E329" t="str">
        <f t="shared" si="15"/>
        <v>E2_3_1_35</v>
      </c>
      <c r="F329" s="9" t="s">
        <v>16187</v>
      </c>
      <c r="G329" s="9" t="s">
        <v>16188</v>
      </c>
      <c r="H329" s="9" t="s">
        <v>16189</v>
      </c>
      <c r="I329" s="9" t="s">
        <v>16190</v>
      </c>
      <c r="J329" s="9" t="str">
        <f t="shared" si="16"/>
        <v>(${Variables:E2_3_1_35_kcat} * E2_3_1_35 * C00437 * C00025)/(${Variables:E2_3_1_35_km} + (E2_3_1_35 * C00437 * C00025))</v>
      </c>
      <c r="K329" s="38" t="str">
        <f t="shared" si="17"/>
        <v>r328: C00437 + C00025 -&gt; C00077 + C00624 | (${Variables:E2_3_1_35_kcat} * E2_3_1_35 * C00437 * C00025)/(${Variables:E2_3_1_35_km} + (E2_3_1_35 * C00437 * C00025))</v>
      </c>
    </row>
    <row r="330" spans="1:11" ht="42.75" x14ac:dyDescent="0.45">
      <c r="A330" t="s">
        <v>3179</v>
      </c>
      <c r="B330" t="s">
        <v>3180</v>
      </c>
      <c r="C330" t="s">
        <v>15058</v>
      </c>
      <c r="D330">
        <v>329</v>
      </c>
      <c r="E330" t="str">
        <f t="shared" si="15"/>
        <v>E2_3_1_39</v>
      </c>
      <c r="F330" s="9" t="s">
        <v>16191</v>
      </c>
      <c r="G330" s="9" t="s">
        <v>16192</v>
      </c>
      <c r="H330" s="9" t="s">
        <v>16193</v>
      </c>
      <c r="I330" s="9" t="s">
        <v>16194</v>
      </c>
      <c r="J330" s="9" t="str">
        <f t="shared" si="16"/>
        <v>(${Variables:E2_3_1_39_kcat} * E2_3_1_39 * C00083 * C00229)/(${Variables:E2_3_1_39_km} + (E2_3_1_39 * C00083 * C00229))</v>
      </c>
      <c r="K330" s="38" t="str">
        <f t="shared" si="17"/>
        <v>r329: C00083 + C00229 -&gt; C00010 + C01209 | (${Variables:E2_3_1_39_kcat} * E2_3_1_39 * C00083 * C00229)/(${Variables:E2_3_1_39_km} + (E2_3_1_39 * C00083 * C00229))</v>
      </c>
    </row>
    <row r="331" spans="1:11" ht="42.75" x14ac:dyDescent="0.45">
      <c r="A331" t="s">
        <v>2252</v>
      </c>
      <c r="B331" t="s">
        <v>2253</v>
      </c>
      <c r="C331" t="s">
        <v>15059</v>
      </c>
      <c r="D331">
        <v>330</v>
      </c>
      <c r="E331" t="str">
        <f t="shared" si="15"/>
        <v>E2_3_1_54</v>
      </c>
      <c r="F331" s="9" t="s">
        <v>16195</v>
      </c>
      <c r="G331" s="9" t="s">
        <v>16196</v>
      </c>
      <c r="H331" s="9" t="s">
        <v>16197</v>
      </c>
      <c r="I331" s="9" t="s">
        <v>16198</v>
      </c>
      <c r="J331" s="9" t="str">
        <f t="shared" si="16"/>
        <v>(${Variables:E2_3_1_54_kcat} * E2_3_1_54 * C00024 * C00058)/(${Variables:E2_3_1_54_km} + (E2_3_1_54 * C00024 * C00058))</v>
      </c>
      <c r="K331" s="38" t="str">
        <f t="shared" si="17"/>
        <v>r330: C00024 + C00058 -&gt; C00010 + C00022 | (${Variables:E2_3_1_54_kcat} * E2_3_1_54 * C00024 * C00058)/(${Variables:E2_3_1_54_km} + (E2_3_1_54 * C00024 * C00058))</v>
      </c>
    </row>
    <row r="332" spans="1:11" ht="42.75" x14ac:dyDescent="0.45">
      <c r="A332" t="s">
        <v>2252</v>
      </c>
      <c r="B332" t="s">
        <v>2253</v>
      </c>
      <c r="C332" t="s">
        <v>15059</v>
      </c>
      <c r="D332">
        <v>331</v>
      </c>
      <c r="E332" t="str">
        <f t="shared" si="15"/>
        <v>E2_3_1_54</v>
      </c>
      <c r="F332" s="9" t="s">
        <v>16199</v>
      </c>
      <c r="G332" s="9" t="s">
        <v>16200</v>
      </c>
      <c r="H332" s="9" t="s">
        <v>16201</v>
      </c>
      <c r="I332" s="9" t="s">
        <v>16202</v>
      </c>
      <c r="J332" s="9" t="str">
        <f t="shared" si="16"/>
        <v>(${Variables:E2_3_1_54_kcat} * E2_3_1_54 * C00109 * C00010)/(${Variables:E2_3_1_54_km} + (E2_3_1_54 * C00109 * C00010))</v>
      </c>
      <c r="K332" s="38" t="str">
        <f t="shared" si="17"/>
        <v>r331: C00109 + C00010 -&gt; C00100 + C00058 | (${Variables:E2_3_1_54_kcat} * E2_3_1_54 * C00109 * C00010)/(${Variables:E2_3_1_54_km} + (E2_3_1_54 * C00109 * C00010))</v>
      </c>
    </row>
    <row r="333" spans="1:11" ht="42.75" x14ac:dyDescent="0.45">
      <c r="A333" t="s">
        <v>5554</v>
      </c>
      <c r="B333" t="s">
        <v>5555</v>
      </c>
      <c r="C333" t="s">
        <v>15060</v>
      </c>
      <c r="D333">
        <v>332</v>
      </c>
      <c r="E333" t="str">
        <f t="shared" si="15"/>
        <v>E2_3_1_8</v>
      </c>
      <c r="F333" s="9" t="s">
        <v>16203</v>
      </c>
      <c r="G333" s="9" t="s">
        <v>16204</v>
      </c>
      <c r="H333" s="9" t="s">
        <v>16205</v>
      </c>
      <c r="I333" s="9" t="s">
        <v>16206</v>
      </c>
      <c r="J333" s="9" t="str">
        <f t="shared" si="16"/>
        <v>(${Variables:E2_3_1_8_kcat} * E2_3_1_8 * C00024 * C00009)/(${Variables:E2_3_1_8_km} + (E2_3_1_8 * C00024 * C00009))</v>
      </c>
      <c r="K333" s="38" t="str">
        <f t="shared" si="17"/>
        <v>r332: C00024 + C00009 -&gt; C00010 + C00227 | (${Variables:E2_3_1_8_kcat} * E2_3_1_8 * C00024 * C00009)/(${Variables:E2_3_1_8_km} + (E2_3_1_8 * C00024 * C00009))</v>
      </c>
    </row>
    <row r="334" spans="1:11" ht="42.75" x14ac:dyDescent="0.45">
      <c r="A334" t="s">
        <v>5554</v>
      </c>
      <c r="B334" t="s">
        <v>5555</v>
      </c>
      <c r="C334" t="s">
        <v>15060</v>
      </c>
      <c r="D334">
        <v>333</v>
      </c>
      <c r="E334" t="str">
        <f t="shared" si="15"/>
        <v>E2_3_1_8</v>
      </c>
      <c r="F334" s="9" t="s">
        <v>16155</v>
      </c>
      <c r="G334" s="9" t="s">
        <v>16156</v>
      </c>
      <c r="H334" s="9" t="s">
        <v>16157</v>
      </c>
      <c r="I334" s="9" t="s">
        <v>16158</v>
      </c>
      <c r="J334" s="9" t="str">
        <f t="shared" si="16"/>
        <v>(${Variables:E2_3_1_8_kcat} * E2_3_1_8 * C00100 * C00009)/(${Variables:E2_3_1_8_km} + (E2_3_1_8 * C00100 * C00009))</v>
      </c>
      <c r="K334" s="38" t="str">
        <f t="shared" si="17"/>
        <v>r333: C00100 + C00009 -&gt; C02876 + C00010 | (${Variables:E2_3_1_8_kcat} * E2_3_1_8 * C00100 * C00009)/(${Variables:E2_3_1_8_km} + (E2_3_1_8 * C00100 * C00009))</v>
      </c>
    </row>
    <row r="335" spans="1:11" ht="42.75" x14ac:dyDescent="0.45">
      <c r="A335" t="s">
        <v>8950</v>
      </c>
      <c r="B335" t="s">
        <v>8951</v>
      </c>
      <c r="C335" t="s">
        <v>15061</v>
      </c>
      <c r="D335">
        <v>334</v>
      </c>
      <c r="E335" t="str">
        <f t="shared" si="15"/>
        <v>E2_3_1_89</v>
      </c>
      <c r="F335" s="9" t="s">
        <v>16207</v>
      </c>
      <c r="G335" s="9" t="s">
        <v>16208</v>
      </c>
      <c r="H335" s="9" t="s">
        <v>16209</v>
      </c>
      <c r="I335" s="9" t="s">
        <v>16210</v>
      </c>
      <c r="J335" s="9" t="str">
        <f t="shared" si="16"/>
        <v>(${Variables:E2_3_1_89_kcat} * E2_3_1_89 * C03972 * C00024 * C00001)/(${Variables:E2_3_1_89_km} + (E2_3_1_89 * C03972 * C00024 * C00001))</v>
      </c>
      <c r="K335" s="38" t="str">
        <f t="shared" si="17"/>
        <v>r334: C03972 + C00024 + C00001 -&gt; C05539 + C00010 | (${Variables:E2_3_1_89_kcat} * E2_3_1_89 * C03972 * C00024 * C00001)/(${Variables:E2_3_1_89_km} + (E2_3_1_89 * C03972 * C00024 * C00001))</v>
      </c>
    </row>
    <row r="336" spans="1:11" ht="28.5" x14ac:dyDescent="0.45">
      <c r="A336" t="s">
        <v>2875</v>
      </c>
      <c r="B336" t="s">
        <v>2876</v>
      </c>
      <c r="C336" t="s">
        <v>15062</v>
      </c>
      <c r="D336">
        <v>335</v>
      </c>
      <c r="E336" t="str">
        <f t="shared" si="15"/>
        <v>E2_3_1_9</v>
      </c>
      <c r="F336" s="9" t="s">
        <v>11247</v>
      </c>
      <c r="G336" s="9" t="s">
        <v>11247</v>
      </c>
      <c r="H336" s="9" t="s">
        <v>16211</v>
      </c>
      <c r="I336" s="9" t="s">
        <v>16212</v>
      </c>
      <c r="J336" s="9" t="str">
        <f t="shared" si="16"/>
        <v>(${Variables:E2_3_1_9_kcat} * E2_3_1_9 * C00024)/(${Variables:E2_3_1_9_km} + (E2_3_1_9 * C00024))</v>
      </c>
      <c r="K336" s="38" t="str">
        <f t="shared" si="17"/>
        <v>r335: C00024 -&gt; C00010 + C00332 | (${Variables:E2_3_1_9_kcat} * E2_3_1_9 * C00024)/(${Variables:E2_3_1_9_km} + (E2_3_1_9 * C00024))</v>
      </c>
    </row>
    <row r="337" spans="1:11" ht="42.75" x14ac:dyDescent="0.45">
      <c r="A337" t="s">
        <v>2875</v>
      </c>
      <c r="B337" t="s">
        <v>2876</v>
      </c>
      <c r="C337" t="s">
        <v>15062</v>
      </c>
      <c r="D337">
        <v>336</v>
      </c>
      <c r="E337" t="str">
        <f t="shared" si="15"/>
        <v>E2_3_1_9</v>
      </c>
      <c r="F337" s="9" t="s">
        <v>16217</v>
      </c>
      <c r="G337" s="9" t="s">
        <v>16218</v>
      </c>
      <c r="H337" s="9" t="s">
        <v>16219</v>
      </c>
      <c r="I337" s="9" t="s">
        <v>16220</v>
      </c>
      <c r="J337" s="9" t="str">
        <f t="shared" si="16"/>
        <v>(${Variables:E2_3_1_9_kcat} * E2_3_1_9 * C00100 * C00024)/(${Variables:E2_3_1_9_km} + (E2_3_1_9 * C00100 * C00024))</v>
      </c>
      <c r="K337" s="38" t="str">
        <f t="shared" si="17"/>
        <v>r336: C00100 + C00024 -&gt; C00010 + C03344 | (${Variables:E2_3_1_9_kcat} * E2_3_1_9 * C00100 * C00024)/(${Variables:E2_3_1_9_km} + (E2_3_1_9 * C00100 * C00024))</v>
      </c>
    </row>
    <row r="338" spans="1:11" ht="42.75" x14ac:dyDescent="0.45">
      <c r="A338" t="s">
        <v>2875</v>
      </c>
      <c r="B338" t="s">
        <v>2876</v>
      </c>
      <c r="C338" t="s">
        <v>15062</v>
      </c>
      <c r="D338">
        <v>337</v>
      </c>
      <c r="E338" t="str">
        <f t="shared" si="15"/>
        <v>E2_3_1_9</v>
      </c>
      <c r="F338" s="9" t="s">
        <v>16213</v>
      </c>
      <c r="G338" s="9" t="s">
        <v>16214</v>
      </c>
      <c r="H338" s="9" t="s">
        <v>16215</v>
      </c>
      <c r="I338" s="9" t="s">
        <v>16216</v>
      </c>
      <c r="J338" s="9" t="str">
        <f t="shared" si="16"/>
        <v>(${Variables:E2_3_1_9_kcat} * E2_3_1_9 * C00024 * C00136)/(${Variables:E2_3_1_9_km} + (E2_3_1_9 * C00024 * C00136))</v>
      </c>
      <c r="K338" s="38" t="str">
        <f t="shared" si="17"/>
        <v>r337: C00024 + C00136 -&gt; C00010 + C05269 | (${Variables:E2_3_1_9_kcat} * E2_3_1_9 * C00024 * C00136)/(${Variables:E2_3_1_9_km} + (E2_3_1_9 * C00024 * C00136))</v>
      </c>
    </row>
    <row r="339" spans="1:11" ht="28.5" x14ac:dyDescent="0.45">
      <c r="A339" t="s">
        <v>7562</v>
      </c>
      <c r="B339" t="s">
        <v>7563</v>
      </c>
      <c r="C339" t="s">
        <v>15062</v>
      </c>
      <c r="D339">
        <v>338</v>
      </c>
      <c r="E339" t="str">
        <f t="shared" si="15"/>
        <v>E2_3_1_9</v>
      </c>
      <c r="F339" s="9" t="s">
        <v>11247</v>
      </c>
      <c r="G339" s="9" t="s">
        <v>11247</v>
      </c>
      <c r="H339" s="9" t="s">
        <v>16211</v>
      </c>
      <c r="I339" s="9" t="s">
        <v>16212</v>
      </c>
      <c r="J339" s="9" t="str">
        <f t="shared" si="16"/>
        <v>(${Variables:E2_3_1_9_kcat} * E2_3_1_9 * C00024)/(${Variables:E2_3_1_9_km} + (E2_3_1_9 * C00024))</v>
      </c>
      <c r="K339" s="38" t="str">
        <f t="shared" si="17"/>
        <v>r338: C00024 -&gt; C00010 + C00332 | (${Variables:E2_3_1_9_kcat} * E2_3_1_9 * C00024)/(${Variables:E2_3_1_9_km} + (E2_3_1_9 * C00024))</v>
      </c>
    </row>
    <row r="340" spans="1:11" ht="42.75" x14ac:dyDescent="0.45">
      <c r="A340" t="s">
        <v>7562</v>
      </c>
      <c r="B340" t="s">
        <v>7563</v>
      </c>
      <c r="C340" t="s">
        <v>15062</v>
      </c>
      <c r="D340">
        <v>339</v>
      </c>
      <c r="E340" t="str">
        <f t="shared" si="15"/>
        <v>E2_3_1_9</v>
      </c>
      <c r="F340" s="9" t="s">
        <v>16217</v>
      </c>
      <c r="G340" s="9" t="s">
        <v>16218</v>
      </c>
      <c r="H340" s="9" t="s">
        <v>16219</v>
      </c>
      <c r="I340" s="9" t="s">
        <v>16220</v>
      </c>
      <c r="J340" s="9" t="str">
        <f t="shared" si="16"/>
        <v>(${Variables:E2_3_1_9_kcat} * E2_3_1_9 * C00100 * C00024)/(${Variables:E2_3_1_9_km} + (E2_3_1_9 * C00100 * C00024))</v>
      </c>
      <c r="K340" s="38" t="str">
        <f t="shared" si="17"/>
        <v>r339: C00100 + C00024 -&gt; C00010 + C03344 | (${Variables:E2_3_1_9_kcat} * E2_3_1_9 * C00100 * C00024)/(${Variables:E2_3_1_9_km} + (E2_3_1_9 * C00100 * C00024))</v>
      </c>
    </row>
    <row r="341" spans="1:11" ht="42.75" x14ac:dyDescent="0.45">
      <c r="A341" t="s">
        <v>7562</v>
      </c>
      <c r="B341" t="s">
        <v>7563</v>
      </c>
      <c r="C341" t="s">
        <v>15062</v>
      </c>
      <c r="D341">
        <v>340</v>
      </c>
      <c r="E341" t="str">
        <f t="shared" si="15"/>
        <v>E2_3_1_9</v>
      </c>
      <c r="F341" s="9" t="s">
        <v>16213</v>
      </c>
      <c r="G341" s="9" t="s">
        <v>16214</v>
      </c>
      <c r="H341" s="9" t="s">
        <v>16215</v>
      </c>
      <c r="I341" s="9" t="s">
        <v>16216</v>
      </c>
      <c r="J341" s="9" t="str">
        <f t="shared" si="16"/>
        <v>(${Variables:E2_3_1_9_kcat} * E2_3_1_9 * C00024 * C00136)/(${Variables:E2_3_1_9_km} + (E2_3_1_9 * C00024 * C00136))</v>
      </c>
      <c r="K341" s="38" t="str">
        <f t="shared" si="17"/>
        <v>r340: C00024 + C00136 -&gt; C00010 + C05269 | (${Variables:E2_3_1_9_kcat} * E2_3_1_9 * C00024 * C00136)/(${Variables:E2_3_1_9_km} + (E2_3_1_9 * C00024 * C00136))</v>
      </c>
    </row>
    <row r="342" spans="1:11" ht="42.75" x14ac:dyDescent="0.45">
      <c r="A342" t="s">
        <v>4223</v>
      </c>
      <c r="B342" t="s">
        <v>4224</v>
      </c>
      <c r="C342" t="s">
        <v>15063</v>
      </c>
      <c r="D342">
        <v>341</v>
      </c>
      <c r="E342" t="str">
        <f t="shared" si="15"/>
        <v>E2_3_2_2</v>
      </c>
      <c r="F342" s="9" t="s">
        <v>16237</v>
      </c>
      <c r="G342" s="9" t="s">
        <v>16238</v>
      </c>
      <c r="H342" s="9" t="s">
        <v>16239</v>
      </c>
      <c r="I342" s="9" t="s">
        <v>16240</v>
      </c>
      <c r="J342" s="9" t="str">
        <f t="shared" si="16"/>
        <v>(${Variables:E2_3_2_2_kcat} * E2_3_2_2 * C03193 * C00045)/(${Variables:E2_3_2_2_km} + (E2_3_2_2 * C03193 * C00045))</v>
      </c>
      <c r="K342" s="38" t="str">
        <f t="shared" si="17"/>
        <v>r341: C03193 + C00045 -&gt; C00012 + C03363 | (${Variables:E2_3_2_2_kcat} * E2_3_2_2 * C03193 * C00045)/(${Variables:E2_3_2_2_km} + (E2_3_2_2 * C03193 * C00045))</v>
      </c>
    </row>
    <row r="343" spans="1:11" ht="42.75" x14ac:dyDescent="0.45">
      <c r="A343" t="s">
        <v>4223</v>
      </c>
      <c r="B343" t="s">
        <v>4224</v>
      </c>
      <c r="C343" t="s">
        <v>15063</v>
      </c>
      <c r="D343">
        <v>342</v>
      </c>
      <c r="E343" t="str">
        <f t="shared" si="15"/>
        <v>E2_3_2_2</v>
      </c>
      <c r="F343" s="9" t="s">
        <v>16221</v>
      </c>
      <c r="G343" s="9" t="s">
        <v>16222</v>
      </c>
      <c r="H343" s="9" t="s">
        <v>16223</v>
      </c>
      <c r="I343" s="9" t="s">
        <v>16224</v>
      </c>
      <c r="J343" s="9" t="str">
        <f t="shared" si="16"/>
        <v>(${Variables:E2_3_2_2_kcat} * E2_3_2_2 * C00051 * C00151)/(${Variables:E2_3_2_2_km} + (E2_3_2_2 * C00051 * C00151))</v>
      </c>
      <c r="K343" s="38" t="str">
        <f t="shared" si="17"/>
        <v>r342: C00051 + C00151 -&gt; C01419 + C03740 | (${Variables:E2_3_2_2_kcat} * E2_3_2_2 * C00051 * C00151)/(${Variables:E2_3_2_2_km} + (E2_3_2_2 * C00051 * C00151))</v>
      </c>
    </row>
    <row r="344" spans="1:11" ht="42.75" x14ac:dyDescent="0.45">
      <c r="A344" t="s">
        <v>4223</v>
      </c>
      <c r="B344" t="s">
        <v>4224</v>
      </c>
      <c r="C344" t="s">
        <v>15063</v>
      </c>
      <c r="D344">
        <v>343</v>
      </c>
      <c r="E344" t="str">
        <f t="shared" si="15"/>
        <v>E2_3_2_2</v>
      </c>
      <c r="F344" s="9" t="s">
        <v>16241</v>
      </c>
      <c r="G344" s="9" t="s">
        <v>16242</v>
      </c>
      <c r="H344" s="9" t="s">
        <v>16243</v>
      </c>
      <c r="I344" s="9" t="s">
        <v>16244</v>
      </c>
      <c r="J344" s="9" t="str">
        <f t="shared" si="16"/>
        <v>(${Variables:E2_3_2_2_kcat} * E2_3_2_2 * C03193 * C00245)/(${Variables:E2_3_2_2_km} + (E2_3_2_2 * C03193 * C00245))</v>
      </c>
      <c r="K344" s="38" t="str">
        <f t="shared" si="17"/>
        <v>r343: C03193 + C00245 -&gt; C00012 + C05844 | (${Variables:E2_3_2_2_kcat} * E2_3_2_2 * C03193 * C00245)/(${Variables:E2_3_2_2_km} + (E2_3_2_2 * C03193 * C00245))</v>
      </c>
    </row>
    <row r="345" spans="1:11" ht="42.75" x14ac:dyDescent="0.45">
      <c r="A345" t="s">
        <v>4223</v>
      </c>
      <c r="B345" t="s">
        <v>4224</v>
      </c>
      <c r="C345" t="s">
        <v>15063</v>
      </c>
      <c r="D345">
        <v>344</v>
      </c>
      <c r="E345" t="str">
        <f t="shared" si="15"/>
        <v>E2_3_2_2</v>
      </c>
      <c r="F345" s="9" t="s">
        <v>16225</v>
      </c>
      <c r="G345" s="9" t="s">
        <v>16226</v>
      </c>
      <c r="H345" s="9" t="s">
        <v>16227</v>
      </c>
      <c r="I345" s="9" t="s">
        <v>16228</v>
      </c>
      <c r="J345" s="9" t="str">
        <f t="shared" si="16"/>
        <v>(${Variables:E2_3_2_2_kcat} * E2_3_2_2 * C02166 * C00045)/(${Variables:E2_3_2_2_km} + (E2_3_2_2 * C02166 * C00045))</v>
      </c>
      <c r="K345" s="38" t="str">
        <f t="shared" si="17"/>
        <v>r344: C02166 + C00045 -&gt; C05951 + C03363 | (${Variables:E2_3_2_2_kcat} * E2_3_2_2 * C02166 * C00045)/(${Variables:E2_3_2_2_km} + (E2_3_2_2 * C02166 * C00045))</v>
      </c>
    </row>
    <row r="346" spans="1:11" ht="42.75" x14ac:dyDescent="0.45">
      <c r="A346" t="s">
        <v>4223</v>
      </c>
      <c r="B346" t="s">
        <v>4224</v>
      </c>
      <c r="C346" t="s">
        <v>15063</v>
      </c>
      <c r="D346">
        <v>345</v>
      </c>
      <c r="E346" t="str">
        <f t="shared" si="15"/>
        <v>E2_3_2_2</v>
      </c>
      <c r="F346" s="9" t="s">
        <v>16245</v>
      </c>
      <c r="G346" s="9" t="s">
        <v>16246</v>
      </c>
      <c r="H346" s="9" t="s">
        <v>16247</v>
      </c>
      <c r="I346" s="9" t="s">
        <v>16248</v>
      </c>
      <c r="J346" s="9" t="str">
        <f t="shared" si="16"/>
        <v>(${Variables:E2_3_2_2_kcat} * E2_3_2_2 * C03193 * C05689)/(${Variables:E2_3_2_2_km} + (E2_3_2_2 * C03193 * C05689))</v>
      </c>
      <c r="K346" s="38" t="str">
        <f t="shared" si="17"/>
        <v>r345: C03193 + C05689 -&gt; C00012 + C05695 | (${Variables:E2_3_2_2_kcat} * E2_3_2_2 * C03193 * C05689)/(${Variables:E2_3_2_2_km} + (E2_3_2_2 * C03193 * C05689))</v>
      </c>
    </row>
    <row r="347" spans="1:11" ht="42.75" x14ac:dyDescent="0.45">
      <c r="A347" t="s">
        <v>4223</v>
      </c>
      <c r="B347" t="s">
        <v>4224</v>
      </c>
      <c r="C347" t="s">
        <v>15063</v>
      </c>
      <c r="D347">
        <v>346</v>
      </c>
      <c r="E347" t="str">
        <f t="shared" si="15"/>
        <v>E2_3_2_2</v>
      </c>
      <c r="F347" s="9" t="s">
        <v>16229</v>
      </c>
      <c r="G347" s="9" t="s">
        <v>16230</v>
      </c>
      <c r="H347" s="9" t="s">
        <v>16231</v>
      </c>
      <c r="I347" s="9" t="s">
        <v>16232</v>
      </c>
      <c r="J347" s="9" t="str">
        <f t="shared" si="16"/>
        <v>(${Variables:E2_3_2_2_kcat} * E2_3_2_2 * C02320 * C00001)/(${Variables:E2_3_2_2_km} + (E2_3_2_2 * C02320 * C00001))</v>
      </c>
      <c r="K347" s="38" t="str">
        <f t="shared" si="17"/>
        <v>r346: C02320 + C00001 -&gt; C05729 + C00025 | (${Variables:E2_3_2_2_kcat} * E2_3_2_2 * C02320 * C00001)/(${Variables:E2_3_2_2_km} + (E2_3_2_2 * C02320 * C00001))</v>
      </c>
    </row>
    <row r="348" spans="1:11" ht="42.75" x14ac:dyDescent="0.45">
      <c r="A348" t="s">
        <v>4223</v>
      </c>
      <c r="B348" t="s">
        <v>4224</v>
      </c>
      <c r="C348" t="s">
        <v>15063</v>
      </c>
      <c r="D348">
        <v>347</v>
      </c>
      <c r="E348" t="str">
        <f t="shared" si="15"/>
        <v>E2_3_2_2</v>
      </c>
      <c r="F348" s="9" t="s">
        <v>16233</v>
      </c>
      <c r="G348" s="9" t="s">
        <v>16234</v>
      </c>
      <c r="H348" s="9" t="s">
        <v>16235</v>
      </c>
      <c r="I348" s="9" t="s">
        <v>16236</v>
      </c>
      <c r="J348" s="9" t="str">
        <f t="shared" si="16"/>
        <v>(${Variables:E2_3_2_2_kcat} * E2_3_2_2 * C02512 * C00025)/(${Variables:E2_3_2_2_km} + (E2_3_2_2 * C02512 * C00025))</v>
      </c>
      <c r="K348" s="38" t="str">
        <f t="shared" si="17"/>
        <v>r347: C02512 + C00025 -&gt; C05711 + C00001 | (${Variables:E2_3_2_2_kcat} * E2_3_2_2 * C02512 * C00025)/(${Variables:E2_3_2_2_km} + (E2_3_2_2 * C02512 * C00025))</v>
      </c>
    </row>
    <row r="349" spans="1:11" ht="42.75" x14ac:dyDescent="0.45">
      <c r="A349" t="s">
        <v>4223</v>
      </c>
      <c r="B349" t="s">
        <v>4224</v>
      </c>
      <c r="C349" t="s">
        <v>15063</v>
      </c>
      <c r="D349">
        <v>348</v>
      </c>
      <c r="E349" t="str">
        <f t="shared" si="15"/>
        <v>E2_3_2_2</v>
      </c>
      <c r="F349" s="9" t="s">
        <v>16249</v>
      </c>
      <c r="G349" s="9" t="s">
        <v>16250</v>
      </c>
      <c r="H349" s="9" t="s">
        <v>16251</v>
      </c>
      <c r="I349" s="9" t="s">
        <v>16252</v>
      </c>
      <c r="J349" s="9" t="str">
        <f t="shared" si="16"/>
        <v>(${Variables:E2_3_2_2_kcat} * E2_3_2_2 * C05670 * C00025)/(${Variables:E2_3_2_2_km} + (E2_3_2_2 * C05670 * C00025))</v>
      </c>
      <c r="K349" s="38" t="str">
        <f t="shared" si="17"/>
        <v>r348: C05670 + C00025 -&gt; C06114 + C00001 | (${Variables:E2_3_2_2_kcat} * E2_3_2_2 * C05670 * C00025)/(${Variables:E2_3_2_2_km} + (E2_3_2_2 * C05670 * C00025))</v>
      </c>
    </row>
    <row r="350" spans="1:11" ht="42.75" x14ac:dyDescent="0.45">
      <c r="A350" t="s">
        <v>2672</v>
      </c>
      <c r="B350" t="s">
        <v>2673</v>
      </c>
      <c r="C350" t="s">
        <v>15064</v>
      </c>
      <c r="D350">
        <v>349</v>
      </c>
      <c r="E350" t="str">
        <f t="shared" si="15"/>
        <v>E2_3_3_13</v>
      </c>
      <c r="F350" s="9" t="s">
        <v>16253</v>
      </c>
      <c r="G350" s="9" t="s">
        <v>16254</v>
      </c>
      <c r="H350" s="9" t="s">
        <v>16255</v>
      </c>
      <c r="I350" s="9" t="s">
        <v>16256</v>
      </c>
      <c r="J350" s="9" t="str">
        <f t="shared" si="16"/>
        <v>(${Variables:E2_3_3_13_kcat} * E2_3_3_13 * C02504 * C00010)/(${Variables:E2_3_3_13_km} + (E2_3_3_13 * C02504 * C00010))</v>
      </c>
      <c r="K350" s="38" t="str">
        <f t="shared" si="17"/>
        <v>r349: C02504 + C00010 -&gt; C00024 + C00141 + C00001 | (${Variables:E2_3_3_13_kcat} * E2_3_3_13 * C02504 * C00010)/(${Variables:E2_3_3_13_km} + (E2_3_3_13 * C02504 * C00010))</v>
      </c>
    </row>
    <row r="351" spans="1:11" ht="42.75" x14ac:dyDescent="0.45">
      <c r="A351" t="s">
        <v>2453</v>
      </c>
      <c r="B351" t="s">
        <v>2454</v>
      </c>
      <c r="C351" t="s">
        <v>15065</v>
      </c>
      <c r="D351">
        <v>350</v>
      </c>
      <c r="E351" t="str">
        <f t="shared" si="15"/>
        <v>E2_3_3_14</v>
      </c>
      <c r="F351" s="9" t="s">
        <v>16257</v>
      </c>
      <c r="G351" s="9" t="s">
        <v>16258</v>
      </c>
      <c r="H351" s="9" t="s">
        <v>16259</v>
      </c>
      <c r="I351" s="9" t="s">
        <v>16260</v>
      </c>
      <c r="J351" s="9" t="str">
        <f t="shared" si="16"/>
        <v>(${Variables:E2_3_3_14_kcat} * E2_3_3_14 * C00024 * C00001 * C00026)/(${Variables:E2_3_3_14_km} + (E2_3_3_14 * C00024 * C00001 * C00026))</v>
      </c>
      <c r="K351" s="38" t="str">
        <f t="shared" si="17"/>
        <v>r350: C00024 + C00001 + C00026 -&gt; C01251 + C00010 | (${Variables:E2_3_3_14_kcat} * E2_3_3_14 * C00024 * C00001 * C00026)/(${Variables:E2_3_3_14_km} + (E2_3_3_14 * C00024 * C00001 * C00026))</v>
      </c>
    </row>
    <row r="352" spans="1:11" ht="42.75" x14ac:dyDescent="0.45">
      <c r="A352" t="s">
        <v>2594</v>
      </c>
      <c r="B352" t="s">
        <v>2595</v>
      </c>
      <c r="C352" t="s">
        <v>15066</v>
      </c>
      <c r="D352">
        <v>351</v>
      </c>
      <c r="E352" t="str">
        <f t="shared" si="15"/>
        <v>E2_4_1_1</v>
      </c>
      <c r="F352" s="9" t="s">
        <v>16265</v>
      </c>
      <c r="G352" s="9" t="s">
        <v>16266</v>
      </c>
      <c r="H352" s="9" t="s">
        <v>16263</v>
      </c>
      <c r="I352" s="9" t="s">
        <v>16264</v>
      </c>
      <c r="J352" s="9" t="str">
        <f t="shared" si="16"/>
        <v>(${Variables:E2_4_1_1_kcat} * E2_4_1_1 * C00718 * C00009)/(${Variables:E2_4_1_1_km} + (E2_4_1_1 * C00718 * C00009))</v>
      </c>
      <c r="K352" s="38" t="str">
        <f t="shared" si="17"/>
        <v>r351: C00718 + C00009 -&gt; C00718 + C00103 | (${Variables:E2_4_1_1_kcat} * E2_4_1_1 * C00718 * C00009)/(${Variables:E2_4_1_1_km} + (E2_4_1_1 * C00718 * C00009))</v>
      </c>
    </row>
    <row r="353" spans="1:11" ht="42.75" x14ac:dyDescent="0.45">
      <c r="A353" t="s">
        <v>2594</v>
      </c>
      <c r="B353" t="s">
        <v>2595</v>
      </c>
      <c r="C353" t="s">
        <v>15066</v>
      </c>
      <c r="D353">
        <v>352</v>
      </c>
      <c r="E353" t="str">
        <f t="shared" si="15"/>
        <v>E2_4_1_1</v>
      </c>
      <c r="F353" s="9" t="s">
        <v>16267</v>
      </c>
      <c r="G353" s="9" t="s">
        <v>16268</v>
      </c>
      <c r="H353" s="9" t="s">
        <v>16269</v>
      </c>
      <c r="I353" s="9" t="s">
        <v>16270</v>
      </c>
      <c r="J353" s="9" t="str">
        <f t="shared" si="16"/>
        <v>(${Variables:E2_4_1_1_kcat} * E2_4_1_1 * G10495 * C00009)/(${Variables:E2_4_1_1_km} + (E2_4_1_1 * G10495 * C00009))</v>
      </c>
      <c r="K353" s="38" t="str">
        <f t="shared" si="17"/>
        <v>r352: G10495 + C00009 -&gt; G10495 + C00103 | (${Variables:E2_4_1_1_kcat} * E2_4_1_1 * G10495 * C00009)/(${Variables:E2_4_1_1_km} + (E2_4_1_1 * G10495 * C00009))</v>
      </c>
    </row>
    <row r="354" spans="1:11" ht="42.75" x14ac:dyDescent="0.45">
      <c r="A354" t="s">
        <v>2594</v>
      </c>
      <c r="B354" t="s">
        <v>2595</v>
      </c>
      <c r="C354" t="s">
        <v>15066</v>
      </c>
      <c r="D354">
        <v>353</v>
      </c>
      <c r="E354" t="str">
        <f t="shared" si="15"/>
        <v>E2_4_1_1</v>
      </c>
      <c r="F354" s="9" t="s">
        <v>16261</v>
      </c>
      <c r="G354" s="9" t="s">
        <v>16262</v>
      </c>
      <c r="H354" s="9" t="s">
        <v>16263</v>
      </c>
      <c r="I354" s="9" t="s">
        <v>16264</v>
      </c>
      <c r="J354" s="9" t="str">
        <f t="shared" si="16"/>
        <v>(${Variables:E2_4_1_1_kcat} * E2_4_1_1 * C00369 * C00009)/(${Variables:E2_4_1_1_km} + (E2_4_1_1 * C00369 * C00009))</v>
      </c>
      <c r="K354" s="38" t="str">
        <f t="shared" si="17"/>
        <v>r353: C00369 + C00009 -&gt; C00718 + C00103 | (${Variables:E2_4_1_1_kcat} * E2_4_1_1 * C00369 * C00009)/(${Variables:E2_4_1_1_km} + (E2_4_1_1 * C00369 * C00009))</v>
      </c>
    </row>
    <row r="355" spans="1:11" ht="42.75" x14ac:dyDescent="0.45">
      <c r="A355" t="s">
        <v>2594</v>
      </c>
      <c r="B355" t="s">
        <v>2595</v>
      </c>
      <c r="C355" t="s">
        <v>15066</v>
      </c>
      <c r="D355">
        <v>354</v>
      </c>
      <c r="E355" t="str">
        <f t="shared" si="15"/>
        <v>E2_4_1_1</v>
      </c>
      <c r="F355" s="9" t="s">
        <v>16271</v>
      </c>
      <c r="G355" s="9" t="s">
        <v>16272</v>
      </c>
      <c r="H355" s="9" t="s">
        <v>16269</v>
      </c>
      <c r="I355" s="9" t="s">
        <v>16270</v>
      </c>
      <c r="J355" s="9" t="str">
        <f t="shared" si="16"/>
        <v>(${Variables:E2_4_1_1_kcat} * E2_4_1_1 * G10545 * C00009)/(${Variables:E2_4_1_1_km} + (E2_4_1_1 * G10545 * C00009))</v>
      </c>
      <c r="K355" s="38" t="str">
        <f t="shared" si="17"/>
        <v>r354: G10545 + C00009 -&gt; G10495 + C00103 | (${Variables:E2_4_1_1_kcat} * E2_4_1_1 * G10545 * C00009)/(${Variables:E2_4_1_1_km} + (E2_4_1_1 * G10545 * C00009))</v>
      </c>
    </row>
    <row r="356" spans="1:11" ht="42.75" x14ac:dyDescent="0.45">
      <c r="A356" t="s">
        <v>2591</v>
      </c>
      <c r="B356" t="s">
        <v>2592</v>
      </c>
      <c r="C356" t="s">
        <v>15067</v>
      </c>
      <c r="D356">
        <v>355</v>
      </c>
      <c r="E356" t="str">
        <f t="shared" si="15"/>
        <v>E2_4_1_21</v>
      </c>
      <c r="F356" s="9" t="s">
        <v>16273</v>
      </c>
      <c r="G356" s="9" t="s">
        <v>16274</v>
      </c>
      <c r="H356" s="9" t="s">
        <v>16275</v>
      </c>
      <c r="I356" s="9" t="s">
        <v>16276</v>
      </c>
      <c r="J356" s="9" t="str">
        <f t="shared" si="16"/>
        <v>(${Variables:E2_4_1_21_kcat} * E2_4_1_21 * C00498 * C00718)/(${Variables:E2_4_1_21_km} + (E2_4_1_21 * C00498 * C00718))</v>
      </c>
      <c r="K356" s="38" t="str">
        <f t="shared" si="17"/>
        <v>r355: C00498 + C00718 -&gt; C00008 + C00718 | (${Variables:E2_4_1_21_kcat} * E2_4_1_21 * C00498 * C00718)/(${Variables:E2_4_1_21_km} + (E2_4_1_21 * C00498 * C00718))</v>
      </c>
    </row>
    <row r="357" spans="1:11" ht="42.75" x14ac:dyDescent="0.45">
      <c r="A357" t="s">
        <v>2591</v>
      </c>
      <c r="B357" t="s">
        <v>2592</v>
      </c>
      <c r="C357" t="s">
        <v>15067</v>
      </c>
      <c r="D357">
        <v>356</v>
      </c>
      <c r="E357" t="str">
        <f t="shared" si="15"/>
        <v>E2_4_1_21</v>
      </c>
      <c r="F357" s="9" t="s">
        <v>16277</v>
      </c>
      <c r="G357" s="9" t="s">
        <v>16278</v>
      </c>
      <c r="H357" s="9" t="s">
        <v>16279</v>
      </c>
      <c r="I357" s="9" t="s">
        <v>16280</v>
      </c>
      <c r="J357" s="9" t="str">
        <f t="shared" si="16"/>
        <v>(${Variables:E2_4_1_21_kcat} * E2_4_1_21 * G10495 * G11109)/(${Variables:E2_4_1_21_km} + (E2_4_1_21 * G10495 * G11109))</v>
      </c>
      <c r="K357" s="38" t="str">
        <f t="shared" si="17"/>
        <v>r356: G10495 + G11109 -&gt; G10495 + G11113 | (${Variables:E2_4_1_21_kcat} * E2_4_1_21 * G10495 * G11109)/(${Variables:E2_4_1_21_km} + (E2_4_1_21 * G10495 * G11109))</v>
      </c>
    </row>
    <row r="358" spans="1:11" ht="42.75" x14ac:dyDescent="0.45">
      <c r="A358" t="s">
        <v>7491</v>
      </c>
      <c r="B358" t="s">
        <v>7492</v>
      </c>
      <c r="C358" t="s">
        <v>15068</v>
      </c>
      <c r="D358">
        <v>357</v>
      </c>
      <c r="E358" t="str">
        <f t="shared" si="15"/>
        <v>E2_4_1_227</v>
      </c>
      <c r="F358" s="9" t="s">
        <v>16281</v>
      </c>
      <c r="G358" s="9" t="s">
        <v>16282</v>
      </c>
      <c r="H358" s="9" t="s">
        <v>16283</v>
      </c>
      <c r="I358" s="9" t="s">
        <v>16284</v>
      </c>
      <c r="J358" s="9" t="str">
        <f t="shared" si="16"/>
        <v>(${Variables:E2_4_1_227_kcat} * E2_4_1_227 * C04851 * C00043)/(${Variables:E2_4_1_227_km} + (E2_4_1_227 * C04851 * C00043))</v>
      </c>
      <c r="K358" s="38" t="str">
        <f t="shared" si="17"/>
        <v>r357: C04851 + C00043 -&gt; C05893 + C00015 | (${Variables:E2_4_1_227_kcat} * E2_4_1_227 * C04851 * C00043)/(${Variables:E2_4_1_227_km} + (E2_4_1_227 * C04851 * C00043))</v>
      </c>
    </row>
    <row r="359" spans="1:11" ht="42.75" x14ac:dyDescent="0.45">
      <c r="A359" t="s">
        <v>7491</v>
      </c>
      <c r="B359" t="s">
        <v>7492</v>
      </c>
      <c r="C359" t="s">
        <v>15068</v>
      </c>
      <c r="D359">
        <v>358</v>
      </c>
      <c r="E359" t="str">
        <f t="shared" si="15"/>
        <v>E2_4_1_227</v>
      </c>
      <c r="F359" s="9" t="s">
        <v>16293</v>
      </c>
      <c r="G359" s="9" t="s">
        <v>16294</v>
      </c>
      <c r="H359" s="9" t="s">
        <v>16295</v>
      </c>
      <c r="I359" s="9" t="s">
        <v>16296</v>
      </c>
      <c r="J359" s="9" t="str">
        <f t="shared" si="16"/>
        <v>(${Variables:E2_4_1_227_kcat} * E2_4_1_227 * G10552 * G10610)/(${Variables:E2_4_1_227_km} + (E2_4_1_227 * G10552 * G10610))</v>
      </c>
      <c r="K359" s="38" t="str">
        <f t="shared" si="17"/>
        <v>r358: G10552 + G10610 -&gt; G10553 + G10619 | (${Variables:E2_4_1_227_kcat} * E2_4_1_227 * G10552 * G10610)/(${Variables:E2_4_1_227_km} + (E2_4_1_227 * G10552 * G10610))</v>
      </c>
    </row>
    <row r="360" spans="1:11" ht="42.75" x14ac:dyDescent="0.45">
      <c r="A360" t="s">
        <v>7491</v>
      </c>
      <c r="B360" t="s">
        <v>7492</v>
      </c>
      <c r="C360" t="s">
        <v>15068</v>
      </c>
      <c r="D360">
        <v>359</v>
      </c>
      <c r="E360" t="str">
        <f t="shared" si="15"/>
        <v>E2_4_1_227</v>
      </c>
      <c r="F360" s="9" t="s">
        <v>16285</v>
      </c>
      <c r="G360" s="9" t="s">
        <v>16286</v>
      </c>
      <c r="H360" s="9" t="s">
        <v>16287</v>
      </c>
      <c r="I360" s="9" t="s">
        <v>16288</v>
      </c>
      <c r="J360" s="9" t="str">
        <f t="shared" si="16"/>
        <v>(${Variables:E2_4_1_227_kcat} * E2_4_1_227 * C05897 * C00043)/(${Variables:E2_4_1_227_km} + (E2_4_1_227 * C05897 * C00043))</v>
      </c>
      <c r="K360" s="38" t="str">
        <f t="shared" si="17"/>
        <v>r359: C05897 + C00043 -&gt; C05898 + C00015 | (${Variables:E2_4_1_227_kcat} * E2_4_1_227 * C05897 * C00043)/(${Variables:E2_4_1_227_km} + (E2_4_1_227 * C05897 * C00043))</v>
      </c>
    </row>
    <row r="361" spans="1:11" ht="42.75" x14ac:dyDescent="0.45">
      <c r="A361" t="s">
        <v>7491</v>
      </c>
      <c r="B361" t="s">
        <v>7492</v>
      </c>
      <c r="C361" t="s">
        <v>15068</v>
      </c>
      <c r="D361">
        <v>360</v>
      </c>
      <c r="E361" t="str">
        <f t="shared" si="15"/>
        <v>E2_4_1_227</v>
      </c>
      <c r="F361" s="9" t="s">
        <v>16289</v>
      </c>
      <c r="G361" s="9" t="s">
        <v>16290</v>
      </c>
      <c r="H361" s="9" t="s">
        <v>16291</v>
      </c>
      <c r="I361" s="9" t="s">
        <v>16292</v>
      </c>
      <c r="J361" s="9" t="str">
        <f t="shared" si="16"/>
        <v>(${Variables:E2_4_1_227_kcat} * E2_4_1_227 * G10551 * G10610)/(${Variables:E2_4_1_227_km} + (E2_4_1_227 * G10551 * G10610))</v>
      </c>
      <c r="K361" s="38" t="str">
        <f t="shared" si="17"/>
        <v>r360: G10551 + G10610 -&gt; G10550 + G10619 | (${Variables:E2_4_1_227_kcat} * E2_4_1_227 * G10551 * G10610)/(${Variables:E2_4_1_227_km} + (E2_4_1_227 * G10551 * G10610))</v>
      </c>
    </row>
    <row r="362" spans="1:11" ht="42.75" x14ac:dyDescent="0.45">
      <c r="A362" t="s">
        <v>7491</v>
      </c>
      <c r="B362" t="s">
        <v>7492</v>
      </c>
      <c r="C362" t="s">
        <v>15068</v>
      </c>
      <c r="D362">
        <v>361</v>
      </c>
      <c r="E362" t="str">
        <f t="shared" si="15"/>
        <v>E2_4_1_227</v>
      </c>
      <c r="F362" s="9" t="s">
        <v>16297</v>
      </c>
      <c r="G362" s="9" t="s">
        <v>16298</v>
      </c>
      <c r="H362" s="9" t="s">
        <v>16299</v>
      </c>
      <c r="I362" s="9" t="s">
        <v>16300</v>
      </c>
      <c r="J362" s="9" t="str">
        <f t="shared" si="16"/>
        <v>(${Variables:E2_4_1_227_kcat} * E2_4_1_227 * G10556 * G10610)/(${Variables:E2_4_1_227_km} + (E2_4_1_227 * G10556 * G10610))</v>
      </c>
      <c r="K362" s="38" t="str">
        <f t="shared" si="17"/>
        <v>r361: G10556 + G10610 -&gt; G10555 + G10619 | (${Variables:E2_4_1_227_kcat} * E2_4_1_227 * G10556 * G10610)/(${Variables:E2_4_1_227_km} + (E2_4_1_227 * G10556 * G10610))</v>
      </c>
    </row>
    <row r="363" spans="1:11" ht="42.75" x14ac:dyDescent="0.45">
      <c r="A363" t="s">
        <v>4750</v>
      </c>
      <c r="B363" t="s">
        <v>4751</v>
      </c>
      <c r="C363" t="s">
        <v>15069</v>
      </c>
      <c r="D363">
        <v>362</v>
      </c>
      <c r="E363" t="str">
        <f t="shared" si="15"/>
        <v>E2_4_2_1</v>
      </c>
      <c r="F363" s="9" t="s">
        <v>16337</v>
      </c>
      <c r="G363" s="9" t="s">
        <v>16338</v>
      </c>
      <c r="H363" s="9" t="s">
        <v>16339</v>
      </c>
      <c r="I363" s="9" t="s">
        <v>16340</v>
      </c>
      <c r="J363" s="9" t="str">
        <f t="shared" si="16"/>
        <v>(${Variables:E2_4_2_1_kcat} * E2_4_2_1 * C15586 * C00009)/(${Variables:E2_4_2_1_km} + (E2_4_2_1 * C15586 * C00009))</v>
      </c>
      <c r="K363" s="38" t="str">
        <f t="shared" si="17"/>
        <v>r362: C15586 + C00009 -&gt; C15587 + C00620 | (${Variables:E2_4_2_1_kcat} * E2_4_2_1 * C15586 * C00009)/(${Variables:E2_4_2_1_km} + (E2_4_2_1 * C15586 * C00009))</v>
      </c>
    </row>
    <row r="364" spans="1:11" ht="42.75" x14ac:dyDescent="0.45">
      <c r="A364" t="s">
        <v>4750</v>
      </c>
      <c r="B364" t="s">
        <v>4751</v>
      </c>
      <c r="C364" t="s">
        <v>15069</v>
      </c>
      <c r="D364">
        <v>363</v>
      </c>
      <c r="E364" t="str">
        <f t="shared" si="15"/>
        <v>E2_4_2_1</v>
      </c>
      <c r="F364" s="9" t="s">
        <v>16341</v>
      </c>
      <c r="G364" s="9" t="s">
        <v>16342</v>
      </c>
      <c r="H364" s="9" t="s">
        <v>16343</v>
      </c>
      <c r="I364" s="9" t="s">
        <v>16344</v>
      </c>
      <c r="J364" s="9" t="str">
        <f t="shared" si="16"/>
        <v>(${Variables:E2_4_2_1_kcat} * E2_4_2_1 * C20463 * C00009)/(${Variables:E2_4_2_1_km} + (E2_4_2_1 * C20463 * C00009))</v>
      </c>
      <c r="K364" s="38" t="str">
        <f t="shared" si="17"/>
        <v>r363: C20463 + C00009 -&gt; C15587 + C00672 | (${Variables:E2_4_2_1_kcat} * E2_4_2_1 * C20463 * C00009)/(${Variables:E2_4_2_1_km} + (E2_4_2_1 * C20463 * C00009))</v>
      </c>
    </row>
    <row r="365" spans="1:11" ht="42.75" x14ac:dyDescent="0.45">
      <c r="A365" t="s">
        <v>4750</v>
      </c>
      <c r="B365" t="s">
        <v>4751</v>
      </c>
      <c r="C365" t="s">
        <v>15069</v>
      </c>
      <c r="D365">
        <v>364</v>
      </c>
      <c r="E365" t="str">
        <f t="shared" si="15"/>
        <v>E2_4_2_1</v>
      </c>
      <c r="F365" s="9" t="s">
        <v>16301</v>
      </c>
      <c r="G365" s="9" t="s">
        <v>16302</v>
      </c>
      <c r="H365" s="9" t="s">
        <v>16303</v>
      </c>
      <c r="I365" s="9" t="s">
        <v>16304</v>
      </c>
      <c r="J365" s="9" t="str">
        <f t="shared" si="16"/>
        <v>(${Variables:E2_4_2_1_kcat} * E2_4_2_1 * C00212 * C00009)/(${Variables:E2_4_2_1_km} + (E2_4_2_1 * C00212 * C00009))</v>
      </c>
      <c r="K365" s="38" t="str">
        <f t="shared" si="17"/>
        <v>r364: C00212 + C00009 -&gt; C00147 + C00620 | (${Variables:E2_4_2_1_kcat} * E2_4_2_1 * C00212 * C00009)/(${Variables:E2_4_2_1_km} + (E2_4_2_1 * C00212 * C00009))</v>
      </c>
    </row>
    <row r="366" spans="1:11" ht="42.75" x14ac:dyDescent="0.45">
      <c r="A366" t="s">
        <v>4750</v>
      </c>
      <c r="B366" t="s">
        <v>4751</v>
      </c>
      <c r="C366" t="s">
        <v>15069</v>
      </c>
      <c r="D366">
        <v>365</v>
      </c>
      <c r="E366" t="str">
        <f t="shared" si="15"/>
        <v>E2_4_2_1</v>
      </c>
      <c r="F366" s="9" t="s">
        <v>16305</v>
      </c>
      <c r="G366" s="9" t="s">
        <v>16306</v>
      </c>
      <c r="H366" s="9" t="s">
        <v>16307</v>
      </c>
      <c r="I366" s="9" t="s">
        <v>16308</v>
      </c>
      <c r="J366" s="9" t="str">
        <f t="shared" si="16"/>
        <v>(${Variables:E2_4_2_1_kcat} * E2_4_2_1 * C00294 * C00009)/(${Variables:E2_4_2_1_km} + (E2_4_2_1 * C00294 * C00009))</v>
      </c>
      <c r="K366" s="38" t="str">
        <f t="shared" si="17"/>
        <v>r365: C00294 + C00009 -&gt; C00262 + C00620 | (${Variables:E2_4_2_1_kcat} * E2_4_2_1 * C00294 * C00009)/(${Variables:E2_4_2_1_km} + (E2_4_2_1 * C00294 * C00009))</v>
      </c>
    </row>
    <row r="367" spans="1:11" ht="42.75" x14ac:dyDescent="0.45">
      <c r="A367" t="s">
        <v>4750</v>
      </c>
      <c r="B367" t="s">
        <v>4751</v>
      </c>
      <c r="C367" t="s">
        <v>15069</v>
      </c>
      <c r="D367">
        <v>366</v>
      </c>
      <c r="E367" t="str">
        <f t="shared" si="15"/>
        <v>E2_4_2_1</v>
      </c>
      <c r="F367" s="9" t="s">
        <v>16313</v>
      </c>
      <c r="G367" s="9" t="s">
        <v>16314</v>
      </c>
      <c r="H367" s="9" t="s">
        <v>16315</v>
      </c>
      <c r="I367" s="9" t="s">
        <v>16316</v>
      </c>
      <c r="J367" s="9" t="str">
        <f t="shared" si="16"/>
        <v>(${Variables:E2_4_2_1_kcat} * E2_4_2_1 * C00387 * C00009)/(${Variables:E2_4_2_1_km} + (E2_4_2_1 * C00387 * C00009))</v>
      </c>
      <c r="K367" s="38" t="str">
        <f t="shared" si="17"/>
        <v>r366: C00387 + C00009 -&gt; C00242 + C00620 | (${Variables:E2_4_2_1_kcat} * E2_4_2_1 * C00387 * C00009)/(${Variables:E2_4_2_1_km} + (E2_4_2_1 * C00387 * C00009))</v>
      </c>
    </row>
    <row r="368" spans="1:11" ht="42.75" x14ac:dyDescent="0.45">
      <c r="A368" t="s">
        <v>4750</v>
      </c>
      <c r="B368" t="s">
        <v>4751</v>
      </c>
      <c r="C368" t="s">
        <v>15069</v>
      </c>
      <c r="D368">
        <v>367</v>
      </c>
      <c r="E368" t="str">
        <f t="shared" si="15"/>
        <v>E2_4_2_1</v>
      </c>
      <c r="F368" s="9" t="s">
        <v>16321</v>
      </c>
      <c r="G368" s="9" t="s">
        <v>16322</v>
      </c>
      <c r="H368" s="9" t="s">
        <v>16323</v>
      </c>
      <c r="I368" s="9" t="s">
        <v>16324</v>
      </c>
      <c r="J368" s="9" t="str">
        <f t="shared" si="16"/>
        <v>(${Variables:E2_4_2_1_kcat} * E2_4_2_1 * C01762 * C00009)/(${Variables:E2_4_2_1_km} + (E2_4_2_1 * C01762 * C00009))</v>
      </c>
      <c r="K368" s="38" t="str">
        <f t="shared" si="17"/>
        <v>r367: C01762 + C00009 -&gt; C00385 + C00620 | (${Variables:E2_4_2_1_kcat} * E2_4_2_1 * C01762 * C00009)/(${Variables:E2_4_2_1_km} + (E2_4_2_1 * C01762 * C00009))</v>
      </c>
    </row>
    <row r="369" spans="1:11" ht="42.75" x14ac:dyDescent="0.45">
      <c r="A369" t="s">
        <v>4750</v>
      </c>
      <c r="B369" t="s">
        <v>4751</v>
      </c>
      <c r="C369" t="s">
        <v>15069</v>
      </c>
      <c r="D369">
        <v>368</v>
      </c>
      <c r="E369" t="str">
        <f t="shared" si="15"/>
        <v>E2_4_2_1</v>
      </c>
      <c r="F369" s="9" t="s">
        <v>16309</v>
      </c>
      <c r="G369" s="9" t="s">
        <v>16310</v>
      </c>
      <c r="H369" s="9" t="s">
        <v>16311</v>
      </c>
      <c r="I369" s="9" t="s">
        <v>16312</v>
      </c>
      <c r="J369" s="9" t="str">
        <f t="shared" si="16"/>
        <v>(${Variables:E2_4_2_1_kcat} * E2_4_2_1 * C00330 * C00009)/(${Variables:E2_4_2_1_km} + (E2_4_2_1 * C00330 * C00009))</v>
      </c>
      <c r="K369" s="38" t="str">
        <f t="shared" si="17"/>
        <v>r368: C00330 + C00009 -&gt; C00242 + C00672 | (${Variables:E2_4_2_1_kcat} * E2_4_2_1 * C00330 * C00009)/(${Variables:E2_4_2_1_km} + (E2_4_2_1 * C00330 * C00009))</v>
      </c>
    </row>
    <row r="370" spans="1:11" ht="42.75" x14ac:dyDescent="0.45">
      <c r="A370" t="s">
        <v>4750</v>
      </c>
      <c r="B370" t="s">
        <v>4751</v>
      </c>
      <c r="C370" t="s">
        <v>15069</v>
      </c>
      <c r="D370">
        <v>369</v>
      </c>
      <c r="E370" t="str">
        <f t="shared" si="15"/>
        <v>E2_4_2_1</v>
      </c>
      <c r="F370" s="9" t="s">
        <v>16317</v>
      </c>
      <c r="G370" s="9" t="s">
        <v>16318</v>
      </c>
      <c r="H370" s="9" t="s">
        <v>16319</v>
      </c>
      <c r="I370" s="9" t="s">
        <v>16320</v>
      </c>
      <c r="J370" s="9" t="str">
        <f t="shared" si="16"/>
        <v>(${Variables:E2_4_2_1_kcat} * E2_4_2_1 * C00559 * C00009)/(${Variables:E2_4_2_1_km} + (E2_4_2_1 * C00559 * C00009))</v>
      </c>
      <c r="K370" s="38" t="str">
        <f t="shared" si="17"/>
        <v>r369: C00559 + C00009 -&gt; C00147 + C00672 | (${Variables:E2_4_2_1_kcat} * E2_4_2_1 * C00559 * C00009)/(${Variables:E2_4_2_1_km} + (E2_4_2_1 * C00559 * C00009))</v>
      </c>
    </row>
    <row r="371" spans="1:11" ht="42.75" x14ac:dyDescent="0.45">
      <c r="A371" t="s">
        <v>4750</v>
      </c>
      <c r="B371" t="s">
        <v>4751</v>
      </c>
      <c r="C371" t="s">
        <v>15069</v>
      </c>
      <c r="D371">
        <v>370</v>
      </c>
      <c r="E371" t="str">
        <f t="shared" si="15"/>
        <v>E2_4_2_1</v>
      </c>
      <c r="F371" s="9" t="s">
        <v>16329</v>
      </c>
      <c r="G371" s="9" t="s">
        <v>16330</v>
      </c>
      <c r="H371" s="9" t="s">
        <v>16331</v>
      </c>
      <c r="I371" s="9" t="s">
        <v>16332</v>
      </c>
      <c r="J371" s="9" t="str">
        <f t="shared" si="16"/>
        <v>(${Variables:E2_4_2_1_kcat} * E2_4_2_1 * C05512 * C00009)/(${Variables:E2_4_2_1_km} + (E2_4_2_1 * C05512 * C00009))</v>
      </c>
      <c r="K371" s="38" t="str">
        <f t="shared" si="17"/>
        <v>r370: C05512 + C00009 -&gt; C00262 + C00672 | (${Variables:E2_4_2_1_kcat} * E2_4_2_1 * C05512 * C00009)/(${Variables:E2_4_2_1_km} + (E2_4_2_1 * C05512 * C00009))</v>
      </c>
    </row>
    <row r="372" spans="1:11" ht="42.75" x14ac:dyDescent="0.45">
      <c r="A372" t="s">
        <v>4750</v>
      </c>
      <c r="B372" t="s">
        <v>4751</v>
      </c>
      <c r="C372" t="s">
        <v>15069</v>
      </c>
      <c r="D372">
        <v>371</v>
      </c>
      <c r="E372" t="str">
        <f t="shared" si="15"/>
        <v>E2_4_2_1</v>
      </c>
      <c r="F372" s="9" t="s">
        <v>16325</v>
      </c>
      <c r="G372" s="9" t="s">
        <v>16326</v>
      </c>
      <c r="H372" s="9" t="s">
        <v>16327</v>
      </c>
      <c r="I372" s="9" t="s">
        <v>16328</v>
      </c>
      <c r="J372" s="9" t="str">
        <f t="shared" si="16"/>
        <v>(${Variables:E2_4_2_1_kcat} * E2_4_2_1 * C03150 * C00009)/(${Variables:E2_4_2_1_km} + (E2_4_2_1 * C03150 * C00009))</v>
      </c>
      <c r="K372" s="38" t="str">
        <f t="shared" si="17"/>
        <v>r371: C03150 + C00009 -&gt; C00153 + C00620 | (${Variables:E2_4_2_1_kcat} * E2_4_2_1 * C03150 * C00009)/(${Variables:E2_4_2_1_km} + (E2_4_2_1 * C03150 * C00009))</v>
      </c>
    </row>
    <row r="373" spans="1:11" ht="42.75" x14ac:dyDescent="0.45">
      <c r="A373" t="s">
        <v>4750</v>
      </c>
      <c r="B373" t="s">
        <v>4751</v>
      </c>
      <c r="C373" t="s">
        <v>15069</v>
      </c>
      <c r="D373">
        <v>372</v>
      </c>
      <c r="E373" t="str">
        <f t="shared" si="15"/>
        <v>E2_4_2_1</v>
      </c>
      <c r="F373" s="9" t="s">
        <v>16333</v>
      </c>
      <c r="G373" s="9" t="s">
        <v>16334</v>
      </c>
      <c r="H373" s="9" t="s">
        <v>16335</v>
      </c>
      <c r="I373" s="9" t="s">
        <v>16336</v>
      </c>
      <c r="J373" s="9" t="str">
        <f t="shared" si="16"/>
        <v>(${Variables:E2_4_2_1_kcat} * E2_4_2_1 * C05841 * C00009)/(${Variables:E2_4_2_1_km} + (E2_4_2_1 * C05841 * C00009))</v>
      </c>
      <c r="K373" s="38" t="str">
        <f t="shared" si="17"/>
        <v>r372: C05841 + C00009 -&gt; C00253 + C00620 + C00080 | (${Variables:E2_4_2_1_kcat} * E2_4_2_1 * C05841 * C00009)/(${Variables:E2_4_2_1_km} + (E2_4_2_1 * C05841 * C00009))</v>
      </c>
    </row>
    <row r="374" spans="1:11" ht="42.75" x14ac:dyDescent="0.45">
      <c r="A374" t="s">
        <v>3310</v>
      </c>
      <c r="B374" t="s">
        <v>3311</v>
      </c>
      <c r="C374" t="s">
        <v>15069</v>
      </c>
      <c r="D374">
        <v>373</v>
      </c>
      <c r="E374" t="str">
        <f t="shared" si="15"/>
        <v>E2_4_2_1</v>
      </c>
      <c r="F374" s="9" t="s">
        <v>16337</v>
      </c>
      <c r="G374" s="9" t="s">
        <v>16338</v>
      </c>
      <c r="H374" s="9" t="s">
        <v>16339</v>
      </c>
      <c r="I374" s="9" t="s">
        <v>16340</v>
      </c>
      <c r="J374" s="9" t="str">
        <f t="shared" si="16"/>
        <v>(${Variables:E2_4_2_1_kcat} * E2_4_2_1 * C15586 * C00009)/(${Variables:E2_4_2_1_km} + (E2_4_2_1 * C15586 * C00009))</v>
      </c>
      <c r="K374" s="38" t="str">
        <f t="shared" si="17"/>
        <v>r373: C15586 + C00009 -&gt; C15587 + C00620 | (${Variables:E2_4_2_1_kcat} * E2_4_2_1 * C15586 * C00009)/(${Variables:E2_4_2_1_km} + (E2_4_2_1 * C15586 * C00009))</v>
      </c>
    </row>
    <row r="375" spans="1:11" ht="42.75" x14ac:dyDescent="0.45">
      <c r="A375" t="s">
        <v>3310</v>
      </c>
      <c r="B375" t="s">
        <v>3311</v>
      </c>
      <c r="C375" t="s">
        <v>15069</v>
      </c>
      <c r="D375">
        <v>374</v>
      </c>
      <c r="E375" t="str">
        <f t="shared" si="15"/>
        <v>E2_4_2_1</v>
      </c>
      <c r="F375" s="9" t="s">
        <v>16341</v>
      </c>
      <c r="G375" s="9" t="s">
        <v>16342</v>
      </c>
      <c r="H375" s="9" t="s">
        <v>16343</v>
      </c>
      <c r="I375" s="9" t="s">
        <v>16344</v>
      </c>
      <c r="J375" s="9" t="str">
        <f t="shared" si="16"/>
        <v>(${Variables:E2_4_2_1_kcat} * E2_4_2_1 * C20463 * C00009)/(${Variables:E2_4_2_1_km} + (E2_4_2_1 * C20463 * C00009))</v>
      </c>
      <c r="K375" s="38" t="str">
        <f t="shared" si="17"/>
        <v>r374: C20463 + C00009 -&gt; C15587 + C00672 | (${Variables:E2_4_2_1_kcat} * E2_4_2_1 * C20463 * C00009)/(${Variables:E2_4_2_1_km} + (E2_4_2_1 * C20463 * C00009))</v>
      </c>
    </row>
    <row r="376" spans="1:11" ht="42.75" x14ac:dyDescent="0.45">
      <c r="A376" t="s">
        <v>3310</v>
      </c>
      <c r="B376" t="s">
        <v>3311</v>
      </c>
      <c r="C376" t="s">
        <v>15069</v>
      </c>
      <c r="D376">
        <v>375</v>
      </c>
      <c r="E376" t="str">
        <f t="shared" si="15"/>
        <v>E2_4_2_1</v>
      </c>
      <c r="F376" s="9" t="s">
        <v>16301</v>
      </c>
      <c r="G376" s="9" t="s">
        <v>16302</v>
      </c>
      <c r="H376" s="9" t="s">
        <v>16303</v>
      </c>
      <c r="I376" s="9" t="s">
        <v>16304</v>
      </c>
      <c r="J376" s="9" t="str">
        <f t="shared" si="16"/>
        <v>(${Variables:E2_4_2_1_kcat} * E2_4_2_1 * C00212 * C00009)/(${Variables:E2_4_2_1_km} + (E2_4_2_1 * C00212 * C00009))</v>
      </c>
      <c r="K376" s="38" t="str">
        <f t="shared" si="17"/>
        <v>r375: C00212 + C00009 -&gt; C00147 + C00620 | (${Variables:E2_4_2_1_kcat} * E2_4_2_1 * C00212 * C00009)/(${Variables:E2_4_2_1_km} + (E2_4_2_1 * C00212 * C00009))</v>
      </c>
    </row>
    <row r="377" spans="1:11" ht="42.75" x14ac:dyDescent="0.45">
      <c r="A377" t="s">
        <v>3310</v>
      </c>
      <c r="B377" t="s">
        <v>3311</v>
      </c>
      <c r="C377" t="s">
        <v>15069</v>
      </c>
      <c r="D377">
        <v>376</v>
      </c>
      <c r="E377" t="str">
        <f t="shared" si="15"/>
        <v>E2_4_2_1</v>
      </c>
      <c r="F377" s="9" t="s">
        <v>16305</v>
      </c>
      <c r="G377" s="9" t="s">
        <v>16306</v>
      </c>
      <c r="H377" s="9" t="s">
        <v>16307</v>
      </c>
      <c r="I377" s="9" t="s">
        <v>16308</v>
      </c>
      <c r="J377" s="9" t="str">
        <f t="shared" si="16"/>
        <v>(${Variables:E2_4_2_1_kcat} * E2_4_2_1 * C00294 * C00009)/(${Variables:E2_4_2_1_km} + (E2_4_2_1 * C00294 * C00009))</v>
      </c>
      <c r="K377" s="38" t="str">
        <f t="shared" si="17"/>
        <v>r376: C00294 + C00009 -&gt; C00262 + C00620 | (${Variables:E2_4_2_1_kcat} * E2_4_2_1 * C00294 * C00009)/(${Variables:E2_4_2_1_km} + (E2_4_2_1 * C00294 * C00009))</v>
      </c>
    </row>
    <row r="378" spans="1:11" ht="42.75" x14ac:dyDescent="0.45">
      <c r="A378" t="s">
        <v>3310</v>
      </c>
      <c r="B378" t="s">
        <v>3311</v>
      </c>
      <c r="C378" t="s">
        <v>15069</v>
      </c>
      <c r="D378">
        <v>377</v>
      </c>
      <c r="E378" t="str">
        <f t="shared" si="15"/>
        <v>E2_4_2_1</v>
      </c>
      <c r="F378" s="9" t="s">
        <v>16313</v>
      </c>
      <c r="G378" s="9" t="s">
        <v>16314</v>
      </c>
      <c r="H378" s="9" t="s">
        <v>16315</v>
      </c>
      <c r="I378" s="9" t="s">
        <v>16316</v>
      </c>
      <c r="J378" s="9" t="str">
        <f t="shared" si="16"/>
        <v>(${Variables:E2_4_2_1_kcat} * E2_4_2_1 * C00387 * C00009)/(${Variables:E2_4_2_1_km} + (E2_4_2_1 * C00387 * C00009))</v>
      </c>
      <c r="K378" s="38" t="str">
        <f t="shared" si="17"/>
        <v>r377: C00387 + C00009 -&gt; C00242 + C00620 | (${Variables:E2_4_2_1_kcat} * E2_4_2_1 * C00387 * C00009)/(${Variables:E2_4_2_1_km} + (E2_4_2_1 * C00387 * C00009))</v>
      </c>
    </row>
    <row r="379" spans="1:11" ht="42.75" x14ac:dyDescent="0.45">
      <c r="A379" t="s">
        <v>3310</v>
      </c>
      <c r="B379" t="s">
        <v>3311</v>
      </c>
      <c r="C379" t="s">
        <v>15069</v>
      </c>
      <c r="D379">
        <v>378</v>
      </c>
      <c r="E379" t="str">
        <f t="shared" si="15"/>
        <v>E2_4_2_1</v>
      </c>
      <c r="F379" s="9" t="s">
        <v>16321</v>
      </c>
      <c r="G379" s="9" t="s">
        <v>16322</v>
      </c>
      <c r="H379" s="9" t="s">
        <v>16323</v>
      </c>
      <c r="I379" s="9" t="s">
        <v>16324</v>
      </c>
      <c r="J379" s="9" t="str">
        <f t="shared" si="16"/>
        <v>(${Variables:E2_4_2_1_kcat} * E2_4_2_1 * C01762 * C00009)/(${Variables:E2_4_2_1_km} + (E2_4_2_1 * C01762 * C00009))</v>
      </c>
      <c r="K379" s="38" t="str">
        <f t="shared" si="17"/>
        <v>r378: C01762 + C00009 -&gt; C00385 + C00620 | (${Variables:E2_4_2_1_kcat} * E2_4_2_1 * C01762 * C00009)/(${Variables:E2_4_2_1_km} + (E2_4_2_1 * C01762 * C00009))</v>
      </c>
    </row>
    <row r="380" spans="1:11" ht="42.75" x14ac:dyDescent="0.45">
      <c r="A380" t="s">
        <v>3310</v>
      </c>
      <c r="B380" t="s">
        <v>3311</v>
      </c>
      <c r="C380" t="s">
        <v>15069</v>
      </c>
      <c r="D380">
        <v>379</v>
      </c>
      <c r="E380" t="str">
        <f t="shared" si="15"/>
        <v>E2_4_2_1</v>
      </c>
      <c r="F380" s="9" t="s">
        <v>16309</v>
      </c>
      <c r="G380" s="9" t="s">
        <v>16310</v>
      </c>
      <c r="H380" s="9" t="s">
        <v>16311</v>
      </c>
      <c r="I380" s="9" t="s">
        <v>16312</v>
      </c>
      <c r="J380" s="9" t="str">
        <f t="shared" si="16"/>
        <v>(${Variables:E2_4_2_1_kcat} * E2_4_2_1 * C00330 * C00009)/(${Variables:E2_4_2_1_km} + (E2_4_2_1 * C00330 * C00009))</v>
      </c>
      <c r="K380" s="38" t="str">
        <f t="shared" si="17"/>
        <v>r379: C00330 + C00009 -&gt; C00242 + C00672 | (${Variables:E2_4_2_1_kcat} * E2_4_2_1 * C00330 * C00009)/(${Variables:E2_4_2_1_km} + (E2_4_2_1 * C00330 * C00009))</v>
      </c>
    </row>
    <row r="381" spans="1:11" ht="42.75" x14ac:dyDescent="0.45">
      <c r="A381" t="s">
        <v>3310</v>
      </c>
      <c r="B381" t="s">
        <v>3311</v>
      </c>
      <c r="C381" t="s">
        <v>15069</v>
      </c>
      <c r="D381">
        <v>380</v>
      </c>
      <c r="E381" t="str">
        <f t="shared" si="15"/>
        <v>E2_4_2_1</v>
      </c>
      <c r="F381" s="9" t="s">
        <v>16317</v>
      </c>
      <c r="G381" s="9" t="s">
        <v>16318</v>
      </c>
      <c r="H381" s="9" t="s">
        <v>16319</v>
      </c>
      <c r="I381" s="9" t="s">
        <v>16320</v>
      </c>
      <c r="J381" s="9" t="str">
        <f t="shared" si="16"/>
        <v>(${Variables:E2_4_2_1_kcat} * E2_4_2_1 * C00559 * C00009)/(${Variables:E2_4_2_1_km} + (E2_4_2_1 * C00559 * C00009))</v>
      </c>
      <c r="K381" s="38" t="str">
        <f t="shared" si="17"/>
        <v>r380: C00559 + C00009 -&gt; C00147 + C00672 | (${Variables:E2_4_2_1_kcat} * E2_4_2_1 * C00559 * C00009)/(${Variables:E2_4_2_1_km} + (E2_4_2_1 * C00559 * C00009))</v>
      </c>
    </row>
    <row r="382" spans="1:11" ht="42.75" x14ac:dyDescent="0.45">
      <c r="A382" t="s">
        <v>3310</v>
      </c>
      <c r="B382" t="s">
        <v>3311</v>
      </c>
      <c r="C382" t="s">
        <v>15069</v>
      </c>
      <c r="D382">
        <v>381</v>
      </c>
      <c r="E382" t="str">
        <f t="shared" si="15"/>
        <v>E2_4_2_1</v>
      </c>
      <c r="F382" s="9" t="s">
        <v>16329</v>
      </c>
      <c r="G382" s="9" t="s">
        <v>16330</v>
      </c>
      <c r="H382" s="9" t="s">
        <v>16331</v>
      </c>
      <c r="I382" s="9" t="s">
        <v>16332</v>
      </c>
      <c r="J382" s="9" t="str">
        <f t="shared" si="16"/>
        <v>(${Variables:E2_4_2_1_kcat} * E2_4_2_1 * C05512 * C00009)/(${Variables:E2_4_2_1_km} + (E2_4_2_1 * C05512 * C00009))</v>
      </c>
      <c r="K382" s="38" t="str">
        <f t="shared" si="17"/>
        <v>r381: C05512 + C00009 -&gt; C00262 + C00672 | (${Variables:E2_4_2_1_kcat} * E2_4_2_1 * C05512 * C00009)/(${Variables:E2_4_2_1_km} + (E2_4_2_1 * C05512 * C00009))</v>
      </c>
    </row>
    <row r="383" spans="1:11" ht="42.75" x14ac:dyDescent="0.45">
      <c r="A383" t="s">
        <v>3310</v>
      </c>
      <c r="B383" t="s">
        <v>3311</v>
      </c>
      <c r="C383" t="s">
        <v>15069</v>
      </c>
      <c r="D383">
        <v>382</v>
      </c>
      <c r="E383" t="str">
        <f t="shared" si="15"/>
        <v>E2_4_2_1</v>
      </c>
      <c r="F383" s="9" t="s">
        <v>16325</v>
      </c>
      <c r="G383" s="9" t="s">
        <v>16326</v>
      </c>
      <c r="H383" s="9" t="s">
        <v>16327</v>
      </c>
      <c r="I383" s="9" t="s">
        <v>16328</v>
      </c>
      <c r="J383" s="9" t="str">
        <f t="shared" si="16"/>
        <v>(${Variables:E2_4_2_1_kcat} * E2_4_2_1 * C03150 * C00009)/(${Variables:E2_4_2_1_km} + (E2_4_2_1 * C03150 * C00009))</v>
      </c>
      <c r="K383" s="38" t="str">
        <f t="shared" si="17"/>
        <v>r382: C03150 + C00009 -&gt; C00153 + C00620 | (${Variables:E2_4_2_1_kcat} * E2_4_2_1 * C03150 * C00009)/(${Variables:E2_4_2_1_km} + (E2_4_2_1 * C03150 * C00009))</v>
      </c>
    </row>
    <row r="384" spans="1:11" ht="42.75" x14ac:dyDescent="0.45">
      <c r="A384" t="s">
        <v>3310</v>
      </c>
      <c r="B384" t="s">
        <v>3311</v>
      </c>
      <c r="C384" t="s">
        <v>15069</v>
      </c>
      <c r="D384">
        <v>383</v>
      </c>
      <c r="E384" t="str">
        <f t="shared" si="15"/>
        <v>E2_4_2_1</v>
      </c>
      <c r="F384" s="9" t="s">
        <v>16333</v>
      </c>
      <c r="G384" s="9" t="s">
        <v>16334</v>
      </c>
      <c r="H384" s="9" t="s">
        <v>16335</v>
      </c>
      <c r="I384" s="9" t="s">
        <v>16336</v>
      </c>
      <c r="J384" s="9" t="str">
        <f t="shared" si="16"/>
        <v>(${Variables:E2_4_2_1_kcat} * E2_4_2_1 * C05841 * C00009)/(${Variables:E2_4_2_1_km} + (E2_4_2_1 * C05841 * C00009))</v>
      </c>
      <c r="K384" s="38" t="str">
        <f t="shared" si="17"/>
        <v>r383: C05841 + C00009 -&gt; C00253 + C00620 + C00080 | (${Variables:E2_4_2_1_kcat} * E2_4_2_1 * C05841 * C00009)/(${Variables:E2_4_2_1_km} + (E2_4_2_1 * C05841 * C00009))</v>
      </c>
    </row>
    <row r="385" spans="1:11" ht="42.75" x14ac:dyDescent="0.45">
      <c r="A385" t="s">
        <v>787</v>
      </c>
      <c r="B385" t="s">
        <v>788</v>
      </c>
      <c r="C385" t="s">
        <v>15070</v>
      </c>
      <c r="D385">
        <v>384</v>
      </c>
      <c r="E385" t="str">
        <f t="shared" si="15"/>
        <v>E2_4_2_10</v>
      </c>
      <c r="F385" s="9" t="s">
        <v>16345</v>
      </c>
      <c r="G385" s="9" t="s">
        <v>16346</v>
      </c>
      <c r="H385" s="9" t="s">
        <v>16347</v>
      </c>
      <c r="I385" s="9" t="s">
        <v>16348</v>
      </c>
      <c r="J385" s="9" t="str">
        <f t="shared" si="16"/>
        <v>(${Variables:E2_4_2_10_kcat} * E2_4_2_10 * C01103 * C00013)/(${Variables:E2_4_2_10_km} + (E2_4_2_10 * C01103 * C00013))</v>
      </c>
      <c r="K385" s="38" t="str">
        <f t="shared" si="17"/>
        <v>r384: C01103 + C00013 -&gt; C00295 + C00119 | (${Variables:E2_4_2_10_kcat} * E2_4_2_10 * C01103 * C00013)/(${Variables:E2_4_2_10_km} + (E2_4_2_10 * C01103 * C00013))</v>
      </c>
    </row>
    <row r="386" spans="1:11" ht="42.75" x14ac:dyDescent="0.45">
      <c r="A386" t="s">
        <v>787</v>
      </c>
      <c r="B386" t="s">
        <v>788</v>
      </c>
      <c r="C386" t="s">
        <v>15070</v>
      </c>
      <c r="D386">
        <v>385</v>
      </c>
      <c r="E386" t="str">
        <f t="shared" si="15"/>
        <v>E2_4_2_10</v>
      </c>
      <c r="F386" s="9" t="s">
        <v>16349</v>
      </c>
      <c r="G386" s="9" t="s">
        <v>16350</v>
      </c>
      <c r="H386" s="9" t="s">
        <v>16351</v>
      </c>
      <c r="I386" s="9" t="s">
        <v>16352</v>
      </c>
      <c r="J386" s="9" t="str">
        <f t="shared" si="16"/>
        <v>(${Variables:E2_4_2_10_kcat} * E2_4_2_10 * C07649 * C00119)/(${Variables:E2_4_2_10_km} + (E2_4_2_10 * C07649 * C00119))</v>
      </c>
      <c r="K386" s="38" t="str">
        <f t="shared" si="17"/>
        <v>r385: C07649 + C00119 -&gt; C16634 + C00013 | (${Variables:E2_4_2_10_kcat} * E2_4_2_10 * C07649 * C00119)/(${Variables:E2_4_2_10_km} + (E2_4_2_10 * C07649 * C00119))</v>
      </c>
    </row>
    <row r="387" spans="1:11" ht="42.75" x14ac:dyDescent="0.45">
      <c r="A387" t="s">
        <v>875</v>
      </c>
      <c r="B387" t="s">
        <v>876</v>
      </c>
      <c r="C387" t="s">
        <v>15071</v>
      </c>
      <c r="D387">
        <v>386</v>
      </c>
      <c r="E387" t="str">
        <f t="shared" ref="E387:E450" si="18">CONCATENATE("E",C387)</f>
        <v>E2_4_2_14</v>
      </c>
      <c r="F387" s="9" t="s">
        <v>16353</v>
      </c>
      <c r="G387" s="9" t="s">
        <v>16354</v>
      </c>
      <c r="H387" s="9" t="s">
        <v>16355</v>
      </c>
      <c r="I387" s="9" t="s">
        <v>16356</v>
      </c>
      <c r="J387" s="9" t="str">
        <f t="shared" ref="J387:J450" si="19">CONCATENATE("(${Variables:",E387,"_kcat","} * ",E387," * ",G387,")","/(${Variables:",E387,"_km","} + (",E387," * ",G387,"))")</f>
        <v>(${Variables:E2_4_2_14_kcat} * E2_4_2_14 * C03090 * C00013 * C00025)/(${Variables:E2_4_2_14_km} + (E2_4_2_14 * C03090 * C00013 * C00025))</v>
      </c>
      <c r="K387" s="38" t="str">
        <f t="shared" ref="K387:K450" si="20">CONCATENATE("r",D387,": ",F387," -&gt; ",H387," | ",J387)</f>
        <v>r386: C03090 + C00013 + C00025 -&gt; C00064 + C00119 + C00001 | (${Variables:E2_4_2_14_kcat} * E2_4_2_14 * C03090 * C00013 * C00025)/(${Variables:E2_4_2_14_km} + (E2_4_2_14 * C03090 * C00013 * C00025))</v>
      </c>
    </row>
    <row r="388" spans="1:11" ht="42.75" x14ac:dyDescent="0.45">
      <c r="A388" t="s">
        <v>4264</v>
      </c>
      <c r="B388" t="s">
        <v>4265</v>
      </c>
      <c r="C388" t="s">
        <v>15072</v>
      </c>
      <c r="D388">
        <v>387</v>
      </c>
      <c r="E388" t="str">
        <f t="shared" si="18"/>
        <v>E2_4_2_17</v>
      </c>
      <c r="F388" s="9" t="s">
        <v>16357</v>
      </c>
      <c r="G388" s="9" t="s">
        <v>16358</v>
      </c>
      <c r="H388" s="9" t="s">
        <v>16359</v>
      </c>
      <c r="I388" s="9" t="s">
        <v>16360</v>
      </c>
      <c r="J388" s="9" t="str">
        <f t="shared" si="19"/>
        <v>(${Variables:E2_4_2_17_kcat} * E2_4_2_17 * C02739 * C00013)/(${Variables:E2_4_2_17_km} + (E2_4_2_17 * C02739 * C00013))</v>
      </c>
      <c r="K388" s="38" t="str">
        <f t="shared" si="20"/>
        <v>r387: C02739 + C00013 -&gt; C00002 + C00119 | (${Variables:E2_4_2_17_kcat} * E2_4_2_17 * C02739 * C00013)/(${Variables:E2_4_2_17_km} + (E2_4_2_17 * C02739 * C00013))</v>
      </c>
    </row>
    <row r="389" spans="1:11" ht="42.75" x14ac:dyDescent="0.45">
      <c r="A389" t="s">
        <v>6689</v>
      </c>
      <c r="B389" t="s">
        <v>6690</v>
      </c>
      <c r="C389" t="s">
        <v>15073</v>
      </c>
      <c r="D389">
        <v>388</v>
      </c>
      <c r="E389" t="str">
        <f t="shared" si="18"/>
        <v>E2_4_2_19</v>
      </c>
      <c r="F389" s="9" t="s">
        <v>16361</v>
      </c>
      <c r="G389" s="9" t="s">
        <v>16362</v>
      </c>
      <c r="H389" s="9" t="s">
        <v>16363</v>
      </c>
      <c r="I389" s="9" t="s">
        <v>16364</v>
      </c>
      <c r="J389" s="9" t="str">
        <f t="shared" si="19"/>
        <v>(${Variables:E2_4_2_19_kcat} * E2_4_2_19 * C01185 * C00013 * C00011)/(${Variables:E2_4_2_19_km} + (E2_4_2_19 * C01185 * C00013 * C00011))</v>
      </c>
      <c r="K389" s="38" t="str">
        <f t="shared" si="20"/>
        <v>r388: C01185 + C00013 + C00011 -&gt; C03722 + C00119 | (${Variables:E2_4_2_19_kcat} * E2_4_2_19 * C01185 * C00013 * C00011)/(${Variables:E2_4_2_19_km} + (E2_4_2_19 * C01185 * C00013 * C00011))</v>
      </c>
    </row>
    <row r="390" spans="1:11" ht="42.75" x14ac:dyDescent="0.45">
      <c r="A390" t="s">
        <v>4750</v>
      </c>
      <c r="B390" t="s">
        <v>4751</v>
      </c>
      <c r="C390" t="s">
        <v>15074</v>
      </c>
      <c r="D390">
        <v>389</v>
      </c>
      <c r="E390" t="str">
        <f t="shared" si="18"/>
        <v>E2_4_2_2</v>
      </c>
      <c r="F390" s="9" t="s">
        <v>16369</v>
      </c>
      <c r="G390" s="9" t="s">
        <v>16370</v>
      </c>
      <c r="H390" s="9" t="s">
        <v>16371</v>
      </c>
      <c r="I390" s="9" t="s">
        <v>16372</v>
      </c>
      <c r="J390" s="9" t="str">
        <f t="shared" si="19"/>
        <v>(${Variables:E2_4_2_2_kcat} * E2_4_2_2 * C00299 * C00009)/(${Variables:E2_4_2_2_km} + (E2_4_2_2 * C00299 * C00009))</v>
      </c>
      <c r="K390" s="38" t="str">
        <f t="shared" si="20"/>
        <v>r389: C00299 + C00009 -&gt; C00106 + C00620 | (${Variables:E2_4_2_2_kcat} * E2_4_2_2 * C00299 * C00009)/(${Variables:E2_4_2_2_km} + (E2_4_2_2 * C00299 * C00009))</v>
      </c>
    </row>
    <row r="391" spans="1:11" ht="42.75" x14ac:dyDescent="0.45">
      <c r="A391" t="s">
        <v>4750</v>
      </c>
      <c r="B391" t="s">
        <v>4751</v>
      </c>
      <c r="C391" t="s">
        <v>15074</v>
      </c>
      <c r="D391">
        <v>390</v>
      </c>
      <c r="E391" t="str">
        <f t="shared" si="18"/>
        <v>E2_4_2_2</v>
      </c>
      <c r="F391" s="9" t="s">
        <v>16373</v>
      </c>
      <c r="G391" s="9" t="s">
        <v>16374</v>
      </c>
      <c r="H391" s="9" t="s">
        <v>16375</v>
      </c>
      <c r="I391" s="9" t="s">
        <v>16376</v>
      </c>
      <c r="J391" s="9" t="str">
        <f t="shared" si="19"/>
        <v>(${Variables:E2_4_2_2_kcat} * E2_4_2_2 * C00475 * C00009)/(${Variables:E2_4_2_2_km} + (E2_4_2_2 * C00475 * C00009))</v>
      </c>
      <c r="K391" s="38" t="str">
        <f t="shared" si="20"/>
        <v>r390: C00475 + C00009 -&gt; C00380 + C00620 | (${Variables:E2_4_2_2_kcat} * E2_4_2_2 * C00475 * C00009)/(${Variables:E2_4_2_2_km} + (E2_4_2_2 * C00475 * C00009))</v>
      </c>
    </row>
    <row r="392" spans="1:11" ht="42.75" x14ac:dyDescent="0.45">
      <c r="A392" t="s">
        <v>4750</v>
      </c>
      <c r="B392" t="s">
        <v>4751</v>
      </c>
      <c r="C392" t="s">
        <v>15074</v>
      </c>
      <c r="D392">
        <v>391</v>
      </c>
      <c r="E392" t="str">
        <f t="shared" si="18"/>
        <v>E2_4_2_2</v>
      </c>
      <c r="F392" s="9" t="s">
        <v>16377</v>
      </c>
      <c r="G392" s="9" t="s">
        <v>16378</v>
      </c>
      <c r="H392" s="9" t="s">
        <v>16379</v>
      </c>
      <c r="I392" s="9" t="s">
        <v>16380</v>
      </c>
      <c r="J392" s="9" t="str">
        <f t="shared" si="19"/>
        <v>(${Variables:E2_4_2_2_kcat} * E2_4_2_2 * C00526 * C00009)/(${Variables:E2_4_2_2_km} + (E2_4_2_2 * C00526 * C00009))</v>
      </c>
      <c r="K392" s="38" t="str">
        <f t="shared" si="20"/>
        <v>r391: C00526 + C00009 -&gt; C00106 + C00672 | (${Variables:E2_4_2_2_kcat} * E2_4_2_2 * C00526 * C00009)/(${Variables:E2_4_2_2_km} + (E2_4_2_2 * C00526 * C00009))</v>
      </c>
    </row>
    <row r="393" spans="1:11" ht="42.75" x14ac:dyDescent="0.45">
      <c r="A393" t="s">
        <v>4750</v>
      </c>
      <c r="B393" t="s">
        <v>4751</v>
      </c>
      <c r="C393" t="s">
        <v>15074</v>
      </c>
      <c r="D393">
        <v>392</v>
      </c>
      <c r="E393" t="str">
        <f t="shared" si="18"/>
        <v>E2_4_2_2</v>
      </c>
      <c r="F393" s="9" t="s">
        <v>16365</v>
      </c>
      <c r="G393" s="9" t="s">
        <v>16366</v>
      </c>
      <c r="H393" s="9" t="s">
        <v>16367</v>
      </c>
      <c r="I393" s="9" t="s">
        <v>16368</v>
      </c>
      <c r="J393" s="9" t="str">
        <f t="shared" si="19"/>
        <v>(${Variables:E2_4_2_2_kcat} * E2_4_2_2 * C00214 * C00009)/(${Variables:E2_4_2_2_km} + (E2_4_2_2 * C00214 * C00009))</v>
      </c>
      <c r="K393" s="38" t="str">
        <f t="shared" si="20"/>
        <v>r392: C00214 + C00009 -&gt; C00178 + C00672 | (${Variables:E2_4_2_2_kcat} * E2_4_2_2 * C00214 * C00009)/(${Variables:E2_4_2_2_km} + (E2_4_2_2 * C00214 * C00009))</v>
      </c>
    </row>
    <row r="394" spans="1:11" ht="42.75" x14ac:dyDescent="0.45">
      <c r="A394" t="s">
        <v>4750</v>
      </c>
      <c r="B394" t="s">
        <v>4751</v>
      </c>
      <c r="C394" t="s">
        <v>15074</v>
      </c>
      <c r="D394">
        <v>393</v>
      </c>
      <c r="E394" t="str">
        <f t="shared" si="18"/>
        <v>E2_4_2_2</v>
      </c>
      <c r="F394" s="9" t="s">
        <v>16381</v>
      </c>
      <c r="G394" s="9" t="s">
        <v>16382</v>
      </c>
      <c r="H394" s="9" t="s">
        <v>16383</v>
      </c>
      <c r="I394" s="9" t="s">
        <v>16384</v>
      </c>
      <c r="J394" s="9" t="str">
        <f t="shared" si="19"/>
        <v>(${Variables:E2_4_2_2_kcat} * E2_4_2_2 * C03169 * C00009)/(${Variables:E2_4_2_2_km} + (E2_4_2_2 * C03169 * C00009))</v>
      </c>
      <c r="K394" s="38" t="str">
        <f t="shared" si="20"/>
        <v>r393: C03169 + C00009 -&gt; C00396 + C00620 + C00080 | (${Variables:E2_4_2_2_kcat} * E2_4_2_2 * C03169 * C00009)/(${Variables:E2_4_2_2_km} + (E2_4_2_2 * C03169 * C00009))</v>
      </c>
    </row>
    <row r="395" spans="1:11" ht="42.75" x14ac:dyDescent="0.45">
      <c r="A395" t="s">
        <v>3313</v>
      </c>
      <c r="B395" t="s">
        <v>3314</v>
      </c>
      <c r="C395" t="s">
        <v>15074</v>
      </c>
      <c r="D395">
        <v>394</v>
      </c>
      <c r="E395" t="str">
        <f t="shared" si="18"/>
        <v>E2_4_2_2</v>
      </c>
      <c r="F395" s="9" t="s">
        <v>16369</v>
      </c>
      <c r="G395" s="9" t="s">
        <v>16370</v>
      </c>
      <c r="H395" s="9" t="s">
        <v>16371</v>
      </c>
      <c r="I395" s="9" t="s">
        <v>16372</v>
      </c>
      <c r="J395" s="9" t="str">
        <f t="shared" si="19"/>
        <v>(${Variables:E2_4_2_2_kcat} * E2_4_2_2 * C00299 * C00009)/(${Variables:E2_4_2_2_km} + (E2_4_2_2 * C00299 * C00009))</v>
      </c>
      <c r="K395" s="38" t="str">
        <f t="shared" si="20"/>
        <v>r394: C00299 + C00009 -&gt; C00106 + C00620 | (${Variables:E2_4_2_2_kcat} * E2_4_2_2 * C00299 * C00009)/(${Variables:E2_4_2_2_km} + (E2_4_2_2 * C00299 * C00009))</v>
      </c>
    </row>
    <row r="396" spans="1:11" ht="42.75" x14ac:dyDescent="0.45">
      <c r="A396" t="s">
        <v>3313</v>
      </c>
      <c r="B396" t="s">
        <v>3314</v>
      </c>
      <c r="C396" t="s">
        <v>15074</v>
      </c>
      <c r="D396">
        <v>395</v>
      </c>
      <c r="E396" t="str">
        <f t="shared" si="18"/>
        <v>E2_4_2_2</v>
      </c>
      <c r="F396" s="9" t="s">
        <v>16373</v>
      </c>
      <c r="G396" s="9" t="s">
        <v>16374</v>
      </c>
      <c r="H396" s="9" t="s">
        <v>16375</v>
      </c>
      <c r="I396" s="9" t="s">
        <v>16376</v>
      </c>
      <c r="J396" s="9" t="str">
        <f t="shared" si="19"/>
        <v>(${Variables:E2_4_2_2_kcat} * E2_4_2_2 * C00475 * C00009)/(${Variables:E2_4_2_2_km} + (E2_4_2_2 * C00475 * C00009))</v>
      </c>
      <c r="K396" s="38" t="str">
        <f t="shared" si="20"/>
        <v>r395: C00475 + C00009 -&gt; C00380 + C00620 | (${Variables:E2_4_2_2_kcat} * E2_4_2_2 * C00475 * C00009)/(${Variables:E2_4_2_2_km} + (E2_4_2_2 * C00475 * C00009))</v>
      </c>
    </row>
    <row r="397" spans="1:11" ht="42.75" x14ac:dyDescent="0.45">
      <c r="A397" t="s">
        <v>3313</v>
      </c>
      <c r="B397" t="s">
        <v>3314</v>
      </c>
      <c r="C397" t="s">
        <v>15074</v>
      </c>
      <c r="D397">
        <v>396</v>
      </c>
      <c r="E397" t="str">
        <f t="shared" si="18"/>
        <v>E2_4_2_2</v>
      </c>
      <c r="F397" s="9" t="s">
        <v>16377</v>
      </c>
      <c r="G397" s="9" t="s">
        <v>16378</v>
      </c>
      <c r="H397" s="9" t="s">
        <v>16379</v>
      </c>
      <c r="I397" s="9" t="s">
        <v>16380</v>
      </c>
      <c r="J397" s="9" t="str">
        <f t="shared" si="19"/>
        <v>(${Variables:E2_4_2_2_kcat} * E2_4_2_2 * C00526 * C00009)/(${Variables:E2_4_2_2_km} + (E2_4_2_2 * C00526 * C00009))</v>
      </c>
      <c r="K397" s="38" t="str">
        <f t="shared" si="20"/>
        <v>r396: C00526 + C00009 -&gt; C00106 + C00672 | (${Variables:E2_4_2_2_kcat} * E2_4_2_2 * C00526 * C00009)/(${Variables:E2_4_2_2_km} + (E2_4_2_2 * C00526 * C00009))</v>
      </c>
    </row>
    <row r="398" spans="1:11" ht="42.75" x14ac:dyDescent="0.45">
      <c r="A398" t="s">
        <v>3313</v>
      </c>
      <c r="B398" t="s">
        <v>3314</v>
      </c>
      <c r="C398" t="s">
        <v>15074</v>
      </c>
      <c r="D398">
        <v>397</v>
      </c>
      <c r="E398" t="str">
        <f t="shared" si="18"/>
        <v>E2_4_2_2</v>
      </c>
      <c r="F398" s="9" t="s">
        <v>16365</v>
      </c>
      <c r="G398" s="9" t="s">
        <v>16366</v>
      </c>
      <c r="H398" s="9" t="s">
        <v>16367</v>
      </c>
      <c r="I398" s="9" t="s">
        <v>16368</v>
      </c>
      <c r="J398" s="9" t="str">
        <f t="shared" si="19"/>
        <v>(${Variables:E2_4_2_2_kcat} * E2_4_2_2 * C00214 * C00009)/(${Variables:E2_4_2_2_km} + (E2_4_2_2 * C00214 * C00009))</v>
      </c>
      <c r="K398" s="38" t="str">
        <f t="shared" si="20"/>
        <v>r397: C00214 + C00009 -&gt; C00178 + C00672 | (${Variables:E2_4_2_2_kcat} * E2_4_2_2 * C00214 * C00009)/(${Variables:E2_4_2_2_km} + (E2_4_2_2 * C00214 * C00009))</v>
      </c>
    </row>
    <row r="399" spans="1:11" ht="42.75" x14ac:dyDescent="0.45">
      <c r="A399" t="s">
        <v>3313</v>
      </c>
      <c r="B399" t="s">
        <v>3314</v>
      </c>
      <c r="C399" t="s">
        <v>15074</v>
      </c>
      <c r="D399">
        <v>398</v>
      </c>
      <c r="E399" t="str">
        <f t="shared" si="18"/>
        <v>E2_4_2_2</v>
      </c>
      <c r="F399" s="9" t="s">
        <v>16381</v>
      </c>
      <c r="G399" s="9" t="s">
        <v>16382</v>
      </c>
      <c r="H399" s="9" t="s">
        <v>16383</v>
      </c>
      <c r="I399" s="9" t="s">
        <v>16384</v>
      </c>
      <c r="J399" s="9" t="str">
        <f t="shared" si="19"/>
        <v>(${Variables:E2_4_2_2_kcat} * E2_4_2_2 * C03169 * C00009)/(${Variables:E2_4_2_2_km} + (E2_4_2_2 * C03169 * C00009))</v>
      </c>
      <c r="K399" s="38" t="str">
        <f t="shared" si="20"/>
        <v>r398: C03169 + C00009 -&gt; C00396 + C00620 + C00080 | (${Variables:E2_4_2_2_kcat} * E2_4_2_2 * C03169 * C00009)/(${Variables:E2_4_2_2_km} + (E2_4_2_2 * C03169 * C00009))</v>
      </c>
    </row>
    <row r="400" spans="1:11" ht="42.75" x14ac:dyDescent="0.45">
      <c r="A400" t="s">
        <v>9444</v>
      </c>
      <c r="B400" t="s">
        <v>9445</v>
      </c>
      <c r="C400" t="s">
        <v>15075</v>
      </c>
      <c r="D400">
        <v>399</v>
      </c>
      <c r="E400" t="str">
        <f t="shared" si="18"/>
        <v>E2_4_2_21</v>
      </c>
      <c r="F400" s="9" t="s">
        <v>16385</v>
      </c>
      <c r="G400" s="9" t="s">
        <v>16386</v>
      </c>
      <c r="H400" s="9" t="s">
        <v>16387</v>
      </c>
      <c r="I400" s="9" t="s">
        <v>16388</v>
      </c>
      <c r="J400" s="9" t="str">
        <f t="shared" si="19"/>
        <v>(${Variables:E2_4_2_21_kcat} * E2_4_2_21 * C01185 * C03114)/(${Variables:E2_4_2_21_km} + (E2_4_2_21 * C01185 * C03114))</v>
      </c>
      <c r="K400" s="38" t="str">
        <f t="shared" si="20"/>
        <v>r399: C01185 + C03114 -&gt; C00253 + C04778 + C00080 | (${Variables:E2_4_2_21_kcat} * E2_4_2_21 * C01185 * C03114)/(${Variables:E2_4_2_21_km} + (E2_4_2_21 * C01185 * C03114))</v>
      </c>
    </row>
    <row r="401" spans="1:11" ht="42.75" x14ac:dyDescent="0.45">
      <c r="A401" t="s">
        <v>6571</v>
      </c>
      <c r="B401" t="s">
        <v>6572</v>
      </c>
      <c r="C401" t="s">
        <v>15076</v>
      </c>
      <c r="D401">
        <v>400</v>
      </c>
      <c r="E401" t="str">
        <f t="shared" si="18"/>
        <v>E2_4_2_22</v>
      </c>
      <c r="F401" s="9" t="s">
        <v>16393</v>
      </c>
      <c r="G401" s="9" t="s">
        <v>16394</v>
      </c>
      <c r="H401" s="9" t="s">
        <v>16395</v>
      </c>
      <c r="I401" s="9" t="s">
        <v>16396</v>
      </c>
      <c r="J401" s="9" t="str">
        <f t="shared" si="19"/>
        <v>(${Variables:E2_4_2_22_kcat} * E2_4_2_22 * C00655 * C00013)/(${Variables:E2_4_2_22_km} + (E2_4_2_22 * C00655 * C00013))</v>
      </c>
      <c r="K401" s="38" t="str">
        <f t="shared" si="20"/>
        <v>r400: C00655 + C00013 -&gt; C00385 + C00119 | (${Variables:E2_4_2_22_kcat} * E2_4_2_22 * C00655 * C00013)/(${Variables:E2_4_2_22_km} + (E2_4_2_22 * C00655 * C00013))</v>
      </c>
    </row>
    <row r="402" spans="1:11" ht="42.75" x14ac:dyDescent="0.45">
      <c r="A402" t="s">
        <v>6571</v>
      </c>
      <c r="B402" t="s">
        <v>6572</v>
      </c>
      <c r="C402" t="s">
        <v>15076</v>
      </c>
      <c r="D402">
        <v>401</v>
      </c>
      <c r="E402" t="str">
        <f t="shared" si="18"/>
        <v>E2_4_2_22</v>
      </c>
      <c r="F402" s="9" t="s">
        <v>16389</v>
      </c>
      <c r="G402" s="9" t="s">
        <v>16390</v>
      </c>
      <c r="H402" s="9" t="s">
        <v>16391</v>
      </c>
      <c r="I402" s="9" t="s">
        <v>16392</v>
      </c>
      <c r="J402" s="9" t="str">
        <f t="shared" si="19"/>
        <v>(${Variables:E2_4_2_22_kcat} * E2_4_2_22 * C00144 * C00013)/(${Variables:E2_4_2_22_km} + (E2_4_2_22 * C00144 * C00013))</v>
      </c>
      <c r="K402" s="38" t="str">
        <f t="shared" si="20"/>
        <v>r401: C00144 + C00013 -&gt; C00242 + C00119 | (${Variables:E2_4_2_22_kcat} * E2_4_2_22 * C00144 * C00013)/(${Variables:E2_4_2_22_km} + (E2_4_2_22 * C00144 * C00013))</v>
      </c>
    </row>
    <row r="403" spans="1:11" ht="42.75" x14ac:dyDescent="0.45">
      <c r="A403" t="s">
        <v>7915</v>
      </c>
      <c r="B403" t="s">
        <v>7916</v>
      </c>
      <c r="C403" t="s">
        <v>15077</v>
      </c>
      <c r="D403">
        <v>402</v>
      </c>
      <c r="E403" t="str">
        <f t="shared" si="18"/>
        <v>E2_4_2_29</v>
      </c>
      <c r="F403" s="9" t="s">
        <v>16397</v>
      </c>
      <c r="G403" s="9" t="s">
        <v>16398</v>
      </c>
      <c r="H403" s="9" t="s">
        <v>16399</v>
      </c>
      <c r="I403" s="9" t="s">
        <v>16400</v>
      </c>
      <c r="J403" s="9" t="str">
        <f t="shared" si="19"/>
        <v>(${Variables:E2_4_2_29_kcat} * E2_4_2_29 * C01977 * C16675)/(${Variables:E2_4_2_29_km} + (E2_4_2_29 * C01977 * C16675))</v>
      </c>
      <c r="K403" s="38" t="str">
        <f t="shared" si="20"/>
        <v>r402: C01977 + C16675 -&gt; C20446 + C00242 | (${Variables:E2_4_2_29_kcat} * E2_4_2_29 * C01977 * C16675)/(${Variables:E2_4_2_29_km} + (E2_4_2_29 * C01977 * C16675))</v>
      </c>
    </row>
    <row r="404" spans="1:11" ht="42.75" x14ac:dyDescent="0.45">
      <c r="A404" t="s">
        <v>2653</v>
      </c>
      <c r="B404" t="s">
        <v>2654</v>
      </c>
      <c r="C404" t="s">
        <v>15078</v>
      </c>
      <c r="D404">
        <v>403</v>
      </c>
      <c r="E404" t="str">
        <f t="shared" si="18"/>
        <v>E2_4_2_45</v>
      </c>
      <c r="F404" s="9" t="s">
        <v>16401</v>
      </c>
      <c r="G404" s="9" t="s">
        <v>16402</v>
      </c>
      <c r="H404" s="9" t="s">
        <v>16403</v>
      </c>
      <c r="I404" s="9" t="s">
        <v>16404</v>
      </c>
      <c r="J404" s="9" t="str">
        <f t="shared" si="19"/>
        <v>(${Variables:E2_4_2_45_kcat} * E2_4_2_45 * C02970 * C00119)/(${Variables:E2_4_2_45_km} + (E2_4_2_45 * C02970 * C00119))</v>
      </c>
      <c r="K404" s="38" t="str">
        <f t="shared" si="20"/>
        <v>r403: C02970 + C00119 -&gt; C20352 + C00013 | (${Variables:E2_4_2_45_kcat} * E2_4_2_45 * C02970 * C00119)/(${Variables:E2_4_2_45_km} + (E2_4_2_45 * C02970 * C00119))</v>
      </c>
    </row>
    <row r="405" spans="1:11" ht="42.75" x14ac:dyDescent="0.45">
      <c r="A405" t="s">
        <v>7757</v>
      </c>
      <c r="B405" t="s">
        <v>7758</v>
      </c>
      <c r="C405" t="s">
        <v>15079</v>
      </c>
      <c r="D405">
        <v>404</v>
      </c>
      <c r="E405" t="str">
        <f t="shared" si="18"/>
        <v>E2_4_2_7</v>
      </c>
      <c r="F405" s="9" t="s">
        <v>16405</v>
      </c>
      <c r="G405" s="9" t="s">
        <v>16406</v>
      </c>
      <c r="H405" s="9" t="s">
        <v>16407</v>
      </c>
      <c r="I405" s="9" t="s">
        <v>16408</v>
      </c>
      <c r="J405" s="9" t="str">
        <f t="shared" si="19"/>
        <v>(${Variables:E2_4_2_7_kcat} * E2_4_2_7 * C00020 * C00013)/(${Variables:E2_4_2_7_km} + (E2_4_2_7 * C00020 * C00013))</v>
      </c>
      <c r="K405" s="38" t="str">
        <f t="shared" si="20"/>
        <v>r404: C00020 + C00013 -&gt; C00147 + C00119 | (${Variables:E2_4_2_7_kcat} * E2_4_2_7 * C00020 * C00013)/(${Variables:E2_4_2_7_km} + (E2_4_2_7 * C00020 * C00013))</v>
      </c>
    </row>
    <row r="406" spans="1:11" ht="42.75" x14ac:dyDescent="0.45">
      <c r="A406" t="s">
        <v>7757</v>
      </c>
      <c r="B406" t="s">
        <v>7758</v>
      </c>
      <c r="C406" t="s">
        <v>15079</v>
      </c>
      <c r="D406">
        <v>405</v>
      </c>
      <c r="E406" t="str">
        <f t="shared" si="18"/>
        <v>E2_4_2_7</v>
      </c>
      <c r="F406" s="9" t="s">
        <v>16409</v>
      </c>
      <c r="G406" s="9" t="s">
        <v>16410</v>
      </c>
      <c r="H406" s="9" t="s">
        <v>16411</v>
      </c>
      <c r="I406" s="9" t="s">
        <v>16412</v>
      </c>
      <c r="J406" s="9" t="str">
        <f t="shared" si="19"/>
        <v>(${Variables:E2_4_2_7_kcat} * E2_4_2_7 * C04677 * C00013)/(${Variables:E2_4_2_7_km} + (E2_4_2_7 * C04677 * C00013))</v>
      </c>
      <c r="K406" s="38" t="str">
        <f t="shared" si="20"/>
        <v>r405: C04677 + C00013 -&gt; C04051 + C00119 | (${Variables:E2_4_2_7_kcat} * E2_4_2_7 * C04677 * C00013)/(${Variables:E2_4_2_7_km} + (E2_4_2_7 * C04677 * C00013))</v>
      </c>
    </row>
    <row r="407" spans="1:11" ht="42.75" x14ac:dyDescent="0.45">
      <c r="A407" t="s">
        <v>7606</v>
      </c>
      <c r="B407" t="s">
        <v>7607</v>
      </c>
      <c r="C407" t="s">
        <v>15080</v>
      </c>
      <c r="D407">
        <v>406</v>
      </c>
      <c r="E407" t="str">
        <f t="shared" si="18"/>
        <v>E2_4_2_8</v>
      </c>
      <c r="F407" s="9" t="s">
        <v>16413</v>
      </c>
      <c r="G407" s="9" t="s">
        <v>16414</v>
      </c>
      <c r="H407" s="9" t="s">
        <v>16415</v>
      </c>
      <c r="I407" s="9" t="s">
        <v>16416</v>
      </c>
      <c r="J407" s="9" t="str">
        <f t="shared" si="19"/>
        <v>(${Variables:E2_4_2_8_kcat} * E2_4_2_8 * C00130 * C00013)/(${Variables:E2_4_2_8_km} + (E2_4_2_8 * C00130 * C00013))</v>
      </c>
      <c r="K407" s="38" t="str">
        <f t="shared" si="20"/>
        <v>r406: C00130 + C00013 -&gt; C00262 + C00119 | (${Variables:E2_4_2_8_kcat} * E2_4_2_8 * C00130 * C00013)/(${Variables:E2_4_2_8_km} + (E2_4_2_8 * C00130 * C00013))</v>
      </c>
    </row>
    <row r="408" spans="1:11" ht="42.75" x14ac:dyDescent="0.45">
      <c r="A408" t="s">
        <v>7606</v>
      </c>
      <c r="B408" t="s">
        <v>7607</v>
      </c>
      <c r="C408" t="s">
        <v>15080</v>
      </c>
      <c r="D408">
        <v>407</v>
      </c>
      <c r="E408" t="str">
        <f t="shared" si="18"/>
        <v>E2_4_2_8</v>
      </c>
      <c r="F408" s="9" t="s">
        <v>16389</v>
      </c>
      <c r="G408" s="9" t="s">
        <v>16390</v>
      </c>
      <c r="H408" s="9" t="s">
        <v>16391</v>
      </c>
      <c r="I408" s="9" t="s">
        <v>16392</v>
      </c>
      <c r="J408" s="9" t="str">
        <f t="shared" si="19"/>
        <v>(${Variables:E2_4_2_8_kcat} * E2_4_2_8 * C00144 * C00013)/(${Variables:E2_4_2_8_km} + (E2_4_2_8 * C00144 * C00013))</v>
      </c>
      <c r="K408" s="38" t="str">
        <f t="shared" si="20"/>
        <v>r407: C00144 + C00013 -&gt; C00242 + C00119 | (${Variables:E2_4_2_8_kcat} * E2_4_2_8 * C00144 * C00013)/(${Variables:E2_4_2_8_km} + (E2_4_2_8 * C00144 * C00013))</v>
      </c>
    </row>
    <row r="409" spans="1:11" ht="42.75" x14ac:dyDescent="0.45">
      <c r="A409" t="s">
        <v>7606</v>
      </c>
      <c r="B409" t="s">
        <v>7607</v>
      </c>
      <c r="C409" t="s">
        <v>15080</v>
      </c>
      <c r="D409">
        <v>408</v>
      </c>
      <c r="E409" t="str">
        <f t="shared" si="18"/>
        <v>E2_4_2_8</v>
      </c>
      <c r="F409" s="9" t="s">
        <v>16393</v>
      </c>
      <c r="G409" s="9" t="s">
        <v>16394</v>
      </c>
      <c r="H409" s="9" t="s">
        <v>16395</v>
      </c>
      <c r="I409" s="9" t="s">
        <v>16396</v>
      </c>
      <c r="J409" s="9" t="str">
        <f t="shared" si="19"/>
        <v>(${Variables:E2_4_2_8_kcat} * E2_4_2_8 * C00655 * C00013)/(${Variables:E2_4_2_8_km} + (E2_4_2_8 * C00655 * C00013))</v>
      </c>
      <c r="K409" s="38" t="str">
        <f t="shared" si="20"/>
        <v>r408: C00655 + C00013 -&gt; C00385 + C00119 | (${Variables:E2_4_2_8_kcat} * E2_4_2_8 * C00655 * C00013)/(${Variables:E2_4_2_8_km} + (E2_4_2_8 * C00655 * C00013))</v>
      </c>
    </row>
    <row r="410" spans="1:11" ht="42.75" x14ac:dyDescent="0.45">
      <c r="A410" t="s">
        <v>7606</v>
      </c>
      <c r="B410" t="s">
        <v>7607</v>
      </c>
      <c r="C410" t="s">
        <v>15080</v>
      </c>
      <c r="D410">
        <v>409</v>
      </c>
      <c r="E410" t="str">
        <f t="shared" si="18"/>
        <v>E2_4_2_8</v>
      </c>
      <c r="F410" s="9" t="s">
        <v>16417</v>
      </c>
      <c r="G410" s="9" t="s">
        <v>16418</v>
      </c>
      <c r="H410" s="9" t="s">
        <v>16419</v>
      </c>
      <c r="I410" s="9" t="s">
        <v>16420</v>
      </c>
      <c r="J410" s="9" t="str">
        <f t="shared" si="19"/>
        <v>(${Variables:E2_4_2_8_kcat} * E2_4_2_8 * C02380 * C00119)/(${Variables:E2_4_2_8_km} + (E2_4_2_8 * C02380 * C00119))</v>
      </c>
      <c r="K410" s="38" t="str">
        <f t="shared" si="20"/>
        <v>r409: C02380 + C00119 -&gt; C04646 + C00013 | (${Variables:E2_4_2_8_kcat} * E2_4_2_8 * C02380 * C00119)/(${Variables:E2_4_2_8_km} + (E2_4_2_8 * C02380 * C00119))</v>
      </c>
    </row>
    <row r="411" spans="1:11" ht="42.75" x14ac:dyDescent="0.45">
      <c r="A411" t="s">
        <v>7606</v>
      </c>
      <c r="B411" t="s">
        <v>7607</v>
      </c>
      <c r="C411" t="s">
        <v>15080</v>
      </c>
      <c r="D411">
        <v>410</v>
      </c>
      <c r="E411" t="str">
        <f t="shared" si="18"/>
        <v>E2_4_2_8</v>
      </c>
      <c r="F411" s="9" t="s">
        <v>16425</v>
      </c>
      <c r="G411" s="9" t="s">
        <v>16426</v>
      </c>
      <c r="H411" s="9" t="s">
        <v>16427</v>
      </c>
      <c r="I411" s="9" t="s">
        <v>16428</v>
      </c>
      <c r="J411" s="9" t="str">
        <f t="shared" si="19"/>
        <v>(${Variables:E2_4_2_8_kcat} * E2_4_2_8 * C16614 * C00119)/(${Variables:E2_4_2_8_km} + (E2_4_2_8 * C16614 * C00119))</v>
      </c>
      <c r="K411" s="38" t="str">
        <f t="shared" si="20"/>
        <v>r410: C16614 + C00119 -&gt; C16615 + C00013 | (${Variables:E2_4_2_8_kcat} * E2_4_2_8 * C16614 * C00119)/(${Variables:E2_4_2_8_km} + (E2_4_2_8 * C16614 * C00119))</v>
      </c>
    </row>
    <row r="412" spans="1:11" ht="42.75" x14ac:dyDescent="0.45">
      <c r="A412" t="s">
        <v>7606</v>
      </c>
      <c r="B412" t="s">
        <v>7607</v>
      </c>
      <c r="C412" t="s">
        <v>15080</v>
      </c>
      <c r="D412">
        <v>411</v>
      </c>
      <c r="E412" t="str">
        <f t="shared" si="18"/>
        <v>E2_4_2_8</v>
      </c>
      <c r="F412" s="9" t="s">
        <v>16421</v>
      </c>
      <c r="G412" s="9" t="s">
        <v>16422</v>
      </c>
      <c r="H412" s="9" t="s">
        <v>16423</v>
      </c>
      <c r="I412" s="9" t="s">
        <v>16424</v>
      </c>
      <c r="J412" s="9" t="str">
        <f t="shared" si="19"/>
        <v>(${Variables:E2_4_2_8_kcat} * E2_4_2_8 * C07648 * C00119)/(${Variables:E2_4_2_8_km} + (E2_4_2_8 * C07648 * C00119))</v>
      </c>
      <c r="K412" s="38" t="str">
        <f t="shared" si="20"/>
        <v>r411: C07648 + C00119 -&gt; C16619 + C00013 | (${Variables:E2_4_2_8_kcat} * E2_4_2_8 * C07648 * C00119)/(${Variables:E2_4_2_8_km} + (E2_4_2_8 * C07648 * C00119))</v>
      </c>
    </row>
    <row r="413" spans="1:11" ht="42.75" x14ac:dyDescent="0.45">
      <c r="A413" t="s">
        <v>8960</v>
      </c>
      <c r="B413" t="s">
        <v>8961</v>
      </c>
      <c r="C413" t="s">
        <v>15080</v>
      </c>
      <c r="D413">
        <v>412</v>
      </c>
      <c r="E413" t="str">
        <f t="shared" si="18"/>
        <v>E2_4_2_8</v>
      </c>
      <c r="F413" s="9" t="s">
        <v>16413</v>
      </c>
      <c r="G413" s="9" t="s">
        <v>16414</v>
      </c>
      <c r="H413" s="9" t="s">
        <v>16415</v>
      </c>
      <c r="I413" s="9" t="s">
        <v>16416</v>
      </c>
      <c r="J413" s="9" t="str">
        <f t="shared" si="19"/>
        <v>(${Variables:E2_4_2_8_kcat} * E2_4_2_8 * C00130 * C00013)/(${Variables:E2_4_2_8_km} + (E2_4_2_8 * C00130 * C00013))</v>
      </c>
      <c r="K413" s="38" t="str">
        <f t="shared" si="20"/>
        <v>r412: C00130 + C00013 -&gt; C00262 + C00119 | (${Variables:E2_4_2_8_kcat} * E2_4_2_8 * C00130 * C00013)/(${Variables:E2_4_2_8_km} + (E2_4_2_8 * C00130 * C00013))</v>
      </c>
    </row>
    <row r="414" spans="1:11" ht="42.75" x14ac:dyDescent="0.45">
      <c r="A414" t="s">
        <v>8960</v>
      </c>
      <c r="B414" t="s">
        <v>8961</v>
      </c>
      <c r="C414" t="s">
        <v>15080</v>
      </c>
      <c r="D414">
        <v>413</v>
      </c>
      <c r="E414" t="str">
        <f t="shared" si="18"/>
        <v>E2_4_2_8</v>
      </c>
      <c r="F414" s="9" t="s">
        <v>16389</v>
      </c>
      <c r="G414" s="9" t="s">
        <v>16390</v>
      </c>
      <c r="H414" s="9" t="s">
        <v>16391</v>
      </c>
      <c r="I414" s="9" t="s">
        <v>16392</v>
      </c>
      <c r="J414" s="9" t="str">
        <f t="shared" si="19"/>
        <v>(${Variables:E2_4_2_8_kcat} * E2_4_2_8 * C00144 * C00013)/(${Variables:E2_4_2_8_km} + (E2_4_2_8 * C00144 * C00013))</v>
      </c>
      <c r="K414" s="38" t="str">
        <f t="shared" si="20"/>
        <v>r413: C00144 + C00013 -&gt; C00242 + C00119 | (${Variables:E2_4_2_8_kcat} * E2_4_2_8 * C00144 * C00013)/(${Variables:E2_4_2_8_km} + (E2_4_2_8 * C00144 * C00013))</v>
      </c>
    </row>
    <row r="415" spans="1:11" ht="42.75" x14ac:dyDescent="0.45">
      <c r="A415" t="s">
        <v>8960</v>
      </c>
      <c r="B415" t="s">
        <v>8961</v>
      </c>
      <c r="C415" t="s">
        <v>15080</v>
      </c>
      <c r="D415">
        <v>414</v>
      </c>
      <c r="E415" t="str">
        <f t="shared" si="18"/>
        <v>E2_4_2_8</v>
      </c>
      <c r="F415" s="9" t="s">
        <v>16393</v>
      </c>
      <c r="G415" s="9" t="s">
        <v>16394</v>
      </c>
      <c r="H415" s="9" t="s">
        <v>16395</v>
      </c>
      <c r="I415" s="9" t="s">
        <v>16396</v>
      </c>
      <c r="J415" s="9" t="str">
        <f t="shared" si="19"/>
        <v>(${Variables:E2_4_2_8_kcat} * E2_4_2_8 * C00655 * C00013)/(${Variables:E2_4_2_8_km} + (E2_4_2_8 * C00655 * C00013))</v>
      </c>
      <c r="K415" s="38" t="str">
        <f t="shared" si="20"/>
        <v>r414: C00655 + C00013 -&gt; C00385 + C00119 | (${Variables:E2_4_2_8_kcat} * E2_4_2_8 * C00655 * C00013)/(${Variables:E2_4_2_8_km} + (E2_4_2_8 * C00655 * C00013))</v>
      </c>
    </row>
    <row r="416" spans="1:11" ht="42.75" x14ac:dyDescent="0.45">
      <c r="A416" t="s">
        <v>8960</v>
      </c>
      <c r="B416" t="s">
        <v>8961</v>
      </c>
      <c r="C416" t="s">
        <v>15080</v>
      </c>
      <c r="D416">
        <v>415</v>
      </c>
      <c r="E416" t="str">
        <f t="shared" si="18"/>
        <v>E2_4_2_8</v>
      </c>
      <c r="F416" s="9" t="s">
        <v>16417</v>
      </c>
      <c r="G416" s="9" t="s">
        <v>16418</v>
      </c>
      <c r="H416" s="9" t="s">
        <v>16419</v>
      </c>
      <c r="I416" s="9" t="s">
        <v>16420</v>
      </c>
      <c r="J416" s="9" t="str">
        <f t="shared" si="19"/>
        <v>(${Variables:E2_4_2_8_kcat} * E2_4_2_8 * C02380 * C00119)/(${Variables:E2_4_2_8_km} + (E2_4_2_8 * C02380 * C00119))</v>
      </c>
      <c r="K416" s="38" t="str">
        <f t="shared" si="20"/>
        <v>r415: C02380 + C00119 -&gt; C04646 + C00013 | (${Variables:E2_4_2_8_kcat} * E2_4_2_8 * C02380 * C00119)/(${Variables:E2_4_2_8_km} + (E2_4_2_8 * C02380 * C00119))</v>
      </c>
    </row>
    <row r="417" spans="1:11" ht="42.75" x14ac:dyDescent="0.45">
      <c r="A417" t="s">
        <v>8960</v>
      </c>
      <c r="B417" t="s">
        <v>8961</v>
      </c>
      <c r="C417" t="s">
        <v>15080</v>
      </c>
      <c r="D417">
        <v>416</v>
      </c>
      <c r="E417" t="str">
        <f t="shared" si="18"/>
        <v>E2_4_2_8</v>
      </c>
      <c r="F417" s="9" t="s">
        <v>16425</v>
      </c>
      <c r="G417" s="9" t="s">
        <v>16426</v>
      </c>
      <c r="H417" s="9" t="s">
        <v>16427</v>
      </c>
      <c r="I417" s="9" t="s">
        <v>16428</v>
      </c>
      <c r="J417" s="9" t="str">
        <f t="shared" si="19"/>
        <v>(${Variables:E2_4_2_8_kcat} * E2_4_2_8 * C16614 * C00119)/(${Variables:E2_4_2_8_km} + (E2_4_2_8 * C16614 * C00119))</v>
      </c>
      <c r="K417" s="38" t="str">
        <f t="shared" si="20"/>
        <v>r416: C16614 + C00119 -&gt; C16615 + C00013 | (${Variables:E2_4_2_8_kcat} * E2_4_2_8 * C16614 * C00119)/(${Variables:E2_4_2_8_km} + (E2_4_2_8 * C16614 * C00119))</v>
      </c>
    </row>
    <row r="418" spans="1:11" ht="42.75" x14ac:dyDescent="0.45">
      <c r="A418" t="s">
        <v>8960</v>
      </c>
      <c r="B418" t="s">
        <v>8961</v>
      </c>
      <c r="C418" t="s">
        <v>15080</v>
      </c>
      <c r="D418">
        <v>417</v>
      </c>
      <c r="E418" t="str">
        <f t="shared" si="18"/>
        <v>E2_4_2_8</v>
      </c>
      <c r="F418" s="9" t="s">
        <v>16421</v>
      </c>
      <c r="G418" s="9" t="s">
        <v>16422</v>
      </c>
      <c r="H418" s="9" t="s">
        <v>16423</v>
      </c>
      <c r="I418" s="9" t="s">
        <v>16424</v>
      </c>
      <c r="J418" s="9" t="str">
        <f t="shared" si="19"/>
        <v>(${Variables:E2_4_2_8_kcat} * E2_4_2_8 * C07648 * C00119)/(${Variables:E2_4_2_8_km} + (E2_4_2_8 * C07648 * C00119))</v>
      </c>
      <c r="K418" s="38" t="str">
        <f t="shared" si="20"/>
        <v>r417: C07648 + C00119 -&gt; C16619 + C00013 | (${Variables:E2_4_2_8_kcat} * E2_4_2_8 * C07648 * C00119)/(${Variables:E2_4_2_8_km} + (E2_4_2_8 * C07648 * C00119))</v>
      </c>
    </row>
    <row r="419" spans="1:11" ht="42.75" x14ac:dyDescent="0.45">
      <c r="A419" t="s">
        <v>7329</v>
      </c>
      <c r="B419" t="s">
        <v>7330</v>
      </c>
      <c r="C419" t="s">
        <v>15081</v>
      </c>
      <c r="D419">
        <v>418</v>
      </c>
      <c r="E419" t="str">
        <f t="shared" si="18"/>
        <v>E2_4_2_9</v>
      </c>
      <c r="F419" s="9" t="s">
        <v>16429</v>
      </c>
      <c r="G419" s="9" t="s">
        <v>16430</v>
      </c>
      <c r="H419" s="9" t="s">
        <v>16431</v>
      </c>
      <c r="I419" s="9" t="s">
        <v>16432</v>
      </c>
      <c r="J419" s="9" t="str">
        <f t="shared" si="19"/>
        <v>(${Variables:E2_4_2_9_kcat} * E2_4_2_9 * C00105 * C00013)/(${Variables:E2_4_2_9_km} + (E2_4_2_9 * C00105 * C00013))</v>
      </c>
      <c r="K419" s="38" t="str">
        <f t="shared" si="20"/>
        <v>r418: C00105 + C00013 -&gt; C00106 + C00119 | (${Variables:E2_4_2_9_kcat} * E2_4_2_9 * C00105 * C00013)/(${Variables:E2_4_2_9_km} + (E2_4_2_9 * C00105 * C00013))</v>
      </c>
    </row>
    <row r="420" spans="1:11" ht="42.75" x14ac:dyDescent="0.45">
      <c r="A420" t="s">
        <v>9596</v>
      </c>
      <c r="B420" t="s">
        <v>9597</v>
      </c>
      <c r="C420" t="s">
        <v>15081</v>
      </c>
      <c r="D420">
        <v>419</v>
      </c>
      <c r="E420" t="str">
        <f t="shared" si="18"/>
        <v>E2_4_2_9</v>
      </c>
      <c r="F420" s="9" t="s">
        <v>16429</v>
      </c>
      <c r="G420" s="9" t="s">
        <v>16430</v>
      </c>
      <c r="H420" s="9" t="s">
        <v>16431</v>
      </c>
      <c r="I420" s="9" t="s">
        <v>16432</v>
      </c>
      <c r="J420" s="9" t="str">
        <f t="shared" si="19"/>
        <v>(${Variables:E2_4_2_9_kcat} * E2_4_2_9 * C00105 * C00013)/(${Variables:E2_4_2_9_km} + (E2_4_2_9 * C00105 * C00013))</v>
      </c>
      <c r="K420" s="38" t="str">
        <f t="shared" si="20"/>
        <v>r419: C00105 + C00013 -&gt; C00106 + C00119 | (${Variables:E2_4_2_9_kcat} * E2_4_2_9 * C00105 * C00013)/(${Variables:E2_4_2_9_km} + (E2_4_2_9 * C00105 * C00013))</v>
      </c>
    </row>
    <row r="421" spans="1:11" ht="42.75" x14ac:dyDescent="0.45">
      <c r="A421" t="s">
        <v>7922</v>
      </c>
      <c r="B421" t="s">
        <v>7923</v>
      </c>
      <c r="C421" t="s">
        <v>15082</v>
      </c>
      <c r="D421">
        <v>420</v>
      </c>
      <c r="E421" t="str">
        <f t="shared" si="18"/>
        <v>E2_4_99_17</v>
      </c>
      <c r="F421" s="9" t="s">
        <v>16433</v>
      </c>
      <c r="G421" s="9" t="s">
        <v>16434</v>
      </c>
      <c r="H421" s="9" t="s">
        <v>16435</v>
      </c>
      <c r="I421" s="9" t="s">
        <v>16436</v>
      </c>
      <c r="J421" s="9" t="str">
        <f t="shared" si="19"/>
        <v>(${Variables:E2_4_99_17_kcat} * E2_4_99_17 * C00019 * C20446)/(${Variables:E2_4_99_17_km} + (E2_4_99_17 * C00019 * C20446))</v>
      </c>
      <c r="K421" s="38" t="str">
        <f t="shared" si="20"/>
        <v>r420: C00019 + C20446 -&gt; C00073 + C00147 + C19647 | (${Variables:E2_4_99_17_kcat} * E2_4_99_17 * C00019 * C20446)/(${Variables:E2_4_99_17_km} + (E2_4_99_17 * C00019 * C20446))</v>
      </c>
    </row>
    <row r="422" spans="1:11" ht="42.75" x14ac:dyDescent="0.45">
      <c r="A422" t="s">
        <v>3991</v>
      </c>
      <c r="B422" t="s">
        <v>3992</v>
      </c>
      <c r="C422" t="s">
        <v>15083</v>
      </c>
      <c r="D422">
        <v>421</v>
      </c>
      <c r="E422" t="str">
        <f t="shared" si="18"/>
        <v>E2_5_1_15</v>
      </c>
      <c r="F422" s="9" t="s">
        <v>16441</v>
      </c>
      <c r="G422" s="9" t="s">
        <v>16442</v>
      </c>
      <c r="H422" s="9" t="s">
        <v>16443</v>
      </c>
      <c r="I422" s="9" t="s">
        <v>16444</v>
      </c>
      <c r="J422" s="9" t="str">
        <f t="shared" si="19"/>
        <v>(${Variables:E2_5_1_15_kcat} * E2_5_1_15 * C04807 * C00568)/(${Variables:E2_5_1_15_km} + (E2_5_1_15 * C04807 * C00568))</v>
      </c>
      <c r="K422" s="38" t="str">
        <f t="shared" si="20"/>
        <v>r421: C04807 + C00568 -&gt; C00013 + C00921 | (${Variables:E2_5_1_15_kcat} * E2_5_1_15 * C04807 * C00568)/(${Variables:E2_5_1_15_km} + (E2_5_1_15 * C04807 * C00568))</v>
      </c>
    </row>
    <row r="423" spans="1:11" ht="42.75" x14ac:dyDescent="0.45">
      <c r="A423" t="s">
        <v>3991</v>
      </c>
      <c r="B423" t="s">
        <v>3992</v>
      </c>
      <c r="C423" t="s">
        <v>15083</v>
      </c>
      <c r="D423">
        <v>422</v>
      </c>
      <c r="E423" t="str">
        <f t="shared" si="18"/>
        <v>E2_5_1_15</v>
      </c>
      <c r="F423" s="9" t="s">
        <v>16437</v>
      </c>
      <c r="G423" s="9" t="s">
        <v>16438</v>
      </c>
      <c r="H423" s="9" t="s">
        <v>16439</v>
      </c>
      <c r="I423" s="9" t="s">
        <v>16440</v>
      </c>
      <c r="J423" s="9" t="str">
        <f t="shared" si="19"/>
        <v>(${Variables:E2_5_1_15_kcat} * E2_5_1_15 * C01300 * C00568)/(${Variables:E2_5_1_15_km} + (E2_5_1_15 * C01300 * C00568))</v>
      </c>
      <c r="K423" s="38" t="str">
        <f t="shared" si="20"/>
        <v>r422: C01300 + C00568 -&gt; C00921 + C00001 | (${Variables:E2_5_1_15_kcat} * E2_5_1_15 * C01300 * C00568)/(${Variables:E2_5_1_15_km} + (E2_5_1_15 * C01300 * C00568))</v>
      </c>
    </row>
    <row r="424" spans="1:11" ht="42.75" x14ac:dyDescent="0.45">
      <c r="A424" t="s">
        <v>2610</v>
      </c>
      <c r="B424" t="s">
        <v>2611</v>
      </c>
      <c r="C424" t="s">
        <v>15084</v>
      </c>
      <c r="D424">
        <v>423</v>
      </c>
      <c r="E424" t="str">
        <f t="shared" si="18"/>
        <v>E2_5_1_16</v>
      </c>
      <c r="F424" s="9" t="s">
        <v>16445</v>
      </c>
      <c r="G424" s="9" t="s">
        <v>16446</v>
      </c>
      <c r="H424" s="9" t="s">
        <v>16447</v>
      </c>
      <c r="I424" s="9" t="s">
        <v>16448</v>
      </c>
      <c r="J424" s="9" t="str">
        <f t="shared" si="19"/>
        <v>(${Variables:E2_5_1_16_kcat} * E2_5_1_16 * C01137 * C00134)/(${Variables:E2_5_1_16_km} + (E2_5_1_16 * C01137 * C00134))</v>
      </c>
      <c r="K424" s="38" t="str">
        <f t="shared" si="20"/>
        <v>r423: C01137 + C00134 -&gt; C00170 + C00315 | (${Variables:E2_5_1_16_kcat} * E2_5_1_16 * C01137 * C00134)/(${Variables:E2_5_1_16_km} + (E2_5_1_16 * C01137 * C00134))</v>
      </c>
    </row>
    <row r="425" spans="1:11" ht="42.75" x14ac:dyDescent="0.45">
      <c r="A425" t="s">
        <v>2610</v>
      </c>
      <c r="B425" t="s">
        <v>2611</v>
      </c>
      <c r="C425" t="s">
        <v>15084</v>
      </c>
      <c r="D425">
        <v>424</v>
      </c>
      <c r="E425" t="str">
        <f t="shared" si="18"/>
        <v>E2_5_1_16</v>
      </c>
      <c r="F425" s="9" t="s">
        <v>16449</v>
      </c>
      <c r="G425" s="9" t="s">
        <v>16450</v>
      </c>
      <c r="H425" s="9" t="s">
        <v>16451</v>
      </c>
      <c r="I425" s="9" t="s">
        <v>16452</v>
      </c>
      <c r="J425" s="9" t="str">
        <f t="shared" si="19"/>
        <v>(${Variables:E2_5_1_16_kcat} * E2_5_1_16 * C01137 * C01672)/(${Variables:E2_5_1_16_km} + (E2_5_1_16 * C01137 * C01672))</v>
      </c>
      <c r="K425" s="38" t="str">
        <f t="shared" si="20"/>
        <v>r424: C01137 + C01672 -&gt; C00170 + C16565 | (${Variables:E2_5_1_16_kcat} * E2_5_1_16 * C01137 * C01672)/(${Variables:E2_5_1_16_km} + (E2_5_1_16 * C01137 * C01672))</v>
      </c>
    </row>
    <row r="426" spans="1:11" ht="42.75" x14ac:dyDescent="0.45">
      <c r="A426" t="s">
        <v>5225</v>
      </c>
      <c r="B426" t="s">
        <v>5226</v>
      </c>
      <c r="C426" t="s">
        <v>15085</v>
      </c>
      <c r="D426">
        <v>425</v>
      </c>
      <c r="E426" t="str">
        <f t="shared" si="18"/>
        <v>E2_5_1_19</v>
      </c>
      <c r="F426" s="9" t="s">
        <v>16453</v>
      </c>
      <c r="G426" s="9" t="s">
        <v>16454</v>
      </c>
      <c r="H426" s="9" t="s">
        <v>16455</v>
      </c>
      <c r="I426" s="9" t="s">
        <v>16456</v>
      </c>
      <c r="J426" s="9" t="str">
        <f t="shared" si="19"/>
        <v>(${Variables:E2_5_1_19_kcat} * E2_5_1_19 * C00074 * C03175)/(${Variables:E2_5_1_19_km} + (E2_5_1_19 * C00074 * C03175))</v>
      </c>
      <c r="K426" s="38" t="str">
        <f t="shared" si="20"/>
        <v>r425: C00074 + C03175 -&gt; C00009 + C01269 | (${Variables:E2_5_1_19_kcat} * E2_5_1_19 * C00074 * C03175)/(${Variables:E2_5_1_19_km} + (E2_5_1_19 * C00074 * C03175))</v>
      </c>
    </row>
    <row r="427" spans="1:11" ht="42.75" x14ac:dyDescent="0.45">
      <c r="A427" t="s">
        <v>4597</v>
      </c>
      <c r="B427" t="s">
        <v>4598</v>
      </c>
      <c r="C427" t="s">
        <v>15086</v>
      </c>
      <c r="D427">
        <v>426</v>
      </c>
      <c r="E427" t="str">
        <f t="shared" si="18"/>
        <v>E2_5_1_3</v>
      </c>
      <c r="F427" s="9" t="s">
        <v>16461</v>
      </c>
      <c r="G427" s="9" t="s">
        <v>16462</v>
      </c>
      <c r="H427" s="9" t="s">
        <v>16463</v>
      </c>
      <c r="I427" s="9" t="s">
        <v>16464</v>
      </c>
      <c r="J427" s="9" t="str">
        <f t="shared" si="19"/>
        <v>(${Variables:E2_5_1_3_kcat} * E2_5_1_3 * C04752 * C20246)/(${Variables:E2_5_1_3_km} + (E2_5_1_3 * C04752 * C20246))</v>
      </c>
      <c r="K427" s="38" t="str">
        <f t="shared" si="20"/>
        <v>r426: C04752 + C20246 -&gt; C00013 + C01081 + C00011 | (${Variables:E2_5_1_3_kcat} * E2_5_1_3 * C04752 * C20246)/(${Variables:E2_5_1_3_km} + (E2_5_1_3 * C04752 * C20246))</v>
      </c>
    </row>
    <row r="428" spans="1:11" ht="42.75" x14ac:dyDescent="0.45">
      <c r="A428" t="s">
        <v>4597</v>
      </c>
      <c r="B428" t="s">
        <v>4598</v>
      </c>
      <c r="C428" t="s">
        <v>15086</v>
      </c>
      <c r="D428">
        <v>427</v>
      </c>
      <c r="E428" t="str">
        <f t="shared" si="18"/>
        <v>E2_5_1_3</v>
      </c>
      <c r="F428" s="9" t="s">
        <v>16465</v>
      </c>
      <c r="G428" s="9" t="s">
        <v>16466</v>
      </c>
      <c r="H428" s="9" t="s">
        <v>16467</v>
      </c>
      <c r="I428" s="9" t="s">
        <v>16468</v>
      </c>
      <c r="J428" s="9" t="str">
        <f t="shared" si="19"/>
        <v>(${Variables:E2_5_1_3_kcat} * E2_5_1_3 * C04752 * C20247)/(${Variables:E2_5_1_3_km} + (E2_5_1_3 * C04752 * C20247))</v>
      </c>
      <c r="K428" s="38" t="str">
        <f t="shared" si="20"/>
        <v>r427: C04752 + C20247 -&gt; C01081 + C00013 + C00011 | (${Variables:E2_5_1_3_kcat} * E2_5_1_3 * C04752 * C20247)/(${Variables:E2_5_1_3_km} + (E2_5_1_3 * C04752 * C20247))</v>
      </c>
    </row>
    <row r="429" spans="1:11" ht="42.75" x14ac:dyDescent="0.45">
      <c r="A429" t="s">
        <v>4597</v>
      </c>
      <c r="B429" t="s">
        <v>4598</v>
      </c>
      <c r="C429" t="s">
        <v>15086</v>
      </c>
      <c r="D429">
        <v>428</v>
      </c>
      <c r="E429" t="str">
        <f t="shared" si="18"/>
        <v>E2_5_1_3</v>
      </c>
      <c r="F429" s="9" t="s">
        <v>16457</v>
      </c>
      <c r="G429" s="9" t="s">
        <v>16458</v>
      </c>
      <c r="H429" s="9" t="s">
        <v>16459</v>
      </c>
      <c r="I429" s="9" t="s">
        <v>16460</v>
      </c>
      <c r="J429" s="9" t="str">
        <f t="shared" si="19"/>
        <v>(${Variables:E2_5_1_3_kcat} * E2_5_1_3 * C04752 * C04327)/(${Variables:E2_5_1_3_km} + (E2_5_1_3 * C04752 * C04327))</v>
      </c>
      <c r="K429" s="38" t="str">
        <f t="shared" si="20"/>
        <v>r428: C04752 + C04327 -&gt; C00013 + C01081 | (${Variables:E2_5_1_3_kcat} * E2_5_1_3 * C04752 * C04327)/(${Variables:E2_5_1_3_km} + (E2_5_1_3 * C04752 * C04327))</v>
      </c>
    </row>
    <row r="430" spans="1:11" ht="42.75" x14ac:dyDescent="0.45">
      <c r="A430" t="s">
        <v>4882</v>
      </c>
      <c r="B430" t="s">
        <v>4883</v>
      </c>
      <c r="C430" t="s">
        <v>15086</v>
      </c>
      <c r="D430">
        <v>429</v>
      </c>
      <c r="E430" t="str">
        <f t="shared" si="18"/>
        <v>E2_5_1_3</v>
      </c>
      <c r="F430" s="9" t="s">
        <v>16461</v>
      </c>
      <c r="G430" s="9" t="s">
        <v>16462</v>
      </c>
      <c r="H430" s="9" t="s">
        <v>16463</v>
      </c>
      <c r="I430" s="9" t="s">
        <v>16464</v>
      </c>
      <c r="J430" s="9" t="str">
        <f t="shared" si="19"/>
        <v>(${Variables:E2_5_1_3_kcat} * E2_5_1_3 * C04752 * C20246)/(${Variables:E2_5_1_3_km} + (E2_5_1_3 * C04752 * C20246))</v>
      </c>
      <c r="K430" s="38" t="str">
        <f t="shared" si="20"/>
        <v>r429: C04752 + C20246 -&gt; C00013 + C01081 + C00011 | (${Variables:E2_5_1_3_kcat} * E2_5_1_3 * C04752 * C20246)/(${Variables:E2_5_1_3_km} + (E2_5_1_3 * C04752 * C20246))</v>
      </c>
    </row>
    <row r="431" spans="1:11" ht="42.75" x14ac:dyDescent="0.45">
      <c r="A431" t="s">
        <v>4882</v>
      </c>
      <c r="B431" t="s">
        <v>4883</v>
      </c>
      <c r="C431" t="s">
        <v>15086</v>
      </c>
      <c r="D431">
        <v>430</v>
      </c>
      <c r="E431" t="str">
        <f t="shared" si="18"/>
        <v>E2_5_1_3</v>
      </c>
      <c r="F431" s="9" t="s">
        <v>16465</v>
      </c>
      <c r="G431" s="9" t="s">
        <v>16466</v>
      </c>
      <c r="H431" s="9" t="s">
        <v>16467</v>
      </c>
      <c r="I431" s="9" t="s">
        <v>16468</v>
      </c>
      <c r="J431" s="9" t="str">
        <f t="shared" si="19"/>
        <v>(${Variables:E2_5_1_3_kcat} * E2_5_1_3 * C04752 * C20247)/(${Variables:E2_5_1_3_km} + (E2_5_1_3 * C04752 * C20247))</v>
      </c>
      <c r="K431" s="38" t="str">
        <f t="shared" si="20"/>
        <v>r430: C04752 + C20247 -&gt; C01081 + C00013 + C00011 | (${Variables:E2_5_1_3_kcat} * E2_5_1_3 * C04752 * C20247)/(${Variables:E2_5_1_3_km} + (E2_5_1_3 * C04752 * C20247))</v>
      </c>
    </row>
    <row r="432" spans="1:11" ht="42.75" x14ac:dyDescent="0.45">
      <c r="A432" t="s">
        <v>4882</v>
      </c>
      <c r="B432" t="s">
        <v>4883</v>
      </c>
      <c r="C432" t="s">
        <v>15086</v>
      </c>
      <c r="D432">
        <v>431</v>
      </c>
      <c r="E432" t="str">
        <f t="shared" si="18"/>
        <v>E2_5_1_3</v>
      </c>
      <c r="F432" s="9" t="s">
        <v>16457</v>
      </c>
      <c r="G432" s="9" t="s">
        <v>16458</v>
      </c>
      <c r="H432" s="9" t="s">
        <v>16459</v>
      </c>
      <c r="I432" s="9" t="s">
        <v>16460</v>
      </c>
      <c r="J432" s="9" t="str">
        <f t="shared" si="19"/>
        <v>(${Variables:E2_5_1_3_kcat} * E2_5_1_3 * C04752 * C04327)/(${Variables:E2_5_1_3_km} + (E2_5_1_3 * C04752 * C04327))</v>
      </c>
      <c r="K432" s="38" t="str">
        <f t="shared" si="20"/>
        <v>r431: C04752 + C04327 -&gt; C00013 + C01081 | (${Variables:E2_5_1_3_kcat} * E2_5_1_3 * C04752 * C04327)/(${Variables:E2_5_1_3_km} + (E2_5_1_3 * C04752 * C04327))</v>
      </c>
    </row>
    <row r="433" spans="1:11" ht="42.75" x14ac:dyDescent="0.45">
      <c r="A433" t="s">
        <v>4570</v>
      </c>
      <c r="B433" t="s">
        <v>4571</v>
      </c>
      <c r="C433" t="s">
        <v>15087</v>
      </c>
      <c r="D433">
        <v>432</v>
      </c>
      <c r="E433" t="str">
        <f t="shared" si="18"/>
        <v>E2_5_1_47</v>
      </c>
      <c r="F433" s="9" t="s">
        <v>16469</v>
      </c>
      <c r="G433" s="9" t="s">
        <v>16470</v>
      </c>
      <c r="H433" s="9" t="s">
        <v>16471</v>
      </c>
      <c r="I433" s="9" t="s">
        <v>16472</v>
      </c>
      <c r="J433" s="9" t="str">
        <f t="shared" si="19"/>
        <v>(${Variables:E2_5_1_47_kcat} * E2_5_1_47 * C00979 * C00283)/(${Variables:E2_5_1_47_km} + (E2_5_1_47 * C00979 * C00283))</v>
      </c>
      <c r="K433" s="38" t="str">
        <f t="shared" si="20"/>
        <v>r432: C00979 + C00283 -&gt; C00097 + C00033 | (${Variables:E2_5_1_47_kcat} * E2_5_1_47 * C00979 * C00283)/(${Variables:E2_5_1_47_km} + (E2_5_1_47 * C00979 * C00283))</v>
      </c>
    </row>
    <row r="434" spans="1:11" ht="42.75" x14ac:dyDescent="0.45">
      <c r="A434" t="s">
        <v>4570</v>
      </c>
      <c r="B434" t="s">
        <v>4571</v>
      </c>
      <c r="C434" t="s">
        <v>15087</v>
      </c>
      <c r="D434">
        <v>433</v>
      </c>
      <c r="E434" t="str">
        <f t="shared" si="18"/>
        <v>E2_5_1_47</v>
      </c>
      <c r="F434" s="9" t="s">
        <v>16477</v>
      </c>
      <c r="G434" s="9" t="s">
        <v>16478</v>
      </c>
      <c r="H434" s="9" t="s">
        <v>16479</v>
      </c>
      <c r="I434" s="9" t="s">
        <v>16480</v>
      </c>
      <c r="J434" s="9" t="str">
        <f t="shared" si="19"/>
        <v>(${Variables:E2_5_1_47_kcat} * E2_5_1_47 * C00979 * C01528)/(${Variables:E2_5_1_47_km} + (E2_5_1_47 * C00979 * C01528))</v>
      </c>
      <c r="K434" s="38" t="str">
        <f t="shared" si="20"/>
        <v>r433: C00979 + C01528 -&gt; C05688 + C00033 | (${Variables:E2_5_1_47_kcat} * E2_5_1_47 * C00979 * C01528)/(${Variables:E2_5_1_47_km} + (E2_5_1_47 * C00979 * C01528))</v>
      </c>
    </row>
    <row r="435" spans="1:11" ht="57" x14ac:dyDescent="0.45">
      <c r="A435" t="s">
        <v>4570</v>
      </c>
      <c r="B435" t="s">
        <v>4571</v>
      </c>
      <c r="C435" t="s">
        <v>15087</v>
      </c>
      <c r="D435">
        <v>434</v>
      </c>
      <c r="E435" t="str">
        <f t="shared" si="18"/>
        <v>E2_5_1_47</v>
      </c>
      <c r="F435" s="9" t="s">
        <v>16473</v>
      </c>
      <c r="G435" s="9" t="s">
        <v>16474</v>
      </c>
      <c r="H435" s="9" t="s">
        <v>16475</v>
      </c>
      <c r="I435" s="9" t="s">
        <v>16476</v>
      </c>
      <c r="J435" s="9" t="str">
        <f t="shared" si="19"/>
        <v>(${Variables:E2_5_1_47_kcat} * E2_5_1_47 * C00979 * C00320 * C00342 * C00080)/(${Variables:E2_5_1_47_km} + (E2_5_1_47 * C00979 * C00320 * C00342 * C00080))</v>
      </c>
      <c r="K435" s="38" t="str">
        <f t="shared" si="20"/>
        <v>r434: C00979 + C00320 + C00342 + C00080 -&gt; C00097 + C00094 + C00343 + C00033 | (${Variables:E2_5_1_47_kcat} * E2_5_1_47 * C00979 * C00320 * C00342 * C00080)/(${Variables:E2_5_1_47_km} + (E2_5_1_47 * C00979 * C00320 * C00342 * C00080))</v>
      </c>
    </row>
    <row r="436" spans="1:11" ht="42.75" x14ac:dyDescent="0.45">
      <c r="A436" t="s">
        <v>4570</v>
      </c>
      <c r="B436" t="s">
        <v>4571</v>
      </c>
      <c r="C436" t="s">
        <v>15087</v>
      </c>
      <c r="D436">
        <v>435</v>
      </c>
      <c r="E436" t="str">
        <f t="shared" si="18"/>
        <v>E2_5_1_47</v>
      </c>
      <c r="F436" s="9" t="s">
        <v>16481</v>
      </c>
      <c r="G436" s="9" t="s">
        <v>16482</v>
      </c>
      <c r="H436" s="9" t="s">
        <v>16483</v>
      </c>
      <c r="I436" s="9" t="s">
        <v>16484</v>
      </c>
      <c r="J436" s="9" t="str">
        <f t="shared" si="19"/>
        <v>(${Variables:E2_5_1_47_kcat} * E2_5_1_47 * C01005 * C00283)/(${Variables:E2_5_1_47_km} + (E2_5_1_47 * C01005 * C00283))</v>
      </c>
      <c r="K436" s="38" t="str">
        <f t="shared" si="20"/>
        <v>r435: C01005 + C00283 -&gt; C00097 + C00009 | (${Variables:E2_5_1_47_kcat} * E2_5_1_47 * C01005 * C00283)/(${Variables:E2_5_1_47_km} + (E2_5_1_47 * C01005 * C00283))</v>
      </c>
    </row>
    <row r="437" spans="1:11" ht="42.75" x14ac:dyDescent="0.45">
      <c r="A437" t="s">
        <v>4003</v>
      </c>
      <c r="B437" t="s">
        <v>4004</v>
      </c>
      <c r="C437" t="s">
        <v>15088</v>
      </c>
      <c r="D437">
        <v>436</v>
      </c>
      <c r="E437" t="str">
        <f t="shared" si="18"/>
        <v>E2_5_1_54</v>
      </c>
      <c r="F437" s="9" t="s">
        <v>16485</v>
      </c>
      <c r="G437" s="9" t="s">
        <v>16486</v>
      </c>
      <c r="H437" s="9" t="s">
        <v>16487</v>
      </c>
      <c r="I437" s="9" t="s">
        <v>16488</v>
      </c>
      <c r="J437" s="9" t="str">
        <f t="shared" si="19"/>
        <v>(${Variables:E2_5_1_54_kcat} * E2_5_1_54 * C00074 * C00279 * C00001)/(${Variables:E2_5_1_54_km} + (E2_5_1_54 * C00074 * C00279 * C00001))</v>
      </c>
      <c r="K437" s="38" t="str">
        <f t="shared" si="20"/>
        <v>r436: C00074 + C00279 + C00001 -&gt; C04691 + C00009 | (${Variables:E2_5_1_54_kcat} * E2_5_1_54 * C00074 * C00279 * C00001)/(${Variables:E2_5_1_54_km} + (E2_5_1_54 * C00074 * C00279 * C00001))</v>
      </c>
    </row>
    <row r="438" spans="1:11" ht="42.75" x14ac:dyDescent="0.45">
      <c r="A438" t="s">
        <v>5217</v>
      </c>
      <c r="B438" t="s">
        <v>5218</v>
      </c>
      <c r="C438" t="s">
        <v>15088</v>
      </c>
      <c r="D438">
        <v>437</v>
      </c>
      <c r="E438" t="str">
        <f t="shared" si="18"/>
        <v>E2_5_1_54</v>
      </c>
      <c r="F438" s="9" t="s">
        <v>16485</v>
      </c>
      <c r="G438" s="9" t="s">
        <v>16486</v>
      </c>
      <c r="H438" s="9" t="s">
        <v>16487</v>
      </c>
      <c r="I438" s="9" t="s">
        <v>16488</v>
      </c>
      <c r="J438" s="9" t="str">
        <f t="shared" si="19"/>
        <v>(${Variables:E2_5_1_54_kcat} * E2_5_1_54 * C00074 * C00279 * C00001)/(${Variables:E2_5_1_54_km} + (E2_5_1_54 * C00074 * C00279 * C00001))</v>
      </c>
      <c r="K438" s="38" t="str">
        <f t="shared" si="20"/>
        <v>r437: C00074 + C00279 + C00001 -&gt; C04691 + C00009 | (${Variables:E2_5_1_54_kcat} * E2_5_1_54 * C00074 * C00279 * C00001)/(${Variables:E2_5_1_54_km} + (E2_5_1_54 * C00074 * C00279 * C00001))</v>
      </c>
    </row>
    <row r="439" spans="1:11" ht="42.75" x14ac:dyDescent="0.45">
      <c r="A439" t="s">
        <v>602</v>
      </c>
      <c r="B439" t="s">
        <v>603</v>
      </c>
      <c r="C439" t="s">
        <v>15089</v>
      </c>
      <c r="D439">
        <v>438</v>
      </c>
      <c r="E439" t="str">
        <f t="shared" si="18"/>
        <v>E2_5_1_6</v>
      </c>
      <c r="F439" s="9" t="s">
        <v>16493</v>
      </c>
      <c r="G439" s="9" t="s">
        <v>16494</v>
      </c>
      <c r="H439" s="9" t="s">
        <v>16495</v>
      </c>
      <c r="I439" s="9" t="s">
        <v>16496</v>
      </c>
      <c r="J439" s="9" t="str">
        <f t="shared" si="19"/>
        <v>(${Variables:E2_5_1_6_kcat} * E2_5_1_6 * C00009 * C00013 * C00019)/(${Variables:E2_5_1_6_km} + (E2_5_1_6 * C00009 * C00013 * C00019))</v>
      </c>
      <c r="K439" s="38" t="str">
        <f t="shared" si="20"/>
        <v>r438: C00009 + C00013 + C00019 -&gt; C00002 + C00073 + C00001 | (${Variables:E2_5_1_6_kcat} * E2_5_1_6 * C00009 * C00013 * C00019)/(${Variables:E2_5_1_6_km} + (E2_5_1_6 * C00009 * C00013 * C00019))</v>
      </c>
    </row>
    <row r="440" spans="1:11" ht="42.75" x14ac:dyDescent="0.45">
      <c r="A440" t="s">
        <v>602</v>
      </c>
      <c r="B440" t="s">
        <v>603</v>
      </c>
      <c r="C440" t="s">
        <v>15089</v>
      </c>
      <c r="D440">
        <v>439</v>
      </c>
      <c r="E440" t="str">
        <f t="shared" si="18"/>
        <v>E2_5_1_6</v>
      </c>
      <c r="F440" s="9" t="s">
        <v>16489</v>
      </c>
      <c r="G440" s="9" t="s">
        <v>16490</v>
      </c>
      <c r="H440" s="9" t="s">
        <v>16491</v>
      </c>
      <c r="I440" s="9" t="s">
        <v>16492</v>
      </c>
      <c r="J440" s="9" t="str">
        <f t="shared" si="19"/>
        <v>(${Variables:E2_5_1_6_kcat} * E2_5_1_6 * C00002 * C05335 * C00001)/(${Variables:E2_5_1_6_km} + (E2_5_1_6 * C00002 * C05335 * C00001))</v>
      </c>
      <c r="K440" s="38" t="str">
        <f t="shared" si="20"/>
        <v>r439: C00002 + C05335 + C00001 -&gt; C00009 + C00013 + C05691 | (${Variables:E2_5_1_6_kcat} * E2_5_1_6 * C00002 * C05335 * C00001)/(${Variables:E2_5_1_6_km} + (E2_5_1_6 * C00002 * C05335 * C00001))</v>
      </c>
    </row>
    <row r="441" spans="1:11" ht="42.75" x14ac:dyDescent="0.45">
      <c r="A441" t="s">
        <v>9384</v>
      </c>
      <c r="B441" t="s">
        <v>9385</v>
      </c>
      <c r="C441" t="s">
        <v>15090</v>
      </c>
      <c r="D441">
        <v>440</v>
      </c>
      <c r="E441" t="str">
        <f t="shared" si="18"/>
        <v>E2_5_1_61</v>
      </c>
      <c r="F441" s="9" t="s">
        <v>16497</v>
      </c>
      <c r="G441" s="9" t="s">
        <v>16498</v>
      </c>
      <c r="H441" s="9" t="s">
        <v>16499</v>
      </c>
      <c r="I441" s="9" t="s">
        <v>16500</v>
      </c>
      <c r="J441" s="9" t="str">
        <f t="shared" si="19"/>
        <v>(${Variables:E2_5_1_61_kcat} * E2_5_1_61 * C00931 * C00001)/(${Variables:E2_5_1_61_km} + (E2_5_1_61 * C00931 * C00001))</v>
      </c>
      <c r="K441" s="38" t="str">
        <f t="shared" si="20"/>
        <v>r440: C00931 + C00001 -&gt; C01024 + C00014 | (${Variables:E2_5_1_61_kcat} * E2_5_1_61 * C00931 * C00001)/(${Variables:E2_5_1_61_km} + (E2_5_1_61 * C00931 * C00001))</v>
      </c>
    </row>
    <row r="442" spans="1:11" ht="42.75" x14ac:dyDescent="0.45">
      <c r="A442" t="s">
        <v>576</v>
      </c>
      <c r="B442" t="s">
        <v>577</v>
      </c>
      <c r="C442" t="s">
        <v>15091</v>
      </c>
      <c r="D442">
        <v>441</v>
      </c>
      <c r="E442" t="str">
        <f t="shared" si="18"/>
        <v>E2_5_1_7</v>
      </c>
      <c r="F442" s="9" t="s">
        <v>16501</v>
      </c>
      <c r="G442" s="9" t="s">
        <v>16502</v>
      </c>
      <c r="H442" s="9" t="s">
        <v>16503</v>
      </c>
      <c r="I442" s="9" t="s">
        <v>16504</v>
      </c>
      <c r="J442" s="9" t="str">
        <f t="shared" si="19"/>
        <v>(${Variables:E2_5_1_7_kcat} * E2_5_1_7 * C00074 * C00043)/(${Variables:E2_5_1_7_km} + (E2_5_1_7 * C00074 * C00043))</v>
      </c>
      <c r="K442" s="38" t="str">
        <f t="shared" si="20"/>
        <v>r441: C00074 + C00043 -&gt; C04631 + C00009 | (${Variables:E2_5_1_7_kcat} * E2_5_1_7 * C00074 * C00043)/(${Variables:E2_5_1_7_km} + (E2_5_1_7 * C00074 * C00043))</v>
      </c>
    </row>
    <row r="443" spans="1:11" ht="42.75" x14ac:dyDescent="0.45">
      <c r="A443" t="s">
        <v>6696</v>
      </c>
      <c r="B443" t="s">
        <v>6697</v>
      </c>
      <c r="C443" t="s">
        <v>15092</v>
      </c>
      <c r="D443">
        <v>442</v>
      </c>
      <c r="E443" t="str">
        <f t="shared" si="18"/>
        <v>E2_5_1_72</v>
      </c>
      <c r="F443" s="9" t="s">
        <v>16505</v>
      </c>
      <c r="G443" s="9" t="s">
        <v>16506</v>
      </c>
      <c r="H443" s="9" t="s">
        <v>16507</v>
      </c>
      <c r="I443" s="9" t="s">
        <v>16508</v>
      </c>
      <c r="J443" s="9" t="str">
        <f t="shared" si="19"/>
        <v>(${Variables:E2_5_1_72_kcat} * E2_5_1_72 * C03722 * C00001 * C00009)/(${Variables:E2_5_1_72_km} + (E2_5_1_72 * C03722 * C00001 * C00009))</v>
      </c>
      <c r="K443" s="38" t="str">
        <f t="shared" si="20"/>
        <v>r442: C03722 + C00001 + C00009 -&gt; C05840 + C00111 | (${Variables:E2_5_1_72_kcat} * E2_5_1_72 * C03722 * C00001 * C00009)/(${Variables:E2_5_1_72_km} + (E2_5_1_72 * C03722 * C00001 * C00009))</v>
      </c>
    </row>
    <row r="444" spans="1:11" ht="42.75" x14ac:dyDescent="0.45">
      <c r="A444" t="s">
        <v>5703</v>
      </c>
      <c r="B444" t="s">
        <v>5704</v>
      </c>
      <c r="C444" t="s">
        <v>15093</v>
      </c>
      <c r="D444">
        <v>443</v>
      </c>
      <c r="E444" t="str">
        <f t="shared" si="18"/>
        <v>E2_5_1_75</v>
      </c>
      <c r="F444" s="9" t="s">
        <v>16509</v>
      </c>
      <c r="G444" s="9" t="s">
        <v>16510</v>
      </c>
      <c r="H444" s="9" t="s">
        <v>16511</v>
      </c>
      <c r="I444" s="9" t="s">
        <v>16512</v>
      </c>
      <c r="J444" s="9" t="str">
        <f t="shared" si="19"/>
        <v>(${Variables:E2_5_1_75_kcat} * E2_5_1_75 * C00235 * C17324)/(${Variables:E2_5_1_75_km} + (E2_5_1_75 * C00235 * C17324))</v>
      </c>
      <c r="K444" s="38" t="str">
        <f t="shared" si="20"/>
        <v>r443: C00235 + C17324 -&gt; C00013 + C04432 | (${Variables:E2_5_1_75_kcat} * E2_5_1_75 * C00235 * C17324)/(${Variables:E2_5_1_75_km} + (E2_5_1_75 * C00235 * C17324))</v>
      </c>
    </row>
    <row r="445" spans="1:11" ht="42.75" x14ac:dyDescent="0.45">
      <c r="A445" t="s">
        <v>4848</v>
      </c>
      <c r="B445" t="s">
        <v>4849</v>
      </c>
      <c r="C445" t="s">
        <v>15094</v>
      </c>
      <c r="D445">
        <v>444</v>
      </c>
      <c r="E445" t="str">
        <f t="shared" si="18"/>
        <v>E2_5_1_78</v>
      </c>
      <c r="F445" s="9" t="s">
        <v>16513</v>
      </c>
      <c r="G445" s="9" t="s">
        <v>16514</v>
      </c>
      <c r="H445" s="9" t="s">
        <v>16515</v>
      </c>
      <c r="I445" s="9" t="s">
        <v>16516</v>
      </c>
      <c r="J445" s="9" t="str">
        <f t="shared" si="19"/>
        <v>(${Variables:E2_5_1_78_kcat} * E2_5_1_78 * C04732 * C15556)/(${Variables:E2_5_1_78_km} + (E2_5_1_78 * C04732 * C15556))</v>
      </c>
      <c r="K445" s="38" t="str">
        <f t="shared" si="20"/>
        <v>r444: C04732 + C15556 -&gt; C04332 + C00001 + C00009 | (${Variables:E2_5_1_78_kcat} * E2_5_1_78 * C04732 * C15556)/(${Variables:E2_5_1_78_km} + (E2_5_1_78 * C04732 * C15556))</v>
      </c>
    </row>
    <row r="446" spans="1:11" ht="28.5" x14ac:dyDescent="0.45">
      <c r="A446" t="s">
        <v>4854</v>
      </c>
      <c r="B446" t="s">
        <v>4855</v>
      </c>
      <c r="C446" t="s">
        <v>15095</v>
      </c>
      <c r="D446">
        <v>445</v>
      </c>
      <c r="E446" t="str">
        <f t="shared" si="18"/>
        <v>E2_5_1_9</v>
      </c>
      <c r="F446" s="9" t="s">
        <v>11550</v>
      </c>
      <c r="G446" s="9" t="s">
        <v>11550</v>
      </c>
      <c r="H446" s="9" t="s">
        <v>16517</v>
      </c>
      <c r="I446" s="9" t="s">
        <v>16518</v>
      </c>
      <c r="J446" s="9" t="str">
        <f t="shared" si="19"/>
        <v>(${Variables:E2_5_1_9_kcat} * E2_5_1_9 * C04332)/(${Variables:E2_5_1_9_km} + (E2_5_1_9 * C04332))</v>
      </c>
      <c r="K446" s="38" t="str">
        <f t="shared" si="20"/>
        <v>r445: C04332 -&gt; C00255 + C04732 | (${Variables:E2_5_1_9_kcat} * E2_5_1_9 * C04332)/(${Variables:E2_5_1_9_km} + (E2_5_1_9 * C04332))</v>
      </c>
    </row>
    <row r="447" spans="1:11" ht="42.75" x14ac:dyDescent="0.45">
      <c r="A447" t="s">
        <v>566</v>
      </c>
      <c r="B447" t="s">
        <v>567</v>
      </c>
      <c r="C447" t="s">
        <v>15096</v>
      </c>
      <c r="D447">
        <v>446</v>
      </c>
      <c r="E447" t="str">
        <f t="shared" si="18"/>
        <v>E2_6_1_16</v>
      </c>
      <c r="F447" s="9" t="s">
        <v>16519</v>
      </c>
      <c r="G447" s="9" t="s">
        <v>16520</v>
      </c>
      <c r="H447" s="9" t="s">
        <v>16521</v>
      </c>
      <c r="I447" s="9" t="s">
        <v>16522</v>
      </c>
      <c r="J447" s="9" t="str">
        <f t="shared" si="19"/>
        <v>(${Variables:E2_6_1_16_kcat} * E2_6_1_16 * C00064 * C00085)/(${Variables:E2_6_1_16_km} + (E2_6_1_16 * C00064 * C00085))</v>
      </c>
      <c r="K447" s="38" t="str">
        <f t="shared" si="20"/>
        <v>r446: C00064 + C00085 -&gt; C00025 + C00352 | (${Variables:E2_6_1_16_kcat} * E2_6_1_16 * C00064 * C00085)/(${Variables:E2_6_1_16_km} + (E2_6_1_16 * C00064 * C00085))</v>
      </c>
    </row>
    <row r="448" spans="1:11" ht="42.75" x14ac:dyDescent="0.45">
      <c r="A448" t="s">
        <v>8050</v>
      </c>
      <c r="B448" t="s">
        <v>8051</v>
      </c>
      <c r="C448" t="s">
        <v>15097</v>
      </c>
      <c r="D448">
        <v>447</v>
      </c>
      <c r="E448" t="str">
        <f t="shared" si="18"/>
        <v>E2_6_1_37</v>
      </c>
      <c r="F448" s="9" t="s">
        <v>16523</v>
      </c>
      <c r="G448" s="9" t="s">
        <v>16524</v>
      </c>
      <c r="H448" s="9" t="s">
        <v>16525</v>
      </c>
      <c r="I448" s="9" t="s">
        <v>16526</v>
      </c>
      <c r="J448" s="9" t="str">
        <f t="shared" si="19"/>
        <v>(${Variables:E2_6_1_37_kcat} * E2_6_1_37 * C03557 * C00022)/(${Variables:E2_6_1_37_km} + (E2_6_1_37 * C03557 * C00022))</v>
      </c>
      <c r="K448" s="38" t="str">
        <f t="shared" si="20"/>
        <v>r447: C03557 + C00022 -&gt; C03167 + C00041 | (${Variables:E2_6_1_37_kcat} * E2_6_1_37 * C03557 * C00022)/(${Variables:E2_6_1_37_km} + (E2_6_1_37 * C03557 * C00022))</v>
      </c>
    </row>
    <row r="449" spans="1:11" ht="42.75" x14ac:dyDescent="0.45">
      <c r="A449" t="s">
        <v>3978</v>
      </c>
      <c r="B449" t="s">
        <v>3979</v>
      </c>
      <c r="C449" t="s">
        <v>15098</v>
      </c>
      <c r="D449">
        <v>448</v>
      </c>
      <c r="E449" t="str">
        <f t="shared" si="18"/>
        <v>E2_6_1_85</v>
      </c>
      <c r="F449" s="9" t="s">
        <v>16531</v>
      </c>
      <c r="G449" s="9" t="s">
        <v>16532</v>
      </c>
      <c r="H449" s="9" t="s">
        <v>16533</v>
      </c>
      <c r="I449" s="9" t="s">
        <v>16534</v>
      </c>
      <c r="J449" s="9" t="str">
        <f t="shared" si="19"/>
        <v>(${Variables:E2_6_1_85_kcat} * E2_6_1_85 * C00251 * C00064)/(${Variables:E2_6_1_85_km} + (E2_6_1_85 * C00251 * C00064))</v>
      </c>
      <c r="K449" s="38" t="str">
        <f t="shared" si="20"/>
        <v>r448: C00251 + C00064 -&gt; C11355 + C00025 | (${Variables:E2_6_1_85_kcat} * E2_6_1_85 * C00251 * C00064)/(${Variables:E2_6_1_85_km} + (E2_6_1_85 * C00251 * C00064))</v>
      </c>
    </row>
    <row r="450" spans="1:11" ht="42.75" x14ac:dyDescent="0.45">
      <c r="A450" t="s">
        <v>3978</v>
      </c>
      <c r="B450" t="s">
        <v>3979</v>
      </c>
      <c r="C450" t="s">
        <v>15098</v>
      </c>
      <c r="D450">
        <v>449</v>
      </c>
      <c r="E450" t="str">
        <f t="shared" si="18"/>
        <v>E2_6_1_85</v>
      </c>
      <c r="F450" s="9" t="s">
        <v>15787</v>
      </c>
      <c r="G450" s="9" t="s">
        <v>15788</v>
      </c>
      <c r="H450" s="9" t="s">
        <v>15789</v>
      </c>
      <c r="I450" s="9" t="s">
        <v>15790</v>
      </c>
      <c r="J450" s="9" t="str">
        <f t="shared" si="19"/>
        <v>(${Variables:E2_6_1_85_kcat} * E2_6_1_85 * C00064 * C00001)/(${Variables:E2_6_1_85_km} + (E2_6_1_85 * C00064 * C00001))</v>
      </c>
      <c r="K450" s="38" t="str">
        <f t="shared" si="20"/>
        <v>r449: C00064 + C00001 -&gt; C00025 + C00014 | (${Variables:E2_6_1_85_kcat} * E2_6_1_85 * C00064 * C00001)/(${Variables:E2_6_1_85_km} + (E2_6_1_85 * C00064 * C00001))</v>
      </c>
    </row>
    <row r="451" spans="1:11" ht="42.75" x14ac:dyDescent="0.45">
      <c r="A451" t="s">
        <v>3978</v>
      </c>
      <c r="B451" t="s">
        <v>3979</v>
      </c>
      <c r="C451" t="s">
        <v>15098</v>
      </c>
      <c r="D451">
        <v>450</v>
      </c>
      <c r="E451" t="str">
        <f t="shared" ref="E451:E514" si="21">CONCATENATE("E",C451)</f>
        <v>E2_6_1_85</v>
      </c>
      <c r="F451" s="9" t="s">
        <v>16527</v>
      </c>
      <c r="G451" s="9" t="s">
        <v>16528</v>
      </c>
      <c r="H451" s="9" t="s">
        <v>16529</v>
      </c>
      <c r="I451" s="9" t="s">
        <v>16530</v>
      </c>
      <c r="J451" s="9" t="str">
        <f t="shared" ref="J451:J514" si="22">CONCATENATE("(${Variables:",E451,"_kcat","} * ",E451," * ",G451,")","/(${Variables:",E451,"_km","} + (",E451," * ",G451,"))")</f>
        <v>(${Variables:E2_6_1_85_kcat} * E2_6_1_85 * C00251 * C00014)/(${Variables:E2_6_1_85_km} + (E2_6_1_85 * C00251 * C00014))</v>
      </c>
      <c r="K451" s="38" t="str">
        <f t="shared" ref="K451:K514" si="23">CONCATENATE("r",D451,": ",F451," -&gt; ",H451," | ",J451)</f>
        <v>r450: C00251 + C00014 -&gt; C11355 + C00001 | (${Variables:E2_6_1_85_kcat} * E2_6_1_85 * C00251 * C00014)/(${Variables:E2_6_1_85_km} + (E2_6_1_85 * C00251 * C00014))</v>
      </c>
    </row>
    <row r="452" spans="1:11" ht="42.75" x14ac:dyDescent="0.45">
      <c r="A452" t="s">
        <v>4268</v>
      </c>
      <c r="B452" t="s">
        <v>4269</v>
      </c>
      <c r="C452" t="s">
        <v>15099</v>
      </c>
      <c r="D452">
        <v>451</v>
      </c>
      <c r="E452" t="str">
        <f t="shared" si="21"/>
        <v>E2_6_1_9</v>
      </c>
      <c r="F452" s="9" t="s">
        <v>16543</v>
      </c>
      <c r="G452" s="9" t="s">
        <v>16544</v>
      </c>
      <c r="H452" s="9" t="s">
        <v>16545</v>
      </c>
      <c r="I452" s="9" t="s">
        <v>16546</v>
      </c>
      <c r="J452" s="9" t="str">
        <f t="shared" si="22"/>
        <v>(${Variables:E2_6_1_9_kcat} * E2_6_1_9 * C01100 * C00026)/(${Variables:E2_6_1_9_km} + (E2_6_1_9 * C01100 * C00026))</v>
      </c>
      <c r="K452" s="38" t="str">
        <f t="shared" si="23"/>
        <v>r451: C01100 + C00026 -&gt; C01267 + C00025 | (${Variables:E2_6_1_9_kcat} * E2_6_1_9 * C01100 * C00026)/(${Variables:E2_6_1_9_km} + (E2_6_1_9 * C01100 * C00026))</v>
      </c>
    </row>
    <row r="453" spans="1:11" ht="42.75" x14ac:dyDescent="0.45">
      <c r="A453" t="s">
        <v>4268</v>
      </c>
      <c r="B453" t="s">
        <v>4269</v>
      </c>
      <c r="C453" t="s">
        <v>15099</v>
      </c>
      <c r="D453">
        <v>452</v>
      </c>
      <c r="E453" t="str">
        <f t="shared" si="21"/>
        <v>E2_6_1_9</v>
      </c>
      <c r="F453" s="9" t="s">
        <v>16535</v>
      </c>
      <c r="G453" s="9" t="s">
        <v>16536</v>
      </c>
      <c r="H453" s="9" t="s">
        <v>16537</v>
      </c>
      <c r="I453" s="9" t="s">
        <v>16538</v>
      </c>
      <c r="J453" s="9" t="str">
        <f t="shared" si="22"/>
        <v>(${Variables:E2_6_1_9_kcat} * E2_6_1_9 * C00079 * C00026)/(${Variables:E2_6_1_9_km} + (E2_6_1_9 * C00079 * C00026))</v>
      </c>
      <c r="K453" s="38" t="str">
        <f t="shared" si="23"/>
        <v>r452: C00079 + C00026 -&gt; C00166 + C00025 | (${Variables:E2_6_1_9_kcat} * E2_6_1_9 * C00079 * C00026)/(${Variables:E2_6_1_9_km} + (E2_6_1_9 * C00079 * C00026))</v>
      </c>
    </row>
    <row r="454" spans="1:11" ht="42.75" x14ac:dyDescent="0.45">
      <c r="A454" t="s">
        <v>4268</v>
      </c>
      <c r="B454" t="s">
        <v>4269</v>
      </c>
      <c r="C454" t="s">
        <v>15099</v>
      </c>
      <c r="D454">
        <v>453</v>
      </c>
      <c r="E454" t="str">
        <f t="shared" si="21"/>
        <v>E2_6_1_9</v>
      </c>
      <c r="F454" s="9" t="s">
        <v>16539</v>
      </c>
      <c r="G454" s="9" t="s">
        <v>16540</v>
      </c>
      <c r="H454" s="9" t="s">
        <v>16541</v>
      </c>
      <c r="I454" s="9" t="s">
        <v>16542</v>
      </c>
      <c r="J454" s="9" t="str">
        <f t="shared" si="22"/>
        <v>(${Variables:E2_6_1_9_kcat} * E2_6_1_9 * C00082 * C00026)/(${Variables:E2_6_1_9_km} + (E2_6_1_9 * C00082 * C00026))</v>
      </c>
      <c r="K454" s="38" t="str">
        <f t="shared" si="23"/>
        <v>r453: C00082 + C00026 -&gt; C01179 + C00025 | (${Variables:E2_6_1_9_kcat} * E2_6_1_9 * C00082 * C00026)/(${Variables:E2_6_1_9_km} + (E2_6_1_9 * C00082 * C00026))</v>
      </c>
    </row>
    <row r="455" spans="1:11" ht="42.75" x14ac:dyDescent="0.45">
      <c r="A455" t="s">
        <v>6290</v>
      </c>
      <c r="B455" t="s">
        <v>6291</v>
      </c>
      <c r="C455" t="s">
        <v>15099</v>
      </c>
      <c r="D455">
        <v>454</v>
      </c>
      <c r="E455" t="str">
        <f t="shared" si="21"/>
        <v>E2_6_1_9</v>
      </c>
      <c r="F455" s="9" t="s">
        <v>16543</v>
      </c>
      <c r="G455" s="9" t="s">
        <v>16544</v>
      </c>
      <c r="H455" s="9" t="s">
        <v>16545</v>
      </c>
      <c r="I455" s="9" t="s">
        <v>16546</v>
      </c>
      <c r="J455" s="9" t="str">
        <f t="shared" si="22"/>
        <v>(${Variables:E2_6_1_9_kcat} * E2_6_1_9 * C01100 * C00026)/(${Variables:E2_6_1_9_km} + (E2_6_1_9 * C01100 * C00026))</v>
      </c>
      <c r="K455" s="38" t="str">
        <f t="shared" si="23"/>
        <v>r454: C01100 + C00026 -&gt; C01267 + C00025 | (${Variables:E2_6_1_9_kcat} * E2_6_1_9 * C01100 * C00026)/(${Variables:E2_6_1_9_km} + (E2_6_1_9 * C01100 * C00026))</v>
      </c>
    </row>
    <row r="456" spans="1:11" ht="42.75" x14ac:dyDescent="0.45">
      <c r="A456" t="s">
        <v>6290</v>
      </c>
      <c r="B456" t="s">
        <v>6291</v>
      </c>
      <c r="C456" t="s">
        <v>15099</v>
      </c>
      <c r="D456">
        <v>455</v>
      </c>
      <c r="E456" t="str">
        <f t="shared" si="21"/>
        <v>E2_6_1_9</v>
      </c>
      <c r="F456" s="9" t="s">
        <v>16535</v>
      </c>
      <c r="G456" s="9" t="s">
        <v>16536</v>
      </c>
      <c r="H456" s="9" t="s">
        <v>16537</v>
      </c>
      <c r="I456" s="9" t="s">
        <v>16538</v>
      </c>
      <c r="J456" s="9" t="str">
        <f t="shared" si="22"/>
        <v>(${Variables:E2_6_1_9_kcat} * E2_6_1_9 * C00079 * C00026)/(${Variables:E2_6_1_9_km} + (E2_6_1_9 * C00079 * C00026))</v>
      </c>
      <c r="K456" s="38" t="str">
        <f t="shared" si="23"/>
        <v>r455: C00079 + C00026 -&gt; C00166 + C00025 | (${Variables:E2_6_1_9_kcat} * E2_6_1_9 * C00079 * C00026)/(${Variables:E2_6_1_9_km} + (E2_6_1_9 * C00079 * C00026))</v>
      </c>
    </row>
    <row r="457" spans="1:11" ht="42.75" x14ac:dyDescent="0.45">
      <c r="A457" t="s">
        <v>6290</v>
      </c>
      <c r="B457" t="s">
        <v>6291</v>
      </c>
      <c r="C457" t="s">
        <v>15099</v>
      </c>
      <c r="D457">
        <v>456</v>
      </c>
      <c r="E457" t="str">
        <f t="shared" si="21"/>
        <v>E2_6_1_9</v>
      </c>
      <c r="F457" s="9" t="s">
        <v>16539</v>
      </c>
      <c r="G457" s="9" t="s">
        <v>16540</v>
      </c>
      <c r="H457" s="9" t="s">
        <v>16541</v>
      </c>
      <c r="I457" s="9" t="s">
        <v>16542</v>
      </c>
      <c r="J457" s="9" t="str">
        <f t="shared" si="22"/>
        <v>(${Variables:E2_6_1_9_kcat} * E2_6_1_9 * C00082 * C00026)/(${Variables:E2_6_1_9_km} + (E2_6_1_9 * C00082 * C00026))</v>
      </c>
      <c r="K457" s="38" t="str">
        <f t="shared" si="23"/>
        <v>r456: C00082 + C00026 -&gt; C01179 + C00025 | (${Variables:E2_6_1_9_kcat} * E2_6_1_9 * C00082 * C00026)/(${Variables:E2_6_1_9_km} + (E2_6_1_9 * C00082 * C00026))</v>
      </c>
    </row>
    <row r="458" spans="1:11" ht="42.75" x14ac:dyDescent="0.45">
      <c r="A458" t="s">
        <v>6885</v>
      </c>
      <c r="B458" t="s">
        <v>6886</v>
      </c>
      <c r="C458" t="s">
        <v>15100</v>
      </c>
      <c r="D458">
        <v>457</v>
      </c>
      <c r="E458" t="str">
        <f t="shared" si="21"/>
        <v>E2_7_1_107</v>
      </c>
      <c r="F458" s="9" t="s">
        <v>16547</v>
      </c>
      <c r="G458" s="9" t="s">
        <v>16548</v>
      </c>
      <c r="H458" s="9" t="s">
        <v>16549</v>
      </c>
      <c r="I458" s="9" t="s">
        <v>16550</v>
      </c>
      <c r="J458" s="9" t="str">
        <f t="shared" si="22"/>
        <v>(${Variables:E2_7_1_107_kcat} * E2_7_1_107 * C00002 * C00641)/(${Variables:E2_7_1_107_km} + (E2_7_1_107 * C00002 * C00641))</v>
      </c>
      <c r="K458" s="38" t="str">
        <f t="shared" si="23"/>
        <v>r457: C00002 + C00641 -&gt; C00008 + C00416 | (${Variables:E2_7_1_107_kcat} * E2_7_1_107 * C00002 * C00641)/(${Variables:E2_7_1_107_km} + (E2_7_1_107 * C00002 * C00641))</v>
      </c>
    </row>
    <row r="459" spans="1:11" ht="42.75" x14ac:dyDescent="0.45">
      <c r="A459" t="s">
        <v>9302</v>
      </c>
      <c r="B459" t="s">
        <v>9303</v>
      </c>
      <c r="C459" t="s">
        <v>15101</v>
      </c>
      <c r="D459">
        <v>458</v>
      </c>
      <c r="E459" t="str">
        <f t="shared" si="21"/>
        <v>E2_7_1_11</v>
      </c>
      <c r="F459" s="9" t="s">
        <v>16555</v>
      </c>
      <c r="G459" s="9" t="s">
        <v>16556</v>
      </c>
      <c r="H459" s="9" t="s">
        <v>16557</v>
      </c>
      <c r="I459" s="9" t="s">
        <v>16558</v>
      </c>
      <c r="J459" s="9" t="str">
        <f t="shared" si="22"/>
        <v>(${Variables:E2_7_1_11_kcat} * E2_7_1_11 * C00002 * C05345)/(${Variables:E2_7_1_11_km} + (E2_7_1_11 * C00002 * C05345))</v>
      </c>
      <c r="K459" s="38" t="str">
        <f t="shared" si="23"/>
        <v>r458: C00002 + C05345 -&gt; C00008 + C05378 | (${Variables:E2_7_1_11_kcat} * E2_7_1_11 * C00002 * C05345)/(${Variables:E2_7_1_11_km} + (E2_7_1_11 * C00002 * C05345))</v>
      </c>
    </row>
    <row r="460" spans="1:11" ht="42.75" x14ac:dyDescent="0.45">
      <c r="A460" t="s">
        <v>9302</v>
      </c>
      <c r="B460" t="s">
        <v>9303</v>
      </c>
      <c r="C460" t="s">
        <v>15101</v>
      </c>
      <c r="D460">
        <v>459</v>
      </c>
      <c r="E460" t="str">
        <f t="shared" si="21"/>
        <v>E2_7_1_11</v>
      </c>
      <c r="F460" s="9" t="s">
        <v>16551</v>
      </c>
      <c r="G460" s="9" t="s">
        <v>16552</v>
      </c>
      <c r="H460" s="9" t="s">
        <v>16553</v>
      </c>
      <c r="I460" s="9" t="s">
        <v>16554</v>
      </c>
      <c r="J460" s="9" t="str">
        <f t="shared" si="22"/>
        <v>(${Variables:E2_7_1_11_kcat} * E2_7_1_11 * C00002 * C00085)/(${Variables:E2_7_1_11_km} + (E2_7_1_11 * C00002 * C00085))</v>
      </c>
      <c r="K460" s="38" t="str">
        <f t="shared" si="23"/>
        <v>r459: C00002 + C00085 -&gt; C00008 + C00354 | (${Variables:E2_7_1_11_kcat} * E2_7_1_11 * C00002 * C00085)/(${Variables:E2_7_1_11_km} + (E2_7_1_11 * C00002 * C00085))</v>
      </c>
    </row>
    <row r="461" spans="1:11" ht="42.75" x14ac:dyDescent="0.45">
      <c r="A461" t="s">
        <v>9302</v>
      </c>
      <c r="B461" t="s">
        <v>9303</v>
      </c>
      <c r="C461" t="s">
        <v>15101</v>
      </c>
      <c r="D461">
        <v>460</v>
      </c>
      <c r="E461" t="str">
        <f t="shared" si="21"/>
        <v>E2_7_1_11</v>
      </c>
      <c r="F461" s="9" t="s">
        <v>16563</v>
      </c>
      <c r="G461" s="9" t="s">
        <v>16564</v>
      </c>
      <c r="H461" s="9" t="s">
        <v>16565</v>
      </c>
      <c r="I461" s="9" t="s">
        <v>16566</v>
      </c>
      <c r="J461" s="9" t="str">
        <f t="shared" si="22"/>
        <v>(${Variables:E2_7_1_11_kcat} * E2_7_1_11 * C00063 * C00085)/(${Variables:E2_7_1_11_km} + (E2_7_1_11 * C00063 * C00085))</v>
      </c>
      <c r="K461" s="38" t="str">
        <f t="shared" si="23"/>
        <v>r460: C00063 + C00085 -&gt; C00112 + C00354 | (${Variables:E2_7_1_11_kcat} * E2_7_1_11 * C00063 * C00085)/(${Variables:E2_7_1_11_km} + (E2_7_1_11 * C00063 * C00085))</v>
      </c>
    </row>
    <row r="462" spans="1:11" ht="42.75" x14ac:dyDescent="0.45">
      <c r="A462" t="s">
        <v>9302</v>
      </c>
      <c r="B462" t="s">
        <v>9303</v>
      </c>
      <c r="C462" t="s">
        <v>15101</v>
      </c>
      <c r="D462">
        <v>461</v>
      </c>
      <c r="E462" t="str">
        <f t="shared" si="21"/>
        <v>E2_7_1_11</v>
      </c>
      <c r="F462" s="9" t="s">
        <v>16571</v>
      </c>
      <c r="G462" s="9" t="s">
        <v>16572</v>
      </c>
      <c r="H462" s="9" t="s">
        <v>16573</v>
      </c>
      <c r="I462" s="9" t="s">
        <v>16574</v>
      </c>
      <c r="J462" s="9" t="str">
        <f t="shared" si="22"/>
        <v>(${Variables:E2_7_1_11_kcat} * E2_7_1_11 * C00075 * C00085)/(${Variables:E2_7_1_11_km} + (E2_7_1_11 * C00075 * C00085))</v>
      </c>
      <c r="K462" s="38" t="str">
        <f t="shared" si="23"/>
        <v>r461: C00075 + C00085 -&gt; C00015 + C00354 | (${Variables:E2_7_1_11_kcat} * E2_7_1_11 * C00075 * C00085)/(${Variables:E2_7_1_11_km} + (E2_7_1_11 * C00075 * C00085))</v>
      </c>
    </row>
    <row r="463" spans="1:11" ht="42.75" x14ac:dyDescent="0.45">
      <c r="A463" t="s">
        <v>9302</v>
      </c>
      <c r="B463" t="s">
        <v>9303</v>
      </c>
      <c r="C463" t="s">
        <v>15101</v>
      </c>
      <c r="D463">
        <v>462</v>
      </c>
      <c r="E463" t="str">
        <f t="shared" si="21"/>
        <v>E2_7_1_11</v>
      </c>
      <c r="F463" s="9" t="s">
        <v>16579</v>
      </c>
      <c r="G463" s="9" t="s">
        <v>16580</v>
      </c>
      <c r="H463" s="9" t="s">
        <v>16581</v>
      </c>
      <c r="I463" s="9" t="s">
        <v>16582</v>
      </c>
      <c r="J463" s="9" t="str">
        <f t="shared" si="22"/>
        <v>(${Variables:E2_7_1_11_kcat} * E2_7_1_11 * C00081 * C00085)/(${Variables:E2_7_1_11_km} + (E2_7_1_11 * C00081 * C00085))</v>
      </c>
      <c r="K463" s="38" t="str">
        <f t="shared" si="23"/>
        <v>r462: C00081 + C00085 -&gt; C00104 + C00354 | (${Variables:E2_7_1_11_kcat} * E2_7_1_11 * C00081 * C00085)/(${Variables:E2_7_1_11_km} + (E2_7_1_11 * C00081 * C00085))</v>
      </c>
    </row>
    <row r="464" spans="1:11" ht="42.75" x14ac:dyDescent="0.45">
      <c r="A464" t="s">
        <v>9302</v>
      </c>
      <c r="B464" t="s">
        <v>9303</v>
      </c>
      <c r="C464" t="s">
        <v>15101</v>
      </c>
      <c r="D464">
        <v>463</v>
      </c>
      <c r="E464" t="str">
        <f t="shared" si="21"/>
        <v>E2_7_1_11</v>
      </c>
      <c r="F464" s="9" t="s">
        <v>16559</v>
      </c>
      <c r="G464" s="9" t="s">
        <v>16560</v>
      </c>
      <c r="H464" s="9" t="s">
        <v>16561</v>
      </c>
      <c r="I464" s="9" t="s">
        <v>16562</v>
      </c>
      <c r="J464" s="9" t="str">
        <f t="shared" si="22"/>
        <v>(${Variables:E2_7_1_11_kcat} * E2_7_1_11 * C00002 * C05382)/(${Variables:E2_7_1_11_km} + (E2_7_1_11 * C00002 * C05382))</v>
      </c>
      <c r="K464" s="38" t="str">
        <f t="shared" si="23"/>
        <v>r463: C00002 + C05382 -&gt; C00008 + C00447 | (${Variables:E2_7_1_11_kcat} * E2_7_1_11 * C00002 * C05382)/(${Variables:E2_7_1_11_km} + (E2_7_1_11 * C00002 * C05382))</v>
      </c>
    </row>
    <row r="465" spans="1:11" ht="42.75" x14ac:dyDescent="0.45">
      <c r="A465" t="s">
        <v>9302</v>
      </c>
      <c r="B465" t="s">
        <v>9303</v>
      </c>
      <c r="C465" t="s">
        <v>15101</v>
      </c>
      <c r="D465">
        <v>464</v>
      </c>
      <c r="E465" t="str">
        <f t="shared" si="21"/>
        <v>E2_7_1_11</v>
      </c>
      <c r="F465" s="9" t="s">
        <v>16587</v>
      </c>
      <c r="G465" s="9" t="s">
        <v>16588</v>
      </c>
      <c r="H465" s="9" t="s">
        <v>16589</v>
      </c>
      <c r="I465" s="9" t="s">
        <v>16590</v>
      </c>
      <c r="J465" s="9" t="str">
        <f t="shared" si="22"/>
        <v>(${Variables:E2_7_1_11_kcat} * E2_7_1_11 * C01097 * C00002)/(${Variables:E2_7_1_11_km} + (E2_7_1_11 * C01097 * C00002))</v>
      </c>
      <c r="K465" s="38" t="str">
        <f t="shared" si="23"/>
        <v>r464: C01097 + C00002 -&gt; C03785 + C00008 | (${Variables:E2_7_1_11_kcat} * E2_7_1_11 * C01097 * C00002)/(${Variables:E2_7_1_11_km} + (E2_7_1_11 * C01097 * C00002))</v>
      </c>
    </row>
    <row r="466" spans="1:11" ht="42.75" x14ac:dyDescent="0.45">
      <c r="A466" t="s">
        <v>9302</v>
      </c>
      <c r="B466" t="s">
        <v>9303</v>
      </c>
      <c r="C466" t="s">
        <v>15101</v>
      </c>
      <c r="D466">
        <v>465</v>
      </c>
      <c r="E466" t="str">
        <f t="shared" si="21"/>
        <v>E2_7_1_11</v>
      </c>
      <c r="F466" s="9" t="s">
        <v>16567</v>
      </c>
      <c r="G466" s="9" t="s">
        <v>16568</v>
      </c>
      <c r="H466" s="9" t="s">
        <v>16569</v>
      </c>
      <c r="I466" s="9" t="s">
        <v>16570</v>
      </c>
      <c r="J466" s="9" t="str">
        <f t="shared" si="22"/>
        <v>(${Variables:E2_7_1_11_kcat} * E2_7_1_11 * C00063 * C01097)/(${Variables:E2_7_1_11_km} + (E2_7_1_11 * C00063 * C01097))</v>
      </c>
      <c r="K466" s="38" t="str">
        <f t="shared" si="23"/>
        <v>r465: C00063 + C01097 -&gt; C00112 + C03785 | (${Variables:E2_7_1_11_kcat} * E2_7_1_11 * C00063 * C01097)/(${Variables:E2_7_1_11_km} + (E2_7_1_11 * C00063 * C01097))</v>
      </c>
    </row>
    <row r="467" spans="1:11" ht="42.75" x14ac:dyDescent="0.45">
      <c r="A467" t="s">
        <v>9302</v>
      </c>
      <c r="B467" t="s">
        <v>9303</v>
      </c>
      <c r="C467" t="s">
        <v>15101</v>
      </c>
      <c r="D467">
        <v>466</v>
      </c>
      <c r="E467" t="str">
        <f t="shared" si="21"/>
        <v>E2_7_1_11</v>
      </c>
      <c r="F467" s="9" t="s">
        <v>16575</v>
      </c>
      <c r="G467" s="9" t="s">
        <v>16576</v>
      </c>
      <c r="H467" s="9" t="s">
        <v>16577</v>
      </c>
      <c r="I467" s="9" t="s">
        <v>16578</v>
      </c>
      <c r="J467" s="9" t="str">
        <f t="shared" si="22"/>
        <v>(${Variables:E2_7_1_11_kcat} * E2_7_1_11 * C00075 * C01097)/(${Variables:E2_7_1_11_km} + (E2_7_1_11 * C00075 * C01097))</v>
      </c>
      <c r="K467" s="38" t="str">
        <f t="shared" si="23"/>
        <v>r466: C00075 + C01097 -&gt; C00015 + C03785 | (${Variables:E2_7_1_11_kcat} * E2_7_1_11 * C00075 * C01097)/(${Variables:E2_7_1_11_km} + (E2_7_1_11 * C00075 * C01097))</v>
      </c>
    </row>
    <row r="468" spans="1:11" ht="42.75" x14ac:dyDescent="0.45">
      <c r="A468" t="s">
        <v>9302</v>
      </c>
      <c r="B468" t="s">
        <v>9303</v>
      </c>
      <c r="C468" t="s">
        <v>15101</v>
      </c>
      <c r="D468">
        <v>467</v>
      </c>
      <c r="E468" t="str">
        <f t="shared" si="21"/>
        <v>E2_7_1_11</v>
      </c>
      <c r="F468" s="9" t="s">
        <v>16583</v>
      </c>
      <c r="G468" s="9" t="s">
        <v>16584</v>
      </c>
      <c r="H468" s="9" t="s">
        <v>16585</v>
      </c>
      <c r="I468" s="9" t="s">
        <v>16586</v>
      </c>
      <c r="J468" s="9" t="str">
        <f t="shared" si="22"/>
        <v>(${Variables:E2_7_1_11_kcat} * E2_7_1_11 * C00081 * C01097)/(${Variables:E2_7_1_11_km} + (E2_7_1_11 * C00081 * C01097))</v>
      </c>
      <c r="K468" s="38" t="str">
        <f t="shared" si="23"/>
        <v>r467: C00081 + C01097 -&gt; C00104 + C03785 | (${Variables:E2_7_1_11_kcat} * E2_7_1_11 * C00081 * C01097)/(${Variables:E2_7_1_11_km} + (E2_7_1_11 * C00081 * C01097))</v>
      </c>
    </row>
    <row r="469" spans="1:11" ht="42.75" x14ac:dyDescent="0.45">
      <c r="A469" t="s">
        <v>9866</v>
      </c>
      <c r="B469" t="s">
        <v>9867</v>
      </c>
      <c r="C469" t="s">
        <v>15102</v>
      </c>
      <c r="D469">
        <v>468</v>
      </c>
      <c r="E469" t="str">
        <f t="shared" si="21"/>
        <v>E2_7_1_148</v>
      </c>
      <c r="F469" s="9" t="s">
        <v>16591</v>
      </c>
      <c r="G469" s="9" t="s">
        <v>16592</v>
      </c>
      <c r="H469" s="9" t="s">
        <v>16593</v>
      </c>
      <c r="I469" s="9" t="s">
        <v>16594</v>
      </c>
      <c r="J469" s="9" t="str">
        <f t="shared" si="22"/>
        <v>(${Variables:E2_7_1_148_kcat} * E2_7_1_148 * C11435 * C00002)/(${Variables:E2_7_1_148_km} + (E2_7_1_148 * C11435 * C00002))</v>
      </c>
      <c r="K469" s="38" t="str">
        <f t="shared" si="23"/>
        <v>r468: C11435 + C00002 -&gt; C11436 + C00008 | (${Variables:E2_7_1_148_kcat} * E2_7_1_148 * C11435 * C00002)/(${Variables:E2_7_1_148_km} + (E2_7_1_148 * C11435 * C00002))</v>
      </c>
    </row>
    <row r="470" spans="1:11" ht="42.75" x14ac:dyDescent="0.45">
      <c r="A470" t="s">
        <v>1159</v>
      </c>
      <c r="B470" t="s">
        <v>1160</v>
      </c>
      <c r="C470" t="s">
        <v>15103</v>
      </c>
      <c r="D470">
        <v>469</v>
      </c>
      <c r="E470" t="str">
        <f t="shared" si="21"/>
        <v>E2_7_1_15</v>
      </c>
      <c r="F470" s="9" t="s">
        <v>16595</v>
      </c>
      <c r="G470" s="9" t="s">
        <v>16596</v>
      </c>
      <c r="H470" s="9" t="s">
        <v>16597</v>
      </c>
      <c r="I470" s="9" t="s">
        <v>16598</v>
      </c>
      <c r="J470" s="9" t="str">
        <f t="shared" si="22"/>
        <v>(${Variables:E2_7_1_15_kcat} * E2_7_1_15 * C00002 * C00121)/(${Variables:E2_7_1_15_km} + (E2_7_1_15 * C00002 * C00121))</v>
      </c>
      <c r="K470" s="38" t="str">
        <f t="shared" si="23"/>
        <v>r469: C00002 + C00121 -&gt; C00008 + C00117 | (${Variables:E2_7_1_15_kcat} * E2_7_1_15 * C00002 * C00121)/(${Variables:E2_7_1_15_km} + (E2_7_1_15 * C00002 * C00121))</v>
      </c>
    </row>
    <row r="471" spans="1:11" ht="42.75" x14ac:dyDescent="0.45">
      <c r="A471" t="s">
        <v>1159</v>
      </c>
      <c r="B471" t="s">
        <v>1160</v>
      </c>
      <c r="C471" t="s">
        <v>15103</v>
      </c>
      <c r="D471">
        <v>470</v>
      </c>
      <c r="E471" t="str">
        <f t="shared" si="21"/>
        <v>E2_7_1_15</v>
      </c>
      <c r="F471" s="9" t="s">
        <v>16599</v>
      </c>
      <c r="G471" s="9" t="s">
        <v>16600</v>
      </c>
      <c r="H471" s="9" t="s">
        <v>16601</v>
      </c>
      <c r="I471" s="9" t="s">
        <v>16602</v>
      </c>
      <c r="J471" s="9" t="str">
        <f t="shared" si="22"/>
        <v>(${Variables:E2_7_1_15_kcat} * E2_7_1_15 * C00673 * C00008)/(${Variables:E2_7_1_15_km} + (E2_7_1_15 * C00673 * C00008))</v>
      </c>
      <c r="K471" s="38" t="str">
        <f t="shared" si="23"/>
        <v>r470: C00673 + C00008 -&gt; C01801 + C00002 | (${Variables:E2_7_1_15_kcat} * E2_7_1_15 * C00673 * C00008)/(${Variables:E2_7_1_15_km} + (E2_7_1_15 * C00673 * C00008))</v>
      </c>
    </row>
    <row r="472" spans="1:11" ht="42.75" x14ac:dyDescent="0.45">
      <c r="A472" t="s">
        <v>9440</v>
      </c>
      <c r="B472" t="s">
        <v>9441</v>
      </c>
      <c r="C472" t="s">
        <v>15104</v>
      </c>
      <c r="D472">
        <v>471</v>
      </c>
      <c r="E472" t="str">
        <f t="shared" si="21"/>
        <v>E2_7_1_156</v>
      </c>
      <c r="F472" s="9" t="s">
        <v>16603</v>
      </c>
      <c r="G472" s="9" t="s">
        <v>16604</v>
      </c>
      <c r="H472" s="9" t="s">
        <v>16605</v>
      </c>
      <c r="I472" s="9" t="s">
        <v>16606</v>
      </c>
      <c r="J472" s="9" t="str">
        <f t="shared" si="22"/>
        <v>(${Variables:E2_7_1_156_kcat} * E2_7_1_156 * C06508 * C00002)/(${Variables:E2_7_1_156_km} + (E2_7_1_156 * C06508 * C00002))</v>
      </c>
      <c r="K472" s="38" t="str">
        <f t="shared" si="23"/>
        <v>r471: C06508 + C00002 -&gt; C06509 + C00008 | (${Variables:E2_7_1_156_kcat} * E2_7_1_156 * C06508 * C00002)/(${Variables:E2_7_1_156_km} + (E2_7_1_156 * C06508 * C00002))</v>
      </c>
    </row>
    <row r="473" spans="1:11" ht="42.75" x14ac:dyDescent="0.45">
      <c r="A473" t="s">
        <v>9440</v>
      </c>
      <c r="B473" t="s">
        <v>9441</v>
      </c>
      <c r="C473" t="s">
        <v>15104</v>
      </c>
      <c r="D473">
        <v>472</v>
      </c>
      <c r="E473" t="str">
        <f t="shared" si="21"/>
        <v>E2_7_1_156</v>
      </c>
      <c r="F473" s="9" t="s">
        <v>16607</v>
      </c>
      <c r="G473" s="9" t="s">
        <v>16608</v>
      </c>
      <c r="H473" s="9" t="s">
        <v>16609</v>
      </c>
      <c r="I473" s="9" t="s">
        <v>16610</v>
      </c>
      <c r="J473" s="9" t="str">
        <f t="shared" si="22"/>
        <v>(${Variables:E2_7_1_156_kcat} * E2_7_1_156 * C06508 * C00044)/(${Variables:E2_7_1_156_km} + (E2_7_1_156 * C06508 * C00044))</v>
      </c>
      <c r="K473" s="38" t="str">
        <f t="shared" si="23"/>
        <v>r472: C06508 + C00044 -&gt; C06509 + C00035 | (${Variables:E2_7_1_156_kcat} * E2_7_1_156 * C06508 * C00044)/(${Variables:E2_7_1_156_km} + (E2_7_1_156 * C06508 * C00044))</v>
      </c>
    </row>
    <row r="474" spans="1:11" ht="42.75" x14ac:dyDescent="0.45">
      <c r="A474" t="s">
        <v>8453</v>
      </c>
      <c r="B474" t="s">
        <v>8454</v>
      </c>
      <c r="C474" t="s">
        <v>15105</v>
      </c>
      <c r="D474">
        <v>473</v>
      </c>
      <c r="E474" t="str">
        <f t="shared" si="21"/>
        <v>E2_7_1_17</v>
      </c>
      <c r="F474" s="9" t="s">
        <v>16611</v>
      </c>
      <c r="G474" s="9" t="s">
        <v>16612</v>
      </c>
      <c r="H474" s="9" t="s">
        <v>16613</v>
      </c>
      <c r="I474" s="9" t="s">
        <v>16614</v>
      </c>
      <c r="J474" s="9" t="str">
        <f t="shared" si="22"/>
        <v>(${Variables:E2_7_1_17_kcat} * E2_7_1_17 * C00002 * C00310)/(${Variables:E2_7_1_17_km} + (E2_7_1_17 * C00002 * C00310))</v>
      </c>
      <c r="K474" s="38" t="str">
        <f t="shared" si="23"/>
        <v>r473: C00002 + C00310 -&gt; C00008 + C00231 | (${Variables:E2_7_1_17_kcat} * E2_7_1_17 * C00002 * C00310)/(${Variables:E2_7_1_17_km} + (E2_7_1_17 * C00002 * C00310))</v>
      </c>
    </row>
    <row r="475" spans="1:11" ht="57" x14ac:dyDescent="0.45">
      <c r="A475" t="s">
        <v>8420</v>
      </c>
      <c r="B475" t="s">
        <v>8421</v>
      </c>
      <c r="C475" t="s">
        <v>15106</v>
      </c>
      <c r="D475">
        <v>474</v>
      </c>
      <c r="E475" t="str">
        <f t="shared" si="21"/>
        <v>E2_7_1_170</v>
      </c>
      <c r="F475" s="9" t="s">
        <v>16615</v>
      </c>
      <c r="G475" s="9" t="s">
        <v>16616</v>
      </c>
      <c r="H475" s="9" t="s">
        <v>16617</v>
      </c>
      <c r="I475" s="9" t="s">
        <v>16618</v>
      </c>
      <c r="J475" s="9" t="str">
        <f t="shared" si="22"/>
        <v>(${Variables:E2_7_1_170_kcat} * E2_7_1_170 * C00002 * C19769 * C00001)/(${Variables:E2_7_1_170_km} + (E2_7_1_170 * C00002 * C19769 * C00001))</v>
      </c>
      <c r="K475" s="38" t="str">
        <f t="shared" si="23"/>
        <v>r474: C00002 + C19769 + C00001 -&gt; C00008 + C16698 | (${Variables:E2_7_1_170_kcat} * E2_7_1_170 * C00002 * C19769 * C00001)/(${Variables:E2_7_1_170_km} + (E2_7_1_170 * C00002 * C19769 * C00001))</v>
      </c>
    </row>
    <row r="476" spans="1:11" ht="57" x14ac:dyDescent="0.45">
      <c r="A476" t="s">
        <v>8420</v>
      </c>
      <c r="B476" t="s">
        <v>8421</v>
      </c>
      <c r="C476" t="s">
        <v>15106</v>
      </c>
      <c r="D476">
        <v>475</v>
      </c>
      <c r="E476" t="str">
        <f t="shared" si="21"/>
        <v>E2_7_1_170</v>
      </c>
      <c r="F476" s="9" t="s">
        <v>16615</v>
      </c>
      <c r="G476" s="9" t="s">
        <v>16616</v>
      </c>
      <c r="H476" s="9" t="s">
        <v>16619</v>
      </c>
      <c r="I476" s="9" t="s">
        <v>16620</v>
      </c>
      <c r="J476" s="9" t="str">
        <f t="shared" si="22"/>
        <v>(${Variables:E2_7_1_170_kcat} * E2_7_1_170 * C00002 * C19769 * C00001)/(${Variables:E2_7_1_170_km} + (E2_7_1_170 * C00002 * C19769 * C00001))</v>
      </c>
      <c r="K476" s="38" t="str">
        <f t="shared" si="23"/>
        <v>r475: C00002 + C19769 + C00001 -&gt; C00008 + C19770 | (${Variables:E2_7_1_170_kcat} * E2_7_1_170 * C00002 * C19769 * C00001)/(${Variables:E2_7_1_170_km} + (E2_7_1_170 * C00002 * C19769 * C00001))</v>
      </c>
    </row>
    <row r="477" spans="1:11" ht="42.75" x14ac:dyDescent="0.45">
      <c r="A477" t="s">
        <v>7026</v>
      </c>
      <c r="B477" t="s">
        <v>7027</v>
      </c>
      <c r="C477" t="s">
        <v>15107</v>
      </c>
      <c r="D477">
        <v>476</v>
      </c>
      <c r="E477" t="str">
        <f t="shared" si="21"/>
        <v>E2_7_1_180</v>
      </c>
      <c r="F477" s="9" t="s">
        <v>16621</v>
      </c>
      <c r="G477" s="9" t="s">
        <v>16622</v>
      </c>
      <c r="H477" s="9" t="s">
        <v>16623</v>
      </c>
      <c r="I477" s="9" t="s">
        <v>16624</v>
      </c>
      <c r="J477" s="9" t="str">
        <f t="shared" si="22"/>
        <v>(${Variables:E2_7_1_180_kcat} * E2_7_1_180 * C00016 * C19803)/(${Variables:E2_7_1_180_km} + (E2_7_1_180 * C00016 * C19803))</v>
      </c>
      <c r="K477" s="38" t="str">
        <f t="shared" si="23"/>
        <v>r476: C00016 + C19803 -&gt; C20730 + C00020 | (${Variables:E2_7_1_180_kcat} * E2_7_1_180 * C00016 * C19803)/(${Variables:E2_7_1_180_km} + (E2_7_1_180 * C00016 * C19803))</v>
      </c>
    </row>
    <row r="478" spans="1:11" ht="42.75" x14ac:dyDescent="0.45">
      <c r="A478" t="s">
        <v>8522</v>
      </c>
      <c r="B478" t="s">
        <v>8523</v>
      </c>
      <c r="C478" t="s">
        <v>15108</v>
      </c>
      <c r="D478">
        <v>477</v>
      </c>
      <c r="E478" t="str">
        <f t="shared" si="21"/>
        <v>E2_7_1_195</v>
      </c>
      <c r="F478" s="9" t="s">
        <v>16625</v>
      </c>
      <c r="G478" s="9" t="s">
        <v>16626</v>
      </c>
      <c r="H478" s="9" t="s">
        <v>16627</v>
      </c>
      <c r="I478" s="9" t="s">
        <v>16628</v>
      </c>
      <c r="J478" s="9" t="str">
        <f t="shared" si="22"/>
        <v>(${Variables:E2_7_1_195_kcat} * E2_7_1_195 * C04261 * C11544)/(${Variables:E2_7_1_195_km} + (E2_7_1_195 * C04261 * C11544))</v>
      </c>
      <c r="K478" s="38" t="str">
        <f t="shared" si="23"/>
        <v>r477: C04261 + C11544 -&gt; C00615 + C16699 | (${Variables:E2_7_1_195_kcat} * E2_7_1_195 * C04261 * C11544)/(${Variables:E2_7_1_195_km} + (E2_7_1_195 * C04261 * C11544))</v>
      </c>
    </row>
    <row r="479" spans="1:11" ht="42.75" x14ac:dyDescent="0.45">
      <c r="A479" t="s">
        <v>7542</v>
      </c>
      <c r="B479" t="s">
        <v>7543</v>
      </c>
      <c r="C479" t="s">
        <v>15109</v>
      </c>
      <c r="D479">
        <v>478</v>
      </c>
      <c r="E479" t="str">
        <f t="shared" si="21"/>
        <v>E2_7_1_199</v>
      </c>
      <c r="F479" s="9" t="s">
        <v>16629</v>
      </c>
      <c r="G479" s="9" t="s">
        <v>16630</v>
      </c>
      <c r="H479" s="9" t="s">
        <v>16631</v>
      </c>
      <c r="I479" s="9" t="s">
        <v>16632</v>
      </c>
      <c r="J479" s="9" t="str">
        <f t="shared" si="22"/>
        <v>(${Variables:E2_7_1_199_kcat} * E2_7_1_199 * C04261 * C00031)/(${Variables:E2_7_1_199_km} + (E2_7_1_199 * C04261 * C00031))</v>
      </c>
      <c r="K479" s="38" t="str">
        <f t="shared" si="23"/>
        <v>r478: C04261 + C00031 -&gt; C00615 + C00668 | (${Variables:E2_7_1_199_kcat} * E2_7_1_199 * C04261 * C00031)/(${Variables:E2_7_1_199_km} + (E2_7_1_199 * C04261 * C00031))</v>
      </c>
    </row>
    <row r="480" spans="1:11" ht="42.75" x14ac:dyDescent="0.45">
      <c r="A480" t="s">
        <v>849</v>
      </c>
      <c r="B480" t="s">
        <v>850</v>
      </c>
      <c r="C480" t="s">
        <v>15110</v>
      </c>
      <c r="D480">
        <v>479</v>
      </c>
      <c r="E480" t="str">
        <f t="shared" si="21"/>
        <v>E2_7_1_202</v>
      </c>
      <c r="F480" s="9" t="s">
        <v>16633</v>
      </c>
      <c r="G480" s="9" t="s">
        <v>16634</v>
      </c>
      <c r="H480" s="9" t="s">
        <v>16635</v>
      </c>
      <c r="I480" s="9" t="s">
        <v>16636</v>
      </c>
      <c r="J480" s="9" t="str">
        <f t="shared" si="22"/>
        <v>(${Variables:E2_7_1_202_kcat} * E2_7_1_202 * C04261 * C00095)/(${Variables:E2_7_1_202_km} + (E2_7_1_202 * C04261 * C00095))</v>
      </c>
      <c r="K480" s="38" t="str">
        <f t="shared" si="23"/>
        <v>r479: C04261 + C00095 -&gt; C00615 + C01094 | (${Variables:E2_7_1_202_kcat} * E2_7_1_202 * C04261 * C00095)/(${Variables:E2_7_1_202_km} + (E2_7_1_202 * C04261 * C00095))</v>
      </c>
    </row>
    <row r="481" spans="1:11" ht="42.75" x14ac:dyDescent="0.45">
      <c r="A481" t="s">
        <v>6444</v>
      </c>
      <c r="B481" t="s">
        <v>6445</v>
      </c>
      <c r="C481" t="s">
        <v>15110</v>
      </c>
      <c r="D481">
        <v>480</v>
      </c>
      <c r="E481" t="str">
        <f t="shared" si="21"/>
        <v>E2_7_1_202</v>
      </c>
      <c r="F481" s="9" t="s">
        <v>16633</v>
      </c>
      <c r="G481" s="9" t="s">
        <v>16634</v>
      </c>
      <c r="H481" s="9" t="s">
        <v>16635</v>
      </c>
      <c r="I481" s="9" t="s">
        <v>16636</v>
      </c>
      <c r="J481" s="9" t="str">
        <f t="shared" si="22"/>
        <v>(${Variables:E2_7_1_202_kcat} * E2_7_1_202 * C04261 * C00095)/(${Variables:E2_7_1_202_km} + (E2_7_1_202 * C04261 * C00095))</v>
      </c>
      <c r="K481" s="38" t="str">
        <f t="shared" si="23"/>
        <v>r480: C04261 + C00095 -&gt; C00615 + C01094 | (${Variables:E2_7_1_202_kcat} * E2_7_1_202 * C04261 * C00095)/(${Variables:E2_7_1_202_km} + (E2_7_1_202 * C04261 * C00095))</v>
      </c>
    </row>
    <row r="482" spans="1:11" ht="42.75" x14ac:dyDescent="0.45">
      <c r="A482" t="s">
        <v>7036</v>
      </c>
      <c r="B482" t="s">
        <v>7037</v>
      </c>
      <c r="C482" t="s">
        <v>15110</v>
      </c>
      <c r="D482">
        <v>481</v>
      </c>
      <c r="E482" t="str">
        <f t="shared" si="21"/>
        <v>E2_7_1_202</v>
      </c>
      <c r="F482" s="9" t="s">
        <v>16633</v>
      </c>
      <c r="G482" s="9" t="s">
        <v>16634</v>
      </c>
      <c r="H482" s="9" t="s">
        <v>16635</v>
      </c>
      <c r="I482" s="9" t="s">
        <v>16636</v>
      </c>
      <c r="J482" s="9" t="str">
        <f t="shared" si="22"/>
        <v>(${Variables:E2_7_1_202_kcat} * E2_7_1_202 * C04261 * C00095)/(${Variables:E2_7_1_202_km} + (E2_7_1_202 * C04261 * C00095))</v>
      </c>
      <c r="K482" s="38" t="str">
        <f t="shared" si="23"/>
        <v>r481: C04261 + C00095 -&gt; C00615 + C01094 | (${Variables:E2_7_1_202_kcat} * E2_7_1_202 * C04261 * C00095)/(${Variables:E2_7_1_202_km} + (E2_7_1_202 * C04261 * C00095))</v>
      </c>
    </row>
    <row r="483" spans="1:11" ht="42.75" x14ac:dyDescent="0.45">
      <c r="A483" t="s">
        <v>7236</v>
      </c>
      <c r="B483" t="s">
        <v>7237</v>
      </c>
      <c r="C483" t="s">
        <v>15110</v>
      </c>
      <c r="D483">
        <v>482</v>
      </c>
      <c r="E483" t="str">
        <f t="shared" si="21"/>
        <v>E2_7_1_202</v>
      </c>
      <c r="F483" s="9" t="s">
        <v>16633</v>
      </c>
      <c r="G483" s="9" t="s">
        <v>16634</v>
      </c>
      <c r="H483" s="9" t="s">
        <v>16635</v>
      </c>
      <c r="I483" s="9" t="s">
        <v>16636</v>
      </c>
      <c r="J483" s="9" t="str">
        <f t="shared" si="22"/>
        <v>(${Variables:E2_7_1_202_kcat} * E2_7_1_202 * C04261 * C00095)/(${Variables:E2_7_1_202_km} + (E2_7_1_202 * C04261 * C00095))</v>
      </c>
      <c r="K483" s="38" t="str">
        <f t="shared" si="23"/>
        <v>r482: C04261 + C00095 -&gt; C00615 + C01094 | (${Variables:E2_7_1_202_kcat} * E2_7_1_202 * C04261 * C00095)/(${Variables:E2_7_1_202_km} + (E2_7_1_202 * C04261 * C00095))</v>
      </c>
    </row>
    <row r="484" spans="1:11" ht="42.75" x14ac:dyDescent="0.45">
      <c r="A484" t="s">
        <v>8329</v>
      </c>
      <c r="B484" t="s">
        <v>8330</v>
      </c>
      <c r="C484" t="s">
        <v>15110</v>
      </c>
      <c r="D484">
        <v>483</v>
      </c>
      <c r="E484" t="str">
        <f t="shared" si="21"/>
        <v>E2_7_1_202</v>
      </c>
      <c r="F484" s="9" t="s">
        <v>16633</v>
      </c>
      <c r="G484" s="9" t="s">
        <v>16634</v>
      </c>
      <c r="H484" s="9" t="s">
        <v>16635</v>
      </c>
      <c r="I484" s="9" t="s">
        <v>16636</v>
      </c>
      <c r="J484" s="9" t="str">
        <f t="shared" si="22"/>
        <v>(${Variables:E2_7_1_202_kcat} * E2_7_1_202 * C04261 * C00095)/(${Variables:E2_7_1_202_km} + (E2_7_1_202 * C04261 * C00095))</v>
      </c>
      <c r="K484" s="38" t="str">
        <f t="shared" si="23"/>
        <v>r483: C04261 + C00095 -&gt; C00615 + C01094 | (${Variables:E2_7_1_202_kcat} * E2_7_1_202 * C04261 * C00095)/(${Variables:E2_7_1_202_km} + (E2_7_1_202 * C04261 * C00095))</v>
      </c>
    </row>
    <row r="485" spans="1:11" ht="42.75" x14ac:dyDescent="0.45">
      <c r="A485" t="s">
        <v>8648</v>
      </c>
      <c r="B485" t="s">
        <v>8649</v>
      </c>
      <c r="C485" t="s">
        <v>15110</v>
      </c>
      <c r="D485">
        <v>484</v>
      </c>
      <c r="E485" t="str">
        <f t="shared" si="21"/>
        <v>E2_7_1_202</v>
      </c>
      <c r="F485" s="9" t="s">
        <v>16633</v>
      </c>
      <c r="G485" s="9" t="s">
        <v>16634</v>
      </c>
      <c r="H485" s="9" t="s">
        <v>16635</v>
      </c>
      <c r="I485" s="9" t="s">
        <v>16636</v>
      </c>
      <c r="J485" s="9" t="str">
        <f t="shared" si="22"/>
        <v>(${Variables:E2_7_1_202_kcat} * E2_7_1_202 * C04261 * C00095)/(${Variables:E2_7_1_202_km} + (E2_7_1_202 * C04261 * C00095))</v>
      </c>
      <c r="K485" s="38" t="str">
        <f t="shared" si="23"/>
        <v>r484: C04261 + C00095 -&gt; C00615 + C01094 | (${Variables:E2_7_1_202_kcat} * E2_7_1_202 * C04261 * C00095)/(${Variables:E2_7_1_202_km} + (E2_7_1_202 * C04261 * C00095))</v>
      </c>
    </row>
    <row r="486" spans="1:11" ht="42.75" x14ac:dyDescent="0.45">
      <c r="A486" t="s">
        <v>623</v>
      </c>
      <c r="B486" t="s">
        <v>624</v>
      </c>
      <c r="C486" t="s">
        <v>15111</v>
      </c>
      <c r="D486">
        <v>485</v>
      </c>
      <c r="E486" t="str">
        <f t="shared" si="21"/>
        <v>E2_7_1_205</v>
      </c>
      <c r="F486" s="9" t="s">
        <v>16637</v>
      </c>
      <c r="G486" s="9" t="s">
        <v>16638</v>
      </c>
      <c r="H486" s="9" t="s">
        <v>16639</v>
      </c>
      <c r="I486" s="9" t="s">
        <v>16640</v>
      </c>
      <c r="J486" s="9" t="str">
        <f t="shared" si="22"/>
        <v>(${Variables:E2_7_1_205_kcat} * E2_7_1_205 * C04261 * C00185)/(${Variables:E2_7_1_205_km} + (E2_7_1_205 * C04261 * C00185))</v>
      </c>
      <c r="K486" s="38" t="str">
        <f t="shared" si="23"/>
        <v>r485: C04261 + C00185 -&gt; C00615 + C04534 | (${Variables:E2_7_1_205_kcat} * E2_7_1_205 * C04261 * C00185)/(${Variables:E2_7_1_205_km} + (E2_7_1_205 * C04261 * C00185))</v>
      </c>
    </row>
    <row r="487" spans="1:11" ht="42.75" x14ac:dyDescent="0.45">
      <c r="A487" t="s">
        <v>3014</v>
      </c>
      <c r="B487" t="s">
        <v>3015</v>
      </c>
      <c r="C487" t="s">
        <v>15112</v>
      </c>
      <c r="D487">
        <v>486</v>
      </c>
      <c r="E487" t="str">
        <f t="shared" si="21"/>
        <v>E2_7_1_24</v>
      </c>
      <c r="F487" s="9" t="s">
        <v>16641</v>
      </c>
      <c r="G487" s="9" t="s">
        <v>16642</v>
      </c>
      <c r="H487" s="9" t="s">
        <v>16643</v>
      </c>
      <c r="I487" s="9" t="s">
        <v>16644</v>
      </c>
      <c r="J487" s="9" t="str">
        <f t="shared" si="22"/>
        <v>(${Variables:E2_7_1_24_kcat} * E2_7_1_24 * C00002 * C00882)/(${Variables:E2_7_1_24_km} + (E2_7_1_24 * C00002 * C00882))</v>
      </c>
      <c r="K487" s="38" t="str">
        <f t="shared" si="23"/>
        <v>r486: C00002 + C00882 -&gt; C00008 + C00010 | (${Variables:E2_7_1_24_kcat} * E2_7_1_24 * C00002 * C00882)/(${Variables:E2_7_1_24_km} + (E2_7_1_24 * C00002 * C00882))</v>
      </c>
    </row>
    <row r="488" spans="1:11" ht="42.75" x14ac:dyDescent="0.45">
      <c r="A488" t="s">
        <v>3598</v>
      </c>
      <c r="B488" t="s">
        <v>3599</v>
      </c>
      <c r="C488" t="s">
        <v>15113</v>
      </c>
      <c r="D488">
        <v>487</v>
      </c>
      <c r="E488" t="str">
        <f t="shared" si="21"/>
        <v>E2_7_1_26</v>
      </c>
      <c r="F488" s="9" t="s">
        <v>16645</v>
      </c>
      <c r="G488" s="9" t="s">
        <v>16646</v>
      </c>
      <c r="H488" s="9" t="s">
        <v>16647</v>
      </c>
      <c r="I488" s="9" t="s">
        <v>16648</v>
      </c>
      <c r="J488" s="9" t="str">
        <f t="shared" si="22"/>
        <v>(${Variables:E2_7_1_26_kcat} * E2_7_1_26 * C00002 * C00255)/(${Variables:E2_7_1_26_km} + (E2_7_1_26 * C00002 * C00255))</v>
      </c>
      <c r="K488" s="38" t="str">
        <f t="shared" si="23"/>
        <v>r487: C00002 + C00255 -&gt; C00008 + C00061 | (${Variables:E2_7_1_26_kcat} * E2_7_1_26 * C00002 * C00255)/(${Variables:E2_7_1_26_km} + (E2_7_1_26 * C00002 * C00255))</v>
      </c>
    </row>
    <row r="489" spans="1:11" ht="42.75" x14ac:dyDescent="0.45">
      <c r="A489" t="s">
        <v>2195</v>
      </c>
      <c r="B489" t="s">
        <v>2196</v>
      </c>
      <c r="C489" t="s">
        <v>15114</v>
      </c>
      <c r="D489">
        <v>488</v>
      </c>
      <c r="E489" t="str">
        <f t="shared" si="21"/>
        <v>E2_7_1_30</v>
      </c>
      <c r="F489" s="9" t="s">
        <v>16649</v>
      </c>
      <c r="G489" s="9" t="s">
        <v>16650</v>
      </c>
      <c r="H489" s="9" t="s">
        <v>16651</v>
      </c>
      <c r="I489" s="9" t="s">
        <v>16652</v>
      </c>
      <c r="J489" s="9" t="str">
        <f t="shared" si="22"/>
        <v>(${Variables:E2_7_1_30_kcat} * E2_7_1_30 * C00002 * C00116)/(${Variables:E2_7_1_30_km} + (E2_7_1_30 * C00002 * C00116))</v>
      </c>
      <c r="K489" s="38" t="str">
        <f t="shared" si="23"/>
        <v>r488: C00002 + C00116 -&gt; C00008 + C00093 | (${Variables:E2_7_1_30_kcat} * E2_7_1_30 * C00002 * C00116)/(${Variables:E2_7_1_30_km} + (E2_7_1_30 * C00002 * C00116))</v>
      </c>
    </row>
    <row r="490" spans="1:11" ht="42.75" x14ac:dyDescent="0.45">
      <c r="A490" t="s">
        <v>3790</v>
      </c>
      <c r="B490" t="s">
        <v>3791</v>
      </c>
      <c r="C490" t="s">
        <v>15114</v>
      </c>
      <c r="D490">
        <v>489</v>
      </c>
      <c r="E490" t="str">
        <f t="shared" si="21"/>
        <v>E2_7_1_30</v>
      </c>
      <c r="F490" s="9" t="s">
        <v>16649</v>
      </c>
      <c r="G490" s="9" t="s">
        <v>16650</v>
      </c>
      <c r="H490" s="9" t="s">
        <v>16651</v>
      </c>
      <c r="I490" s="9" t="s">
        <v>16652</v>
      </c>
      <c r="J490" s="9" t="str">
        <f t="shared" si="22"/>
        <v>(${Variables:E2_7_1_30_kcat} * E2_7_1_30 * C00002 * C00116)/(${Variables:E2_7_1_30_km} + (E2_7_1_30 * C00002 * C00116))</v>
      </c>
      <c r="K490" s="38" t="str">
        <f t="shared" si="23"/>
        <v>r489: C00002 + C00116 -&gt; C00008 + C00093 | (${Variables:E2_7_1_30_kcat} * E2_7_1_30 * C00002 * C00116)/(${Variables:E2_7_1_30_km} + (E2_7_1_30 * C00002 * C00116))</v>
      </c>
    </row>
    <row r="491" spans="1:11" ht="42.75" x14ac:dyDescent="0.45">
      <c r="A491" t="s">
        <v>9832</v>
      </c>
      <c r="B491" t="s">
        <v>9833</v>
      </c>
      <c r="C491" t="s">
        <v>15115</v>
      </c>
      <c r="D491">
        <v>490</v>
      </c>
      <c r="E491" t="str">
        <f t="shared" si="21"/>
        <v>E2_7_1_33</v>
      </c>
      <c r="F491" s="9" t="s">
        <v>16657</v>
      </c>
      <c r="G491" s="9" t="s">
        <v>16658</v>
      </c>
      <c r="H491" s="9" t="s">
        <v>16659</v>
      </c>
      <c r="I491" s="9" t="s">
        <v>16660</v>
      </c>
      <c r="J491" s="9" t="str">
        <f t="shared" si="22"/>
        <v>(${Variables:E2_7_1_33_kcat} * E2_7_1_33 * C00002 * C00864)/(${Variables:E2_7_1_33_km} + (E2_7_1_33 * C00002 * C00864))</v>
      </c>
      <c r="K491" s="38" t="str">
        <f t="shared" si="23"/>
        <v>r490: C00002 + C00864 -&gt; C00008 + C03492 | (${Variables:E2_7_1_33_kcat} * E2_7_1_33 * C00002 * C00864)/(${Variables:E2_7_1_33_km} + (E2_7_1_33 * C00002 * C00864))</v>
      </c>
    </row>
    <row r="492" spans="1:11" ht="42.75" x14ac:dyDescent="0.45">
      <c r="A492" t="s">
        <v>9832</v>
      </c>
      <c r="B492" t="s">
        <v>9833</v>
      </c>
      <c r="C492" t="s">
        <v>15115</v>
      </c>
      <c r="D492">
        <v>491</v>
      </c>
      <c r="E492" t="str">
        <f t="shared" si="21"/>
        <v>E2_7_1_33</v>
      </c>
      <c r="F492" s="9" t="s">
        <v>16653</v>
      </c>
      <c r="G492" s="9" t="s">
        <v>16654</v>
      </c>
      <c r="H492" s="9" t="s">
        <v>16655</v>
      </c>
      <c r="I492" s="9" t="s">
        <v>16656</v>
      </c>
      <c r="J492" s="9" t="str">
        <f t="shared" si="22"/>
        <v>(${Variables:E2_7_1_33_kcat} * E2_7_1_33 * C00002 * C00831)/(${Variables:E2_7_1_33_km} + (E2_7_1_33 * C00002 * C00831))</v>
      </c>
      <c r="K492" s="38" t="str">
        <f t="shared" si="23"/>
        <v>r491: C00002 + C00831 -&gt; C00008 + C01134 | (${Variables:E2_7_1_33_kcat} * E2_7_1_33 * C00002 * C00831)/(${Variables:E2_7_1_33_km} + (E2_7_1_33 * C00002 * C00831))</v>
      </c>
    </row>
    <row r="493" spans="1:11" ht="42.75" x14ac:dyDescent="0.45">
      <c r="A493" t="s">
        <v>9832</v>
      </c>
      <c r="B493" t="s">
        <v>9833</v>
      </c>
      <c r="C493" t="s">
        <v>15115</v>
      </c>
      <c r="D493">
        <v>492</v>
      </c>
      <c r="E493" t="str">
        <f t="shared" si="21"/>
        <v>E2_7_1_33</v>
      </c>
      <c r="F493" s="9" t="s">
        <v>16661</v>
      </c>
      <c r="G493" s="9" t="s">
        <v>16662</v>
      </c>
      <c r="H493" s="9" t="s">
        <v>16663</v>
      </c>
      <c r="I493" s="9" t="s">
        <v>16664</v>
      </c>
      <c r="J493" s="9" t="str">
        <f t="shared" si="22"/>
        <v>(${Variables:E2_7_1_33_kcat} * E2_7_1_33 * C00002 * C04079)/(${Variables:E2_7_1_33_km} + (E2_7_1_33 * C00002 * C04079))</v>
      </c>
      <c r="K493" s="38" t="str">
        <f t="shared" si="23"/>
        <v>r492: C00002 + C04079 -&gt; C00008 + C04352 | (${Variables:E2_7_1_33_kcat} * E2_7_1_33 * C00002 * C04079)/(${Variables:E2_7_1_33_km} + (E2_7_1_33 * C00002 * C04079))</v>
      </c>
    </row>
    <row r="494" spans="1:11" ht="42.75" x14ac:dyDescent="0.45">
      <c r="A494" t="s">
        <v>3708</v>
      </c>
      <c r="B494" t="s">
        <v>3709</v>
      </c>
      <c r="C494" t="s">
        <v>15116</v>
      </c>
      <c r="D494">
        <v>493</v>
      </c>
      <c r="E494" t="str">
        <f t="shared" si="21"/>
        <v>E2_7_1_35</v>
      </c>
      <c r="F494" s="9" t="s">
        <v>16665</v>
      </c>
      <c r="G494" s="9" t="s">
        <v>16666</v>
      </c>
      <c r="H494" s="9" t="s">
        <v>16667</v>
      </c>
      <c r="I494" s="9" t="s">
        <v>16668</v>
      </c>
      <c r="J494" s="9" t="str">
        <f t="shared" si="22"/>
        <v>(${Variables:E2_7_1_35_kcat} * E2_7_1_35 * C00002 * C00250)/(${Variables:E2_7_1_35_km} + (E2_7_1_35 * C00002 * C00250))</v>
      </c>
      <c r="K494" s="38" t="str">
        <f t="shared" si="23"/>
        <v>r493: C00002 + C00250 -&gt; C00008 + C00018 | (${Variables:E2_7_1_35_kcat} * E2_7_1_35 * C00002 * C00250)/(${Variables:E2_7_1_35_km} + (E2_7_1_35 * C00002 * C00250))</v>
      </c>
    </row>
    <row r="495" spans="1:11" ht="42.75" x14ac:dyDescent="0.45">
      <c r="A495" t="s">
        <v>3708</v>
      </c>
      <c r="B495" t="s">
        <v>3709</v>
      </c>
      <c r="C495" t="s">
        <v>15116</v>
      </c>
      <c r="D495">
        <v>494</v>
      </c>
      <c r="E495" t="str">
        <f t="shared" si="21"/>
        <v>E2_7_1_35</v>
      </c>
      <c r="F495" s="9" t="s">
        <v>16669</v>
      </c>
      <c r="G495" s="9" t="s">
        <v>16670</v>
      </c>
      <c r="H495" s="9" t="s">
        <v>16671</v>
      </c>
      <c r="I495" s="9" t="s">
        <v>16672</v>
      </c>
      <c r="J495" s="9" t="str">
        <f t="shared" si="22"/>
        <v>(${Variables:E2_7_1_35_kcat} * E2_7_1_35 * C00002 * C00314)/(${Variables:E2_7_1_35_km} + (E2_7_1_35 * C00002 * C00314))</v>
      </c>
      <c r="K495" s="38" t="str">
        <f t="shared" si="23"/>
        <v>r494: C00002 + C00314 -&gt; C00008 + C00627 | (${Variables:E2_7_1_35_kcat} * E2_7_1_35 * C00002 * C00314)/(${Variables:E2_7_1_35_km} + (E2_7_1_35 * C00002 * C00314))</v>
      </c>
    </row>
    <row r="496" spans="1:11" ht="42.75" x14ac:dyDescent="0.45">
      <c r="A496" t="s">
        <v>3708</v>
      </c>
      <c r="B496" t="s">
        <v>3709</v>
      </c>
      <c r="C496" t="s">
        <v>15116</v>
      </c>
      <c r="D496">
        <v>495</v>
      </c>
      <c r="E496" t="str">
        <f t="shared" si="21"/>
        <v>E2_7_1_35</v>
      </c>
      <c r="F496" s="9" t="s">
        <v>16673</v>
      </c>
      <c r="G496" s="9" t="s">
        <v>16674</v>
      </c>
      <c r="H496" s="9" t="s">
        <v>16675</v>
      </c>
      <c r="I496" s="9" t="s">
        <v>16676</v>
      </c>
      <c r="J496" s="9" t="str">
        <f t="shared" si="22"/>
        <v>(${Variables:E2_7_1_35_kcat} * E2_7_1_35 * C00002 * C00534)/(${Variables:E2_7_1_35_km} + (E2_7_1_35 * C00002 * C00534))</v>
      </c>
      <c r="K496" s="38" t="str">
        <f t="shared" si="23"/>
        <v>r495: C00002 + C00534 -&gt; C00008 + C00647 | (${Variables:E2_7_1_35_kcat} * E2_7_1_35 * C00002 * C00534)/(${Variables:E2_7_1_35_km} + (E2_7_1_35 * C00002 * C00534))</v>
      </c>
    </row>
    <row r="497" spans="1:11" ht="42.75" x14ac:dyDescent="0.45">
      <c r="A497" t="s">
        <v>6066</v>
      </c>
      <c r="B497" t="s">
        <v>6067</v>
      </c>
      <c r="C497" t="s">
        <v>15117</v>
      </c>
      <c r="D497">
        <v>496</v>
      </c>
      <c r="E497" t="str">
        <f t="shared" si="21"/>
        <v>E2_7_1_39</v>
      </c>
      <c r="F497" s="9" t="s">
        <v>16677</v>
      </c>
      <c r="G497" s="9" t="s">
        <v>16678</v>
      </c>
      <c r="H497" s="9" t="s">
        <v>16679</v>
      </c>
      <c r="I497" s="9" t="s">
        <v>16680</v>
      </c>
      <c r="J497" s="9" t="str">
        <f t="shared" si="22"/>
        <v>(${Variables:E2_7_1_39_kcat} * E2_7_1_39 * C00002 * C00263)/(${Variables:E2_7_1_39_km} + (E2_7_1_39 * C00002 * C00263))</v>
      </c>
      <c r="K497" s="38" t="str">
        <f t="shared" si="23"/>
        <v>r496: C00002 + C00263 -&gt; C00008 + C01102 | (${Variables:E2_7_1_39_kcat} * E2_7_1_39 * C00002 * C00263)/(${Variables:E2_7_1_39_km} + (E2_7_1_39 * C00002 * C00263))</v>
      </c>
    </row>
    <row r="498" spans="1:11" ht="42.75" x14ac:dyDescent="0.45">
      <c r="A498" t="s">
        <v>9299</v>
      </c>
      <c r="B498" t="s">
        <v>9300</v>
      </c>
      <c r="C498" t="s">
        <v>15118</v>
      </c>
      <c r="D498">
        <v>497</v>
      </c>
      <c r="E498" t="str">
        <f t="shared" si="21"/>
        <v>E2_7_1_40</v>
      </c>
      <c r="F498" s="9" t="s">
        <v>16681</v>
      </c>
      <c r="G498" s="9" t="s">
        <v>16682</v>
      </c>
      <c r="H498" s="9" t="s">
        <v>16683</v>
      </c>
      <c r="I498" s="9" t="s">
        <v>16684</v>
      </c>
      <c r="J498" s="9" t="str">
        <f t="shared" si="22"/>
        <v>(${Variables:E2_7_1_40_kcat} * E2_7_1_40 * C00002 * C00022)/(${Variables:E2_7_1_40_km} + (E2_7_1_40 * C00002 * C00022))</v>
      </c>
      <c r="K498" s="38" t="str">
        <f t="shared" si="23"/>
        <v>r497: C00002 + C00022 -&gt; C00008 + C00074 | (${Variables:E2_7_1_40_kcat} * E2_7_1_40 * C00002 * C00022)/(${Variables:E2_7_1_40_km} + (E2_7_1_40 * C00002 * C00022))</v>
      </c>
    </row>
    <row r="499" spans="1:11" ht="42.75" x14ac:dyDescent="0.45">
      <c r="A499" t="s">
        <v>9299</v>
      </c>
      <c r="B499" t="s">
        <v>9300</v>
      </c>
      <c r="C499" t="s">
        <v>15118</v>
      </c>
      <c r="D499">
        <v>498</v>
      </c>
      <c r="E499" t="str">
        <f t="shared" si="21"/>
        <v>E2_7_1_40</v>
      </c>
      <c r="F499" s="9" t="s">
        <v>16685</v>
      </c>
      <c r="G499" s="9" t="s">
        <v>16686</v>
      </c>
      <c r="H499" s="9" t="s">
        <v>16687</v>
      </c>
      <c r="I499" s="9" t="s">
        <v>16688</v>
      </c>
      <c r="J499" s="9" t="str">
        <f t="shared" si="22"/>
        <v>(${Variables:E2_7_1_40_kcat} * E2_7_1_40 * C00044 * C00022)/(${Variables:E2_7_1_40_km} + (E2_7_1_40 * C00044 * C00022))</v>
      </c>
      <c r="K499" s="38" t="str">
        <f t="shared" si="23"/>
        <v>r498: C00044 + C00022 -&gt; C00035 + C00074 | (${Variables:E2_7_1_40_kcat} * E2_7_1_40 * C00044 * C00022)/(${Variables:E2_7_1_40_km} + (E2_7_1_40 * C00044 * C00022))</v>
      </c>
    </row>
    <row r="500" spans="1:11" ht="42.75" x14ac:dyDescent="0.45">
      <c r="A500" t="s">
        <v>9299</v>
      </c>
      <c r="B500" t="s">
        <v>9300</v>
      </c>
      <c r="C500" t="s">
        <v>15118</v>
      </c>
      <c r="D500">
        <v>499</v>
      </c>
      <c r="E500" t="str">
        <f t="shared" si="21"/>
        <v>E2_7_1_40</v>
      </c>
      <c r="F500" s="9" t="s">
        <v>16689</v>
      </c>
      <c r="G500" s="9" t="s">
        <v>16690</v>
      </c>
      <c r="H500" s="9" t="s">
        <v>16691</v>
      </c>
      <c r="I500" s="9" t="s">
        <v>16692</v>
      </c>
      <c r="J500" s="9" t="str">
        <f t="shared" si="22"/>
        <v>(${Variables:E2_7_1_40_kcat} * E2_7_1_40 * C00063 * C00022)/(${Variables:E2_7_1_40_km} + (E2_7_1_40 * C00063 * C00022))</v>
      </c>
      <c r="K500" s="38" t="str">
        <f t="shared" si="23"/>
        <v>r499: C00063 + C00022 -&gt; C00112 + C00074 | (${Variables:E2_7_1_40_kcat} * E2_7_1_40 * C00063 * C00022)/(${Variables:E2_7_1_40_km} + (E2_7_1_40 * C00063 * C00022))</v>
      </c>
    </row>
    <row r="501" spans="1:11" ht="42.75" x14ac:dyDescent="0.45">
      <c r="A501" t="s">
        <v>9299</v>
      </c>
      <c r="B501" t="s">
        <v>9300</v>
      </c>
      <c r="C501" t="s">
        <v>15118</v>
      </c>
      <c r="D501">
        <v>500</v>
      </c>
      <c r="E501" t="str">
        <f t="shared" si="21"/>
        <v>E2_7_1_40</v>
      </c>
      <c r="F501" s="9" t="s">
        <v>16693</v>
      </c>
      <c r="G501" s="9" t="s">
        <v>16694</v>
      </c>
      <c r="H501" s="9" t="s">
        <v>16695</v>
      </c>
      <c r="I501" s="9" t="s">
        <v>16696</v>
      </c>
      <c r="J501" s="9" t="str">
        <f t="shared" si="22"/>
        <v>(${Variables:E2_7_1_40_kcat} * E2_7_1_40 * C00075 * C00022)/(${Variables:E2_7_1_40_km} + (E2_7_1_40 * C00075 * C00022))</v>
      </c>
      <c r="K501" s="38" t="str">
        <f t="shared" si="23"/>
        <v>r500: C00075 + C00022 -&gt; C00015 + C00074 | (${Variables:E2_7_1_40_kcat} * E2_7_1_40 * C00075 * C00022)/(${Variables:E2_7_1_40_km} + (E2_7_1_40 * C00075 * C00022))</v>
      </c>
    </row>
    <row r="502" spans="1:11" ht="42.75" x14ac:dyDescent="0.45">
      <c r="A502" t="s">
        <v>9299</v>
      </c>
      <c r="B502" t="s">
        <v>9300</v>
      </c>
      <c r="C502" t="s">
        <v>15118</v>
      </c>
      <c r="D502">
        <v>501</v>
      </c>
      <c r="E502" t="str">
        <f t="shared" si="21"/>
        <v>E2_7_1_40</v>
      </c>
      <c r="F502" s="9" t="s">
        <v>16697</v>
      </c>
      <c r="G502" s="9" t="s">
        <v>16698</v>
      </c>
      <c r="H502" s="9" t="s">
        <v>16699</v>
      </c>
      <c r="I502" s="9" t="s">
        <v>16700</v>
      </c>
      <c r="J502" s="9" t="str">
        <f t="shared" si="22"/>
        <v>(${Variables:E2_7_1_40_kcat} * E2_7_1_40 * C00081 * C00022)/(${Variables:E2_7_1_40_km} + (E2_7_1_40 * C00081 * C00022))</v>
      </c>
      <c r="K502" s="38" t="str">
        <f t="shared" si="23"/>
        <v>r501: C00081 + C00022 -&gt; C00104 + C00074 | (${Variables:E2_7_1_40_kcat} * E2_7_1_40 * C00081 * C00022)/(${Variables:E2_7_1_40_km} + (E2_7_1_40 * C00081 * C00022))</v>
      </c>
    </row>
    <row r="503" spans="1:11" ht="42.75" x14ac:dyDescent="0.45">
      <c r="A503" t="s">
        <v>9299</v>
      </c>
      <c r="B503" t="s">
        <v>9300</v>
      </c>
      <c r="C503" t="s">
        <v>15118</v>
      </c>
      <c r="D503">
        <v>502</v>
      </c>
      <c r="E503" t="str">
        <f t="shared" si="21"/>
        <v>E2_7_1_40</v>
      </c>
      <c r="F503" s="9" t="s">
        <v>16701</v>
      </c>
      <c r="G503" s="9" t="s">
        <v>16702</v>
      </c>
      <c r="H503" s="9" t="s">
        <v>16703</v>
      </c>
      <c r="I503" s="9" t="s">
        <v>16704</v>
      </c>
      <c r="J503" s="9" t="str">
        <f t="shared" si="22"/>
        <v>(${Variables:E2_7_1_40_kcat} * E2_7_1_40 * C00131 * C00022)/(${Variables:E2_7_1_40_km} + (E2_7_1_40 * C00131 * C00022))</v>
      </c>
      <c r="K503" s="38" t="str">
        <f t="shared" si="23"/>
        <v>r502: C00131 + C00022 -&gt; C00206 + C00074 | (${Variables:E2_7_1_40_kcat} * E2_7_1_40 * C00131 * C00022)/(${Variables:E2_7_1_40_km} + (E2_7_1_40 * C00131 * C00022))</v>
      </c>
    </row>
    <row r="504" spans="1:11" ht="42.75" x14ac:dyDescent="0.45">
      <c r="A504" t="s">
        <v>9299</v>
      </c>
      <c r="B504" t="s">
        <v>9300</v>
      </c>
      <c r="C504" t="s">
        <v>15118</v>
      </c>
      <c r="D504">
        <v>503</v>
      </c>
      <c r="E504" t="str">
        <f t="shared" si="21"/>
        <v>E2_7_1_40</v>
      </c>
      <c r="F504" s="9" t="s">
        <v>16709</v>
      </c>
      <c r="G504" s="9" t="s">
        <v>16710</v>
      </c>
      <c r="H504" s="9" t="s">
        <v>16711</v>
      </c>
      <c r="I504" s="9" t="s">
        <v>16712</v>
      </c>
      <c r="J504" s="9" t="str">
        <f t="shared" si="22"/>
        <v>(${Variables:E2_7_1_40_kcat} * E2_7_1_40 * C00286 * C00022)/(${Variables:E2_7_1_40_km} + (E2_7_1_40 * C00286 * C00022))</v>
      </c>
      <c r="K504" s="38" t="str">
        <f t="shared" si="23"/>
        <v>r503: C00286 + C00022 -&gt; C00361 + C00074 | (${Variables:E2_7_1_40_kcat} * E2_7_1_40 * C00286 * C00022)/(${Variables:E2_7_1_40_km} + (E2_7_1_40 * C00286 * C00022))</v>
      </c>
    </row>
    <row r="505" spans="1:11" ht="42.75" x14ac:dyDescent="0.45">
      <c r="A505" t="s">
        <v>9299</v>
      </c>
      <c r="B505" t="s">
        <v>9300</v>
      </c>
      <c r="C505" t="s">
        <v>15118</v>
      </c>
      <c r="D505">
        <v>504</v>
      </c>
      <c r="E505" t="str">
        <f t="shared" si="21"/>
        <v>E2_7_1_40</v>
      </c>
      <c r="F505" s="9" t="s">
        <v>16705</v>
      </c>
      <c r="G505" s="9" t="s">
        <v>16706</v>
      </c>
      <c r="H505" s="9" t="s">
        <v>16707</v>
      </c>
      <c r="I505" s="9" t="s">
        <v>16708</v>
      </c>
      <c r="J505" s="9" t="str">
        <f t="shared" si="22"/>
        <v>(${Variables:E2_7_1_40_kcat} * E2_7_1_40 * C00201 * C00022)/(${Variables:E2_7_1_40_km} + (E2_7_1_40 * C00201 * C00022))</v>
      </c>
      <c r="K505" s="38" t="str">
        <f t="shared" si="23"/>
        <v>r504: C00201 + C00022 -&gt; C00454 + C00074 | (${Variables:E2_7_1_40_kcat} * E2_7_1_40 * C00201 * C00022)/(${Variables:E2_7_1_40_km} + (E2_7_1_40 * C00201 * C00022))</v>
      </c>
    </row>
    <row r="506" spans="1:11" ht="42.75" x14ac:dyDescent="0.45">
      <c r="A506" t="s">
        <v>4589</v>
      </c>
      <c r="B506" t="s">
        <v>4590</v>
      </c>
      <c r="C506" t="s">
        <v>15119</v>
      </c>
      <c r="D506">
        <v>505</v>
      </c>
      <c r="E506" t="str">
        <f t="shared" si="21"/>
        <v>E2_7_1_49</v>
      </c>
      <c r="F506" s="9" t="s">
        <v>16713</v>
      </c>
      <c r="G506" s="9" t="s">
        <v>16714</v>
      </c>
      <c r="H506" s="9" t="s">
        <v>16715</v>
      </c>
      <c r="I506" s="9" t="s">
        <v>16716</v>
      </c>
      <c r="J506" s="9" t="str">
        <f t="shared" si="22"/>
        <v>(${Variables:E2_7_1_49_kcat} * E2_7_1_49 * C00002 * C01279)/(${Variables:E2_7_1_49_km} + (E2_7_1_49 * C00002 * C01279))</v>
      </c>
      <c r="K506" s="38" t="str">
        <f t="shared" si="23"/>
        <v>r505: C00002 + C01279 -&gt; C00008 + C04556 | (${Variables:E2_7_1_49_kcat} * E2_7_1_49 * C00002 * C01279)/(${Variables:E2_7_1_49_km} + (E2_7_1_49 * C00002 * C01279))</v>
      </c>
    </row>
    <row r="507" spans="1:11" ht="42.75" x14ac:dyDescent="0.45">
      <c r="A507" t="s">
        <v>4593</v>
      </c>
      <c r="B507" t="s">
        <v>4594</v>
      </c>
      <c r="C507" t="s">
        <v>15120</v>
      </c>
      <c r="D507">
        <v>506</v>
      </c>
      <c r="E507" t="str">
        <f t="shared" si="21"/>
        <v>E2_7_1_50</v>
      </c>
      <c r="F507" s="9" t="s">
        <v>16717</v>
      </c>
      <c r="G507" s="9" t="s">
        <v>16718</v>
      </c>
      <c r="H507" s="9" t="s">
        <v>16719</v>
      </c>
      <c r="I507" s="9" t="s">
        <v>16720</v>
      </c>
      <c r="J507" s="9" t="str">
        <f t="shared" si="22"/>
        <v>(${Variables:E2_7_1_50_kcat} * E2_7_1_50 * C00002 * C04294)/(${Variables:E2_7_1_50_km} + (E2_7_1_50 * C00002 * C04294))</v>
      </c>
      <c r="K507" s="38" t="str">
        <f t="shared" si="23"/>
        <v>r506: C00002 + C04294 -&gt; C00008 + C04327 | (${Variables:E2_7_1_50_kcat} * E2_7_1_50 * C00002 * C04294)/(${Variables:E2_7_1_50_km} + (E2_7_1_50 * C00002 * C04294))</v>
      </c>
    </row>
    <row r="508" spans="1:11" ht="42.75" x14ac:dyDescent="0.45">
      <c r="A508" t="s">
        <v>6448</v>
      </c>
      <c r="B508" t="s">
        <v>6449</v>
      </c>
      <c r="C508" t="s">
        <v>15121</v>
      </c>
      <c r="D508">
        <v>507</v>
      </c>
      <c r="E508" t="str">
        <f t="shared" si="21"/>
        <v>E2_7_1_56</v>
      </c>
      <c r="F508" s="9" t="s">
        <v>16721</v>
      </c>
      <c r="G508" s="9" t="s">
        <v>16722</v>
      </c>
      <c r="H508" s="9" t="s">
        <v>16553</v>
      </c>
      <c r="I508" s="9" t="s">
        <v>16554</v>
      </c>
      <c r="J508" s="9" t="str">
        <f t="shared" si="22"/>
        <v>(${Variables:E2_7_1_56_kcat} * E2_7_1_56 * C00002 * C01094)/(${Variables:E2_7_1_56_km} + (E2_7_1_56 * C00002 * C01094))</v>
      </c>
      <c r="K508" s="38" t="str">
        <f t="shared" si="23"/>
        <v>r507: C00002 + C01094 -&gt; C00008 + C00354 | (${Variables:E2_7_1_56_kcat} * E2_7_1_56 * C00002 * C01094)/(${Variables:E2_7_1_56_km} + (E2_7_1_56 * C00002 * C01094))</v>
      </c>
    </row>
    <row r="509" spans="1:11" ht="42.75" x14ac:dyDescent="0.45">
      <c r="A509" t="s">
        <v>6448</v>
      </c>
      <c r="B509" t="s">
        <v>6449</v>
      </c>
      <c r="C509" t="s">
        <v>15121</v>
      </c>
      <c r="D509">
        <v>508</v>
      </c>
      <c r="E509" t="str">
        <f t="shared" si="21"/>
        <v>E2_7_1_56</v>
      </c>
      <c r="F509" s="9" t="s">
        <v>16721</v>
      </c>
      <c r="G509" s="9" t="s">
        <v>16722</v>
      </c>
      <c r="H509" s="9" t="s">
        <v>16557</v>
      </c>
      <c r="I509" s="9" t="s">
        <v>16558</v>
      </c>
      <c r="J509" s="9" t="str">
        <f t="shared" si="22"/>
        <v>(${Variables:E2_7_1_56_kcat} * E2_7_1_56 * C00002 * C01094)/(${Variables:E2_7_1_56_km} + (E2_7_1_56 * C00002 * C01094))</v>
      </c>
      <c r="K509" s="38" t="str">
        <f t="shared" si="23"/>
        <v>r508: C00002 + C01094 -&gt; C00008 + C05378 | (${Variables:E2_7_1_56_kcat} * E2_7_1_56 * C00002 * C01094)/(${Variables:E2_7_1_56_km} + (E2_7_1_56 * C00002 * C01094))</v>
      </c>
    </row>
    <row r="510" spans="1:11" ht="42.75" x14ac:dyDescent="0.45">
      <c r="A510" t="s">
        <v>6448</v>
      </c>
      <c r="B510" t="s">
        <v>6449</v>
      </c>
      <c r="C510" t="s">
        <v>15121</v>
      </c>
      <c r="D510">
        <v>509</v>
      </c>
      <c r="E510" t="str">
        <f t="shared" si="21"/>
        <v>E2_7_1_56</v>
      </c>
      <c r="F510" s="9" t="s">
        <v>16587</v>
      </c>
      <c r="G510" s="9" t="s">
        <v>16588</v>
      </c>
      <c r="H510" s="9" t="s">
        <v>16589</v>
      </c>
      <c r="I510" s="9" t="s">
        <v>16590</v>
      </c>
      <c r="J510" s="9" t="str">
        <f t="shared" si="22"/>
        <v>(${Variables:E2_7_1_56_kcat} * E2_7_1_56 * C01097 * C00002)/(${Variables:E2_7_1_56_km} + (E2_7_1_56 * C01097 * C00002))</v>
      </c>
      <c r="K510" s="38" t="str">
        <f t="shared" si="23"/>
        <v>r509: C01097 + C00002 -&gt; C03785 + C00008 | (${Variables:E2_7_1_56_kcat} * E2_7_1_56 * C01097 * C00002)/(${Variables:E2_7_1_56_km} + (E2_7_1_56 * C01097 * C00002))</v>
      </c>
    </row>
    <row r="511" spans="1:11" ht="42.75" x14ac:dyDescent="0.45">
      <c r="A511" t="s">
        <v>9473</v>
      </c>
      <c r="B511" t="s">
        <v>9474</v>
      </c>
      <c r="C511" t="s">
        <v>15121</v>
      </c>
      <c r="D511">
        <v>510</v>
      </c>
      <c r="E511" t="str">
        <f t="shared" si="21"/>
        <v>E2_7_1_56</v>
      </c>
      <c r="F511" s="9" t="s">
        <v>16721</v>
      </c>
      <c r="G511" s="9" t="s">
        <v>16722</v>
      </c>
      <c r="H511" s="9" t="s">
        <v>16553</v>
      </c>
      <c r="I511" s="9" t="s">
        <v>16554</v>
      </c>
      <c r="J511" s="9" t="str">
        <f t="shared" si="22"/>
        <v>(${Variables:E2_7_1_56_kcat} * E2_7_1_56 * C00002 * C01094)/(${Variables:E2_7_1_56_km} + (E2_7_1_56 * C00002 * C01094))</v>
      </c>
      <c r="K511" s="38" t="str">
        <f t="shared" si="23"/>
        <v>r510: C00002 + C01094 -&gt; C00008 + C00354 | (${Variables:E2_7_1_56_kcat} * E2_7_1_56 * C00002 * C01094)/(${Variables:E2_7_1_56_km} + (E2_7_1_56 * C00002 * C01094))</v>
      </c>
    </row>
    <row r="512" spans="1:11" ht="42.75" x14ac:dyDescent="0.45">
      <c r="A512" t="s">
        <v>9473</v>
      </c>
      <c r="B512" t="s">
        <v>9474</v>
      </c>
      <c r="C512" t="s">
        <v>15121</v>
      </c>
      <c r="D512">
        <v>511</v>
      </c>
      <c r="E512" t="str">
        <f t="shared" si="21"/>
        <v>E2_7_1_56</v>
      </c>
      <c r="F512" s="9" t="s">
        <v>16721</v>
      </c>
      <c r="G512" s="9" t="s">
        <v>16722</v>
      </c>
      <c r="H512" s="9" t="s">
        <v>16557</v>
      </c>
      <c r="I512" s="9" t="s">
        <v>16558</v>
      </c>
      <c r="J512" s="9" t="str">
        <f t="shared" si="22"/>
        <v>(${Variables:E2_7_1_56_kcat} * E2_7_1_56 * C00002 * C01094)/(${Variables:E2_7_1_56_km} + (E2_7_1_56 * C00002 * C01094))</v>
      </c>
      <c r="K512" s="38" t="str">
        <f t="shared" si="23"/>
        <v>r511: C00002 + C01094 -&gt; C00008 + C05378 | (${Variables:E2_7_1_56_kcat} * E2_7_1_56 * C00002 * C01094)/(${Variables:E2_7_1_56_km} + (E2_7_1_56 * C00002 * C01094))</v>
      </c>
    </row>
    <row r="513" spans="1:11" ht="42.75" x14ac:dyDescent="0.45">
      <c r="A513" t="s">
        <v>9473</v>
      </c>
      <c r="B513" t="s">
        <v>9474</v>
      </c>
      <c r="C513" t="s">
        <v>15121</v>
      </c>
      <c r="D513">
        <v>512</v>
      </c>
      <c r="E513" t="str">
        <f t="shared" si="21"/>
        <v>E2_7_1_56</v>
      </c>
      <c r="F513" s="9" t="s">
        <v>16587</v>
      </c>
      <c r="G513" s="9" t="s">
        <v>16588</v>
      </c>
      <c r="H513" s="9" t="s">
        <v>16589</v>
      </c>
      <c r="I513" s="9" t="s">
        <v>16590</v>
      </c>
      <c r="J513" s="9" t="str">
        <f t="shared" si="22"/>
        <v>(${Variables:E2_7_1_56_kcat} * E2_7_1_56 * C01097 * C00002)/(${Variables:E2_7_1_56_km} + (E2_7_1_56 * C01097 * C00002))</v>
      </c>
      <c r="K513" s="38" t="str">
        <f t="shared" si="23"/>
        <v>r512: C01097 + C00002 -&gt; C03785 + C00008 | (${Variables:E2_7_1_56_kcat} * E2_7_1_56 * C01097 * C00002)/(${Variables:E2_7_1_56_km} + (E2_7_1_56 * C01097 * C00002))</v>
      </c>
    </row>
    <row r="514" spans="1:11" ht="42.75" x14ac:dyDescent="0.45">
      <c r="A514" t="s">
        <v>5240</v>
      </c>
      <c r="B514" t="s">
        <v>5241</v>
      </c>
      <c r="C514" t="s">
        <v>15122</v>
      </c>
      <c r="D514">
        <v>513</v>
      </c>
      <c r="E514" t="str">
        <f t="shared" si="21"/>
        <v>E2_7_1_71</v>
      </c>
      <c r="F514" s="9" t="s">
        <v>16723</v>
      </c>
      <c r="G514" s="9" t="s">
        <v>16724</v>
      </c>
      <c r="H514" s="9" t="s">
        <v>16725</v>
      </c>
      <c r="I514" s="9" t="s">
        <v>16726</v>
      </c>
      <c r="J514" s="9" t="str">
        <f t="shared" si="22"/>
        <v>(${Variables:E2_7_1_71_kcat} * E2_7_1_71 * C00002 * C00493)/(${Variables:E2_7_1_71_km} + (E2_7_1_71 * C00002 * C00493))</v>
      </c>
      <c r="K514" s="38" t="str">
        <f t="shared" si="23"/>
        <v>r513: C00002 + C00493 -&gt; C00008 + C03175 | (${Variables:E2_7_1_71_kcat} * E2_7_1_71 * C00002 * C00493)/(${Variables:E2_7_1_71_km} + (E2_7_1_71 * C00002 * C00493))</v>
      </c>
    </row>
    <row r="515" spans="1:11" ht="42.75" x14ac:dyDescent="0.45">
      <c r="A515" t="s">
        <v>2289</v>
      </c>
      <c r="B515" t="s">
        <v>2290</v>
      </c>
      <c r="C515" t="s">
        <v>15123</v>
      </c>
      <c r="D515">
        <v>514</v>
      </c>
      <c r="E515" t="str">
        <f t="shared" ref="E515:E578" si="24">CONCATENATE("E",C515)</f>
        <v>E2_7_11_1</v>
      </c>
      <c r="F515" s="9" t="s">
        <v>16727</v>
      </c>
      <c r="G515" s="9" t="s">
        <v>16728</v>
      </c>
      <c r="H515" s="9" t="s">
        <v>16729</v>
      </c>
      <c r="I515" s="9" t="s">
        <v>16730</v>
      </c>
      <c r="J515" s="9" t="str">
        <f t="shared" ref="J515:J578" si="25">CONCATENATE("(${Variables:",E515,"_kcat","} * ",E515," * ",G515,")","/(${Variables:",E515,"_km","} + (",E515," * ",G515,"))")</f>
        <v>(${Variables:E2_7_11_1_kcat} * E2_7_11_1 * C00002 * C00017)/(${Variables:E2_7_11_1_km} + (E2_7_11_1 * C00002 * C00017))</v>
      </c>
      <c r="K515" s="38" t="str">
        <f t="shared" ref="K515:K578" si="26">CONCATENATE("r",D515,": ",F515," -&gt; ",H515," | ",J515)</f>
        <v>r514: C00002 + C00017 -&gt; C00008 + C00562 | (${Variables:E2_7_11_1_kcat} * E2_7_11_1 * C00002 * C00017)/(${Variables:E2_7_11_1_km} + (E2_7_11_1 * C00002 * C00017))</v>
      </c>
    </row>
    <row r="516" spans="1:11" ht="42.75" x14ac:dyDescent="0.45">
      <c r="A516" t="s">
        <v>2289</v>
      </c>
      <c r="B516" t="s">
        <v>2290</v>
      </c>
      <c r="C516" t="s">
        <v>15123</v>
      </c>
      <c r="D516">
        <v>515</v>
      </c>
      <c r="E516" t="str">
        <f t="shared" si="24"/>
        <v>E2_7_11_1</v>
      </c>
      <c r="F516" s="9" t="s">
        <v>16731</v>
      </c>
      <c r="G516" s="9" t="s">
        <v>16732</v>
      </c>
      <c r="H516" s="9" t="s">
        <v>16733</v>
      </c>
      <c r="I516" s="9" t="s">
        <v>16734</v>
      </c>
      <c r="J516" s="9" t="str">
        <f t="shared" si="25"/>
        <v>(${Variables:E2_7_11_1_kcat} * E2_7_11_1 * C00002 * C01609)/(${Variables:E2_7_11_1_km} + (E2_7_11_1 * C00002 * C01609))</v>
      </c>
      <c r="K516" s="38" t="str">
        <f t="shared" si="26"/>
        <v>r515: C00002 + C01609 -&gt; C00008 + C02729 | (${Variables:E2_7_11_1_kcat} * E2_7_11_1 * C00002 * C01609)/(${Variables:E2_7_11_1_km} + (E2_7_11_1 * C00002 * C01609))</v>
      </c>
    </row>
    <row r="517" spans="1:11" ht="42.75" x14ac:dyDescent="0.45">
      <c r="A517" t="s">
        <v>178</v>
      </c>
      <c r="B517" t="s">
        <v>179</v>
      </c>
      <c r="C517" t="s">
        <v>15124</v>
      </c>
      <c r="D517">
        <v>516</v>
      </c>
      <c r="E517" t="str">
        <f t="shared" si="24"/>
        <v>E2_7_14_1</v>
      </c>
      <c r="F517" s="9" t="s">
        <v>16735</v>
      </c>
      <c r="G517" s="9" t="s">
        <v>16736</v>
      </c>
      <c r="H517" s="9" t="s">
        <v>16737</v>
      </c>
      <c r="I517" s="9" t="s">
        <v>16738</v>
      </c>
      <c r="J517" s="9" t="str">
        <f t="shared" si="25"/>
        <v>(${Variables:E2_7_14_1_kcat} * E2_7_14_1 * C00002 * C00613)/(${Variables:E2_7_14_1_km} + (E2_7_14_1 * C00002 * C00613))</v>
      </c>
      <c r="K517" s="38" t="str">
        <f t="shared" si="26"/>
        <v>r516: C00002 + C00613 -&gt; C00008 + C21101 | (${Variables:E2_7_14_1_kcat} * E2_7_14_1 * C00002 * C00613)/(${Variables:E2_7_14_1_km} + (E2_7_14_1 * C00002 * C00613))</v>
      </c>
    </row>
    <row r="518" spans="1:11" ht="42.75" x14ac:dyDescent="0.45">
      <c r="A518" t="s">
        <v>8801</v>
      </c>
      <c r="B518" t="s">
        <v>8802</v>
      </c>
      <c r="C518" t="s">
        <v>15125</v>
      </c>
      <c r="D518">
        <v>517</v>
      </c>
      <c r="E518" t="str">
        <f t="shared" si="24"/>
        <v>E2_7_2_3</v>
      </c>
      <c r="F518" s="9" t="s">
        <v>16739</v>
      </c>
      <c r="G518" s="9" t="s">
        <v>16740</v>
      </c>
      <c r="H518" s="9" t="s">
        <v>16741</v>
      </c>
      <c r="I518" s="9" t="s">
        <v>16742</v>
      </c>
      <c r="J518" s="9" t="str">
        <f t="shared" si="25"/>
        <v>(${Variables:E2_7_2_3_kcat} * E2_7_2_3 * C00002 * C00197)/(${Variables:E2_7_2_3_km} + (E2_7_2_3 * C00002 * C00197))</v>
      </c>
      <c r="K518" s="38" t="str">
        <f t="shared" si="26"/>
        <v>r517: C00002 + C00197 -&gt; C00008 + C00236 | (${Variables:E2_7_2_3_kcat} * E2_7_2_3 * C00002 * C00197)/(${Variables:E2_7_2_3_km} + (E2_7_2_3 * C00002 * C00197))</v>
      </c>
    </row>
    <row r="519" spans="1:11" ht="42.75" x14ac:dyDescent="0.45">
      <c r="A519" t="s">
        <v>3621</v>
      </c>
      <c r="B519" t="s">
        <v>3622</v>
      </c>
      <c r="C519" t="s">
        <v>15126</v>
      </c>
      <c r="D519">
        <v>518</v>
      </c>
      <c r="E519" t="str">
        <f t="shared" si="24"/>
        <v>E2_7_2_4</v>
      </c>
      <c r="F519" s="9" t="s">
        <v>16743</v>
      </c>
      <c r="G519" s="9" t="s">
        <v>16744</v>
      </c>
      <c r="H519" s="9" t="s">
        <v>16745</v>
      </c>
      <c r="I519" s="9" t="s">
        <v>16746</v>
      </c>
      <c r="J519" s="9" t="str">
        <f t="shared" si="25"/>
        <v>(${Variables:E2_7_2_4_kcat} * E2_7_2_4 * C00002 * C00049)/(${Variables:E2_7_2_4_km} + (E2_7_2_4 * C00002 * C00049))</v>
      </c>
      <c r="K519" s="38" t="str">
        <f t="shared" si="26"/>
        <v>r518: C00002 + C00049 -&gt; C00008 + C03082 | (${Variables:E2_7_2_4_kcat} * E2_7_2_4 * C00002 * C00049)/(${Variables:E2_7_2_4_km} + (E2_7_2_4 * C00002 * C00049))</v>
      </c>
    </row>
    <row r="520" spans="1:11" ht="42.75" x14ac:dyDescent="0.45">
      <c r="A520" t="s">
        <v>5895</v>
      </c>
      <c r="B520" t="s">
        <v>5896</v>
      </c>
      <c r="C520" t="s">
        <v>15126</v>
      </c>
      <c r="D520">
        <v>519</v>
      </c>
      <c r="E520" t="str">
        <f t="shared" si="24"/>
        <v>E2_7_2_4</v>
      </c>
      <c r="F520" s="9" t="s">
        <v>16743</v>
      </c>
      <c r="G520" s="9" t="s">
        <v>16744</v>
      </c>
      <c r="H520" s="9" t="s">
        <v>16745</v>
      </c>
      <c r="I520" s="9" t="s">
        <v>16746</v>
      </c>
      <c r="J520" s="9" t="str">
        <f t="shared" si="25"/>
        <v>(${Variables:E2_7_2_4_kcat} * E2_7_2_4 * C00002 * C00049)/(${Variables:E2_7_2_4_km} + (E2_7_2_4 * C00002 * C00049))</v>
      </c>
      <c r="K520" s="38" t="str">
        <f t="shared" si="26"/>
        <v>r519: C00002 + C00049 -&gt; C00008 + C03082 | (${Variables:E2_7_2_4_kcat} * E2_7_2_4 * C00002 * C00049)/(${Variables:E2_7_2_4_km} + (E2_7_2_4 * C00002 * C00049))</v>
      </c>
    </row>
    <row r="521" spans="1:11" ht="42.75" x14ac:dyDescent="0.45">
      <c r="A521" t="s">
        <v>544</v>
      </c>
      <c r="B521" t="s">
        <v>545</v>
      </c>
      <c r="C521" t="s">
        <v>15127</v>
      </c>
      <c r="D521">
        <v>520</v>
      </c>
      <c r="E521" t="str">
        <f t="shared" si="24"/>
        <v>E2_7_2_7</v>
      </c>
      <c r="F521" s="9" t="s">
        <v>16747</v>
      </c>
      <c r="G521" s="9" t="s">
        <v>16748</v>
      </c>
      <c r="H521" s="9" t="s">
        <v>16749</v>
      </c>
      <c r="I521" s="9" t="s">
        <v>16750</v>
      </c>
      <c r="J521" s="9" t="str">
        <f t="shared" si="25"/>
        <v>(${Variables:E2_7_2_7_kcat} * E2_7_2_7 * C00002 * C00246)/(${Variables:E2_7_2_7_km} + (E2_7_2_7 * C00002 * C00246))</v>
      </c>
      <c r="K521" s="38" t="str">
        <f t="shared" si="26"/>
        <v>r520: C00002 + C00246 -&gt; C00008 + C02527 | (${Variables:E2_7_2_7_kcat} * E2_7_2_7 * C00002 * C00246)/(${Variables:E2_7_2_7_km} + (E2_7_2_7 * C00002 * C00246))</v>
      </c>
    </row>
    <row r="522" spans="1:11" ht="42.75" x14ac:dyDescent="0.45">
      <c r="A522" t="s">
        <v>6712</v>
      </c>
      <c r="B522" t="s">
        <v>6713</v>
      </c>
      <c r="C522" t="s">
        <v>15127</v>
      </c>
      <c r="D522">
        <v>521</v>
      </c>
      <c r="E522" t="str">
        <f t="shared" si="24"/>
        <v>E2_7_2_7</v>
      </c>
      <c r="F522" s="9" t="s">
        <v>16747</v>
      </c>
      <c r="G522" s="9" t="s">
        <v>16748</v>
      </c>
      <c r="H522" s="9" t="s">
        <v>16749</v>
      </c>
      <c r="I522" s="9" t="s">
        <v>16750</v>
      </c>
      <c r="J522" s="9" t="str">
        <f t="shared" si="25"/>
        <v>(${Variables:E2_7_2_7_kcat} * E2_7_2_7 * C00002 * C00246)/(${Variables:E2_7_2_7_km} + (E2_7_2_7 * C00002 * C00246))</v>
      </c>
      <c r="K522" s="38" t="str">
        <f t="shared" si="26"/>
        <v>r521: C00002 + C00246 -&gt; C00008 + C02527 | (${Variables:E2_7_2_7_kcat} * E2_7_2_7 * C00002 * C00246)/(${Variables:E2_7_2_7_km} + (E2_7_2_7 * C00002 * C00246))</v>
      </c>
    </row>
    <row r="523" spans="1:11" ht="42.75" x14ac:dyDescent="0.45">
      <c r="A523" t="s">
        <v>6840</v>
      </c>
      <c r="B523" t="s">
        <v>6841</v>
      </c>
      <c r="C523" t="s">
        <v>15127</v>
      </c>
      <c r="D523">
        <v>522</v>
      </c>
      <c r="E523" t="str">
        <f t="shared" si="24"/>
        <v>E2_7_2_7</v>
      </c>
      <c r="F523" s="9" t="s">
        <v>16747</v>
      </c>
      <c r="G523" s="9" t="s">
        <v>16748</v>
      </c>
      <c r="H523" s="9" t="s">
        <v>16749</v>
      </c>
      <c r="I523" s="9" t="s">
        <v>16750</v>
      </c>
      <c r="J523" s="9" t="str">
        <f t="shared" si="25"/>
        <v>(${Variables:E2_7_2_7_kcat} * E2_7_2_7 * C00002 * C00246)/(${Variables:E2_7_2_7_km} + (E2_7_2_7 * C00002 * C00246))</v>
      </c>
      <c r="K523" s="38" t="str">
        <f t="shared" si="26"/>
        <v>r522: C00002 + C00246 -&gt; C00008 + C02527 | (${Variables:E2_7_2_7_kcat} * E2_7_2_7 * C00002 * C00246)/(${Variables:E2_7_2_7_km} + (E2_7_2_7 * C00002 * C00246))</v>
      </c>
    </row>
    <row r="524" spans="1:11" ht="42.75" x14ac:dyDescent="0.45">
      <c r="A524" t="s">
        <v>5849</v>
      </c>
      <c r="B524" t="s">
        <v>5850</v>
      </c>
      <c r="C524" t="s">
        <v>15128</v>
      </c>
      <c r="D524">
        <v>523</v>
      </c>
      <c r="E524" t="str">
        <f t="shared" si="24"/>
        <v>E2_7_2_8</v>
      </c>
      <c r="F524" s="9" t="s">
        <v>16751</v>
      </c>
      <c r="G524" s="9" t="s">
        <v>16752</v>
      </c>
      <c r="H524" s="9" t="s">
        <v>16753</v>
      </c>
      <c r="I524" s="9" t="s">
        <v>16754</v>
      </c>
      <c r="J524" s="9" t="str">
        <f t="shared" si="25"/>
        <v>(${Variables:E2_7_2_8_kcat} * E2_7_2_8 * C00002 * C00624)/(${Variables:E2_7_2_8_km} + (E2_7_2_8 * C00002 * C00624))</v>
      </c>
      <c r="K524" s="38" t="str">
        <f t="shared" si="26"/>
        <v>r523: C00002 + C00624 -&gt; C00008 + C04133 | (${Variables:E2_7_2_8_kcat} * E2_7_2_8 * C00002 * C00624)/(${Variables:E2_7_2_8_km} + (E2_7_2_8 * C00002 * C00624))</v>
      </c>
    </row>
    <row r="525" spans="1:11" ht="42.75" x14ac:dyDescent="0.45">
      <c r="A525" t="s">
        <v>7785</v>
      </c>
      <c r="B525" t="s">
        <v>7786</v>
      </c>
      <c r="C525" t="s">
        <v>15129</v>
      </c>
      <c r="D525">
        <v>524</v>
      </c>
      <c r="E525" t="str">
        <f t="shared" si="24"/>
        <v>E2_7_3_9</v>
      </c>
      <c r="F525" s="9" t="s">
        <v>16755</v>
      </c>
      <c r="G525" s="9" t="s">
        <v>16756</v>
      </c>
      <c r="H525" s="9" t="s">
        <v>16757</v>
      </c>
      <c r="I525" s="9" t="s">
        <v>16758</v>
      </c>
      <c r="J525" s="9" t="str">
        <f t="shared" si="25"/>
        <v>(${Variables:E2_7_3_9_kcat} * E2_7_3_9 * C00074 * C00615)/(${Variables:E2_7_3_9_km} + (E2_7_3_9 * C00074 * C00615))</v>
      </c>
      <c r="K525" s="38" t="str">
        <f t="shared" si="26"/>
        <v>r524: C00074 + C00615 -&gt; C00022 + C04261 | (${Variables:E2_7_3_9_kcat} * E2_7_3_9 * C00074 * C00615)/(${Variables:E2_7_3_9_km} + (E2_7_3_9 * C00074 * C00615))</v>
      </c>
    </row>
    <row r="526" spans="1:11" ht="42.75" x14ac:dyDescent="0.45">
      <c r="A526" t="s">
        <v>6128</v>
      </c>
      <c r="B526" t="s">
        <v>6129</v>
      </c>
      <c r="C526" t="s">
        <v>15130</v>
      </c>
      <c r="D526">
        <v>525</v>
      </c>
      <c r="E526" t="str">
        <f t="shared" si="24"/>
        <v>E2_7_4_22</v>
      </c>
      <c r="F526" s="9" t="s">
        <v>16759</v>
      </c>
      <c r="G526" s="9" t="s">
        <v>16760</v>
      </c>
      <c r="H526" s="9" t="s">
        <v>16761</v>
      </c>
      <c r="I526" s="9" t="s">
        <v>16762</v>
      </c>
      <c r="J526" s="9" t="str">
        <f t="shared" si="25"/>
        <v>(${Variables:E2_7_4_22_kcat} * E2_7_4_22 * C00002 * C00105)/(${Variables:E2_7_4_22_km} + (E2_7_4_22 * C00002 * C00105))</v>
      </c>
      <c r="K526" s="38" t="str">
        <f t="shared" si="26"/>
        <v>r525: C00002 + C00105 -&gt; C00008 + C00015 | (${Variables:E2_7_4_22_kcat} * E2_7_4_22 * C00002 * C00105)/(${Variables:E2_7_4_22_km} + (E2_7_4_22 * C00002 * C00105))</v>
      </c>
    </row>
    <row r="527" spans="1:11" ht="42.75" x14ac:dyDescent="0.45">
      <c r="A527" t="s">
        <v>5172</v>
      </c>
      <c r="B527" t="s">
        <v>5173</v>
      </c>
      <c r="C527" t="s">
        <v>15131</v>
      </c>
      <c r="D527">
        <v>526</v>
      </c>
      <c r="E527" t="str">
        <f t="shared" si="24"/>
        <v>E2_7_4_25</v>
      </c>
      <c r="F527" s="9" t="s">
        <v>16763</v>
      </c>
      <c r="G527" s="9" t="s">
        <v>16764</v>
      </c>
      <c r="H527" s="9" t="s">
        <v>16765</v>
      </c>
      <c r="I527" s="9" t="s">
        <v>16766</v>
      </c>
      <c r="J527" s="9" t="str">
        <f t="shared" si="25"/>
        <v>(${Variables:E2_7_4_25_kcat} * E2_7_4_25 * C00002 * C00055)/(${Variables:E2_7_4_25_km} + (E2_7_4_25 * C00002 * C00055))</v>
      </c>
      <c r="K527" s="38" t="str">
        <f t="shared" si="26"/>
        <v>r526: C00002 + C00055 -&gt; C00008 + C00112 | (${Variables:E2_7_4_25_kcat} * E2_7_4_25 * C00002 * C00055)/(${Variables:E2_7_4_25_km} + (E2_7_4_25 * C00002 * C00055))</v>
      </c>
    </row>
    <row r="528" spans="1:11" ht="42.75" x14ac:dyDescent="0.45">
      <c r="A528" t="s">
        <v>5172</v>
      </c>
      <c r="B528" t="s">
        <v>5173</v>
      </c>
      <c r="C528" t="s">
        <v>15131</v>
      </c>
      <c r="D528">
        <v>527</v>
      </c>
      <c r="E528" t="str">
        <f t="shared" si="24"/>
        <v>E2_7_4_25</v>
      </c>
      <c r="F528" s="9" t="s">
        <v>16767</v>
      </c>
      <c r="G528" s="9" t="s">
        <v>16768</v>
      </c>
      <c r="H528" s="9" t="s">
        <v>16769</v>
      </c>
      <c r="I528" s="9" t="s">
        <v>16770</v>
      </c>
      <c r="J528" s="9" t="str">
        <f t="shared" si="25"/>
        <v>(${Variables:E2_7_4_25_kcat} * E2_7_4_25 * C00002 * C00239)/(${Variables:E2_7_4_25_km} + (E2_7_4_25 * C00002 * C00239))</v>
      </c>
      <c r="K528" s="38" t="str">
        <f t="shared" si="26"/>
        <v>r527: C00002 + C00239 -&gt; C00008 + C00705 | (${Variables:E2_7_4_25_kcat} * E2_7_4_25 * C00002 * C00239)/(${Variables:E2_7_4_25_km} + (E2_7_4_25 * C00002 * C00239))</v>
      </c>
    </row>
    <row r="529" spans="1:11" ht="42.75" x14ac:dyDescent="0.45">
      <c r="A529" t="s">
        <v>441</v>
      </c>
      <c r="B529" t="s">
        <v>442</v>
      </c>
      <c r="C529" t="s">
        <v>15132</v>
      </c>
      <c r="D529">
        <v>528</v>
      </c>
      <c r="E529" t="str">
        <f t="shared" si="24"/>
        <v>E2_7_4_3</v>
      </c>
      <c r="F529" s="9" t="s">
        <v>16771</v>
      </c>
      <c r="G529" s="9" t="s">
        <v>16772</v>
      </c>
      <c r="H529" s="9" t="s">
        <v>11829</v>
      </c>
      <c r="I529" s="9" t="s">
        <v>11829</v>
      </c>
      <c r="J529" s="9" t="str">
        <f t="shared" si="25"/>
        <v>(${Variables:E2_7_4_3_kcat} * E2_7_4_3 * C00002 * C00020)/(${Variables:E2_7_4_3_km} + (E2_7_4_3 * C00002 * C00020))</v>
      </c>
      <c r="K529" s="38" t="str">
        <f t="shared" si="26"/>
        <v>r528: C00002 + C00020 -&gt; C00008 | (${Variables:E2_7_4_3_kcat} * E2_7_4_3 * C00002 * C00020)/(${Variables:E2_7_4_3_km} + (E2_7_4_3 * C00002 * C00020))</v>
      </c>
    </row>
    <row r="530" spans="1:11" ht="42.75" x14ac:dyDescent="0.45">
      <c r="A530" t="s">
        <v>441</v>
      </c>
      <c r="B530" t="s">
        <v>442</v>
      </c>
      <c r="C530" t="s">
        <v>15132</v>
      </c>
      <c r="D530">
        <v>529</v>
      </c>
      <c r="E530" t="str">
        <f t="shared" si="24"/>
        <v>E2_7_4_3</v>
      </c>
      <c r="F530" s="9" t="s">
        <v>16773</v>
      </c>
      <c r="G530" s="9" t="s">
        <v>16774</v>
      </c>
      <c r="H530" s="9" t="s">
        <v>16775</v>
      </c>
      <c r="I530" s="9" t="s">
        <v>16776</v>
      </c>
      <c r="J530" s="9" t="str">
        <f t="shared" si="25"/>
        <v>(${Variables:E2_7_4_3_kcat} * E2_7_4_3 * C00002 * C00360)/(${Variables:E2_7_4_3_km} + (E2_7_4_3 * C00002 * C00360))</v>
      </c>
      <c r="K530" s="38" t="str">
        <f t="shared" si="26"/>
        <v>r529: C00002 + C00360 -&gt; C00008 + C00206 | (${Variables:E2_7_4_3_kcat} * E2_7_4_3 * C00002 * C00360)/(${Variables:E2_7_4_3_km} + (E2_7_4_3 * C00002 * C00360))</v>
      </c>
    </row>
    <row r="531" spans="1:11" ht="42.75" x14ac:dyDescent="0.45">
      <c r="A531" t="s">
        <v>441</v>
      </c>
      <c r="B531" t="s">
        <v>442</v>
      </c>
      <c r="C531" t="s">
        <v>15132</v>
      </c>
      <c r="D531">
        <v>530</v>
      </c>
      <c r="E531" t="str">
        <f t="shared" si="24"/>
        <v>E2_7_4_3</v>
      </c>
      <c r="F531" s="9" t="s">
        <v>16777</v>
      </c>
      <c r="G531" s="9" t="s">
        <v>16778</v>
      </c>
      <c r="H531" s="9" t="s">
        <v>16779</v>
      </c>
      <c r="I531" s="9" t="s">
        <v>16780</v>
      </c>
      <c r="J531" s="9" t="str">
        <f t="shared" si="25"/>
        <v>(${Variables:E2_7_4_3_kcat} * E2_7_4_3 * C00068 * C00008)/(${Variables:E2_7_4_3_km} + (E2_7_4_3 * C00068 * C00008))</v>
      </c>
      <c r="K531" s="38" t="str">
        <f t="shared" si="26"/>
        <v>r530: C00068 + C00008 -&gt; C03028 + C00020 | (${Variables:E2_7_4_3_kcat} * E2_7_4_3 * C00068 * C00008)/(${Variables:E2_7_4_3_km} + (E2_7_4_3 * C00068 * C00008))</v>
      </c>
    </row>
    <row r="532" spans="1:11" ht="42.75" x14ac:dyDescent="0.45">
      <c r="A532" t="s">
        <v>4589</v>
      </c>
      <c r="B532" t="s">
        <v>4590</v>
      </c>
      <c r="C532" t="s">
        <v>15133</v>
      </c>
      <c r="D532">
        <v>531</v>
      </c>
      <c r="E532" t="str">
        <f t="shared" si="24"/>
        <v>E2_7_4_7</v>
      </c>
      <c r="F532" s="9" t="s">
        <v>16781</v>
      </c>
      <c r="G532" s="9" t="s">
        <v>16782</v>
      </c>
      <c r="H532" s="9" t="s">
        <v>16783</v>
      </c>
      <c r="I532" s="9" t="s">
        <v>16784</v>
      </c>
      <c r="J532" s="9" t="str">
        <f t="shared" si="25"/>
        <v>(${Variables:E2_7_4_7_kcat} * E2_7_4_7 * C00002 * C04556)/(${Variables:E2_7_4_7_km} + (E2_7_4_7 * C00002 * C04556))</v>
      </c>
      <c r="K532" s="38" t="str">
        <f t="shared" si="26"/>
        <v>r531: C00002 + C04556 -&gt; C00008 + C04752 | (${Variables:E2_7_4_7_kcat} * E2_7_4_7 * C00002 * C04556)/(${Variables:E2_7_4_7_km} + (E2_7_4_7 * C00002 * C04556))</v>
      </c>
    </row>
    <row r="533" spans="1:11" ht="42.75" x14ac:dyDescent="0.45">
      <c r="A533" t="s">
        <v>7305</v>
      </c>
      <c r="B533" t="s">
        <v>7306</v>
      </c>
      <c r="C533" t="s">
        <v>15134</v>
      </c>
      <c r="D533">
        <v>532</v>
      </c>
      <c r="E533" t="str">
        <f t="shared" si="24"/>
        <v>E2_7_4_8</v>
      </c>
      <c r="F533" s="9" t="s">
        <v>16785</v>
      </c>
      <c r="G533" s="9" t="s">
        <v>16786</v>
      </c>
      <c r="H533" s="9" t="s">
        <v>16787</v>
      </c>
      <c r="I533" s="9" t="s">
        <v>16788</v>
      </c>
      <c r="J533" s="9" t="str">
        <f t="shared" si="25"/>
        <v>(${Variables:E2_7_4_8_kcat} * E2_7_4_8 * C00002 * C00144)/(${Variables:E2_7_4_8_km} + (E2_7_4_8 * C00002 * C00144))</v>
      </c>
      <c r="K533" s="38" t="str">
        <f t="shared" si="26"/>
        <v>r532: C00002 + C00144 -&gt; C00008 + C00035 | (${Variables:E2_7_4_8_kcat} * E2_7_4_8 * C00002 * C00144)/(${Variables:E2_7_4_8_km} + (E2_7_4_8 * C00002 * C00144))</v>
      </c>
    </row>
    <row r="534" spans="1:11" ht="42.75" x14ac:dyDescent="0.45">
      <c r="A534" t="s">
        <v>7305</v>
      </c>
      <c r="B534" t="s">
        <v>7306</v>
      </c>
      <c r="C534" t="s">
        <v>15134</v>
      </c>
      <c r="D534">
        <v>533</v>
      </c>
      <c r="E534" t="str">
        <f t="shared" si="24"/>
        <v>E2_7_4_8</v>
      </c>
      <c r="F534" s="9" t="s">
        <v>16789</v>
      </c>
      <c r="G534" s="9" t="s">
        <v>16790</v>
      </c>
      <c r="H534" s="9" t="s">
        <v>16791</v>
      </c>
      <c r="I534" s="9" t="s">
        <v>16792</v>
      </c>
      <c r="J534" s="9" t="str">
        <f t="shared" si="25"/>
        <v>(${Variables:E2_7_4_8_kcat} * E2_7_4_8 * C00002 * C00362)/(${Variables:E2_7_4_8_km} + (E2_7_4_8 * C00002 * C00362))</v>
      </c>
      <c r="K534" s="38" t="str">
        <f t="shared" si="26"/>
        <v>r533: C00002 + C00362 -&gt; C00008 + C00361 | (${Variables:E2_7_4_8_kcat} * E2_7_4_8 * C00002 * C00362)/(${Variables:E2_7_4_8_km} + (E2_7_4_8 * C00002 * C00362))</v>
      </c>
    </row>
    <row r="535" spans="1:11" ht="42.75" x14ac:dyDescent="0.45">
      <c r="A535" t="s">
        <v>7305</v>
      </c>
      <c r="B535" t="s">
        <v>7306</v>
      </c>
      <c r="C535" t="s">
        <v>15134</v>
      </c>
      <c r="D535">
        <v>534</v>
      </c>
      <c r="E535" t="str">
        <f t="shared" si="24"/>
        <v>E2_7_4_8</v>
      </c>
      <c r="F535" s="9" t="s">
        <v>16793</v>
      </c>
      <c r="G535" s="9" t="s">
        <v>16794</v>
      </c>
      <c r="H535" s="9" t="s">
        <v>16795</v>
      </c>
      <c r="I535" s="9" t="s">
        <v>16796</v>
      </c>
      <c r="J535" s="9" t="str">
        <f t="shared" si="25"/>
        <v>(${Variables:E2_7_4_8_kcat} * E2_7_4_8 * C22441 * C00002)/(${Variables:E2_7_4_8_km} + (E2_7_4_8 * C22441 * C00002))</v>
      </c>
      <c r="K535" s="38" t="str">
        <f t="shared" si="26"/>
        <v>r534: C22441 + C00002 -&gt; C22442 + C00008 | (${Variables:E2_7_4_8_kcat} * E2_7_4_8 * C22441 * C00002)/(${Variables:E2_7_4_8_km} + (E2_7_4_8 * C22441 * C00002))</v>
      </c>
    </row>
    <row r="536" spans="1:11" ht="42.75" x14ac:dyDescent="0.45">
      <c r="A536" t="s">
        <v>9807</v>
      </c>
      <c r="B536" t="s">
        <v>9808</v>
      </c>
      <c r="C536" t="s">
        <v>15135</v>
      </c>
      <c r="D536">
        <v>535</v>
      </c>
      <c r="E536" t="str">
        <f t="shared" si="24"/>
        <v>E2_7_4_9</v>
      </c>
      <c r="F536" s="9" t="s">
        <v>16797</v>
      </c>
      <c r="G536" s="9" t="s">
        <v>16798</v>
      </c>
      <c r="H536" s="9" t="s">
        <v>16799</v>
      </c>
      <c r="I536" s="9" t="s">
        <v>16800</v>
      </c>
      <c r="J536" s="9" t="str">
        <f t="shared" si="25"/>
        <v>(${Variables:E2_7_4_9_kcat} * E2_7_4_9 * C00002 * C00364)/(${Variables:E2_7_4_9_km} + (E2_7_4_9 * C00002 * C00364))</v>
      </c>
      <c r="K536" s="38" t="str">
        <f t="shared" si="26"/>
        <v>r535: C00002 + C00364 -&gt; C00008 + C00363 | (${Variables:E2_7_4_9_kcat} * E2_7_4_9 * C00002 * C00364)/(${Variables:E2_7_4_9_km} + (E2_7_4_9 * C00002 * C00364))</v>
      </c>
    </row>
    <row r="537" spans="1:11" ht="42.75" x14ac:dyDescent="0.45">
      <c r="A537" t="s">
        <v>9807</v>
      </c>
      <c r="B537" t="s">
        <v>9808</v>
      </c>
      <c r="C537" t="s">
        <v>15135</v>
      </c>
      <c r="D537">
        <v>536</v>
      </c>
      <c r="E537" t="str">
        <f t="shared" si="24"/>
        <v>E2_7_4_9</v>
      </c>
      <c r="F537" s="9" t="s">
        <v>16801</v>
      </c>
      <c r="G537" s="9" t="s">
        <v>16802</v>
      </c>
      <c r="H537" s="9" t="s">
        <v>16803</v>
      </c>
      <c r="I537" s="9" t="s">
        <v>16804</v>
      </c>
      <c r="J537" s="9" t="str">
        <f t="shared" si="25"/>
        <v>(${Variables:E2_7_4_9_kcat} * E2_7_4_9 * C00002 * C00365)/(${Variables:E2_7_4_9_km} + (E2_7_4_9 * C00002 * C00365))</v>
      </c>
      <c r="K537" s="38" t="str">
        <f t="shared" si="26"/>
        <v>r536: C00002 + C00365 -&gt; C00008 + C01346 | (${Variables:E2_7_4_9_kcat} * E2_7_4_9 * C00002 * C00365)/(${Variables:E2_7_4_9_km} + (E2_7_4_9 * C00002 * C00365))</v>
      </c>
    </row>
    <row r="538" spans="1:11" ht="42.75" x14ac:dyDescent="0.45">
      <c r="A538" t="s">
        <v>9704</v>
      </c>
      <c r="B538" t="s">
        <v>9705</v>
      </c>
      <c r="C538" t="s">
        <v>15136</v>
      </c>
      <c r="D538">
        <v>537</v>
      </c>
      <c r="E538" t="str">
        <f t="shared" si="24"/>
        <v>E2_7_6_1</v>
      </c>
      <c r="F538" s="9" t="s">
        <v>16805</v>
      </c>
      <c r="G538" s="9" t="s">
        <v>16806</v>
      </c>
      <c r="H538" s="9" t="s">
        <v>16807</v>
      </c>
      <c r="I538" s="9" t="s">
        <v>16808</v>
      </c>
      <c r="J538" s="9" t="str">
        <f t="shared" si="25"/>
        <v>(${Variables:E2_7_6_1_kcat} * E2_7_6_1 * C00002 * C00117)/(${Variables:E2_7_6_1_km} + (E2_7_6_1 * C00002 * C00117))</v>
      </c>
      <c r="K538" s="38" t="str">
        <f t="shared" si="26"/>
        <v>r537: C00002 + C00117 -&gt; C00020 + C00119 | (${Variables:E2_7_6_1_kcat} * E2_7_6_1 * C00002 * C00117)/(${Variables:E2_7_6_1_km} + (E2_7_6_1 * C00002 * C00117))</v>
      </c>
    </row>
    <row r="539" spans="1:11" ht="42.75" x14ac:dyDescent="0.45">
      <c r="A539" t="s">
        <v>7253</v>
      </c>
      <c r="B539" t="s">
        <v>7254</v>
      </c>
      <c r="C539" t="s">
        <v>15137</v>
      </c>
      <c r="D539">
        <v>538</v>
      </c>
      <c r="E539" t="str">
        <f t="shared" si="24"/>
        <v>E2_7_6_2</v>
      </c>
      <c r="F539" s="9" t="s">
        <v>16809</v>
      </c>
      <c r="G539" s="9" t="s">
        <v>16810</v>
      </c>
      <c r="H539" s="9" t="s">
        <v>16811</v>
      </c>
      <c r="I539" s="9" t="s">
        <v>16812</v>
      </c>
      <c r="J539" s="9" t="str">
        <f t="shared" si="25"/>
        <v>(${Variables:E2_7_6_2_kcat} * E2_7_6_2 * C00002 * C00378)/(${Variables:E2_7_6_2_km} + (E2_7_6_2 * C00002 * C00378))</v>
      </c>
      <c r="K539" s="38" t="str">
        <f t="shared" si="26"/>
        <v>r538: C00002 + C00378 -&gt; C00020 + C00068 | (${Variables:E2_7_6_2_kcat} * E2_7_6_2 * C00002 * C00378)/(${Variables:E2_7_6_2_km} + (E2_7_6_2 * C00002 * C00378))</v>
      </c>
    </row>
    <row r="540" spans="1:11" ht="42.75" x14ac:dyDescent="0.45">
      <c r="A540" t="s">
        <v>3999</v>
      </c>
      <c r="B540" t="s">
        <v>4000</v>
      </c>
      <c r="C540" t="s">
        <v>15138</v>
      </c>
      <c r="D540">
        <v>539</v>
      </c>
      <c r="E540" t="str">
        <f t="shared" si="24"/>
        <v>E2_7_6_3</v>
      </c>
      <c r="F540" s="9" t="s">
        <v>16813</v>
      </c>
      <c r="G540" s="9" t="s">
        <v>16814</v>
      </c>
      <c r="H540" s="9" t="s">
        <v>16815</v>
      </c>
      <c r="I540" s="9" t="s">
        <v>16816</v>
      </c>
      <c r="J540" s="9" t="str">
        <f t="shared" si="25"/>
        <v>(${Variables:E2_7_6_3_kcat} * E2_7_6_3 * C00002 * C01300)/(${Variables:E2_7_6_3_km} + (E2_7_6_3 * C00002 * C01300))</v>
      </c>
      <c r="K540" s="38" t="str">
        <f t="shared" si="26"/>
        <v>r539: C00002 + C01300 -&gt; C00020 + C04807 | (${Variables:E2_7_6_3_kcat} * E2_7_6_3 * C00002 * C01300)/(${Variables:E2_7_6_3_km} + (E2_7_6_3 * C00002 * C01300))</v>
      </c>
    </row>
    <row r="541" spans="1:11" ht="42.75" x14ac:dyDescent="0.45">
      <c r="A541" t="s">
        <v>1289</v>
      </c>
      <c r="B541" t="s">
        <v>1290</v>
      </c>
      <c r="C541" t="s">
        <v>15139</v>
      </c>
      <c r="D541">
        <v>540</v>
      </c>
      <c r="E541" t="str">
        <f t="shared" si="24"/>
        <v>E2_7_6_5</v>
      </c>
      <c r="F541" s="9" t="s">
        <v>16817</v>
      </c>
      <c r="G541" s="9" t="s">
        <v>16818</v>
      </c>
      <c r="H541" s="9" t="s">
        <v>16819</v>
      </c>
      <c r="I541" s="9" t="s">
        <v>16820</v>
      </c>
      <c r="J541" s="9" t="str">
        <f t="shared" si="25"/>
        <v>(${Variables:E2_7_6_5_kcat} * E2_7_6_5 * C00002 * C00044)/(${Variables:E2_7_6_5_km} + (E2_7_6_5 * C00002 * C00044))</v>
      </c>
      <c r="K541" s="38" t="str">
        <f t="shared" si="26"/>
        <v>r540: C00002 + C00044 -&gt; C00020 + C04494 | (${Variables:E2_7_6_5_kcat} * E2_7_6_5 * C00002 * C00044)/(${Variables:E2_7_6_5_km} + (E2_7_6_5 * C00002 * C00044))</v>
      </c>
    </row>
    <row r="542" spans="1:11" ht="42.75" x14ac:dyDescent="0.45">
      <c r="A542" t="s">
        <v>4887</v>
      </c>
      <c r="B542" t="s">
        <v>4888</v>
      </c>
      <c r="C542" t="s">
        <v>15139</v>
      </c>
      <c r="D542">
        <v>541</v>
      </c>
      <c r="E542" t="str">
        <f t="shared" si="24"/>
        <v>E2_7_6_5</v>
      </c>
      <c r="F542" s="9" t="s">
        <v>16817</v>
      </c>
      <c r="G542" s="9" t="s">
        <v>16818</v>
      </c>
      <c r="H542" s="9" t="s">
        <v>16819</v>
      </c>
      <c r="I542" s="9" t="s">
        <v>16820</v>
      </c>
      <c r="J542" s="9" t="str">
        <f t="shared" si="25"/>
        <v>(${Variables:E2_7_6_5_kcat} * E2_7_6_5 * C00002 * C00044)/(${Variables:E2_7_6_5_km} + (E2_7_6_5 * C00002 * C00044))</v>
      </c>
      <c r="K542" s="38" t="str">
        <f t="shared" si="26"/>
        <v>r541: C00002 + C00044 -&gt; C00020 + C04494 | (${Variables:E2_7_6_5_kcat} * E2_7_6_5 * C00002 * C00044)/(${Variables:E2_7_6_5_km} + (E2_7_6_5 * C00002 * C00044))</v>
      </c>
    </row>
    <row r="543" spans="1:11" ht="42.75" x14ac:dyDescent="0.45">
      <c r="A543" t="s">
        <v>7754</v>
      </c>
      <c r="B543" t="s">
        <v>7755</v>
      </c>
      <c r="C543" t="s">
        <v>15139</v>
      </c>
      <c r="D543">
        <v>542</v>
      </c>
      <c r="E543" t="str">
        <f t="shared" si="24"/>
        <v>E2_7_6_5</v>
      </c>
      <c r="F543" s="9" t="s">
        <v>16817</v>
      </c>
      <c r="G543" s="9" t="s">
        <v>16818</v>
      </c>
      <c r="H543" s="9" t="s">
        <v>16819</v>
      </c>
      <c r="I543" s="9" t="s">
        <v>16820</v>
      </c>
      <c r="J543" s="9" t="str">
        <f t="shared" si="25"/>
        <v>(${Variables:E2_7_6_5_kcat} * E2_7_6_5 * C00002 * C00044)/(${Variables:E2_7_6_5_km} + (E2_7_6_5 * C00002 * C00044))</v>
      </c>
      <c r="K543" s="38" t="str">
        <f t="shared" si="26"/>
        <v>r542: C00002 + C00044 -&gt; C00020 + C04494 | (${Variables:E2_7_6_5_kcat} * E2_7_6_5 * C00002 * C00044)/(${Variables:E2_7_6_5_km} + (E2_7_6_5 * C00002 * C00044))</v>
      </c>
    </row>
    <row r="544" spans="1:11" ht="42.75" x14ac:dyDescent="0.45">
      <c r="A544" t="s">
        <v>3676</v>
      </c>
      <c r="B544" t="s">
        <v>3677</v>
      </c>
      <c r="C544" t="s">
        <v>15140</v>
      </c>
      <c r="D544">
        <v>543</v>
      </c>
      <c r="E544" t="str">
        <f t="shared" si="24"/>
        <v>E2_7_7_12</v>
      </c>
      <c r="F544" s="9" t="s">
        <v>16821</v>
      </c>
      <c r="G544" s="9" t="s">
        <v>16822</v>
      </c>
      <c r="H544" s="9" t="s">
        <v>16823</v>
      </c>
      <c r="I544" s="9" t="s">
        <v>16824</v>
      </c>
      <c r="J544" s="9" t="str">
        <f t="shared" si="25"/>
        <v>(${Variables:E2_7_7_12_kcat} * E2_7_7_12 * C00029 * C00446)/(${Variables:E2_7_7_12_km} + (E2_7_7_12 * C00029 * C00446))</v>
      </c>
      <c r="K544" s="38" t="str">
        <f t="shared" si="26"/>
        <v>r543: C00029 + C00446 -&gt; C00103 + C00052 | (${Variables:E2_7_7_12_kcat} * E2_7_7_12 * C00029 * C00446)/(${Variables:E2_7_7_12_km} + (E2_7_7_12 * C00029 * C00446))</v>
      </c>
    </row>
    <row r="545" spans="1:11" ht="42.75" x14ac:dyDescent="0.45">
      <c r="A545" t="s">
        <v>7130</v>
      </c>
      <c r="B545" t="s">
        <v>7131</v>
      </c>
      <c r="C545" t="s">
        <v>15141</v>
      </c>
      <c r="D545">
        <v>544</v>
      </c>
      <c r="E545" t="str">
        <f t="shared" si="24"/>
        <v>E2_7_7_18</v>
      </c>
      <c r="F545" s="9" t="s">
        <v>16829</v>
      </c>
      <c r="G545" s="9" t="s">
        <v>16830</v>
      </c>
      <c r="H545" s="9" t="s">
        <v>16831</v>
      </c>
      <c r="I545" s="9" t="s">
        <v>16832</v>
      </c>
      <c r="J545" s="9" t="str">
        <f t="shared" si="25"/>
        <v>(${Variables:E2_7_7_18_kcat} * E2_7_7_18 * C00002 * C01185)/(${Variables:E2_7_7_18_km} + (E2_7_7_18 * C00002 * C01185))</v>
      </c>
      <c r="K545" s="38" t="str">
        <f t="shared" si="26"/>
        <v>r544: C00002 + C01185 -&gt; C00013 + C00857 | (${Variables:E2_7_7_18_kcat} * E2_7_7_18 * C00002 * C01185)/(${Variables:E2_7_7_18_km} + (E2_7_7_18 * C00002 * C01185))</v>
      </c>
    </row>
    <row r="546" spans="1:11" ht="42.75" x14ac:dyDescent="0.45">
      <c r="A546" t="s">
        <v>7130</v>
      </c>
      <c r="B546" t="s">
        <v>7131</v>
      </c>
      <c r="C546" t="s">
        <v>15141</v>
      </c>
      <c r="D546">
        <v>545</v>
      </c>
      <c r="E546" t="str">
        <f t="shared" si="24"/>
        <v>E2_7_7_18</v>
      </c>
      <c r="F546" s="9" t="s">
        <v>16825</v>
      </c>
      <c r="G546" s="9" t="s">
        <v>16826</v>
      </c>
      <c r="H546" s="9" t="s">
        <v>16827</v>
      </c>
      <c r="I546" s="9" t="s">
        <v>16828</v>
      </c>
      <c r="J546" s="9" t="str">
        <f t="shared" si="25"/>
        <v>(${Variables:E2_7_7_18_kcat} * E2_7_7_18 * C00002 * C00455)/(${Variables:E2_7_7_18_km} + (E2_7_7_18 * C00002 * C00455))</v>
      </c>
      <c r="K546" s="38" t="str">
        <f t="shared" si="26"/>
        <v>r545: C00002 + C00455 -&gt; C00013 + C00003 | (${Variables:E2_7_7_18_kcat} * E2_7_7_18 * C00002 * C00455)/(${Variables:E2_7_7_18_km} + (E2_7_7_18 * C00002 * C00455))</v>
      </c>
    </row>
    <row r="547" spans="1:11" ht="42.75" x14ac:dyDescent="0.45">
      <c r="A547" t="s">
        <v>3598</v>
      </c>
      <c r="B547" t="s">
        <v>3599</v>
      </c>
      <c r="C547" t="s">
        <v>15142</v>
      </c>
      <c r="D547">
        <v>546</v>
      </c>
      <c r="E547" t="str">
        <f t="shared" si="24"/>
        <v>E2_7_7_2</v>
      </c>
      <c r="F547" s="9" t="s">
        <v>16833</v>
      </c>
      <c r="G547" s="9" t="s">
        <v>16834</v>
      </c>
      <c r="H547" s="9" t="s">
        <v>16835</v>
      </c>
      <c r="I547" s="9" t="s">
        <v>16836</v>
      </c>
      <c r="J547" s="9" t="str">
        <f t="shared" si="25"/>
        <v>(${Variables:E2_7_7_2_kcat} * E2_7_7_2 * C00002 * C00061)/(${Variables:E2_7_7_2_km} + (E2_7_7_2 * C00002 * C00061))</v>
      </c>
      <c r="K547" s="38" t="str">
        <f t="shared" si="26"/>
        <v>r546: C00002 + C00061 -&gt; C00013 + C00016 | (${Variables:E2_7_7_2_kcat} * E2_7_7_2 * C00002 * C00061)/(${Variables:E2_7_7_2_km} + (E2_7_7_2 * C00002 * C00061))</v>
      </c>
    </row>
    <row r="548" spans="1:11" ht="42.75" x14ac:dyDescent="0.45">
      <c r="A548" t="s">
        <v>9708</v>
      </c>
      <c r="B548" t="s">
        <v>9709</v>
      </c>
      <c r="C548" t="s">
        <v>15143</v>
      </c>
      <c r="D548">
        <v>547</v>
      </c>
      <c r="E548" t="str">
        <f t="shared" si="24"/>
        <v>E2_7_7_23</v>
      </c>
      <c r="F548" s="9" t="s">
        <v>16837</v>
      </c>
      <c r="G548" s="9" t="s">
        <v>16838</v>
      </c>
      <c r="H548" s="9" t="s">
        <v>16839</v>
      </c>
      <c r="I548" s="9" t="s">
        <v>16840</v>
      </c>
      <c r="J548" s="9" t="str">
        <f t="shared" si="25"/>
        <v>(${Variables:E2_7_7_23_kcat} * E2_7_7_23 * C00075 * C04501)/(${Variables:E2_7_7_23_km} + (E2_7_7_23 * C00075 * C04501))</v>
      </c>
      <c r="K548" s="38" t="str">
        <f t="shared" si="26"/>
        <v>r547: C00075 + C04501 -&gt; C00013 + C00043 | (${Variables:E2_7_7_23_kcat} * E2_7_7_23 * C00075 * C04501)/(${Variables:E2_7_7_23_km} + (E2_7_7_23 * C00075 * C04501))</v>
      </c>
    </row>
    <row r="549" spans="1:11" ht="42.75" x14ac:dyDescent="0.45">
      <c r="A549" t="s">
        <v>902</v>
      </c>
      <c r="B549" t="s">
        <v>903</v>
      </c>
      <c r="C549" t="s">
        <v>15144</v>
      </c>
      <c r="D549">
        <v>548</v>
      </c>
      <c r="E549" t="str">
        <f t="shared" si="24"/>
        <v>E2_7_7_24</v>
      </c>
      <c r="F549" s="9" t="s">
        <v>16841</v>
      </c>
      <c r="G549" s="9" t="s">
        <v>16842</v>
      </c>
      <c r="H549" s="9" t="s">
        <v>16843</v>
      </c>
      <c r="I549" s="9" t="s">
        <v>16844</v>
      </c>
      <c r="J549" s="9" t="str">
        <f t="shared" si="25"/>
        <v>(${Variables:E2_7_7_24_kcat} * E2_7_7_24 * C00459 * C00103)/(${Variables:E2_7_7_24_km} + (E2_7_7_24 * C00459 * C00103))</v>
      </c>
      <c r="K549" s="38" t="str">
        <f t="shared" si="26"/>
        <v>r548: C00459 + C00103 -&gt; C00013 + C00842 | (${Variables:E2_7_7_24_kcat} * E2_7_7_24 * C00459 * C00103)/(${Variables:E2_7_7_24_km} + (E2_7_7_24 * C00459 * C00103))</v>
      </c>
    </row>
    <row r="550" spans="1:11" ht="42.75" x14ac:dyDescent="0.45">
      <c r="A550" t="s">
        <v>2583</v>
      </c>
      <c r="B550" t="s">
        <v>2584</v>
      </c>
      <c r="C550" t="s">
        <v>15145</v>
      </c>
      <c r="D550">
        <v>549</v>
      </c>
      <c r="E550" t="str">
        <f t="shared" si="24"/>
        <v>E2_7_7_27</v>
      </c>
      <c r="F550" s="9" t="s">
        <v>16845</v>
      </c>
      <c r="G550" s="9" t="s">
        <v>16846</v>
      </c>
      <c r="H550" s="9" t="s">
        <v>16847</v>
      </c>
      <c r="I550" s="9" t="s">
        <v>16848</v>
      </c>
      <c r="J550" s="9" t="str">
        <f t="shared" si="25"/>
        <v>(${Variables:E2_7_7_27_kcat} * E2_7_7_27 * C00002 * C00103)/(${Variables:E2_7_7_27_km} + (E2_7_7_27 * C00002 * C00103))</v>
      </c>
      <c r="K550" s="38" t="str">
        <f t="shared" si="26"/>
        <v>r549: C00002 + C00103 -&gt; C00013 + C00498 | (${Variables:E2_7_7_27_kcat} * E2_7_7_27 * C00002 * C00103)/(${Variables:E2_7_7_27_km} + (E2_7_7_27 * C00002 * C00103))</v>
      </c>
    </row>
    <row r="551" spans="1:11" ht="42.75" x14ac:dyDescent="0.45">
      <c r="A551" t="s">
        <v>2587</v>
      </c>
      <c r="B551" t="s">
        <v>2588</v>
      </c>
      <c r="C551" t="s">
        <v>15145</v>
      </c>
      <c r="D551">
        <v>550</v>
      </c>
      <c r="E551" t="str">
        <f t="shared" si="24"/>
        <v>E2_7_7_27</v>
      </c>
      <c r="F551" s="9" t="s">
        <v>16845</v>
      </c>
      <c r="G551" s="9" t="s">
        <v>16846</v>
      </c>
      <c r="H551" s="9" t="s">
        <v>16847</v>
      </c>
      <c r="I551" s="9" t="s">
        <v>16848</v>
      </c>
      <c r="J551" s="9" t="str">
        <f t="shared" si="25"/>
        <v>(${Variables:E2_7_7_27_kcat} * E2_7_7_27 * C00002 * C00103)/(${Variables:E2_7_7_27_km} + (E2_7_7_27 * C00002 * C00103))</v>
      </c>
      <c r="K551" s="38" t="str">
        <f t="shared" si="26"/>
        <v>r550: C00002 + C00103 -&gt; C00013 + C00498 | (${Variables:E2_7_7_27_kcat} * E2_7_7_27 * C00002 * C00103)/(${Variables:E2_7_7_27_km} + (E2_7_7_27 * C00002 * C00103))</v>
      </c>
    </row>
    <row r="552" spans="1:11" ht="42.75" x14ac:dyDescent="0.45">
      <c r="A552" t="s">
        <v>7207</v>
      </c>
      <c r="B552" t="s">
        <v>7208</v>
      </c>
      <c r="C552" t="s">
        <v>15146</v>
      </c>
      <c r="D552">
        <v>551</v>
      </c>
      <c r="E552" t="str">
        <f t="shared" si="24"/>
        <v>E2_7_7_3</v>
      </c>
      <c r="F552" s="9" t="s">
        <v>16849</v>
      </c>
      <c r="G552" s="9" t="s">
        <v>16850</v>
      </c>
      <c r="H552" s="9" t="s">
        <v>16851</v>
      </c>
      <c r="I552" s="9" t="s">
        <v>16852</v>
      </c>
      <c r="J552" s="9" t="str">
        <f t="shared" si="25"/>
        <v>(${Variables:E2_7_7_3_kcat} * E2_7_7_3 * C00002 * C01134)/(${Variables:E2_7_7_3_km} + (E2_7_7_3 * C00002 * C01134))</v>
      </c>
      <c r="K552" s="38" t="str">
        <f t="shared" si="26"/>
        <v>r551: C00002 + C01134 -&gt; C00013 + C00882 | (${Variables:E2_7_7_3_kcat} * E2_7_7_3 * C00002 * C01134)/(${Variables:E2_7_7_3_km} + (E2_7_7_3 * C00002 * C01134))</v>
      </c>
    </row>
    <row r="553" spans="1:11" ht="42.75" x14ac:dyDescent="0.45">
      <c r="A553" t="s">
        <v>6115</v>
      </c>
      <c r="B553" t="s">
        <v>6116</v>
      </c>
      <c r="C553" t="s">
        <v>15147</v>
      </c>
      <c r="D553">
        <v>552</v>
      </c>
      <c r="E553" t="str">
        <f t="shared" si="24"/>
        <v>E2_7_7_41</v>
      </c>
      <c r="F553" s="9" t="s">
        <v>16853</v>
      </c>
      <c r="G553" s="9" t="s">
        <v>16854</v>
      </c>
      <c r="H553" s="9" t="s">
        <v>16855</v>
      </c>
      <c r="I553" s="9" t="s">
        <v>16856</v>
      </c>
      <c r="J553" s="9" t="str">
        <f t="shared" si="25"/>
        <v>(${Variables:E2_7_7_41_kcat} * E2_7_7_41 * C00063 * C00416)/(${Variables:E2_7_7_41_km} + (E2_7_7_41 * C00063 * C00416))</v>
      </c>
      <c r="K553" s="38" t="str">
        <f t="shared" si="26"/>
        <v>r552: C00063 + C00416 -&gt; C00013 + C00269 | (${Variables:E2_7_7_41_kcat} * E2_7_7_41 * C00063 * C00416)/(${Variables:E2_7_7_41_km} + (E2_7_7_41 * C00063 * C00416))</v>
      </c>
    </row>
    <row r="554" spans="1:11" ht="42.75" x14ac:dyDescent="0.45">
      <c r="A554" t="s">
        <v>9177</v>
      </c>
      <c r="B554" t="s">
        <v>9178</v>
      </c>
      <c r="C554" t="s">
        <v>15148</v>
      </c>
      <c r="D554">
        <v>553</v>
      </c>
      <c r="E554" t="str">
        <f t="shared" si="24"/>
        <v>E2_7_7_56</v>
      </c>
      <c r="F554" s="9" t="s">
        <v>16857</v>
      </c>
      <c r="G554" s="9" t="s">
        <v>16858</v>
      </c>
      <c r="H554" s="9" t="s">
        <v>16859</v>
      </c>
      <c r="I554" s="9" t="s">
        <v>16860</v>
      </c>
      <c r="J554" s="9" t="str">
        <f t="shared" si="25"/>
        <v>(${Variables:E2_7_7_56_kcat} * E2_7_7_56 * C00066 * C00009)/(${Variables:E2_7_7_56_km} + (E2_7_7_56 * C00066 * C00009))</v>
      </c>
      <c r="K554" s="38" t="str">
        <f t="shared" si="26"/>
        <v>r553: C00066 + C00009 -&gt; C00066 + C00454 | (${Variables:E2_7_7_56_kcat} * E2_7_7_56 * C00066 * C00009)/(${Variables:E2_7_7_56_km} + (E2_7_7_56 * C00066 * C00009))</v>
      </c>
    </row>
    <row r="555" spans="1:11" ht="42.75" x14ac:dyDescent="0.45">
      <c r="A555" t="s">
        <v>335</v>
      </c>
      <c r="B555" t="s">
        <v>336</v>
      </c>
      <c r="C555" t="s">
        <v>15149</v>
      </c>
      <c r="D555">
        <v>554</v>
      </c>
      <c r="E555" t="str">
        <f t="shared" si="24"/>
        <v>E2_7_7_6</v>
      </c>
      <c r="F555" s="9" t="s">
        <v>16873</v>
      </c>
      <c r="G555" s="9" t="s">
        <v>16874</v>
      </c>
      <c r="H555" s="9" t="s">
        <v>16863</v>
      </c>
      <c r="I555" s="9" t="s">
        <v>16864</v>
      </c>
      <c r="J555" s="9" t="str">
        <f t="shared" si="25"/>
        <v>(${Variables:E2_7_7_6_kcat} * E2_7_7_6 * C00201 * C00046)/(${Variables:E2_7_7_6_km} + (E2_7_7_6 * C00201 * C00046))</v>
      </c>
      <c r="K555" s="38" t="str">
        <f t="shared" si="26"/>
        <v>r554: C00201 + C00046 -&gt; C00013 + C00046 | (${Variables:E2_7_7_6_kcat} * E2_7_7_6 * C00201 * C00046)/(${Variables:E2_7_7_6_km} + (E2_7_7_6 * C00201 * C00046))</v>
      </c>
    </row>
    <row r="556" spans="1:11" ht="42.75" x14ac:dyDescent="0.45">
      <c r="A556" t="s">
        <v>335</v>
      </c>
      <c r="B556" t="s">
        <v>336</v>
      </c>
      <c r="C556" t="s">
        <v>15149</v>
      </c>
      <c r="D556">
        <v>555</v>
      </c>
      <c r="E556" t="str">
        <f t="shared" si="24"/>
        <v>E2_7_7_6</v>
      </c>
      <c r="F556" s="9" t="s">
        <v>16861</v>
      </c>
      <c r="G556" s="9" t="s">
        <v>16862</v>
      </c>
      <c r="H556" s="9" t="s">
        <v>16863</v>
      </c>
      <c r="I556" s="9" t="s">
        <v>16864</v>
      </c>
      <c r="J556" s="9" t="str">
        <f t="shared" si="25"/>
        <v>(${Variables:E2_7_7_6_kcat} * E2_7_7_6 * C00002 * C00046)/(${Variables:E2_7_7_6_km} + (E2_7_7_6 * C00002 * C00046))</v>
      </c>
      <c r="K556" s="38" t="str">
        <f t="shared" si="26"/>
        <v>r555: C00002 + C00046 -&gt; C00013 + C00046 | (${Variables:E2_7_7_6_kcat} * E2_7_7_6 * C00002 * C00046)/(${Variables:E2_7_7_6_km} + (E2_7_7_6 * C00002 * C00046))</v>
      </c>
    </row>
    <row r="557" spans="1:11" ht="42.75" x14ac:dyDescent="0.45">
      <c r="A557" t="s">
        <v>335</v>
      </c>
      <c r="B557" t="s">
        <v>336</v>
      </c>
      <c r="C557" t="s">
        <v>15149</v>
      </c>
      <c r="D557">
        <v>556</v>
      </c>
      <c r="E557" t="str">
        <f t="shared" si="24"/>
        <v>E2_7_7_6</v>
      </c>
      <c r="F557" s="9" t="s">
        <v>16865</v>
      </c>
      <c r="G557" s="9" t="s">
        <v>16866</v>
      </c>
      <c r="H557" s="9" t="s">
        <v>16863</v>
      </c>
      <c r="I557" s="9" t="s">
        <v>16864</v>
      </c>
      <c r="J557" s="9" t="str">
        <f t="shared" si="25"/>
        <v>(${Variables:E2_7_7_6_kcat} * E2_7_7_6 * C00044 * C00046)/(${Variables:E2_7_7_6_km} + (E2_7_7_6 * C00044 * C00046))</v>
      </c>
      <c r="K557" s="38" t="str">
        <f t="shared" si="26"/>
        <v>r556: C00044 + C00046 -&gt; C00013 + C00046 | (${Variables:E2_7_7_6_kcat} * E2_7_7_6 * C00044 * C00046)/(${Variables:E2_7_7_6_km} + (E2_7_7_6 * C00044 * C00046))</v>
      </c>
    </row>
    <row r="558" spans="1:11" ht="42.75" x14ac:dyDescent="0.45">
      <c r="A558" t="s">
        <v>335</v>
      </c>
      <c r="B558" t="s">
        <v>336</v>
      </c>
      <c r="C558" t="s">
        <v>15149</v>
      </c>
      <c r="D558">
        <v>557</v>
      </c>
      <c r="E558" t="str">
        <f t="shared" si="24"/>
        <v>E2_7_7_6</v>
      </c>
      <c r="F558" s="9" t="s">
        <v>16867</v>
      </c>
      <c r="G558" s="9" t="s">
        <v>16868</v>
      </c>
      <c r="H558" s="9" t="s">
        <v>16863</v>
      </c>
      <c r="I558" s="9" t="s">
        <v>16864</v>
      </c>
      <c r="J558" s="9" t="str">
        <f t="shared" si="25"/>
        <v>(${Variables:E2_7_7_6_kcat} * E2_7_7_6 * C00063 * C00046)/(${Variables:E2_7_7_6_km} + (E2_7_7_6 * C00063 * C00046))</v>
      </c>
      <c r="K558" s="38" t="str">
        <f t="shared" si="26"/>
        <v>r557: C00063 + C00046 -&gt; C00013 + C00046 | (${Variables:E2_7_7_6_kcat} * E2_7_7_6 * C00063 * C00046)/(${Variables:E2_7_7_6_km} + (E2_7_7_6 * C00063 * C00046))</v>
      </c>
    </row>
    <row r="559" spans="1:11" ht="42.75" x14ac:dyDescent="0.45">
      <c r="A559" t="s">
        <v>335</v>
      </c>
      <c r="B559" t="s">
        <v>336</v>
      </c>
      <c r="C559" t="s">
        <v>15149</v>
      </c>
      <c r="D559">
        <v>558</v>
      </c>
      <c r="E559" t="str">
        <f t="shared" si="24"/>
        <v>E2_7_7_6</v>
      </c>
      <c r="F559" s="9" t="s">
        <v>16869</v>
      </c>
      <c r="G559" s="9" t="s">
        <v>16870</v>
      </c>
      <c r="H559" s="9" t="s">
        <v>16863</v>
      </c>
      <c r="I559" s="9" t="s">
        <v>16864</v>
      </c>
      <c r="J559" s="9" t="str">
        <f t="shared" si="25"/>
        <v>(${Variables:E2_7_7_6_kcat} * E2_7_7_6 * C00075 * C00046)/(${Variables:E2_7_7_6_km} + (E2_7_7_6 * C00075 * C00046))</v>
      </c>
      <c r="K559" s="38" t="str">
        <f t="shared" si="26"/>
        <v>r558: C00075 + C00046 -&gt; C00013 + C00046 | (${Variables:E2_7_7_6_kcat} * E2_7_7_6 * C00075 * C00046)/(${Variables:E2_7_7_6_km} + (E2_7_7_6 * C00075 * C00046))</v>
      </c>
    </row>
    <row r="560" spans="1:11" ht="28.5" x14ac:dyDescent="0.45">
      <c r="A560" t="s">
        <v>335</v>
      </c>
      <c r="B560" t="s">
        <v>336</v>
      </c>
      <c r="C560" t="s">
        <v>15149</v>
      </c>
      <c r="D560">
        <v>559</v>
      </c>
      <c r="E560" t="str">
        <f t="shared" si="24"/>
        <v>E2_7_7_6</v>
      </c>
      <c r="F560" s="9" t="s">
        <v>11943</v>
      </c>
      <c r="G560" s="9" t="s">
        <v>11943</v>
      </c>
      <c r="H560" s="9" t="s">
        <v>16871</v>
      </c>
      <c r="I560" s="9" t="s">
        <v>16872</v>
      </c>
      <c r="J560" s="9" t="str">
        <f t="shared" si="25"/>
        <v>(${Variables:E2_7_7_6_kcat} * E2_7_7_6 * C00201)/(${Variables:E2_7_7_6_km} + (E2_7_7_6 * C00201))</v>
      </c>
      <c r="K560" s="38" t="str">
        <f t="shared" si="26"/>
        <v>r559: C00201 -&gt; C20864 + C00013 | (${Variables:E2_7_7_6_kcat} * E2_7_7_6 * C00201)/(${Variables:E2_7_7_6_km} + (E2_7_7_6 * C00201))</v>
      </c>
    </row>
    <row r="561" spans="1:11" ht="42.75" x14ac:dyDescent="0.45">
      <c r="A561" t="s">
        <v>339</v>
      </c>
      <c r="B561" t="s">
        <v>340</v>
      </c>
      <c r="C561" t="s">
        <v>15149</v>
      </c>
      <c r="D561">
        <v>560</v>
      </c>
      <c r="E561" t="str">
        <f t="shared" si="24"/>
        <v>E2_7_7_6</v>
      </c>
      <c r="F561" s="9" t="s">
        <v>16873</v>
      </c>
      <c r="G561" s="9" t="s">
        <v>16874</v>
      </c>
      <c r="H561" s="9" t="s">
        <v>16863</v>
      </c>
      <c r="I561" s="9" t="s">
        <v>16864</v>
      </c>
      <c r="J561" s="9" t="str">
        <f t="shared" si="25"/>
        <v>(${Variables:E2_7_7_6_kcat} * E2_7_7_6 * C00201 * C00046)/(${Variables:E2_7_7_6_km} + (E2_7_7_6 * C00201 * C00046))</v>
      </c>
      <c r="K561" s="38" t="str">
        <f t="shared" si="26"/>
        <v>r560: C00201 + C00046 -&gt; C00013 + C00046 | (${Variables:E2_7_7_6_kcat} * E2_7_7_6 * C00201 * C00046)/(${Variables:E2_7_7_6_km} + (E2_7_7_6 * C00201 * C00046))</v>
      </c>
    </row>
    <row r="562" spans="1:11" ht="42.75" x14ac:dyDescent="0.45">
      <c r="A562" t="s">
        <v>339</v>
      </c>
      <c r="B562" t="s">
        <v>340</v>
      </c>
      <c r="C562" t="s">
        <v>15149</v>
      </c>
      <c r="D562">
        <v>561</v>
      </c>
      <c r="E562" t="str">
        <f t="shared" si="24"/>
        <v>E2_7_7_6</v>
      </c>
      <c r="F562" s="9" t="s">
        <v>16861</v>
      </c>
      <c r="G562" s="9" t="s">
        <v>16862</v>
      </c>
      <c r="H562" s="9" t="s">
        <v>16863</v>
      </c>
      <c r="I562" s="9" t="s">
        <v>16864</v>
      </c>
      <c r="J562" s="9" t="str">
        <f t="shared" si="25"/>
        <v>(${Variables:E2_7_7_6_kcat} * E2_7_7_6 * C00002 * C00046)/(${Variables:E2_7_7_6_km} + (E2_7_7_6 * C00002 * C00046))</v>
      </c>
      <c r="K562" s="38" t="str">
        <f t="shared" si="26"/>
        <v>r561: C00002 + C00046 -&gt; C00013 + C00046 | (${Variables:E2_7_7_6_kcat} * E2_7_7_6 * C00002 * C00046)/(${Variables:E2_7_7_6_km} + (E2_7_7_6 * C00002 * C00046))</v>
      </c>
    </row>
    <row r="563" spans="1:11" ht="42.75" x14ac:dyDescent="0.45">
      <c r="A563" t="s">
        <v>339</v>
      </c>
      <c r="B563" t="s">
        <v>340</v>
      </c>
      <c r="C563" t="s">
        <v>15149</v>
      </c>
      <c r="D563">
        <v>562</v>
      </c>
      <c r="E563" t="str">
        <f t="shared" si="24"/>
        <v>E2_7_7_6</v>
      </c>
      <c r="F563" s="9" t="s">
        <v>16865</v>
      </c>
      <c r="G563" s="9" t="s">
        <v>16866</v>
      </c>
      <c r="H563" s="9" t="s">
        <v>16863</v>
      </c>
      <c r="I563" s="9" t="s">
        <v>16864</v>
      </c>
      <c r="J563" s="9" t="str">
        <f t="shared" si="25"/>
        <v>(${Variables:E2_7_7_6_kcat} * E2_7_7_6 * C00044 * C00046)/(${Variables:E2_7_7_6_km} + (E2_7_7_6 * C00044 * C00046))</v>
      </c>
      <c r="K563" s="38" t="str">
        <f t="shared" si="26"/>
        <v>r562: C00044 + C00046 -&gt; C00013 + C00046 | (${Variables:E2_7_7_6_kcat} * E2_7_7_6 * C00044 * C00046)/(${Variables:E2_7_7_6_km} + (E2_7_7_6 * C00044 * C00046))</v>
      </c>
    </row>
    <row r="564" spans="1:11" ht="42.75" x14ac:dyDescent="0.45">
      <c r="A564" t="s">
        <v>339</v>
      </c>
      <c r="B564" t="s">
        <v>340</v>
      </c>
      <c r="C564" t="s">
        <v>15149</v>
      </c>
      <c r="D564">
        <v>563</v>
      </c>
      <c r="E564" t="str">
        <f t="shared" si="24"/>
        <v>E2_7_7_6</v>
      </c>
      <c r="F564" s="9" t="s">
        <v>16867</v>
      </c>
      <c r="G564" s="9" t="s">
        <v>16868</v>
      </c>
      <c r="H564" s="9" t="s">
        <v>16863</v>
      </c>
      <c r="I564" s="9" t="s">
        <v>16864</v>
      </c>
      <c r="J564" s="9" t="str">
        <f t="shared" si="25"/>
        <v>(${Variables:E2_7_7_6_kcat} * E2_7_7_6 * C00063 * C00046)/(${Variables:E2_7_7_6_km} + (E2_7_7_6 * C00063 * C00046))</v>
      </c>
      <c r="K564" s="38" t="str">
        <f t="shared" si="26"/>
        <v>r563: C00063 + C00046 -&gt; C00013 + C00046 | (${Variables:E2_7_7_6_kcat} * E2_7_7_6 * C00063 * C00046)/(${Variables:E2_7_7_6_km} + (E2_7_7_6 * C00063 * C00046))</v>
      </c>
    </row>
    <row r="565" spans="1:11" ht="42.75" x14ac:dyDescent="0.45">
      <c r="A565" t="s">
        <v>339</v>
      </c>
      <c r="B565" t="s">
        <v>340</v>
      </c>
      <c r="C565" t="s">
        <v>15149</v>
      </c>
      <c r="D565">
        <v>564</v>
      </c>
      <c r="E565" t="str">
        <f t="shared" si="24"/>
        <v>E2_7_7_6</v>
      </c>
      <c r="F565" s="9" t="s">
        <v>16869</v>
      </c>
      <c r="G565" s="9" t="s">
        <v>16870</v>
      </c>
      <c r="H565" s="9" t="s">
        <v>16863</v>
      </c>
      <c r="I565" s="9" t="s">
        <v>16864</v>
      </c>
      <c r="J565" s="9" t="str">
        <f t="shared" si="25"/>
        <v>(${Variables:E2_7_7_6_kcat} * E2_7_7_6 * C00075 * C00046)/(${Variables:E2_7_7_6_km} + (E2_7_7_6 * C00075 * C00046))</v>
      </c>
      <c r="K565" s="38" t="str">
        <f t="shared" si="26"/>
        <v>r564: C00075 + C00046 -&gt; C00013 + C00046 | (${Variables:E2_7_7_6_kcat} * E2_7_7_6 * C00075 * C00046)/(${Variables:E2_7_7_6_km} + (E2_7_7_6 * C00075 * C00046))</v>
      </c>
    </row>
    <row r="566" spans="1:11" ht="28.5" x14ac:dyDescent="0.45">
      <c r="A566" t="s">
        <v>339</v>
      </c>
      <c r="B566" t="s">
        <v>340</v>
      </c>
      <c r="C566" t="s">
        <v>15149</v>
      </c>
      <c r="D566">
        <v>565</v>
      </c>
      <c r="E566" t="str">
        <f t="shared" si="24"/>
        <v>E2_7_7_6</v>
      </c>
      <c r="F566" s="9" t="s">
        <v>11943</v>
      </c>
      <c r="G566" s="9" t="s">
        <v>11943</v>
      </c>
      <c r="H566" s="9" t="s">
        <v>16871</v>
      </c>
      <c r="I566" s="9" t="s">
        <v>16872</v>
      </c>
      <c r="J566" s="9" t="str">
        <f t="shared" si="25"/>
        <v>(${Variables:E2_7_7_6_kcat} * E2_7_7_6 * C00201)/(${Variables:E2_7_7_6_km} + (E2_7_7_6 * C00201))</v>
      </c>
      <c r="K566" s="38" t="str">
        <f t="shared" si="26"/>
        <v>r565: C00201 -&gt; C20864 + C00013 | (${Variables:E2_7_7_6_kcat} * E2_7_7_6 * C00201)/(${Variables:E2_7_7_6_km} + (E2_7_7_6 * C00201))</v>
      </c>
    </row>
    <row r="567" spans="1:11" ht="42.75" x14ac:dyDescent="0.45">
      <c r="A567" t="s">
        <v>471</v>
      </c>
      <c r="B567" t="s">
        <v>472</v>
      </c>
      <c r="C567" t="s">
        <v>15149</v>
      </c>
      <c r="D567">
        <v>566</v>
      </c>
      <c r="E567" t="str">
        <f t="shared" si="24"/>
        <v>E2_7_7_6</v>
      </c>
      <c r="F567" s="9" t="s">
        <v>16873</v>
      </c>
      <c r="G567" s="9" t="s">
        <v>16874</v>
      </c>
      <c r="H567" s="9" t="s">
        <v>16863</v>
      </c>
      <c r="I567" s="9" t="s">
        <v>16864</v>
      </c>
      <c r="J567" s="9" t="str">
        <f t="shared" si="25"/>
        <v>(${Variables:E2_7_7_6_kcat} * E2_7_7_6 * C00201 * C00046)/(${Variables:E2_7_7_6_km} + (E2_7_7_6 * C00201 * C00046))</v>
      </c>
      <c r="K567" s="38" t="str">
        <f t="shared" si="26"/>
        <v>r566: C00201 + C00046 -&gt; C00013 + C00046 | (${Variables:E2_7_7_6_kcat} * E2_7_7_6 * C00201 * C00046)/(${Variables:E2_7_7_6_km} + (E2_7_7_6 * C00201 * C00046))</v>
      </c>
    </row>
    <row r="568" spans="1:11" ht="42.75" x14ac:dyDescent="0.45">
      <c r="A568" t="s">
        <v>471</v>
      </c>
      <c r="B568" t="s">
        <v>472</v>
      </c>
      <c r="C568" t="s">
        <v>15149</v>
      </c>
      <c r="D568">
        <v>567</v>
      </c>
      <c r="E568" t="str">
        <f t="shared" si="24"/>
        <v>E2_7_7_6</v>
      </c>
      <c r="F568" s="9" t="s">
        <v>16861</v>
      </c>
      <c r="G568" s="9" t="s">
        <v>16862</v>
      </c>
      <c r="H568" s="9" t="s">
        <v>16863</v>
      </c>
      <c r="I568" s="9" t="s">
        <v>16864</v>
      </c>
      <c r="J568" s="9" t="str">
        <f t="shared" si="25"/>
        <v>(${Variables:E2_7_7_6_kcat} * E2_7_7_6 * C00002 * C00046)/(${Variables:E2_7_7_6_km} + (E2_7_7_6 * C00002 * C00046))</v>
      </c>
      <c r="K568" s="38" t="str">
        <f t="shared" si="26"/>
        <v>r567: C00002 + C00046 -&gt; C00013 + C00046 | (${Variables:E2_7_7_6_kcat} * E2_7_7_6 * C00002 * C00046)/(${Variables:E2_7_7_6_km} + (E2_7_7_6 * C00002 * C00046))</v>
      </c>
    </row>
    <row r="569" spans="1:11" ht="42.75" x14ac:dyDescent="0.45">
      <c r="A569" t="s">
        <v>471</v>
      </c>
      <c r="B569" t="s">
        <v>472</v>
      </c>
      <c r="C569" t="s">
        <v>15149</v>
      </c>
      <c r="D569">
        <v>568</v>
      </c>
      <c r="E569" t="str">
        <f t="shared" si="24"/>
        <v>E2_7_7_6</v>
      </c>
      <c r="F569" s="9" t="s">
        <v>16865</v>
      </c>
      <c r="G569" s="9" t="s">
        <v>16866</v>
      </c>
      <c r="H569" s="9" t="s">
        <v>16863</v>
      </c>
      <c r="I569" s="9" t="s">
        <v>16864</v>
      </c>
      <c r="J569" s="9" t="str">
        <f t="shared" si="25"/>
        <v>(${Variables:E2_7_7_6_kcat} * E2_7_7_6 * C00044 * C00046)/(${Variables:E2_7_7_6_km} + (E2_7_7_6 * C00044 * C00046))</v>
      </c>
      <c r="K569" s="38" t="str">
        <f t="shared" si="26"/>
        <v>r568: C00044 + C00046 -&gt; C00013 + C00046 | (${Variables:E2_7_7_6_kcat} * E2_7_7_6 * C00044 * C00046)/(${Variables:E2_7_7_6_km} + (E2_7_7_6 * C00044 * C00046))</v>
      </c>
    </row>
    <row r="570" spans="1:11" ht="42.75" x14ac:dyDescent="0.45">
      <c r="A570" t="s">
        <v>471</v>
      </c>
      <c r="B570" t="s">
        <v>472</v>
      </c>
      <c r="C570" t="s">
        <v>15149</v>
      </c>
      <c r="D570">
        <v>569</v>
      </c>
      <c r="E570" t="str">
        <f t="shared" si="24"/>
        <v>E2_7_7_6</v>
      </c>
      <c r="F570" s="9" t="s">
        <v>16867</v>
      </c>
      <c r="G570" s="9" t="s">
        <v>16868</v>
      </c>
      <c r="H570" s="9" t="s">
        <v>16863</v>
      </c>
      <c r="I570" s="9" t="s">
        <v>16864</v>
      </c>
      <c r="J570" s="9" t="str">
        <f t="shared" si="25"/>
        <v>(${Variables:E2_7_7_6_kcat} * E2_7_7_6 * C00063 * C00046)/(${Variables:E2_7_7_6_km} + (E2_7_7_6 * C00063 * C00046))</v>
      </c>
      <c r="K570" s="38" t="str">
        <f t="shared" si="26"/>
        <v>r569: C00063 + C00046 -&gt; C00013 + C00046 | (${Variables:E2_7_7_6_kcat} * E2_7_7_6 * C00063 * C00046)/(${Variables:E2_7_7_6_km} + (E2_7_7_6 * C00063 * C00046))</v>
      </c>
    </row>
    <row r="571" spans="1:11" ht="42.75" x14ac:dyDescent="0.45">
      <c r="A571" t="s">
        <v>471</v>
      </c>
      <c r="B571" t="s">
        <v>472</v>
      </c>
      <c r="C571" t="s">
        <v>15149</v>
      </c>
      <c r="D571">
        <v>570</v>
      </c>
      <c r="E571" t="str">
        <f t="shared" si="24"/>
        <v>E2_7_7_6</v>
      </c>
      <c r="F571" s="9" t="s">
        <v>16869</v>
      </c>
      <c r="G571" s="9" t="s">
        <v>16870</v>
      </c>
      <c r="H571" s="9" t="s">
        <v>16863</v>
      </c>
      <c r="I571" s="9" t="s">
        <v>16864</v>
      </c>
      <c r="J571" s="9" t="str">
        <f t="shared" si="25"/>
        <v>(${Variables:E2_7_7_6_kcat} * E2_7_7_6 * C00075 * C00046)/(${Variables:E2_7_7_6_km} + (E2_7_7_6 * C00075 * C00046))</v>
      </c>
      <c r="K571" s="38" t="str">
        <f t="shared" si="26"/>
        <v>r570: C00075 + C00046 -&gt; C00013 + C00046 | (${Variables:E2_7_7_6_kcat} * E2_7_7_6 * C00075 * C00046)/(${Variables:E2_7_7_6_km} + (E2_7_7_6 * C00075 * C00046))</v>
      </c>
    </row>
    <row r="572" spans="1:11" ht="28.5" x14ac:dyDescent="0.45">
      <c r="A572" t="s">
        <v>471</v>
      </c>
      <c r="B572" t="s">
        <v>472</v>
      </c>
      <c r="C572" t="s">
        <v>15149</v>
      </c>
      <c r="D572">
        <v>571</v>
      </c>
      <c r="E572" t="str">
        <f t="shared" si="24"/>
        <v>E2_7_7_6</v>
      </c>
      <c r="F572" s="9" t="s">
        <v>11943</v>
      </c>
      <c r="G572" s="9" t="s">
        <v>11943</v>
      </c>
      <c r="H572" s="9" t="s">
        <v>16871</v>
      </c>
      <c r="I572" s="9" t="s">
        <v>16872</v>
      </c>
      <c r="J572" s="9" t="str">
        <f t="shared" si="25"/>
        <v>(${Variables:E2_7_7_6_kcat} * E2_7_7_6 * C00201)/(${Variables:E2_7_7_6_km} + (E2_7_7_6 * C00201))</v>
      </c>
      <c r="K572" s="38" t="str">
        <f t="shared" si="26"/>
        <v>r571: C00201 -&gt; C20864 + C00013 | (${Variables:E2_7_7_6_kcat} * E2_7_7_6 * C00201)/(${Variables:E2_7_7_6_km} + (E2_7_7_6 * C00201))</v>
      </c>
    </row>
    <row r="573" spans="1:11" ht="42.75" x14ac:dyDescent="0.45">
      <c r="A573" t="s">
        <v>7301</v>
      </c>
      <c r="B573" t="s">
        <v>7302</v>
      </c>
      <c r="C573" t="s">
        <v>15149</v>
      </c>
      <c r="D573">
        <v>572</v>
      </c>
      <c r="E573" t="str">
        <f t="shared" si="24"/>
        <v>E2_7_7_6</v>
      </c>
      <c r="F573" s="9" t="s">
        <v>16873</v>
      </c>
      <c r="G573" s="9" t="s">
        <v>16874</v>
      </c>
      <c r="H573" s="9" t="s">
        <v>16863</v>
      </c>
      <c r="I573" s="9" t="s">
        <v>16864</v>
      </c>
      <c r="J573" s="9" t="str">
        <f t="shared" si="25"/>
        <v>(${Variables:E2_7_7_6_kcat} * E2_7_7_6 * C00201 * C00046)/(${Variables:E2_7_7_6_km} + (E2_7_7_6 * C00201 * C00046))</v>
      </c>
      <c r="K573" s="38" t="str">
        <f t="shared" si="26"/>
        <v>r572: C00201 + C00046 -&gt; C00013 + C00046 | (${Variables:E2_7_7_6_kcat} * E2_7_7_6 * C00201 * C00046)/(${Variables:E2_7_7_6_km} + (E2_7_7_6 * C00201 * C00046))</v>
      </c>
    </row>
    <row r="574" spans="1:11" ht="42.75" x14ac:dyDescent="0.45">
      <c r="A574" t="s">
        <v>7301</v>
      </c>
      <c r="B574" t="s">
        <v>7302</v>
      </c>
      <c r="C574" t="s">
        <v>15149</v>
      </c>
      <c r="D574">
        <v>573</v>
      </c>
      <c r="E574" t="str">
        <f t="shared" si="24"/>
        <v>E2_7_7_6</v>
      </c>
      <c r="F574" s="9" t="s">
        <v>16861</v>
      </c>
      <c r="G574" s="9" t="s">
        <v>16862</v>
      </c>
      <c r="H574" s="9" t="s">
        <v>16863</v>
      </c>
      <c r="I574" s="9" t="s">
        <v>16864</v>
      </c>
      <c r="J574" s="9" t="str">
        <f t="shared" si="25"/>
        <v>(${Variables:E2_7_7_6_kcat} * E2_7_7_6 * C00002 * C00046)/(${Variables:E2_7_7_6_km} + (E2_7_7_6 * C00002 * C00046))</v>
      </c>
      <c r="K574" s="38" t="str">
        <f t="shared" si="26"/>
        <v>r573: C00002 + C00046 -&gt; C00013 + C00046 | (${Variables:E2_7_7_6_kcat} * E2_7_7_6 * C00002 * C00046)/(${Variables:E2_7_7_6_km} + (E2_7_7_6 * C00002 * C00046))</v>
      </c>
    </row>
    <row r="575" spans="1:11" ht="42.75" x14ac:dyDescent="0.45">
      <c r="A575" t="s">
        <v>7301</v>
      </c>
      <c r="B575" t="s">
        <v>7302</v>
      </c>
      <c r="C575" t="s">
        <v>15149</v>
      </c>
      <c r="D575">
        <v>574</v>
      </c>
      <c r="E575" t="str">
        <f t="shared" si="24"/>
        <v>E2_7_7_6</v>
      </c>
      <c r="F575" s="9" t="s">
        <v>16865</v>
      </c>
      <c r="G575" s="9" t="s">
        <v>16866</v>
      </c>
      <c r="H575" s="9" t="s">
        <v>16863</v>
      </c>
      <c r="I575" s="9" t="s">
        <v>16864</v>
      </c>
      <c r="J575" s="9" t="str">
        <f t="shared" si="25"/>
        <v>(${Variables:E2_7_7_6_kcat} * E2_7_7_6 * C00044 * C00046)/(${Variables:E2_7_7_6_km} + (E2_7_7_6 * C00044 * C00046))</v>
      </c>
      <c r="K575" s="38" t="str">
        <f t="shared" si="26"/>
        <v>r574: C00044 + C00046 -&gt; C00013 + C00046 | (${Variables:E2_7_7_6_kcat} * E2_7_7_6 * C00044 * C00046)/(${Variables:E2_7_7_6_km} + (E2_7_7_6 * C00044 * C00046))</v>
      </c>
    </row>
    <row r="576" spans="1:11" ht="42.75" x14ac:dyDescent="0.45">
      <c r="A576" t="s">
        <v>7301</v>
      </c>
      <c r="B576" t="s">
        <v>7302</v>
      </c>
      <c r="C576" t="s">
        <v>15149</v>
      </c>
      <c r="D576">
        <v>575</v>
      </c>
      <c r="E576" t="str">
        <f t="shared" si="24"/>
        <v>E2_7_7_6</v>
      </c>
      <c r="F576" s="9" t="s">
        <v>16867</v>
      </c>
      <c r="G576" s="9" t="s">
        <v>16868</v>
      </c>
      <c r="H576" s="9" t="s">
        <v>16863</v>
      </c>
      <c r="I576" s="9" t="s">
        <v>16864</v>
      </c>
      <c r="J576" s="9" t="str">
        <f t="shared" si="25"/>
        <v>(${Variables:E2_7_7_6_kcat} * E2_7_7_6 * C00063 * C00046)/(${Variables:E2_7_7_6_km} + (E2_7_7_6 * C00063 * C00046))</v>
      </c>
      <c r="K576" s="38" t="str">
        <f t="shared" si="26"/>
        <v>r575: C00063 + C00046 -&gt; C00013 + C00046 | (${Variables:E2_7_7_6_kcat} * E2_7_7_6 * C00063 * C00046)/(${Variables:E2_7_7_6_km} + (E2_7_7_6 * C00063 * C00046))</v>
      </c>
    </row>
    <row r="577" spans="1:11" ht="42.75" x14ac:dyDescent="0.45">
      <c r="A577" t="s">
        <v>7301</v>
      </c>
      <c r="B577" t="s">
        <v>7302</v>
      </c>
      <c r="C577" t="s">
        <v>15149</v>
      </c>
      <c r="D577">
        <v>576</v>
      </c>
      <c r="E577" t="str">
        <f t="shared" si="24"/>
        <v>E2_7_7_6</v>
      </c>
      <c r="F577" s="9" t="s">
        <v>16869</v>
      </c>
      <c r="G577" s="9" t="s">
        <v>16870</v>
      </c>
      <c r="H577" s="9" t="s">
        <v>16863</v>
      </c>
      <c r="I577" s="9" t="s">
        <v>16864</v>
      </c>
      <c r="J577" s="9" t="str">
        <f t="shared" si="25"/>
        <v>(${Variables:E2_7_7_6_kcat} * E2_7_7_6 * C00075 * C00046)/(${Variables:E2_7_7_6_km} + (E2_7_7_6 * C00075 * C00046))</v>
      </c>
      <c r="K577" s="38" t="str">
        <f t="shared" si="26"/>
        <v>r576: C00075 + C00046 -&gt; C00013 + C00046 | (${Variables:E2_7_7_6_kcat} * E2_7_7_6 * C00075 * C00046)/(${Variables:E2_7_7_6_km} + (E2_7_7_6 * C00075 * C00046))</v>
      </c>
    </row>
    <row r="578" spans="1:11" ht="28.5" x14ac:dyDescent="0.45">
      <c r="A578" t="s">
        <v>7301</v>
      </c>
      <c r="B578" t="s">
        <v>7302</v>
      </c>
      <c r="C578" t="s">
        <v>15149</v>
      </c>
      <c r="D578">
        <v>577</v>
      </c>
      <c r="E578" t="str">
        <f t="shared" si="24"/>
        <v>E2_7_7_6</v>
      </c>
      <c r="F578" s="9" t="s">
        <v>11943</v>
      </c>
      <c r="G578" s="9" t="s">
        <v>11943</v>
      </c>
      <c r="H578" s="9" t="s">
        <v>16871</v>
      </c>
      <c r="I578" s="9" t="s">
        <v>16872</v>
      </c>
      <c r="J578" s="9" t="str">
        <f t="shared" si="25"/>
        <v>(${Variables:E2_7_7_6_kcat} * E2_7_7_6 * C00201)/(${Variables:E2_7_7_6_km} + (E2_7_7_6 * C00201))</v>
      </c>
      <c r="K578" s="38" t="str">
        <f t="shared" si="26"/>
        <v>r577: C00201 -&gt; C20864 + C00013 | (${Variables:E2_7_7_6_kcat} * E2_7_7_6 * C00201)/(${Variables:E2_7_7_6_km} + (E2_7_7_6 * C00201))</v>
      </c>
    </row>
    <row r="579" spans="1:11" ht="42.75" x14ac:dyDescent="0.45">
      <c r="A579" t="s">
        <v>246</v>
      </c>
      <c r="B579" t="s">
        <v>247</v>
      </c>
      <c r="C579" t="s">
        <v>15150</v>
      </c>
      <c r="D579">
        <v>578</v>
      </c>
      <c r="E579" t="str">
        <f t="shared" ref="E579:E642" si="27">CONCATENATE("E",C579)</f>
        <v>E2_7_7_60</v>
      </c>
      <c r="F579" s="9" t="s">
        <v>16875</v>
      </c>
      <c r="G579" s="9" t="s">
        <v>16876</v>
      </c>
      <c r="H579" s="9" t="s">
        <v>16877</v>
      </c>
      <c r="I579" s="9" t="s">
        <v>16878</v>
      </c>
      <c r="J579" s="9" t="str">
        <f t="shared" ref="J579:J642" si="28">CONCATENATE("(${Variables:",E579,"_kcat","} * ",E579," * ",G579,")","/(${Variables:",E579,"_km","} + (",E579," * ",G579,"))")</f>
        <v>(${Variables:E2_7_7_60_kcat} * E2_7_7_60 * C11434 * C00063)/(${Variables:E2_7_7_60_km} + (E2_7_7_60 * C11434 * C00063))</v>
      </c>
      <c r="K579" s="38" t="str">
        <f t="shared" ref="K579:K642" si="29">CONCATENATE("r",D579,": ",F579," -&gt; ",H579," | ",J579)</f>
        <v>r578: C11434 + C00063 -&gt; C11435 + C00013 | (${Variables:E2_7_7_60_kcat} * E2_7_7_60 * C11434 * C00063)/(${Variables:E2_7_7_60_km} + (E2_7_7_60 * C11434 * C00063))</v>
      </c>
    </row>
    <row r="580" spans="1:11" ht="42.75" x14ac:dyDescent="0.45">
      <c r="A580" t="s">
        <v>9440</v>
      </c>
      <c r="B580" t="s">
        <v>9441</v>
      </c>
      <c r="C580" t="s">
        <v>15151</v>
      </c>
      <c r="D580">
        <v>579</v>
      </c>
      <c r="E580" t="str">
        <f t="shared" si="27"/>
        <v>E2_7_7_62</v>
      </c>
      <c r="F580" s="9" t="s">
        <v>16879</v>
      </c>
      <c r="G580" s="9" t="s">
        <v>16880</v>
      </c>
      <c r="H580" s="9" t="s">
        <v>16881</v>
      </c>
      <c r="I580" s="9" t="s">
        <v>16882</v>
      </c>
      <c r="J580" s="9" t="str">
        <f t="shared" si="28"/>
        <v>(${Variables:E2_7_7_62_kcat} * E2_7_7_62 * C06509 * C00044)/(${Variables:E2_7_7_62_km} + (E2_7_7_62 * C06509 * C00044))</v>
      </c>
      <c r="K580" s="38" t="str">
        <f t="shared" si="29"/>
        <v>r579: C06509 + C00044 -&gt; C06510 + C00013 | (${Variables:E2_7_7_62_kcat} * E2_7_7_62 * C06509 * C00044)/(${Variables:E2_7_7_62_km} + (E2_7_7_62 * C06509 * C00044))</v>
      </c>
    </row>
    <row r="581" spans="1:11" ht="28.5" x14ac:dyDescent="0.45">
      <c r="A581" t="s">
        <v>1607</v>
      </c>
      <c r="B581" t="s">
        <v>1608</v>
      </c>
      <c r="C581" t="s">
        <v>15152</v>
      </c>
      <c r="D581">
        <v>580</v>
      </c>
      <c r="E581" t="str">
        <f t="shared" si="27"/>
        <v>E2_7_7_65</v>
      </c>
      <c r="F581" s="9" t="s">
        <v>11958</v>
      </c>
      <c r="G581" s="9" t="s">
        <v>11958</v>
      </c>
      <c r="H581" s="9" t="s">
        <v>16883</v>
      </c>
      <c r="I581" s="9" t="s">
        <v>16884</v>
      </c>
      <c r="J581" s="9" t="str">
        <f t="shared" si="28"/>
        <v>(${Variables:E2_7_7_65_kcat} * E2_7_7_65 * C00044)/(${Variables:E2_7_7_65_km} + (E2_7_7_65 * C00044))</v>
      </c>
      <c r="K581" s="38" t="str">
        <f t="shared" si="29"/>
        <v>r580: C00044 -&gt; C16463 + C00013 | (${Variables:E2_7_7_65_kcat} * E2_7_7_65 * C00044)/(${Variables:E2_7_7_65_km} + (E2_7_7_65 * C00044))</v>
      </c>
    </row>
    <row r="582" spans="1:11" ht="28.5" x14ac:dyDescent="0.45">
      <c r="A582" t="s">
        <v>2090</v>
      </c>
      <c r="B582" t="s">
        <v>2091</v>
      </c>
      <c r="C582" t="s">
        <v>15152</v>
      </c>
      <c r="D582">
        <v>581</v>
      </c>
      <c r="E582" t="str">
        <f t="shared" si="27"/>
        <v>E2_7_7_65</v>
      </c>
      <c r="F582" s="9" t="s">
        <v>11958</v>
      </c>
      <c r="G582" s="9" t="s">
        <v>11958</v>
      </c>
      <c r="H582" s="9" t="s">
        <v>16883</v>
      </c>
      <c r="I582" s="9" t="s">
        <v>16884</v>
      </c>
      <c r="J582" s="9" t="str">
        <f t="shared" si="28"/>
        <v>(${Variables:E2_7_7_65_kcat} * E2_7_7_65 * C00044)/(${Variables:E2_7_7_65_km} + (E2_7_7_65 * C00044))</v>
      </c>
      <c r="K582" s="38" t="str">
        <f t="shared" si="29"/>
        <v>r581: C00044 -&gt; C16463 + C00013 | (${Variables:E2_7_7_65_kcat} * E2_7_7_65 * C00044)/(${Variables:E2_7_7_65_km} + (E2_7_7_65 * C00044))</v>
      </c>
    </row>
    <row r="583" spans="1:11" ht="28.5" x14ac:dyDescent="0.45">
      <c r="A583" t="s">
        <v>2696</v>
      </c>
      <c r="B583" t="s">
        <v>2697</v>
      </c>
      <c r="C583" t="s">
        <v>15152</v>
      </c>
      <c r="D583">
        <v>582</v>
      </c>
      <c r="E583" t="str">
        <f t="shared" si="27"/>
        <v>E2_7_7_65</v>
      </c>
      <c r="F583" s="9" t="s">
        <v>11958</v>
      </c>
      <c r="G583" s="9" t="s">
        <v>11958</v>
      </c>
      <c r="H583" s="9" t="s">
        <v>16883</v>
      </c>
      <c r="I583" s="9" t="s">
        <v>16884</v>
      </c>
      <c r="J583" s="9" t="str">
        <f t="shared" si="28"/>
        <v>(${Variables:E2_7_7_65_kcat} * E2_7_7_65 * C00044)/(${Variables:E2_7_7_65_km} + (E2_7_7_65 * C00044))</v>
      </c>
      <c r="K583" s="38" t="str">
        <f t="shared" si="29"/>
        <v>r582: C00044 -&gt; C16463 + C00013 | (${Variables:E2_7_7_65_kcat} * E2_7_7_65 * C00044)/(${Variables:E2_7_7_65_km} + (E2_7_7_65 * C00044))</v>
      </c>
    </row>
    <row r="584" spans="1:11" ht="28.5" x14ac:dyDescent="0.45">
      <c r="A584" t="s">
        <v>2751</v>
      </c>
      <c r="B584" t="s">
        <v>2752</v>
      </c>
      <c r="C584" t="s">
        <v>15152</v>
      </c>
      <c r="D584">
        <v>583</v>
      </c>
      <c r="E584" t="str">
        <f t="shared" si="27"/>
        <v>E2_7_7_65</v>
      </c>
      <c r="F584" s="9" t="s">
        <v>11958</v>
      </c>
      <c r="G584" s="9" t="s">
        <v>11958</v>
      </c>
      <c r="H584" s="9" t="s">
        <v>16883</v>
      </c>
      <c r="I584" s="9" t="s">
        <v>16884</v>
      </c>
      <c r="J584" s="9" t="str">
        <f t="shared" si="28"/>
        <v>(${Variables:E2_7_7_65_kcat} * E2_7_7_65 * C00044)/(${Variables:E2_7_7_65_km} + (E2_7_7_65 * C00044))</v>
      </c>
      <c r="K584" s="38" t="str">
        <f t="shared" si="29"/>
        <v>r583: C00044 -&gt; C16463 + C00013 | (${Variables:E2_7_7_65_kcat} * E2_7_7_65 * C00044)/(${Variables:E2_7_7_65_km} + (E2_7_7_65 * C00044))</v>
      </c>
    </row>
    <row r="585" spans="1:11" ht="28.5" x14ac:dyDescent="0.45">
      <c r="A585" t="s">
        <v>2783</v>
      </c>
      <c r="B585" t="s">
        <v>2784</v>
      </c>
      <c r="C585" t="s">
        <v>15152</v>
      </c>
      <c r="D585">
        <v>584</v>
      </c>
      <c r="E585" t="str">
        <f t="shared" si="27"/>
        <v>E2_7_7_65</v>
      </c>
      <c r="F585" s="9" t="s">
        <v>11958</v>
      </c>
      <c r="G585" s="9" t="s">
        <v>11958</v>
      </c>
      <c r="H585" s="9" t="s">
        <v>16883</v>
      </c>
      <c r="I585" s="9" t="s">
        <v>16884</v>
      </c>
      <c r="J585" s="9" t="str">
        <f t="shared" si="28"/>
        <v>(${Variables:E2_7_7_65_kcat} * E2_7_7_65 * C00044)/(${Variables:E2_7_7_65_km} + (E2_7_7_65 * C00044))</v>
      </c>
      <c r="K585" s="38" t="str">
        <f t="shared" si="29"/>
        <v>r584: C00044 -&gt; C16463 + C00013 | (${Variables:E2_7_7_65_kcat} * E2_7_7_65 * C00044)/(${Variables:E2_7_7_65_km} + (E2_7_7_65 * C00044))</v>
      </c>
    </row>
    <row r="586" spans="1:11" ht="28.5" x14ac:dyDescent="0.45">
      <c r="A586" t="s">
        <v>3191</v>
      </c>
      <c r="B586" t="s">
        <v>3192</v>
      </c>
      <c r="C586" t="s">
        <v>15152</v>
      </c>
      <c r="D586">
        <v>585</v>
      </c>
      <c r="E586" t="str">
        <f t="shared" si="27"/>
        <v>E2_7_7_65</v>
      </c>
      <c r="F586" s="9" t="s">
        <v>11958</v>
      </c>
      <c r="G586" s="9" t="s">
        <v>11958</v>
      </c>
      <c r="H586" s="9" t="s">
        <v>16883</v>
      </c>
      <c r="I586" s="9" t="s">
        <v>16884</v>
      </c>
      <c r="J586" s="9" t="str">
        <f t="shared" si="28"/>
        <v>(${Variables:E2_7_7_65_kcat} * E2_7_7_65 * C00044)/(${Variables:E2_7_7_65_km} + (E2_7_7_65 * C00044))</v>
      </c>
      <c r="K586" s="38" t="str">
        <f t="shared" si="29"/>
        <v>r585: C00044 -&gt; C16463 + C00013 | (${Variables:E2_7_7_65_kcat} * E2_7_7_65 * C00044)/(${Variables:E2_7_7_65_km} + (E2_7_7_65 * C00044))</v>
      </c>
    </row>
    <row r="587" spans="1:11" ht="28.5" x14ac:dyDescent="0.45">
      <c r="A587" t="s">
        <v>3901</v>
      </c>
      <c r="B587" t="s">
        <v>3902</v>
      </c>
      <c r="C587" t="s">
        <v>15152</v>
      </c>
      <c r="D587">
        <v>586</v>
      </c>
      <c r="E587" t="str">
        <f t="shared" si="27"/>
        <v>E2_7_7_65</v>
      </c>
      <c r="F587" s="9" t="s">
        <v>11958</v>
      </c>
      <c r="G587" s="9" t="s">
        <v>11958</v>
      </c>
      <c r="H587" s="9" t="s">
        <v>16883</v>
      </c>
      <c r="I587" s="9" t="s">
        <v>16884</v>
      </c>
      <c r="J587" s="9" t="str">
        <f t="shared" si="28"/>
        <v>(${Variables:E2_7_7_65_kcat} * E2_7_7_65 * C00044)/(${Variables:E2_7_7_65_km} + (E2_7_7_65 * C00044))</v>
      </c>
      <c r="K587" s="38" t="str">
        <f t="shared" si="29"/>
        <v>r586: C00044 -&gt; C16463 + C00013 | (${Variables:E2_7_7_65_kcat} * E2_7_7_65 * C00044)/(${Variables:E2_7_7_65_km} + (E2_7_7_65 * C00044))</v>
      </c>
    </row>
    <row r="588" spans="1:11" ht="28.5" x14ac:dyDescent="0.45">
      <c r="A588" t="s">
        <v>4631</v>
      </c>
      <c r="B588" t="s">
        <v>4632</v>
      </c>
      <c r="C588" t="s">
        <v>15152</v>
      </c>
      <c r="D588">
        <v>587</v>
      </c>
      <c r="E588" t="str">
        <f t="shared" si="27"/>
        <v>E2_7_7_65</v>
      </c>
      <c r="F588" s="9" t="s">
        <v>11958</v>
      </c>
      <c r="G588" s="9" t="s">
        <v>11958</v>
      </c>
      <c r="H588" s="9" t="s">
        <v>16883</v>
      </c>
      <c r="I588" s="9" t="s">
        <v>16884</v>
      </c>
      <c r="J588" s="9" t="str">
        <f t="shared" si="28"/>
        <v>(${Variables:E2_7_7_65_kcat} * E2_7_7_65 * C00044)/(${Variables:E2_7_7_65_km} + (E2_7_7_65 * C00044))</v>
      </c>
      <c r="K588" s="38" t="str">
        <f t="shared" si="29"/>
        <v>r587: C00044 -&gt; C16463 + C00013 | (${Variables:E2_7_7_65_kcat} * E2_7_7_65 * C00044)/(${Variables:E2_7_7_65_km} + (E2_7_7_65 * C00044))</v>
      </c>
    </row>
    <row r="589" spans="1:11" ht="28.5" x14ac:dyDescent="0.45">
      <c r="A589" t="s">
        <v>4725</v>
      </c>
      <c r="B589" t="s">
        <v>4726</v>
      </c>
      <c r="C589" t="s">
        <v>15152</v>
      </c>
      <c r="D589">
        <v>588</v>
      </c>
      <c r="E589" t="str">
        <f t="shared" si="27"/>
        <v>E2_7_7_65</v>
      </c>
      <c r="F589" s="9" t="s">
        <v>11958</v>
      </c>
      <c r="G589" s="9" t="s">
        <v>11958</v>
      </c>
      <c r="H589" s="9" t="s">
        <v>16883</v>
      </c>
      <c r="I589" s="9" t="s">
        <v>16884</v>
      </c>
      <c r="J589" s="9" t="str">
        <f t="shared" si="28"/>
        <v>(${Variables:E2_7_7_65_kcat} * E2_7_7_65 * C00044)/(${Variables:E2_7_7_65_km} + (E2_7_7_65 * C00044))</v>
      </c>
      <c r="K589" s="38" t="str">
        <f t="shared" si="29"/>
        <v>r588: C00044 -&gt; C16463 + C00013 | (${Variables:E2_7_7_65_kcat} * E2_7_7_65 * C00044)/(${Variables:E2_7_7_65_km} + (E2_7_7_65 * C00044))</v>
      </c>
    </row>
    <row r="590" spans="1:11" ht="28.5" x14ac:dyDescent="0.45">
      <c r="A590" t="s">
        <v>5245</v>
      </c>
      <c r="B590" t="s">
        <v>5246</v>
      </c>
      <c r="C590" t="s">
        <v>15152</v>
      </c>
      <c r="D590">
        <v>589</v>
      </c>
      <c r="E590" t="str">
        <f t="shared" si="27"/>
        <v>E2_7_7_65</v>
      </c>
      <c r="F590" s="9" t="s">
        <v>11958</v>
      </c>
      <c r="G590" s="9" t="s">
        <v>11958</v>
      </c>
      <c r="H590" s="9" t="s">
        <v>16883</v>
      </c>
      <c r="I590" s="9" t="s">
        <v>16884</v>
      </c>
      <c r="J590" s="9" t="str">
        <f t="shared" si="28"/>
        <v>(${Variables:E2_7_7_65_kcat} * E2_7_7_65 * C00044)/(${Variables:E2_7_7_65_km} + (E2_7_7_65 * C00044))</v>
      </c>
      <c r="K590" s="38" t="str">
        <f t="shared" si="29"/>
        <v>r589: C00044 -&gt; C16463 + C00013 | (${Variables:E2_7_7_65_kcat} * E2_7_7_65 * C00044)/(${Variables:E2_7_7_65_km} + (E2_7_7_65 * C00044))</v>
      </c>
    </row>
    <row r="591" spans="1:11" ht="28.5" x14ac:dyDescent="0.45">
      <c r="A591" t="s">
        <v>5247</v>
      </c>
      <c r="B591" t="s">
        <v>5248</v>
      </c>
      <c r="C591" t="s">
        <v>15152</v>
      </c>
      <c r="D591">
        <v>590</v>
      </c>
      <c r="E591" t="str">
        <f t="shared" si="27"/>
        <v>E2_7_7_65</v>
      </c>
      <c r="F591" s="9" t="s">
        <v>11958</v>
      </c>
      <c r="G591" s="9" t="s">
        <v>11958</v>
      </c>
      <c r="H591" s="9" t="s">
        <v>16883</v>
      </c>
      <c r="I591" s="9" t="s">
        <v>16884</v>
      </c>
      <c r="J591" s="9" t="str">
        <f t="shared" si="28"/>
        <v>(${Variables:E2_7_7_65_kcat} * E2_7_7_65 * C00044)/(${Variables:E2_7_7_65_km} + (E2_7_7_65 * C00044))</v>
      </c>
      <c r="K591" s="38" t="str">
        <f t="shared" si="29"/>
        <v>r590: C00044 -&gt; C16463 + C00013 | (${Variables:E2_7_7_65_kcat} * E2_7_7_65 * C00044)/(${Variables:E2_7_7_65_km} + (E2_7_7_65 * C00044))</v>
      </c>
    </row>
    <row r="592" spans="1:11" ht="28.5" x14ac:dyDescent="0.45">
      <c r="A592" t="s">
        <v>6381</v>
      </c>
      <c r="B592" t="s">
        <v>6382</v>
      </c>
      <c r="C592" t="s">
        <v>15152</v>
      </c>
      <c r="D592">
        <v>591</v>
      </c>
      <c r="E592" t="str">
        <f t="shared" si="27"/>
        <v>E2_7_7_65</v>
      </c>
      <c r="F592" s="9" t="s">
        <v>11958</v>
      </c>
      <c r="G592" s="9" t="s">
        <v>11958</v>
      </c>
      <c r="H592" s="9" t="s">
        <v>16883</v>
      </c>
      <c r="I592" s="9" t="s">
        <v>16884</v>
      </c>
      <c r="J592" s="9" t="str">
        <f t="shared" si="28"/>
        <v>(${Variables:E2_7_7_65_kcat} * E2_7_7_65 * C00044)/(${Variables:E2_7_7_65_km} + (E2_7_7_65 * C00044))</v>
      </c>
      <c r="K592" s="38" t="str">
        <f t="shared" si="29"/>
        <v>r591: C00044 -&gt; C16463 + C00013 | (${Variables:E2_7_7_65_kcat} * E2_7_7_65 * C00044)/(${Variables:E2_7_7_65_km} + (E2_7_7_65 * C00044))</v>
      </c>
    </row>
    <row r="593" spans="1:11" ht="28.5" x14ac:dyDescent="0.45">
      <c r="A593" t="s">
        <v>6725</v>
      </c>
      <c r="B593" t="s">
        <v>6726</v>
      </c>
      <c r="C593" t="s">
        <v>15152</v>
      </c>
      <c r="D593">
        <v>592</v>
      </c>
      <c r="E593" t="str">
        <f t="shared" si="27"/>
        <v>E2_7_7_65</v>
      </c>
      <c r="F593" s="9" t="s">
        <v>11958</v>
      </c>
      <c r="G593" s="9" t="s">
        <v>11958</v>
      </c>
      <c r="H593" s="9" t="s">
        <v>16883</v>
      </c>
      <c r="I593" s="9" t="s">
        <v>16884</v>
      </c>
      <c r="J593" s="9" t="str">
        <f t="shared" si="28"/>
        <v>(${Variables:E2_7_7_65_kcat} * E2_7_7_65 * C00044)/(${Variables:E2_7_7_65_km} + (E2_7_7_65 * C00044))</v>
      </c>
      <c r="K593" s="38" t="str">
        <f t="shared" si="29"/>
        <v>r592: C00044 -&gt; C16463 + C00013 | (${Variables:E2_7_7_65_kcat} * E2_7_7_65 * C00044)/(${Variables:E2_7_7_65_km} + (E2_7_7_65 * C00044))</v>
      </c>
    </row>
    <row r="594" spans="1:11" ht="28.5" x14ac:dyDescent="0.45">
      <c r="A594" t="s">
        <v>7797</v>
      </c>
      <c r="B594" t="s">
        <v>7798</v>
      </c>
      <c r="C594" t="s">
        <v>15152</v>
      </c>
      <c r="D594">
        <v>593</v>
      </c>
      <c r="E594" t="str">
        <f t="shared" si="27"/>
        <v>E2_7_7_65</v>
      </c>
      <c r="F594" s="9" t="s">
        <v>11958</v>
      </c>
      <c r="G594" s="9" t="s">
        <v>11958</v>
      </c>
      <c r="H594" s="9" t="s">
        <v>16883</v>
      </c>
      <c r="I594" s="9" t="s">
        <v>16884</v>
      </c>
      <c r="J594" s="9" t="str">
        <f t="shared" si="28"/>
        <v>(${Variables:E2_7_7_65_kcat} * E2_7_7_65 * C00044)/(${Variables:E2_7_7_65_km} + (E2_7_7_65 * C00044))</v>
      </c>
      <c r="K594" s="38" t="str">
        <f t="shared" si="29"/>
        <v>r593: C00044 -&gt; C16463 + C00013 | (${Variables:E2_7_7_65_kcat} * E2_7_7_65 * C00044)/(${Variables:E2_7_7_65_km} + (E2_7_7_65 * C00044))</v>
      </c>
    </row>
    <row r="595" spans="1:11" ht="28.5" x14ac:dyDescent="0.45">
      <c r="A595" t="s">
        <v>9280</v>
      </c>
      <c r="B595" t="s">
        <v>9281</v>
      </c>
      <c r="C595" t="s">
        <v>15152</v>
      </c>
      <c r="D595">
        <v>594</v>
      </c>
      <c r="E595" t="str">
        <f t="shared" si="27"/>
        <v>E2_7_7_65</v>
      </c>
      <c r="F595" s="9" t="s">
        <v>11958</v>
      </c>
      <c r="G595" s="9" t="s">
        <v>11958</v>
      </c>
      <c r="H595" s="9" t="s">
        <v>16883</v>
      </c>
      <c r="I595" s="9" t="s">
        <v>16884</v>
      </c>
      <c r="J595" s="9" t="str">
        <f t="shared" si="28"/>
        <v>(${Variables:E2_7_7_65_kcat} * E2_7_7_65 * C00044)/(${Variables:E2_7_7_65_km} + (E2_7_7_65 * C00044))</v>
      </c>
      <c r="K595" s="38" t="str">
        <f t="shared" si="29"/>
        <v>r594: C00044 -&gt; C16463 + C00013 | (${Variables:E2_7_7_65_kcat} * E2_7_7_65 * C00044)/(${Variables:E2_7_7_65_km} + (E2_7_7_65 * C00044))</v>
      </c>
    </row>
    <row r="596" spans="1:11" ht="28.5" x14ac:dyDescent="0.45">
      <c r="A596" t="s">
        <v>7533</v>
      </c>
      <c r="B596" t="s">
        <v>7534</v>
      </c>
      <c r="C596" t="s">
        <v>15152</v>
      </c>
      <c r="D596">
        <v>595</v>
      </c>
      <c r="E596" t="str">
        <f t="shared" si="27"/>
        <v>E2_7_7_65</v>
      </c>
      <c r="F596" s="9" t="s">
        <v>11958</v>
      </c>
      <c r="G596" s="9" t="s">
        <v>11958</v>
      </c>
      <c r="H596" s="9" t="s">
        <v>16883</v>
      </c>
      <c r="I596" s="9" t="s">
        <v>16884</v>
      </c>
      <c r="J596" s="9" t="str">
        <f t="shared" si="28"/>
        <v>(${Variables:E2_7_7_65_kcat} * E2_7_7_65 * C00044)/(${Variables:E2_7_7_65_km} + (E2_7_7_65 * C00044))</v>
      </c>
      <c r="K596" s="38" t="str">
        <f t="shared" si="29"/>
        <v>r595: C00044 -&gt; C16463 + C00013 | (${Variables:E2_7_7_65_kcat} * E2_7_7_65 * C00044)/(${Variables:E2_7_7_65_km} + (E2_7_7_65 * C00044))</v>
      </c>
    </row>
    <row r="597" spans="1:11" ht="28.5" x14ac:dyDescent="0.45">
      <c r="A597" t="s">
        <v>8198</v>
      </c>
      <c r="B597" t="s">
        <v>8199</v>
      </c>
      <c r="C597" t="s">
        <v>15152</v>
      </c>
      <c r="D597">
        <v>596</v>
      </c>
      <c r="E597" t="str">
        <f t="shared" si="27"/>
        <v>E2_7_7_65</v>
      </c>
      <c r="F597" s="9" t="s">
        <v>11958</v>
      </c>
      <c r="G597" s="9" t="s">
        <v>11958</v>
      </c>
      <c r="H597" s="9" t="s">
        <v>16883</v>
      </c>
      <c r="I597" s="9" t="s">
        <v>16884</v>
      </c>
      <c r="J597" s="9" t="str">
        <f t="shared" si="28"/>
        <v>(${Variables:E2_7_7_65_kcat} * E2_7_7_65 * C00044)/(${Variables:E2_7_7_65_km} + (E2_7_7_65 * C00044))</v>
      </c>
      <c r="K597" s="38" t="str">
        <f t="shared" si="29"/>
        <v>r596: C00044 -&gt; C16463 + C00013 | (${Variables:E2_7_7_65_kcat} * E2_7_7_65 * C00044)/(${Variables:E2_7_7_65_km} + (E2_7_7_65 * C00044))</v>
      </c>
    </row>
    <row r="598" spans="1:11" ht="28.5" x14ac:dyDescent="0.45">
      <c r="A598" t="s">
        <v>1571</v>
      </c>
      <c r="B598" t="s">
        <v>1572</v>
      </c>
      <c r="C598" t="s">
        <v>15152</v>
      </c>
      <c r="D598">
        <v>597</v>
      </c>
      <c r="E598" t="str">
        <f t="shared" si="27"/>
        <v>E2_7_7_65</v>
      </c>
      <c r="F598" s="9" t="s">
        <v>11958</v>
      </c>
      <c r="G598" s="9" t="s">
        <v>11958</v>
      </c>
      <c r="H598" s="9" t="s">
        <v>16883</v>
      </c>
      <c r="I598" s="9" t="s">
        <v>16884</v>
      </c>
      <c r="J598" s="9" t="str">
        <f t="shared" si="28"/>
        <v>(${Variables:E2_7_7_65_kcat} * E2_7_7_65 * C00044)/(${Variables:E2_7_7_65_km} + (E2_7_7_65 * C00044))</v>
      </c>
      <c r="K598" s="38" t="str">
        <f t="shared" si="29"/>
        <v>r597: C00044 -&gt; C16463 + C00013 | (${Variables:E2_7_7_65_kcat} * E2_7_7_65 * C00044)/(${Variables:E2_7_7_65_km} + (E2_7_7_65 * C00044))</v>
      </c>
    </row>
    <row r="599" spans="1:11" ht="28.5" x14ac:dyDescent="0.45">
      <c r="A599" t="s">
        <v>4235</v>
      </c>
      <c r="B599" t="s">
        <v>4236</v>
      </c>
      <c r="C599" t="s">
        <v>15152</v>
      </c>
      <c r="D599">
        <v>598</v>
      </c>
      <c r="E599" t="str">
        <f t="shared" si="27"/>
        <v>E2_7_7_65</v>
      </c>
      <c r="F599" s="9" t="s">
        <v>11958</v>
      </c>
      <c r="G599" s="9" t="s">
        <v>11958</v>
      </c>
      <c r="H599" s="9" t="s">
        <v>16883</v>
      </c>
      <c r="I599" s="9" t="s">
        <v>16884</v>
      </c>
      <c r="J599" s="9" t="str">
        <f t="shared" si="28"/>
        <v>(${Variables:E2_7_7_65_kcat} * E2_7_7_65 * C00044)/(${Variables:E2_7_7_65_km} + (E2_7_7_65 * C00044))</v>
      </c>
      <c r="K599" s="38" t="str">
        <f t="shared" si="29"/>
        <v>r598: C00044 -&gt; C16463 + C00013 | (${Variables:E2_7_7_65_kcat} * E2_7_7_65 * C00044)/(${Variables:E2_7_7_65_km} + (E2_7_7_65 * C00044))</v>
      </c>
    </row>
    <row r="600" spans="1:11" ht="28.5" x14ac:dyDescent="0.45">
      <c r="A600" t="s">
        <v>6112</v>
      </c>
      <c r="B600" t="s">
        <v>6113</v>
      </c>
      <c r="C600" t="s">
        <v>15152</v>
      </c>
      <c r="D600">
        <v>599</v>
      </c>
      <c r="E600" t="str">
        <f t="shared" si="27"/>
        <v>E2_7_7_65</v>
      </c>
      <c r="F600" s="9" t="s">
        <v>11958</v>
      </c>
      <c r="G600" s="9" t="s">
        <v>11958</v>
      </c>
      <c r="H600" s="9" t="s">
        <v>16883</v>
      </c>
      <c r="I600" s="9" t="s">
        <v>16884</v>
      </c>
      <c r="J600" s="9" t="str">
        <f t="shared" si="28"/>
        <v>(${Variables:E2_7_7_65_kcat} * E2_7_7_65 * C00044)/(${Variables:E2_7_7_65_km} + (E2_7_7_65 * C00044))</v>
      </c>
      <c r="K600" s="38" t="str">
        <f t="shared" si="29"/>
        <v>r599: C00044 -&gt; C16463 + C00013 | (${Variables:E2_7_7_65_kcat} * E2_7_7_65 * C00044)/(${Variables:E2_7_7_65_km} + (E2_7_7_65 * C00044))</v>
      </c>
    </row>
    <row r="601" spans="1:11" ht="42.75" x14ac:dyDescent="0.45">
      <c r="A601" t="s">
        <v>22</v>
      </c>
      <c r="B601" t="s">
        <v>23</v>
      </c>
      <c r="C601" t="s">
        <v>15153</v>
      </c>
      <c r="D601">
        <v>600</v>
      </c>
      <c r="E601" t="str">
        <f t="shared" si="27"/>
        <v>E2_7_7_7</v>
      </c>
      <c r="F601" s="9" t="s">
        <v>16895</v>
      </c>
      <c r="G601" s="9" t="s">
        <v>16896</v>
      </c>
      <c r="H601" s="9" t="s">
        <v>16887</v>
      </c>
      <c r="I601" s="9" t="s">
        <v>16888</v>
      </c>
      <c r="J601" s="9" t="str">
        <f t="shared" si="28"/>
        <v>(${Variables:E2_7_7_7_kcat} * E2_7_7_7 * C00677 * C00039)/(${Variables:E2_7_7_7_km} + (E2_7_7_7 * C00677 * C00039))</v>
      </c>
      <c r="K601" s="38" t="str">
        <f t="shared" si="29"/>
        <v>r600: C00677 + C00039 -&gt; C00013 + C00039 | (${Variables:E2_7_7_7_kcat} * E2_7_7_7 * C00677 * C00039)/(${Variables:E2_7_7_7_km} + (E2_7_7_7 * C00677 * C00039))</v>
      </c>
    </row>
    <row r="602" spans="1:11" ht="42.75" x14ac:dyDescent="0.45">
      <c r="A602" t="s">
        <v>22</v>
      </c>
      <c r="B602" t="s">
        <v>23</v>
      </c>
      <c r="C602" t="s">
        <v>15153</v>
      </c>
      <c r="D602">
        <v>601</v>
      </c>
      <c r="E602" t="str">
        <f t="shared" si="27"/>
        <v>E2_7_7_7</v>
      </c>
      <c r="F602" s="9" t="s">
        <v>16885</v>
      </c>
      <c r="G602" s="9" t="s">
        <v>16886</v>
      </c>
      <c r="H602" s="9" t="s">
        <v>16887</v>
      </c>
      <c r="I602" s="9" t="s">
        <v>16888</v>
      </c>
      <c r="J602" s="9" t="str">
        <f t="shared" si="28"/>
        <v>(${Variables:E2_7_7_7_kcat} * E2_7_7_7 * C00131 * C00039)/(${Variables:E2_7_7_7_km} + (E2_7_7_7 * C00131 * C00039))</v>
      </c>
      <c r="K602" s="38" t="str">
        <f t="shared" si="29"/>
        <v>r601: C00131 + C00039 -&gt; C00013 + C00039 | (${Variables:E2_7_7_7_kcat} * E2_7_7_7 * C00131 * C00039)/(${Variables:E2_7_7_7_km} + (E2_7_7_7 * C00131 * C00039))</v>
      </c>
    </row>
    <row r="603" spans="1:11" ht="42.75" x14ac:dyDescent="0.45">
      <c r="A603" t="s">
        <v>22</v>
      </c>
      <c r="B603" t="s">
        <v>23</v>
      </c>
      <c r="C603" t="s">
        <v>15153</v>
      </c>
      <c r="D603">
        <v>602</v>
      </c>
      <c r="E603" t="str">
        <f t="shared" si="27"/>
        <v>E2_7_7_7</v>
      </c>
      <c r="F603" s="9" t="s">
        <v>16889</v>
      </c>
      <c r="G603" s="9" t="s">
        <v>16890</v>
      </c>
      <c r="H603" s="9" t="s">
        <v>16887</v>
      </c>
      <c r="I603" s="9" t="s">
        <v>16888</v>
      </c>
      <c r="J603" s="9" t="str">
        <f t="shared" si="28"/>
        <v>(${Variables:E2_7_7_7_kcat} * E2_7_7_7 * C00286 * C00039)/(${Variables:E2_7_7_7_km} + (E2_7_7_7 * C00286 * C00039))</v>
      </c>
      <c r="K603" s="38" t="str">
        <f t="shared" si="29"/>
        <v>r602: C00286 + C00039 -&gt; C00013 + C00039 | (${Variables:E2_7_7_7_kcat} * E2_7_7_7 * C00286 * C00039)/(${Variables:E2_7_7_7_km} + (E2_7_7_7 * C00286 * C00039))</v>
      </c>
    </row>
    <row r="604" spans="1:11" ht="42.75" x14ac:dyDescent="0.45">
      <c r="A604" t="s">
        <v>22</v>
      </c>
      <c r="B604" t="s">
        <v>23</v>
      </c>
      <c r="C604" t="s">
        <v>15153</v>
      </c>
      <c r="D604">
        <v>603</v>
      </c>
      <c r="E604" t="str">
        <f t="shared" si="27"/>
        <v>E2_7_7_7</v>
      </c>
      <c r="F604" s="9" t="s">
        <v>16891</v>
      </c>
      <c r="G604" s="9" t="s">
        <v>16892</v>
      </c>
      <c r="H604" s="9" t="s">
        <v>16887</v>
      </c>
      <c r="I604" s="9" t="s">
        <v>16888</v>
      </c>
      <c r="J604" s="9" t="str">
        <f t="shared" si="28"/>
        <v>(${Variables:E2_7_7_7_kcat} * E2_7_7_7 * C00458 * C00039)/(${Variables:E2_7_7_7_km} + (E2_7_7_7 * C00458 * C00039))</v>
      </c>
      <c r="K604" s="38" t="str">
        <f t="shared" si="29"/>
        <v>r603: C00458 + C00039 -&gt; C00013 + C00039 | (${Variables:E2_7_7_7_kcat} * E2_7_7_7 * C00458 * C00039)/(${Variables:E2_7_7_7_km} + (E2_7_7_7 * C00458 * C00039))</v>
      </c>
    </row>
    <row r="605" spans="1:11" ht="42.75" x14ac:dyDescent="0.45">
      <c r="A605" t="s">
        <v>22</v>
      </c>
      <c r="B605" t="s">
        <v>23</v>
      </c>
      <c r="C605" t="s">
        <v>15153</v>
      </c>
      <c r="D605">
        <v>604</v>
      </c>
      <c r="E605" t="str">
        <f t="shared" si="27"/>
        <v>E2_7_7_7</v>
      </c>
      <c r="F605" s="9" t="s">
        <v>16893</v>
      </c>
      <c r="G605" s="9" t="s">
        <v>16894</v>
      </c>
      <c r="H605" s="9" t="s">
        <v>16887</v>
      </c>
      <c r="I605" s="9" t="s">
        <v>16888</v>
      </c>
      <c r="J605" s="9" t="str">
        <f t="shared" si="28"/>
        <v>(${Variables:E2_7_7_7_kcat} * E2_7_7_7 * C00459 * C00039)/(${Variables:E2_7_7_7_km} + (E2_7_7_7 * C00459 * C00039))</v>
      </c>
      <c r="K605" s="38" t="str">
        <f t="shared" si="29"/>
        <v>r604: C00459 + C00039 -&gt; C00013 + C00039 | (${Variables:E2_7_7_7_kcat} * E2_7_7_7 * C00459 * C00039)/(${Variables:E2_7_7_7_km} + (E2_7_7_7 * C00459 * C00039))</v>
      </c>
    </row>
    <row r="606" spans="1:11" ht="28.5" x14ac:dyDescent="0.45">
      <c r="A606" t="s">
        <v>22</v>
      </c>
      <c r="B606" t="s">
        <v>23</v>
      </c>
      <c r="C606" t="s">
        <v>15153</v>
      </c>
      <c r="D606">
        <v>605</v>
      </c>
      <c r="E606" t="str">
        <f t="shared" si="27"/>
        <v>E2_7_7_7</v>
      </c>
      <c r="F606" s="9" t="s">
        <v>11974</v>
      </c>
      <c r="G606" s="9" t="s">
        <v>11974</v>
      </c>
      <c r="H606" s="9" t="s">
        <v>11975</v>
      </c>
      <c r="I606" s="9" t="s">
        <v>11975</v>
      </c>
      <c r="J606" s="9" t="str">
        <f t="shared" si="28"/>
        <v>(${Variables:E2_7_7_7_kcat} * E2_7_7_7 * C11039)/(${Variables:E2_7_7_7_km} + (E2_7_7_7 * C11039))</v>
      </c>
      <c r="K606" s="38" t="str">
        <f t="shared" si="29"/>
        <v>r605: C11039 -&gt; C21031 | (${Variables:E2_7_7_7_kcat} * E2_7_7_7 * C11039)/(${Variables:E2_7_7_7_km} + (E2_7_7_7 * C11039))</v>
      </c>
    </row>
    <row r="607" spans="1:11" ht="42.75" x14ac:dyDescent="0.45">
      <c r="A607" t="s">
        <v>85</v>
      </c>
      <c r="B607" t="s">
        <v>86</v>
      </c>
      <c r="C607" t="s">
        <v>15153</v>
      </c>
      <c r="D607">
        <v>606</v>
      </c>
      <c r="E607" t="str">
        <f t="shared" si="27"/>
        <v>E2_7_7_7</v>
      </c>
      <c r="F607" s="9" t="s">
        <v>16895</v>
      </c>
      <c r="G607" s="9" t="s">
        <v>16896</v>
      </c>
      <c r="H607" s="9" t="s">
        <v>16887</v>
      </c>
      <c r="I607" s="9" t="s">
        <v>16888</v>
      </c>
      <c r="J607" s="9" t="str">
        <f t="shared" si="28"/>
        <v>(${Variables:E2_7_7_7_kcat} * E2_7_7_7 * C00677 * C00039)/(${Variables:E2_7_7_7_km} + (E2_7_7_7 * C00677 * C00039))</v>
      </c>
      <c r="K607" s="38" t="str">
        <f t="shared" si="29"/>
        <v>r606: C00677 + C00039 -&gt; C00013 + C00039 | (${Variables:E2_7_7_7_kcat} * E2_7_7_7 * C00677 * C00039)/(${Variables:E2_7_7_7_km} + (E2_7_7_7 * C00677 * C00039))</v>
      </c>
    </row>
    <row r="608" spans="1:11" ht="42.75" x14ac:dyDescent="0.45">
      <c r="A608" t="s">
        <v>85</v>
      </c>
      <c r="B608" t="s">
        <v>86</v>
      </c>
      <c r="C608" t="s">
        <v>15153</v>
      </c>
      <c r="D608">
        <v>607</v>
      </c>
      <c r="E608" t="str">
        <f t="shared" si="27"/>
        <v>E2_7_7_7</v>
      </c>
      <c r="F608" s="9" t="s">
        <v>16885</v>
      </c>
      <c r="G608" s="9" t="s">
        <v>16886</v>
      </c>
      <c r="H608" s="9" t="s">
        <v>16887</v>
      </c>
      <c r="I608" s="9" t="s">
        <v>16888</v>
      </c>
      <c r="J608" s="9" t="str">
        <f t="shared" si="28"/>
        <v>(${Variables:E2_7_7_7_kcat} * E2_7_7_7 * C00131 * C00039)/(${Variables:E2_7_7_7_km} + (E2_7_7_7 * C00131 * C00039))</v>
      </c>
      <c r="K608" s="38" t="str">
        <f t="shared" si="29"/>
        <v>r607: C00131 + C00039 -&gt; C00013 + C00039 | (${Variables:E2_7_7_7_kcat} * E2_7_7_7 * C00131 * C00039)/(${Variables:E2_7_7_7_km} + (E2_7_7_7 * C00131 * C00039))</v>
      </c>
    </row>
    <row r="609" spans="1:11" ht="42.75" x14ac:dyDescent="0.45">
      <c r="A609" t="s">
        <v>85</v>
      </c>
      <c r="B609" t="s">
        <v>86</v>
      </c>
      <c r="C609" t="s">
        <v>15153</v>
      </c>
      <c r="D609">
        <v>608</v>
      </c>
      <c r="E609" t="str">
        <f t="shared" si="27"/>
        <v>E2_7_7_7</v>
      </c>
      <c r="F609" s="9" t="s">
        <v>16889</v>
      </c>
      <c r="G609" s="9" t="s">
        <v>16890</v>
      </c>
      <c r="H609" s="9" t="s">
        <v>16887</v>
      </c>
      <c r="I609" s="9" t="s">
        <v>16888</v>
      </c>
      <c r="J609" s="9" t="str">
        <f t="shared" si="28"/>
        <v>(${Variables:E2_7_7_7_kcat} * E2_7_7_7 * C00286 * C00039)/(${Variables:E2_7_7_7_km} + (E2_7_7_7 * C00286 * C00039))</v>
      </c>
      <c r="K609" s="38" t="str">
        <f t="shared" si="29"/>
        <v>r608: C00286 + C00039 -&gt; C00013 + C00039 | (${Variables:E2_7_7_7_kcat} * E2_7_7_7 * C00286 * C00039)/(${Variables:E2_7_7_7_km} + (E2_7_7_7 * C00286 * C00039))</v>
      </c>
    </row>
    <row r="610" spans="1:11" ht="42.75" x14ac:dyDescent="0.45">
      <c r="A610" t="s">
        <v>85</v>
      </c>
      <c r="B610" t="s">
        <v>86</v>
      </c>
      <c r="C610" t="s">
        <v>15153</v>
      </c>
      <c r="D610">
        <v>609</v>
      </c>
      <c r="E610" t="str">
        <f t="shared" si="27"/>
        <v>E2_7_7_7</v>
      </c>
      <c r="F610" s="9" t="s">
        <v>16891</v>
      </c>
      <c r="G610" s="9" t="s">
        <v>16892</v>
      </c>
      <c r="H610" s="9" t="s">
        <v>16887</v>
      </c>
      <c r="I610" s="9" t="s">
        <v>16888</v>
      </c>
      <c r="J610" s="9" t="str">
        <f t="shared" si="28"/>
        <v>(${Variables:E2_7_7_7_kcat} * E2_7_7_7 * C00458 * C00039)/(${Variables:E2_7_7_7_km} + (E2_7_7_7 * C00458 * C00039))</v>
      </c>
      <c r="K610" s="38" t="str">
        <f t="shared" si="29"/>
        <v>r609: C00458 + C00039 -&gt; C00013 + C00039 | (${Variables:E2_7_7_7_kcat} * E2_7_7_7 * C00458 * C00039)/(${Variables:E2_7_7_7_km} + (E2_7_7_7 * C00458 * C00039))</v>
      </c>
    </row>
    <row r="611" spans="1:11" ht="42.75" x14ac:dyDescent="0.45">
      <c r="A611" t="s">
        <v>85</v>
      </c>
      <c r="B611" t="s">
        <v>86</v>
      </c>
      <c r="C611" t="s">
        <v>15153</v>
      </c>
      <c r="D611">
        <v>610</v>
      </c>
      <c r="E611" t="str">
        <f t="shared" si="27"/>
        <v>E2_7_7_7</v>
      </c>
      <c r="F611" s="9" t="s">
        <v>16893</v>
      </c>
      <c r="G611" s="9" t="s">
        <v>16894</v>
      </c>
      <c r="H611" s="9" t="s">
        <v>16887</v>
      </c>
      <c r="I611" s="9" t="s">
        <v>16888</v>
      </c>
      <c r="J611" s="9" t="str">
        <f t="shared" si="28"/>
        <v>(${Variables:E2_7_7_7_kcat} * E2_7_7_7 * C00459 * C00039)/(${Variables:E2_7_7_7_km} + (E2_7_7_7 * C00459 * C00039))</v>
      </c>
      <c r="K611" s="38" t="str">
        <f t="shared" si="29"/>
        <v>r610: C00459 + C00039 -&gt; C00013 + C00039 | (${Variables:E2_7_7_7_kcat} * E2_7_7_7 * C00459 * C00039)/(${Variables:E2_7_7_7_km} + (E2_7_7_7 * C00459 * C00039))</v>
      </c>
    </row>
    <row r="612" spans="1:11" ht="28.5" x14ac:dyDescent="0.45">
      <c r="A612" t="s">
        <v>85</v>
      </c>
      <c r="B612" t="s">
        <v>86</v>
      </c>
      <c r="C612" t="s">
        <v>15153</v>
      </c>
      <c r="D612">
        <v>611</v>
      </c>
      <c r="E612" t="str">
        <f t="shared" si="27"/>
        <v>E2_7_7_7</v>
      </c>
      <c r="F612" s="9" t="s">
        <v>11974</v>
      </c>
      <c r="G612" s="9" t="s">
        <v>11974</v>
      </c>
      <c r="H612" s="9" t="s">
        <v>11975</v>
      </c>
      <c r="I612" s="9" t="s">
        <v>11975</v>
      </c>
      <c r="J612" s="9" t="str">
        <f t="shared" si="28"/>
        <v>(${Variables:E2_7_7_7_kcat} * E2_7_7_7 * C11039)/(${Variables:E2_7_7_7_km} + (E2_7_7_7 * C11039))</v>
      </c>
      <c r="K612" s="38" t="str">
        <f t="shared" si="29"/>
        <v>r611: C11039 -&gt; C21031 | (${Variables:E2_7_7_7_kcat} * E2_7_7_7 * C11039)/(${Variables:E2_7_7_7_km} + (E2_7_7_7 * C11039))</v>
      </c>
    </row>
    <row r="613" spans="1:11" ht="42.75" x14ac:dyDescent="0.45">
      <c r="A613" t="s">
        <v>2637</v>
      </c>
      <c r="B613" t="s">
        <v>2638</v>
      </c>
      <c r="C613" t="s">
        <v>15153</v>
      </c>
      <c r="D613">
        <v>612</v>
      </c>
      <c r="E613" t="str">
        <f t="shared" si="27"/>
        <v>E2_7_7_7</v>
      </c>
      <c r="F613" s="9" t="s">
        <v>16895</v>
      </c>
      <c r="G613" s="9" t="s">
        <v>16896</v>
      </c>
      <c r="H613" s="9" t="s">
        <v>16887</v>
      </c>
      <c r="I613" s="9" t="s">
        <v>16888</v>
      </c>
      <c r="J613" s="9" t="str">
        <f t="shared" si="28"/>
        <v>(${Variables:E2_7_7_7_kcat} * E2_7_7_7 * C00677 * C00039)/(${Variables:E2_7_7_7_km} + (E2_7_7_7 * C00677 * C00039))</v>
      </c>
      <c r="K613" s="38" t="str">
        <f t="shared" si="29"/>
        <v>r612: C00677 + C00039 -&gt; C00013 + C00039 | (${Variables:E2_7_7_7_kcat} * E2_7_7_7 * C00677 * C00039)/(${Variables:E2_7_7_7_km} + (E2_7_7_7 * C00677 * C00039))</v>
      </c>
    </row>
    <row r="614" spans="1:11" ht="42.75" x14ac:dyDescent="0.45">
      <c r="A614" t="s">
        <v>2637</v>
      </c>
      <c r="B614" t="s">
        <v>2638</v>
      </c>
      <c r="C614" t="s">
        <v>15153</v>
      </c>
      <c r="D614">
        <v>613</v>
      </c>
      <c r="E614" t="str">
        <f t="shared" si="27"/>
        <v>E2_7_7_7</v>
      </c>
      <c r="F614" s="9" t="s">
        <v>16885</v>
      </c>
      <c r="G614" s="9" t="s">
        <v>16886</v>
      </c>
      <c r="H614" s="9" t="s">
        <v>16887</v>
      </c>
      <c r="I614" s="9" t="s">
        <v>16888</v>
      </c>
      <c r="J614" s="9" t="str">
        <f t="shared" si="28"/>
        <v>(${Variables:E2_7_7_7_kcat} * E2_7_7_7 * C00131 * C00039)/(${Variables:E2_7_7_7_km} + (E2_7_7_7 * C00131 * C00039))</v>
      </c>
      <c r="K614" s="38" t="str">
        <f t="shared" si="29"/>
        <v>r613: C00131 + C00039 -&gt; C00013 + C00039 | (${Variables:E2_7_7_7_kcat} * E2_7_7_7 * C00131 * C00039)/(${Variables:E2_7_7_7_km} + (E2_7_7_7 * C00131 * C00039))</v>
      </c>
    </row>
    <row r="615" spans="1:11" ht="42.75" x14ac:dyDescent="0.45">
      <c r="A615" t="s">
        <v>2637</v>
      </c>
      <c r="B615" t="s">
        <v>2638</v>
      </c>
      <c r="C615" t="s">
        <v>15153</v>
      </c>
      <c r="D615">
        <v>614</v>
      </c>
      <c r="E615" t="str">
        <f t="shared" si="27"/>
        <v>E2_7_7_7</v>
      </c>
      <c r="F615" s="9" t="s">
        <v>16889</v>
      </c>
      <c r="G615" s="9" t="s">
        <v>16890</v>
      </c>
      <c r="H615" s="9" t="s">
        <v>16887</v>
      </c>
      <c r="I615" s="9" t="s">
        <v>16888</v>
      </c>
      <c r="J615" s="9" t="str">
        <f t="shared" si="28"/>
        <v>(${Variables:E2_7_7_7_kcat} * E2_7_7_7 * C00286 * C00039)/(${Variables:E2_7_7_7_km} + (E2_7_7_7 * C00286 * C00039))</v>
      </c>
      <c r="K615" s="38" t="str">
        <f t="shared" si="29"/>
        <v>r614: C00286 + C00039 -&gt; C00013 + C00039 | (${Variables:E2_7_7_7_kcat} * E2_7_7_7 * C00286 * C00039)/(${Variables:E2_7_7_7_km} + (E2_7_7_7 * C00286 * C00039))</v>
      </c>
    </row>
    <row r="616" spans="1:11" ht="42.75" x14ac:dyDescent="0.45">
      <c r="A616" t="s">
        <v>2637</v>
      </c>
      <c r="B616" t="s">
        <v>2638</v>
      </c>
      <c r="C616" t="s">
        <v>15153</v>
      </c>
      <c r="D616">
        <v>615</v>
      </c>
      <c r="E616" t="str">
        <f t="shared" si="27"/>
        <v>E2_7_7_7</v>
      </c>
      <c r="F616" s="9" t="s">
        <v>16891</v>
      </c>
      <c r="G616" s="9" t="s">
        <v>16892</v>
      </c>
      <c r="H616" s="9" t="s">
        <v>16887</v>
      </c>
      <c r="I616" s="9" t="s">
        <v>16888</v>
      </c>
      <c r="J616" s="9" t="str">
        <f t="shared" si="28"/>
        <v>(${Variables:E2_7_7_7_kcat} * E2_7_7_7 * C00458 * C00039)/(${Variables:E2_7_7_7_km} + (E2_7_7_7 * C00458 * C00039))</v>
      </c>
      <c r="K616" s="38" t="str">
        <f t="shared" si="29"/>
        <v>r615: C00458 + C00039 -&gt; C00013 + C00039 | (${Variables:E2_7_7_7_kcat} * E2_7_7_7 * C00458 * C00039)/(${Variables:E2_7_7_7_km} + (E2_7_7_7 * C00458 * C00039))</v>
      </c>
    </row>
    <row r="617" spans="1:11" ht="42.75" x14ac:dyDescent="0.45">
      <c r="A617" t="s">
        <v>2637</v>
      </c>
      <c r="B617" t="s">
        <v>2638</v>
      </c>
      <c r="C617" t="s">
        <v>15153</v>
      </c>
      <c r="D617">
        <v>616</v>
      </c>
      <c r="E617" t="str">
        <f t="shared" si="27"/>
        <v>E2_7_7_7</v>
      </c>
      <c r="F617" s="9" t="s">
        <v>16893</v>
      </c>
      <c r="G617" s="9" t="s">
        <v>16894</v>
      </c>
      <c r="H617" s="9" t="s">
        <v>16887</v>
      </c>
      <c r="I617" s="9" t="s">
        <v>16888</v>
      </c>
      <c r="J617" s="9" t="str">
        <f t="shared" si="28"/>
        <v>(${Variables:E2_7_7_7_kcat} * E2_7_7_7 * C00459 * C00039)/(${Variables:E2_7_7_7_km} + (E2_7_7_7 * C00459 * C00039))</v>
      </c>
      <c r="K617" s="38" t="str">
        <f t="shared" si="29"/>
        <v>r616: C00459 + C00039 -&gt; C00013 + C00039 | (${Variables:E2_7_7_7_kcat} * E2_7_7_7 * C00459 * C00039)/(${Variables:E2_7_7_7_km} + (E2_7_7_7 * C00459 * C00039))</v>
      </c>
    </row>
    <row r="618" spans="1:11" ht="28.5" x14ac:dyDescent="0.45">
      <c r="A618" t="s">
        <v>2637</v>
      </c>
      <c r="B618" t="s">
        <v>2638</v>
      </c>
      <c r="C618" t="s">
        <v>15153</v>
      </c>
      <c r="D618">
        <v>617</v>
      </c>
      <c r="E618" t="str">
        <f t="shared" si="27"/>
        <v>E2_7_7_7</v>
      </c>
      <c r="F618" s="9" t="s">
        <v>11974</v>
      </c>
      <c r="G618" s="9" t="s">
        <v>11974</v>
      </c>
      <c r="H618" s="9" t="s">
        <v>11975</v>
      </c>
      <c r="I618" s="9" t="s">
        <v>11975</v>
      </c>
      <c r="J618" s="9" t="str">
        <f t="shared" si="28"/>
        <v>(${Variables:E2_7_7_7_kcat} * E2_7_7_7 * C11039)/(${Variables:E2_7_7_7_km} + (E2_7_7_7 * C11039))</v>
      </c>
      <c r="K618" s="38" t="str">
        <f t="shared" si="29"/>
        <v>r617: C11039 -&gt; C21031 | (${Variables:E2_7_7_7_kcat} * E2_7_7_7 * C11039)/(${Variables:E2_7_7_7_km} + (E2_7_7_7 * C11039))</v>
      </c>
    </row>
    <row r="619" spans="1:11" ht="42.75" x14ac:dyDescent="0.45">
      <c r="A619" t="s">
        <v>3010</v>
      </c>
      <c r="B619" t="s">
        <v>3011</v>
      </c>
      <c r="C619" t="s">
        <v>15153</v>
      </c>
      <c r="D619">
        <v>618</v>
      </c>
      <c r="E619" t="str">
        <f t="shared" si="27"/>
        <v>E2_7_7_7</v>
      </c>
      <c r="F619" s="9" t="s">
        <v>16895</v>
      </c>
      <c r="G619" s="9" t="s">
        <v>16896</v>
      </c>
      <c r="H619" s="9" t="s">
        <v>16887</v>
      </c>
      <c r="I619" s="9" t="s">
        <v>16888</v>
      </c>
      <c r="J619" s="9" t="str">
        <f t="shared" si="28"/>
        <v>(${Variables:E2_7_7_7_kcat} * E2_7_7_7 * C00677 * C00039)/(${Variables:E2_7_7_7_km} + (E2_7_7_7 * C00677 * C00039))</v>
      </c>
      <c r="K619" s="38" t="str">
        <f t="shared" si="29"/>
        <v>r618: C00677 + C00039 -&gt; C00013 + C00039 | (${Variables:E2_7_7_7_kcat} * E2_7_7_7 * C00677 * C00039)/(${Variables:E2_7_7_7_km} + (E2_7_7_7 * C00677 * C00039))</v>
      </c>
    </row>
    <row r="620" spans="1:11" ht="42.75" x14ac:dyDescent="0.45">
      <c r="A620" t="s">
        <v>3010</v>
      </c>
      <c r="B620" t="s">
        <v>3011</v>
      </c>
      <c r="C620" t="s">
        <v>15153</v>
      </c>
      <c r="D620">
        <v>619</v>
      </c>
      <c r="E620" t="str">
        <f t="shared" si="27"/>
        <v>E2_7_7_7</v>
      </c>
      <c r="F620" s="9" t="s">
        <v>16885</v>
      </c>
      <c r="G620" s="9" t="s">
        <v>16886</v>
      </c>
      <c r="H620" s="9" t="s">
        <v>16887</v>
      </c>
      <c r="I620" s="9" t="s">
        <v>16888</v>
      </c>
      <c r="J620" s="9" t="str">
        <f t="shared" si="28"/>
        <v>(${Variables:E2_7_7_7_kcat} * E2_7_7_7 * C00131 * C00039)/(${Variables:E2_7_7_7_km} + (E2_7_7_7 * C00131 * C00039))</v>
      </c>
      <c r="K620" s="38" t="str">
        <f t="shared" si="29"/>
        <v>r619: C00131 + C00039 -&gt; C00013 + C00039 | (${Variables:E2_7_7_7_kcat} * E2_7_7_7 * C00131 * C00039)/(${Variables:E2_7_7_7_km} + (E2_7_7_7 * C00131 * C00039))</v>
      </c>
    </row>
    <row r="621" spans="1:11" ht="42.75" x14ac:dyDescent="0.45">
      <c r="A621" t="s">
        <v>3010</v>
      </c>
      <c r="B621" t="s">
        <v>3011</v>
      </c>
      <c r="C621" t="s">
        <v>15153</v>
      </c>
      <c r="D621">
        <v>620</v>
      </c>
      <c r="E621" t="str">
        <f t="shared" si="27"/>
        <v>E2_7_7_7</v>
      </c>
      <c r="F621" s="9" t="s">
        <v>16889</v>
      </c>
      <c r="G621" s="9" t="s">
        <v>16890</v>
      </c>
      <c r="H621" s="9" t="s">
        <v>16887</v>
      </c>
      <c r="I621" s="9" t="s">
        <v>16888</v>
      </c>
      <c r="J621" s="9" t="str">
        <f t="shared" si="28"/>
        <v>(${Variables:E2_7_7_7_kcat} * E2_7_7_7 * C00286 * C00039)/(${Variables:E2_7_7_7_km} + (E2_7_7_7 * C00286 * C00039))</v>
      </c>
      <c r="K621" s="38" t="str">
        <f t="shared" si="29"/>
        <v>r620: C00286 + C00039 -&gt; C00013 + C00039 | (${Variables:E2_7_7_7_kcat} * E2_7_7_7 * C00286 * C00039)/(${Variables:E2_7_7_7_km} + (E2_7_7_7 * C00286 * C00039))</v>
      </c>
    </row>
    <row r="622" spans="1:11" ht="42.75" x14ac:dyDescent="0.45">
      <c r="A622" t="s">
        <v>3010</v>
      </c>
      <c r="B622" t="s">
        <v>3011</v>
      </c>
      <c r="C622" t="s">
        <v>15153</v>
      </c>
      <c r="D622">
        <v>621</v>
      </c>
      <c r="E622" t="str">
        <f t="shared" si="27"/>
        <v>E2_7_7_7</v>
      </c>
      <c r="F622" s="9" t="s">
        <v>16891</v>
      </c>
      <c r="G622" s="9" t="s">
        <v>16892</v>
      </c>
      <c r="H622" s="9" t="s">
        <v>16887</v>
      </c>
      <c r="I622" s="9" t="s">
        <v>16888</v>
      </c>
      <c r="J622" s="9" t="str">
        <f t="shared" si="28"/>
        <v>(${Variables:E2_7_7_7_kcat} * E2_7_7_7 * C00458 * C00039)/(${Variables:E2_7_7_7_km} + (E2_7_7_7 * C00458 * C00039))</v>
      </c>
      <c r="K622" s="38" t="str">
        <f t="shared" si="29"/>
        <v>r621: C00458 + C00039 -&gt; C00013 + C00039 | (${Variables:E2_7_7_7_kcat} * E2_7_7_7 * C00458 * C00039)/(${Variables:E2_7_7_7_km} + (E2_7_7_7 * C00458 * C00039))</v>
      </c>
    </row>
    <row r="623" spans="1:11" ht="42.75" x14ac:dyDescent="0.45">
      <c r="A623" t="s">
        <v>3010</v>
      </c>
      <c r="B623" t="s">
        <v>3011</v>
      </c>
      <c r="C623" t="s">
        <v>15153</v>
      </c>
      <c r="D623">
        <v>622</v>
      </c>
      <c r="E623" t="str">
        <f t="shared" si="27"/>
        <v>E2_7_7_7</v>
      </c>
      <c r="F623" s="9" t="s">
        <v>16893</v>
      </c>
      <c r="G623" s="9" t="s">
        <v>16894</v>
      </c>
      <c r="H623" s="9" t="s">
        <v>16887</v>
      </c>
      <c r="I623" s="9" t="s">
        <v>16888</v>
      </c>
      <c r="J623" s="9" t="str">
        <f t="shared" si="28"/>
        <v>(${Variables:E2_7_7_7_kcat} * E2_7_7_7 * C00459 * C00039)/(${Variables:E2_7_7_7_km} + (E2_7_7_7 * C00459 * C00039))</v>
      </c>
      <c r="K623" s="38" t="str">
        <f t="shared" si="29"/>
        <v>r622: C00459 + C00039 -&gt; C00013 + C00039 | (${Variables:E2_7_7_7_kcat} * E2_7_7_7 * C00459 * C00039)/(${Variables:E2_7_7_7_km} + (E2_7_7_7 * C00459 * C00039))</v>
      </c>
    </row>
    <row r="624" spans="1:11" ht="28.5" x14ac:dyDescent="0.45">
      <c r="A624" t="s">
        <v>3010</v>
      </c>
      <c r="B624" t="s">
        <v>3011</v>
      </c>
      <c r="C624" t="s">
        <v>15153</v>
      </c>
      <c r="D624">
        <v>623</v>
      </c>
      <c r="E624" t="str">
        <f t="shared" si="27"/>
        <v>E2_7_7_7</v>
      </c>
      <c r="F624" s="9" t="s">
        <v>11974</v>
      </c>
      <c r="G624" s="9" t="s">
        <v>11974</v>
      </c>
      <c r="H624" s="9" t="s">
        <v>11975</v>
      </c>
      <c r="I624" s="9" t="s">
        <v>11975</v>
      </c>
      <c r="J624" s="9" t="str">
        <f t="shared" si="28"/>
        <v>(${Variables:E2_7_7_7_kcat} * E2_7_7_7 * C11039)/(${Variables:E2_7_7_7_km} + (E2_7_7_7 * C11039))</v>
      </c>
      <c r="K624" s="38" t="str">
        <f t="shared" si="29"/>
        <v>r623: C11039 -&gt; C21031 | (${Variables:E2_7_7_7_kcat} * E2_7_7_7 * C11039)/(${Variables:E2_7_7_7_km} + (E2_7_7_7 * C11039))</v>
      </c>
    </row>
    <row r="625" spans="1:11" ht="42.75" x14ac:dyDescent="0.45">
      <c r="A625" t="s">
        <v>3565</v>
      </c>
      <c r="B625" t="s">
        <v>3566</v>
      </c>
      <c r="C625" t="s">
        <v>15153</v>
      </c>
      <c r="D625">
        <v>624</v>
      </c>
      <c r="E625" t="str">
        <f t="shared" si="27"/>
        <v>E2_7_7_7</v>
      </c>
      <c r="F625" s="9" t="s">
        <v>16895</v>
      </c>
      <c r="G625" s="9" t="s">
        <v>16896</v>
      </c>
      <c r="H625" s="9" t="s">
        <v>16887</v>
      </c>
      <c r="I625" s="9" t="s">
        <v>16888</v>
      </c>
      <c r="J625" s="9" t="str">
        <f t="shared" si="28"/>
        <v>(${Variables:E2_7_7_7_kcat} * E2_7_7_7 * C00677 * C00039)/(${Variables:E2_7_7_7_km} + (E2_7_7_7 * C00677 * C00039))</v>
      </c>
      <c r="K625" s="38" t="str">
        <f t="shared" si="29"/>
        <v>r624: C00677 + C00039 -&gt; C00013 + C00039 | (${Variables:E2_7_7_7_kcat} * E2_7_7_7 * C00677 * C00039)/(${Variables:E2_7_7_7_km} + (E2_7_7_7 * C00677 * C00039))</v>
      </c>
    </row>
    <row r="626" spans="1:11" ht="42.75" x14ac:dyDescent="0.45">
      <c r="A626" t="s">
        <v>3565</v>
      </c>
      <c r="B626" t="s">
        <v>3566</v>
      </c>
      <c r="C626" t="s">
        <v>15153</v>
      </c>
      <c r="D626">
        <v>625</v>
      </c>
      <c r="E626" t="str">
        <f t="shared" si="27"/>
        <v>E2_7_7_7</v>
      </c>
      <c r="F626" s="9" t="s">
        <v>16885</v>
      </c>
      <c r="G626" s="9" t="s">
        <v>16886</v>
      </c>
      <c r="H626" s="9" t="s">
        <v>16887</v>
      </c>
      <c r="I626" s="9" t="s">
        <v>16888</v>
      </c>
      <c r="J626" s="9" t="str">
        <f t="shared" si="28"/>
        <v>(${Variables:E2_7_7_7_kcat} * E2_7_7_7 * C00131 * C00039)/(${Variables:E2_7_7_7_km} + (E2_7_7_7 * C00131 * C00039))</v>
      </c>
      <c r="K626" s="38" t="str">
        <f t="shared" si="29"/>
        <v>r625: C00131 + C00039 -&gt; C00013 + C00039 | (${Variables:E2_7_7_7_kcat} * E2_7_7_7 * C00131 * C00039)/(${Variables:E2_7_7_7_km} + (E2_7_7_7 * C00131 * C00039))</v>
      </c>
    </row>
    <row r="627" spans="1:11" ht="42.75" x14ac:dyDescent="0.45">
      <c r="A627" t="s">
        <v>3565</v>
      </c>
      <c r="B627" t="s">
        <v>3566</v>
      </c>
      <c r="C627" t="s">
        <v>15153</v>
      </c>
      <c r="D627">
        <v>626</v>
      </c>
      <c r="E627" t="str">
        <f t="shared" si="27"/>
        <v>E2_7_7_7</v>
      </c>
      <c r="F627" s="9" t="s">
        <v>16889</v>
      </c>
      <c r="G627" s="9" t="s">
        <v>16890</v>
      </c>
      <c r="H627" s="9" t="s">
        <v>16887</v>
      </c>
      <c r="I627" s="9" t="s">
        <v>16888</v>
      </c>
      <c r="J627" s="9" t="str">
        <f t="shared" si="28"/>
        <v>(${Variables:E2_7_7_7_kcat} * E2_7_7_7 * C00286 * C00039)/(${Variables:E2_7_7_7_km} + (E2_7_7_7 * C00286 * C00039))</v>
      </c>
      <c r="K627" s="38" t="str">
        <f t="shared" si="29"/>
        <v>r626: C00286 + C00039 -&gt; C00013 + C00039 | (${Variables:E2_7_7_7_kcat} * E2_7_7_7 * C00286 * C00039)/(${Variables:E2_7_7_7_km} + (E2_7_7_7 * C00286 * C00039))</v>
      </c>
    </row>
    <row r="628" spans="1:11" ht="42.75" x14ac:dyDescent="0.45">
      <c r="A628" t="s">
        <v>3565</v>
      </c>
      <c r="B628" t="s">
        <v>3566</v>
      </c>
      <c r="C628" t="s">
        <v>15153</v>
      </c>
      <c r="D628">
        <v>627</v>
      </c>
      <c r="E628" t="str">
        <f t="shared" si="27"/>
        <v>E2_7_7_7</v>
      </c>
      <c r="F628" s="9" t="s">
        <v>16891</v>
      </c>
      <c r="G628" s="9" t="s">
        <v>16892</v>
      </c>
      <c r="H628" s="9" t="s">
        <v>16887</v>
      </c>
      <c r="I628" s="9" t="s">
        <v>16888</v>
      </c>
      <c r="J628" s="9" t="str">
        <f t="shared" si="28"/>
        <v>(${Variables:E2_7_7_7_kcat} * E2_7_7_7 * C00458 * C00039)/(${Variables:E2_7_7_7_km} + (E2_7_7_7 * C00458 * C00039))</v>
      </c>
      <c r="K628" s="38" t="str">
        <f t="shared" si="29"/>
        <v>r627: C00458 + C00039 -&gt; C00013 + C00039 | (${Variables:E2_7_7_7_kcat} * E2_7_7_7 * C00458 * C00039)/(${Variables:E2_7_7_7_km} + (E2_7_7_7 * C00458 * C00039))</v>
      </c>
    </row>
    <row r="629" spans="1:11" ht="42.75" x14ac:dyDescent="0.45">
      <c r="A629" t="s">
        <v>3565</v>
      </c>
      <c r="B629" t="s">
        <v>3566</v>
      </c>
      <c r="C629" t="s">
        <v>15153</v>
      </c>
      <c r="D629">
        <v>628</v>
      </c>
      <c r="E629" t="str">
        <f t="shared" si="27"/>
        <v>E2_7_7_7</v>
      </c>
      <c r="F629" s="9" t="s">
        <v>16893</v>
      </c>
      <c r="G629" s="9" t="s">
        <v>16894</v>
      </c>
      <c r="H629" s="9" t="s">
        <v>16887</v>
      </c>
      <c r="I629" s="9" t="s">
        <v>16888</v>
      </c>
      <c r="J629" s="9" t="str">
        <f t="shared" si="28"/>
        <v>(${Variables:E2_7_7_7_kcat} * E2_7_7_7 * C00459 * C00039)/(${Variables:E2_7_7_7_km} + (E2_7_7_7 * C00459 * C00039))</v>
      </c>
      <c r="K629" s="38" t="str">
        <f t="shared" si="29"/>
        <v>r628: C00459 + C00039 -&gt; C00013 + C00039 | (${Variables:E2_7_7_7_kcat} * E2_7_7_7 * C00459 * C00039)/(${Variables:E2_7_7_7_km} + (E2_7_7_7 * C00459 * C00039))</v>
      </c>
    </row>
    <row r="630" spans="1:11" ht="28.5" x14ac:dyDescent="0.45">
      <c r="A630" t="s">
        <v>3565</v>
      </c>
      <c r="B630" t="s">
        <v>3566</v>
      </c>
      <c r="C630" t="s">
        <v>15153</v>
      </c>
      <c r="D630">
        <v>629</v>
      </c>
      <c r="E630" t="str">
        <f t="shared" si="27"/>
        <v>E2_7_7_7</v>
      </c>
      <c r="F630" s="9" t="s">
        <v>11974</v>
      </c>
      <c r="G630" s="9" t="s">
        <v>11974</v>
      </c>
      <c r="H630" s="9" t="s">
        <v>11975</v>
      </c>
      <c r="I630" s="9" t="s">
        <v>11975</v>
      </c>
      <c r="J630" s="9" t="str">
        <f t="shared" si="28"/>
        <v>(${Variables:E2_7_7_7_kcat} * E2_7_7_7 * C11039)/(${Variables:E2_7_7_7_km} + (E2_7_7_7 * C11039))</v>
      </c>
      <c r="K630" s="38" t="str">
        <f t="shared" si="29"/>
        <v>r629: C11039 -&gt; C21031 | (${Variables:E2_7_7_7_kcat} * E2_7_7_7 * C11039)/(${Variables:E2_7_7_7_km} + (E2_7_7_7 * C11039))</v>
      </c>
    </row>
    <row r="631" spans="1:11" ht="42.75" x14ac:dyDescent="0.45">
      <c r="A631" t="s">
        <v>7001</v>
      </c>
      <c r="B631" t="s">
        <v>7002</v>
      </c>
      <c r="C631" t="s">
        <v>15153</v>
      </c>
      <c r="D631">
        <v>630</v>
      </c>
      <c r="E631" t="str">
        <f t="shared" si="27"/>
        <v>E2_7_7_7</v>
      </c>
      <c r="F631" s="9" t="s">
        <v>16895</v>
      </c>
      <c r="G631" s="9" t="s">
        <v>16896</v>
      </c>
      <c r="H631" s="9" t="s">
        <v>16887</v>
      </c>
      <c r="I631" s="9" t="s">
        <v>16888</v>
      </c>
      <c r="J631" s="9" t="str">
        <f t="shared" si="28"/>
        <v>(${Variables:E2_7_7_7_kcat} * E2_7_7_7 * C00677 * C00039)/(${Variables:E2_7_7_7_km} + (E2_7_7_7 * C00677 * C00039))</v>
      </c>
      <c r="K631" s="38" t="str">
        <f t="shared" si="29"/>
        <v>r630: C00677 + C00039 -&gt; C00013 + C00039 | (${Variables:E2_7_7_7_kcat} * E2_7_7_7 * C00677 * C00039)/(${Variables:E2_7_7_7_km} + (E2_7_7_7 * C00677 * C00039))</v>
      </c>
    </row>
    <row r="632" spans="1:11" ht="42.75" x14ac:dyDescent="0.45">
      <c r="A632" t="s">
        <v>7001</v>
      </c>
      <c r="B632" t="s">
        <v>7002</v>
      </c>
      <c r="C632" t="s">
        <v>15153</v>
      </c>
      <c r="D632">
        <v>631</v>
      </c>
      <c r="E632" t="str">
        <f t="shared" si="27"/>
        <v>E2_7_7_7</v>
      </c>
      <c r="F632" s="9" t="s">
        <v>16885</v>
      </c>
      <c r="G632" s="9" t="s">
        <v>16886</v>
      </c>
      <c r="H632" s="9" t="s">
        <v>16887</v>
      </c>
      <c r="I632" s="9" t="s">
        <v>16888</v>
      </c>
      <c r="J632" s="9" t="str">
        <f t="shared" si="28"/>
        <v>(${Variables:E2_7_7_7_kcat} * E2_7_7_7 * C00131 * C00039)/(${Variables:E2_7_7_7_km} + (E2_7_7_7 * C00131 * C00039))</v>
      </c>
      <c r="K632" s="38" t="str">
        <f t="shared" si="29"/>
        <v>r631: C00131 + C00039 -&gt; C00013 + C00039 | (${Variables:E2_7_7_7_kcat} * E2_7_7_7 * C00131 * C00039)/(${Variables:E2_7_7_7_km} + (E2_7_7_7 * C00131 * C00039))</v>
      </c>
    </row>
    <row r="633" spans="1:11" ht="42.75" x14ac:dyDescent="0.45">
      <c r="A633" t="s">
        <v>7001</v>
      </c>
      <c r="B633" t="s">
        <v>7002</v>
      </c>
      <c r="C633" t="s">
        <v>15153</v>
      </c>
      <c r="D633">
        <v>632</v>
      </c>
      <c r="E633" t="str">
        <f t="shared" si="27"/>
        <v>E2_7_7_7</v>
      </c>
      <c r="F633" s="9" t="s">
        <v>16889</v>
      </c>
      <c r="G633" s="9" t="s">
        <v>16890</v>
      </c>
      <c r="H633" s="9" t="s">
        <v>16887</v>
      </c>
      <c r="I633" s="9" t="s">
        <v>16888</v>
      </c>
      <c r="J633" s="9" t="str">
        <f t="shared" si="28"/>
        <v>(${Variables:E2_7_7_7_kcat} * E2_7_7_7 * C00286 * C00039)/(${Variables:E2_7_7_7_km} + (E2_7_7_7 * C00286 * C00039))</v>
      </c>
      <c r="K633" s="38" t="str">
        <f t="shared" si="29"/>
        <v>r632: C00286 + C00039 -&gt; C00013 + C00039 | (${Variables:E2_7_7_7_kcat} * E2_7_7_7 * C00286 * C00039)/(${Variables:E2_7_7_7_km} + (E2_7_7_7 * C00286 * C00039))</v>
      </c>
    </row>
    <row r="634" spans="1:11" ht="42.75" x14ac:dyDescent="0.45">
      <c r="A634" t="s">
        <v>7001</v>
      </c>
      <c r="B634" t="s">
        <v>7002</v>
      </c>
      <c r="C634" t="s">
        <v>15153</v>
      </c>
      <c r="D634">
        <v>633</v>
      </c>
      <c r="E634" t="str">
        <f t="shared" si="27"/>
        <v>E2_7_7_7</v>
      </c>
      <c r="F634" s="9" t="s">
        <v>16891</v>
      </c>
      <c r="G634" s="9" t="s">
        <v>16892</v>
      </c>
      <c r="H634" s="9" t="s">
        <v>16887</v>
      </c>
      <c r="I634" s="9" t="s">
        <v>16888</v>
      </c>
      <c r="J634" s="9" t="str">
        <f t="shared" si="28"/>
        <v>(${Variables:E2_7_7_7_kcat} * E2_7_7_7 * C00458 * C00039)/(${Variables:E2_7_7_7_km} + (E2_7_7_7 * C00458 * C00039))</v>
      </c>
      <c r="K634" s="38" t="str">
        <f t="shared" si="29"/>
        <v>r633: C00458 + C00039 -&gt; C00013 + C00039 | (${Variables:E2_7_7_7_kcat} * E2_7_7_7 * C00458 * C00039)/(${Variables:E2_7_7_7_km} + (E2_7_7_7 * C00458 * C00039))</v>
      </c>
    </row>
    <row r="635" spans="1:11" ht="42.75" x14ac:dyDescent="0.45">
      <c r="A635" t="s">
        <v>7001</v>
      </c>
      <c r="B635" t="s">
        <v>7002</v>
      </c>
      <c r="C635" t="s">
        <v>15153</v>
      </c>
      <c r="D635">
        <v>634</v>
      </c>
      <c r="E635" t="str">
        <f t="shared" si="27"/>
        <v>E2_7_7_7</v>
      </c>
      <c r="F635" s="9" t="s">
        <v>16893</v>
      </c>
      <c r="G635" s="9" t="s">
        <v>16894</v>
      </c>
      <c r="H635" s="9" t="s">
        <v>16887</v>
      </c>
      <c r="I635" s="9" t="s">
        <v>16888</v>
      </c>
      <c r="J635" s="9" t="str">
        <f t="shared" si="28"/>
        <v>(${Variables:E2_7_7_7_kcat} * E2_7_7_7 * C00459 * C00039)/(${Variables:E2_7_7_7_km} + (E2_7_7_7 * C00459 * C00039))</v>
      </c>
      <c r="K635" s="38" t="str">
        <f t="shared" si="29"/>
        <v>r634: C00459 + C00039 -&gt; C00013 + C00039 | (${Variables:E2_7_7_7_kcat} * E2_7_7_7 * C00459 * C00039)/(${Variables:E2_7_7_7_km} + (E2_7_7_7 * C00459 * C00039))</v>
      </c>
    </row>
    <row r="636" spans="1:11" ht="28.5" x14ac:dyDescent="0.45">
      <c r="A636" t="s">
        <v>7001</v>
      </c>
      <c r="B636" t="s">
        <v>7002</v>
      </c>
      <c r="C636" t="s">
        <v>15153</v>
      </c>
      <c r="D636">
        <v>635</v>
      </c>
      <c r="E636" t="str">
        <f t="shared" si="27"/>
        <v>E2_7_7_7</v>
      </c>
      <c r="F636" s="9" t="s">
        <v>11974</v>
      </c>
      <c r="G636" s="9" t="s">
        <v>11974</v>
      </c>
      <c r="H636" s="9" t="s">
        <v>11975</v>
      </c>
      <c r="I636" s="9" t="s">
        <v>11975</v>
      </c>
      <c r="J636" s="9" t="str">
        <f t="shared" si="28"/>
        <v>(${Variables:E2_7_7_7_kcat} * E2_7_7_7 * C11039)/(${Variables:E2_7_7_7_km} + (E2_7_7_7 * C11039))</v>
      </c>
      <c r="K636" s="38" t="str">
        <f t="shared" si="29"/>
        <v>r635: C11039 -&gt; C21031 | (${Variables:E2_7_7_7_kcat} * E2_7_7_7 * C11039)/(${Variables:E2_7_7_7_km} + (E2_7_7_7 * C11039))</v>
      </c>
    </row>
    <row r="637" spans="1:11" ht="42.75" x14ac:dyDescent="0.45">
      <c r="A637" t="s">
        <v>9305</v>
      </c>
      <c r="B637" t="s">
        <v>9306</v>
      </c>
      <c r="C637" t="s">
        <v>15153</v>
      </c>
      <c r="D637">
        <v>636</v>
      </c>
      <c r="E637" t="str">
        <f t="shared" si="27"/>
        <v>E2_7_7_7</v>
      </c>
      <c r="F637" s="9" t="s">
        <v>16895</v>
      </c>
      <c r="G637" s="9" t="s">
        <v>16896</v>
      </c>
      <c r="H637" s="9" t="s">
        <v>16887</v>
      </c>
      <c r="I637" s="9" t="s">
        <v>16888</v>
      </c>
      <c r="J637" s="9" t="str">
        <f t="shared" si="28"/>
        <v>(${Variables:E2_7_7_7_kcat} * E2_7_7_7 * C00677 * C00039)/(${Variables:E2_7_7_7_km} + (E2_7_7_7 * C00677 * C00039))</v>
      </c>
      <c r="K637" s="38" t="str">
        <f t="shared" si="29"/>
        <v>r636: C00677 + C00039 -&gt; C00013 + C00039 | (${Variables:E2_7_7_7_kcat} * E2_7_7_7 * C00677 * C00039)/(${Variables:E2_7_7_7_km} + (E2_7_7_7 * C00677 * C00039))</v>
      </c>
    </row>
    <row r="638" spans="1:11" ht="42.75" x14ac:dyDescent="0.45">
      <c r="A638" t="s">
        <v>9305</v>
      </c>
      <c r="B638" t="s">
        <v>9306</v>
      </c>
      <c r="C638" t="s">
        <v>15153</v>
      </c>
      <c r="D638">
        <v>637</v>
      </c>
      <c r="E638" t="str">
        <f t="shared" si="27"/>
        <v>E2_7_7_7</v>
      </c>
      <c r="F638" s="9" t="s">
        <v>16885</v>
      </c>
      <c r="G638" s="9" t="s">
        <v>16886</v>
      </c>
      <c r="H638" s="9" t="s">
        <v>16887</v>
      </c>
      <c r="I638" s="9" t="s">
        <v>16888</v>
      </c>
      <c r="J638" s="9" t="str">
        <f t="shared" si="28"/>
        <v>(${Variables:E2_7_7_7_kcat} * E2_7_7_7 * C00131 * C00039)/(${Variables:E2_7_7_7_km} + (E2_7_7_7 * C00131 * C00039))</v>
      </c>
      <c r="K638" s="38" t="str">
        <f t="shared" si="29"/>
        <v>r637: C00131 + C00039 -&gt; C00013 + C00039 | (${Variables:E2_7_7_7_kcat} * E2_7_7_7 * C00131 * C00039)/(${Variables:E2_7_7_7_km} + (E2_7_7_7 * C00131 * C00039))</v>
      </c>
    </row>
    <row r="639" spans="1:11" ht="42.75" x14ac:dyDescent="0.45">
      <c r="A639" t="s">
        <v>9305</v>
      </c>
      <c r="B639" t="s">
        <v>9306</v>
      </c>
      <c r="C639" t="s">
        <v>15153</v>
      </c>
      <c r="D639">
        <v>638</v>
      </c>
      <c r="E639" t="str">
        <f t="shared" si="27"/>
        <v>E2_7_7_7</v>
      </c>
      <c r="F639" s="9" t="s">
        <v>16889</v>
      </c>
      <c r="G639" s="9" t="s">
        <v>16890</v>
      </c>
      <c r="H639" s="9" t="s">
        <v>16887</v>
      </c>
      <c r="I639" s="9" t="s">
        <v>16888</v>
      </c>
      <c r="J639" s="9" t="str">
        <f t="shared" si="28"/>
        <v>(${Variables:E2_7_7_7_kcat} * E2_7_7_7 * C00286 * C00039)/(${Variables:E2_7_7_7_km} + (E2_7_7_7 * C00286 * C00039))</v>
      </c>
      <c r="K639" s="38" t="str">
        <f t="shared" si="29"/>
        <v>r638: C00286 + C00039 -&gt; C00013 + C00039 | (${Variables:E2_7_7_7_kcat} * E2_7_7_7 * C00286 * C00039)/(${Variables:E2_7_7_7_km} + (E2_7_7_7 * C00286 * C00039))</v>
      </c>
    </row>
    <row r="640" spans="1:11" ht="42.75" x14ac:dyDescent="0.45">
      <c r="A640" t="s">
        <v>9305</v>
      </c>
      <c r="B640" t="s">
        <v>9306</v>
      </c>
      <c r="C640" t="s">
        <v>15153</v>
      </c>
      <c r="D640">
        <v>639</v>
      </c>
      <c r="E640" t="str">
        <f t="shared" si="27"/>
        <v>E2_7_7_7</v>
      </c>
      <c r="F640" s="9" t="s">
        <v>16891</v>
      </c>
      <c r="G640" s="9" t="s">
        <v>16892</v>
      </c>
      <c r="H640" s="9" t="s">
        <v>16887</v>
      </c>
      <c r="I640" s="9" t="s">
        <v>16888</v>
      </c>
      <c r="J640" s="9" t="str">
        <f t="shared" si="28"/>
        <v>(${Variables:E2_7_7_7_kcat} * E2_7_7_7 * C00458 * C00039)/(${Variables:E2_7_7_7_km} + (E2_7_7_7 * C00458 * C00039))</v>
      </c>
      <c r="K640" s="38" t="str">
        <f t="shared" si="29"/>
        <v>r639: C00458 + C00039 -&gt; C00013 + C00039 | (${Variables:E2_7_7_7_kcat} * E2_7_7_7 * C00458 * C00039)/(${Variables:E2_7_7_7_km} + (E2_7_7_7 * C00458 * C00039))</v>
      </c>
    </row>
    <row r="641" spans="1:11" ht="42.75" x14ac:dyDescent="0.45">
      <c r="A641" t="s">
        <v>9305</v>
      </c>
      <c r="B641" t="s">
        <v>9306</v>
      </c>
      <c r="C641" t="s">
        <v>15153</v>
      </c>
      <c r="D641">
        <v>640</v>
      </c>
      <c r="E641" t="str">
        <f t="shared" si="27"/>
        <v>E2_7_7_7</v>
      </c>
      <c r="F641" s="9" t="s">
        <v>16893</v>
      </c>
      <c r="G641" s="9" t="s">
        <v>16894</v>
      </c>
      <c r="H641" s="9" t="s">
        <v>16887</v>
      </c>
      <c r="I641" s="9" t="s">
        <v>16888</v>
      </c>
      <c r="J641" s="9" t="str">
        <f t="shared" si="28"/>
        <v>(${Variables:E2_7_7_7_kcat} * E2_7_7_7 * C00459 * C00039)/(${Variables:E2_7_7_7_km} + (E2_7_7_7 * C00459 * C00039))</v>
      </c>
      <c r="K641" s="38" t="str">
        <f t="shared" si="29"/>
        <v>r640: C00459 + C00039 -&gt; C00013 + C00039 | (${Variables:E2_7_7_7_kcat} * E2_7_7_7 * C00459 * C00039)/(${Variables:E2_7_7_7_km} + (E2_7_7_7 * C00459 * C00039))</v>
      </c>
    </row>
    <row r="642" spans="1:11" ht="28.5" x14ac:dyDescent="0.45">
      <c r="A642" t="s">
        <v>9305</v>
      </c>
      <c r="B642" t="s">
        <v>9306</v>
      </c>
      <c r="C642" t="s">
        <v>15153</v>
      </c>
      <c r="D642">
        <v>641</v>
      </c>
      <c r="E642" t="str">
        <f t="shared" si="27"/>
        <v>E2_7_7_7</v>
      </c>
      <c r="F642" s="9" t="s">
        <v>11974</v>
      </c>
      <c r="G642" s="9" t="s">
        <v>11974</v>
      </c>
      <c r="H642" s="9" t="s">
        <v>11975</v>
      </c>
      <c r="I642" s="9" t="s">
        <v>11975</v>
      </c>
      <c r="J642" s="9" t="str">
        <f t="shared" si="28"/>
        <v>(${Variables:E2_7_7_7_kcat} * E2_7_7_7 * C11039)/(${Variables:E2_7_7_7_km} + (E2_7_7_7 * C11039))</v>
      </c>
      <c r="K642" s="38" t="str">
        <f t="shared" si="29"/>
        <v>r641: C11039 -&gt; C21031 | (${Variables:E2_7_7_7_kcat} * E2_7_7_7 * C11039)/(${Variables:E2_7_7_7_km} + (E2_7_7_7 * C11039))</v>
      </c>
    </row>
    <row r="643" spans="1:11" ht="42.75" x14ac:dyDescent="0.45">
      <c r="A643" t="s">
        <v>9804</v>
      </c>
      <c r="B643" t="s">
        <v>9805</v>
      </c>
      <c r="C643" t="s">
        <v>15153</v>
      </c>
      <c r="D643">
        <v>642</v>
      </c>
      <c r="E643" t="str">
        <f t="shared" ref="E643:E706" si="30">CONCATENATE("E",C643)</f>
        <v>E2_7_7_7</v>
      </c>
      <c r="F643" s="9" t="s">
        <v>16895</v>
      </c>
      <c r="G643" s="9" t="s">
        <v>16896</v>
      </c>
      <c r="H643" s="9" t="s">
        <v>16887</v>
      </c>
      <c r="I643" s="9" t="s">
        <v>16888</v>
      </c>
      <c r="J643" s="9" t="str">
        <f t="shared" ref="J643:J706" si="31">CONCATENATE("(${Variables:",E643,"_kcat","} * ",E643," * ",G643,")","/(${Variables:",E643,"_km","} + (",E643," * ",G643,"))")</f>
        <v>(${Variables:E2_7_7_7_kcat} * E2_7_7_7 * C00677 * C00039)/(${Variables:E2_7_7_7_km} + (E2_7_7_7 * C00677 * C00039))</v>
      </c>
      <c r="K643" s="38" t="str">
        <f t="shared" ref="K643:K706" si="32">CONCATENATE("r",D643,": ",F643," -&gt; ",H643," | ",J643)</f>
        <v>r642: C00677 + C00039 -&gt; C00013 + C00039 | (${Variables:E2_7_7_7_kcat} * E2_7_7_7 * C00677 * C00039)/(${Variables:E2_7_7_7_km} + (E2_7_7_7 * C00677 * C00039))</v>
      </c>
    </row>
    <row r="644" spans="1:11" ht="42.75" x14ac:dyDescent="0.45">
      <c r="A644" t="s">
        <v>9804</v>
      </c>
      <c r="B644" t="s">
        <v>9805</v>
      </c>
      <c r="C644" t="s">
        <v>15153</v>
      </c>
      <c r="D644">
        <v>643</v>
      </c>
      <c r="E644" t="str">
        <f t="shared" si="30"/>
        <v>E2_7_7_7</v>
      </c>
      <c r="F644" s="9" t="s">
        <v>16885</v>
      </c>
      <c r="G644" s="9" t="s">
        <v>16886</v>
      </c>
      <c r="H644" s="9" t="s">
        <v>16887</v>
      </c>
      <c r="I644" s="9" t="s">
        <v>16888</v>
      </c>
      <c r="J644" s="9" t="str">
        <f t="shared" si="31"/>
        <v>(${Variables:E2_7_7_7_kcat} * E2_7_7_7 * C00131 * C00039)/(${Variables:E2_7_7_7_km} + (E2_7_7_7 * C00131 * C00039))</v>
      </c>
      <c r="K644" s="38" t="str">
        <f t="shared" si="32"/>
        <v>r643: C00131 + C00039 -&gt; C00013 + C00039 | (${Variables:E2_7_7_7_kcat} * E2_7_7_7 * C00131 * C00039)/(${Variables:E2_7_7_7_km} + (E2_7_7_7 * C00131 * C00039))</v>
      </c>
    </row>
    <row r="645" spans="1:11" ht="42.75" x14ac:dyDescent="0.45">
      <c r="A645" t="s">
        <v>9804</v>
      </c>
      <c r="B645" t="s">
        <v>9805</v>
      </c>
      <c r="C645" t="s">
        <v>15153</v>
      </c>
      <c r="D645">
        <v>644</v>
      </c>
      <c r="E645" t="str">
        <f t="shared" si="30"/>
        <v>E2_7_7_7</v>
      </c>
      <c r="F645" s="9" t="s">
        <v>16889</v>
      </c>
      <c r="G645" s="9" t="s">
        <v>16890</v>
      </c>
      <c r="H645" s="9" t="s">
        <v>16887</v>
      </c>
      <c r="I645" s="9" t="s">
        <v>16888</v>
      </c>
      <c r="J645" s="9" t="str">
        <f t="shared" si="31"/>
        <v>(${Variables:E2_7_7_7_kcat} * E2_7_7_7 * C00286 * C00039)/(${Variables:E2_7_7_7_km} + (E2_7_7_7 * C00286 * C00039))</v>
      </c>
      <c r="K645" s="38" t="str">
        <f t="shared" si="32"/>
        <v>r644: C00286 + C00039 -&gt; C00013 + C00039 | (${Variables:E2_7_7_7_kcat} * E2_7_7_7 * C00286 * C00039)/(${Variables:E2_7_7_7_km} + (E2_7_7_7 * C00286 * C00039))</v>
      </c>
    </row>
    <row r="646" spans="1:11" ht="42.75" x14ac:dyDescent="0.45">
      <c r="A646" t="s">
        <v>9804</v>
      </c>
      <c r="B646" t="s">
        <v>9805</v>
      </c>
      <c r="C646" t="s">
        <v>15153</v>
      </c>
      <c r="D646">
        <v>645</v>
      </c>
      <c r="E646" t="str">
        <f t="shared" si="30"/>
        <v>E2_7_7_7</v>
      </c>
      <c r="F646" s="9" t="s">
        <v>16891</v>
      </c>
      <c r="G646" s="9" t="s">
        <v>16892</v>
      </c>
      <c r="H646" s="9" t="s">
        <v>16887</v>
      </c>
      <c r="I646" s="9" t="s">
        <v>16888</v>
      </c>
      <c r="J646" s="9" t="str">
        <f t="shared" si="31"/>
        <v>(${Variables:E2_7_7_7_kcat} * E2_7_7_7 * C00458 * C00039)/(${Variables:E2_7_7_7_km} + (E2_7_7_7 * C00458 * C00039))</v>
      </c>
      <c r="K646" s="38" t="str">
        <f t="shared" si="32"/>
        <v>r645: C00458 + C00039 -&gt; C00013 + C00039 | (${Variables:E2_7_7_7_kcat} * E2_7_7_7 * C00458 * C00039)/(${Variables:E2_7_7_7_km} + (E2_7_7_7 * C00458 * C00039))</v>
      </c>
    </row>
    <row r="647" spans="1:11" ht="42.75" x14ac:dyDescent="0.45">
      <c r="A647" t="s">
        <v>9804</v>
      </c>
      <c r="B647" t="s">
        <v>9805</v>
      </c>
      <c r="C647" t="s">
        <v>15153</v>
      </c>
      <c r="D647">
        <v>646</v>
      </c>
      <c r="E647" t="str">
        <f t="shared" si="30"/>
        <v>E2_7_7_7</v>
      </c>
      <c r="F647" s="9" t="s">
        <v>16893</v>
      </c>
      <c r="G647" s="9" t="s">
        <v>16894</v>
      </c>
      <c r="H647" s="9" t="s">
        <v>16887</v>
      </c>
      <c r="I647" s="9" t="s">
        <v>16888</v>
      </c>
      <c r="J647" s="9" t="str">
        <f t="shared" si="31"/>
        <v>(${Variables:E2_7_7_7_kcat} * E2_7_7_7 * C00459 * C00039)/(${Variables:E2_7_7_7_km} + (E2_7_7_7 * C00459 * C00039))</v>
      </c>
      <c r="K647" s="38" t="str">
        <f t="shared" si="32"/>
        <v>r646: C00459 + C00039 -&gt; C00013 + C00039 | (${Variables:E2_7_7_7_kcat} * E2_7_7_7 * C00459 * C00039)/(${Variables:E2_7_7_7_km} + (E2_7_7_7 * C00459 * C00039))</v>
      </c>
    </row>
    <row r="648" spans="1:11" ht="28.5" x14ac:dyDescent="0.45">
      <c r="A648" t="s">
        <v>9804</v>
      </c>
      <c r="B648" t="s">
        <v>9805</v>
      </c>
      <c r="C648" t="s">
        <v>15153</v>
      </c>
      <c r="D648">
        <v>647</v>
      </c>
      <c r="E648" t="str">
        <f t="shared" si="30"/>
        <v>E2_7_7_7</v>
      </c>
      <c r="F648" s="9" t="s">
        <v>11974</v>
      </c>
      <c r="G648" s="9" t="s">
        <v>11974</v>
      </c>
      <c r="H648" s="9" t="s">
        <v>11975</v>
      </c>
      <c r="I648" s="9" t="s">
        <v>11975</v>
      </c>
      <c r="J648" s="9" t="str">
        <f t="shared" si="31"/>
        <v>(${Variables:E2_7_7_7_kcat} * E2_7_7_7 * C11039)/(${Variables:E2_7_7_7_km} + (E2_7_7_7 * C11039))</v>
      </c>
      <c r="K648" s="38" t="str">
        <f t="shared" si="32"/>
        <v>r647: C11039 -&gt; C21031 | (${Variables:E2_7_7_7_kcat} * E2_7_7_7 * C11039)/(${Variables:E2_7_7_7_km} + (E2_7_7_7 * C11039))</v>
      </c>
    </row>
    <row r="649" spans="1:11" ht="42.75" x14ac:dyDescent="0.45">
      <c r="A649" t="s">
        <v>6975</v>
      </c>
      <c r="B649" t="s">
        <v>6976</v>
      </c>
      <c r="C649" t="s">
        <v>15154</v>
      </c>
      <c r="D649">
        <v>648</v>
      </c>
      <c r="E649" t="str">
        <f t="shared" si="30"/>
        <v>E2_7_7_72</v>
      </c>
      <c r="F649" s="9" t="s">
        <v>16901</v>
      </c>
      <c r="G649" s="9" t="s">
        <v>16902</v>
      </c>
      <c r="H649" s="9" t="s">
        <v>16903</v>
      </c>
      <c r="I649" s="9" t="s">
        <v>16904</v>
      </c>
      <c r="J649" s="9" t="str">
        <f t="shared" si="31"/>
        <v>(${Variables:E2_7_7_72_kcat} * E2_7_7_72 * C02211 * C00063 * C00002)/(${Variables:E2_7_7_72_km} + (E2_7_7_72 * C02211 * C00063 * C00002))</v>
      </c>
      <c r="K649" s="38" t="str">
        <f t="shared" si="32"/>
        <v>r648: C02211 + C00063 + C00002 -&gt; C19085 + C00013 | (${Variables:E2_7_7_72_kcat} * E2_7_7_72 * C02211 * C00063 * C00002)/(${Variables:E2_7_7_72_km} + (E2_7_7_72 * C02211 * C00063 * C00002))</v>
      </c>
    </row>
    <row r="650" spans="1:11" ht="42.75" x14ac:dyDescent="0.45">
      <c r="A650" t="s">
        <v>6975</v>
      </c>
      <c r="B650" t="s">
        <v>6976</v>
      </c>
      <c r="C650" t="s">
        <v>15154</v>
      </c>
      <c r="D650">
        <v>649</v>
      </c>
      <c r="E650" t="str">
        <f t="shared" si="30"/>
        <v>E2_7_7_72</v>
      </c>
      <c r="F650" s="9" t="s">
        <v>16897</v>
      </c>
      <c r="G650" s="9" t="s">
        <v>16898</v>
      </c>
      <c r="H650" s="9" t="s">
        <v>16899</v>
      </c>
      <c r="I650" s="9" t="s">
        <v>16900</v>
      </c>
      <c r="J650" s="9" t="str">
        <f t="shared" si="31"/>
        <v>(${Variables:E2_7_7_72_kcat} * E2_7_7_72 * C02211 * C00063)/(${Variables:E2_7_7_72_km} + (E2_7_7_72 * C02211 * C00063))</v>
      </c>
      <c r="K650" s="38" t="str">
        <f t="shared" si="32"/>
        <v>r649: C02211 + C00063 -&gt; C19078 + C00013 | (${Variables:E2_7_7_72_kcat} * E2_7_7_72 * C02211 * C00063)/(${Variables:E2_7_7_72_km} + (E2_7_7_72 * C02211 * C00063))</v>
      </c>
    </row>
    <row r="651" spans="1:11" ht="42.75" x14ac:dyDescent="0.45">
      <c r="A651" t="s">
        <v>6975</v>
      </c>
      <c r="B651" t="s">
        <v>6976</v>
      </c>
      <c r="C651" t="s">
        <v>15154</v>
      </c>
      <c r="D651">
        <v>650</v>
      </c>
      <c r="E651" t="str">
        <f t="shared" si="30"/>
        <v>E2_7_7_72</v>
      </c>
      <c r="F651" s="9" t="s">
        <v>16905</v>
      </c>
      <c r="G651" s="9" t="s">
        <v>16906</v>
      </c>
      <c r="H651" s="9" t="s">
        <v>16907</v>
      </c>
      <c r="I651" s="9" t="s">
        <v>16908</v>
      </c>
      <c r="J651" s="9" t="str">
        <f t="shared" si="31"/>
        <v>(${Variables:E2_7_7_72_kcat} * E2_7_7_72 * C19078 * C00063)/(${Variables:E2_7_7_72_km} + (E2_7_7_72 * C19078 * C00063))</v>
      </c>
      <c r="K651" s="38" t="str">
        <f t="shared" si="32"/>
        <v>r650: C19078 + C00063 -&gt; C19080 + C00013 | (${Variables:E2_7_7_72_kcat} * E2_7_7_72 * C19078 * C00063)/(${Variables:E2_7_7_72_km} + (E2_7_7_72 * C19078 * C00063))</v>
      </c>
    </row>
    <row r="652" spans="1:11" ht="42.75" x14ac:dyDescent="0.45">
      <c r="A652" t="s">
        <v>6975</v>
      </c>
      <c r="B652" t="s">
        <v>6976</v>
      </c>
      <c r="C652" t="s">
        <v>15154</v>
      </c>
      <c r="D652">
        <v>651</v>
      </c>
      <c r="E652" t="str">
        <f t="shared" si="30"/>
        <v>E2_7_7_72</v>
      </c>
      <c r="F652" s="9" t="s">
        <v>16909</v>
      </c>
      <c r="G652" s="9" t="s">
        <v>16910</v>
      </c>
      <c r="H652" s="9" t="s">
        <v>16903</v>
      </c>
      <c r="I652" s="9" t="s">
        <v>16904</v>
      </c>
      <c r="J652" s="9" t="str">
        <f t="shared" si="31"/>
        <v>(${Variables:E2_7_7_72_kcat} * E2_7_7_72 * C19080 * C00002)/(${Variables:E2_7_7_72_km} + (E2_7_7_72 * C19080 * C00002))</v>
      </c>
      <c r="K652" s="38" t="str">
        <f t="shared" si="32"/>
        <v>r651: C19080 + C00002 -&gt; C19085 + C00013 | (${Variables:E2_7_7_72_kcat} * E2_7_7_72 * C19080 * C00002)/(${Variables:E2_7_7_72_km} + (E2_7_7_72 * C19080 * C00002))</v>
      </c>
    </row>
    <row r="653" spans="1:11" ht="42.75" x14ac:dyDescent="0.45">
      <c r="A653" t="s">
        <v>5933</v>
      </c>
      <c r="B653" t="s">
        <v>5934</v>
      </c>
      <c r="C653" t="s">
        <v>15155</v>
      </c>
      <c r="D653">
        <v>652</v>
      </c>
      <c r="E653" t="str">
        <f t="shared" si="30"/>
        <v>E2_7_7_76</v>
      </c>
      <c r="F653" s="9" t="s">
        <v>16911</v>
      </c>
      <c r="G653" s="9" t="s">
        <v>16912</v>
      </c>
      <c r="H653" s="9" t="s">
        <v>16913</v>
      </c>
      <c r="I653" s="9" t="s">
        <v>16914</v>
      </c>
      <c r="J653" s="9" t="str">
        <f t="shared" si="31"/>
        <v>(${Variables:E2_7_7_76_kcat} * E2_7_7_76 * C18237 * C00063)/(${Variables:E2_7_7_76_km} + (E2_7_7_76 * C18237 * C00063))</v>
      </c>
      <c r="K653" s="38" t="str">
        <f t="shared" si="32"/>
        <v>r652: C18237 + C00063 -&gt; C21485 + C00013 | (${Variables:E2_7_7_76_kcat} * E2_7_7_76 * C18237 * C00063)/(${Variables:E2_7_7_76_km} + (E2_7_7_76 * C18237 * C00063))</v>
      </c>
    </row>
    <row r="654" spans="1:11" ht="42.75" x14ac:dyDescent="0.45">
      <c r="A654" t="s">
        <v>4890</v>
      </c>
      <c r="B654" t="s">
        <v>4891</v>
      </c>
      <c r="C654" t="s">
        <v>15156</v>
      </c>
      <c r="D654">
        <v>653</v>
      </c>
      <c r="E654" t="str">
        <f t="shared" si="30"/>
        <v>E2_7_7_77</v>
      </c>
      <c r="F654" s="9" t="s">
        <v>16915</v>
      </c>
      <c r="G654" s="9" t="s">
        <v>16916</v>
      </c>
      <c r="H654" s="9" t="s">
        <v>16917</v>
      </c>
      <c r="I654" s="9" t="s">
        <v>16918</v>
      </c>
      <c r="J654" s="9" t="str">
        <f t="shared" si="31"/>
        <v>(${Variables:E2_7_7_77_kcat} * E2_7_7_77 * C18237 * C00044)/(${Variables:E2_7_7_77_km} + (E2_7_7_77 * C18237 * C00044))</v>
      </c>
      <c r="K654" s="38" t="str">
        <f t="shared" si="32"/>
        <v>r653: C18237 + C00044 -&gt; C19871 + C00013 | (${Variables:E2_7_7_77_kcat} * E2_7_7_77 * C18237 * C00044)/(${Variables:E2_7_7_77_km} + (E2_7_7_77 * C18237 * C00044))</v>
      </c>
    </row>
    <row r="655" spans="1:11" ht="42.75" x14ac:dyDescent="0.45">
      <c r="A655" t="s">
        <v>3608</v>
      </c>
      <c r="B655" t="s">
        <v>3609</v>
      </c>
      <c r="C655" t="s">
        <v>15157</v>
      </c>
      <c r="D655">
        <v>654</v>
      </c>
      <c r="E655" t="str">
        <f t="shared" si="30"/>
        <v>E2_7_7_8</v>
      </c>
      <c r="F655" s="9" t="s">
        <v>16919</v>
      </c>
      <c r="G655" s="9" t="s">
        <v>16920</v>
      </c>
      <c r="H655" s="9" t="s">
        <v>16921</v>
      </c>
      <c r="I655" s="9" t="s">
        <v>16922</v>
      </c>
      <c r="J655" s="9" t="str">
        <f t="shared" si="31"/>
        <v>(${Variables:E2_7_7_8_kcat} * E2_7_7_8 * C00046 * C00009)/(${Variables:E2_7_7_8_km} + (E2_7_7_8 * C00046 * C00009))</v>
      </c>
      <c r="K655" s="38" t="str">
        <f t="shared" si="32"/>
        <v>r654: C00046 + C00009 -&gt; C00046 + C00454 | (${Variables:E2_7_7_8_kcat} * E2_7_7_8 * C00046 * C00009)/(${Variables:E2_7_7_8_km} + (E2_7_7_8 * C00046 * C00009))</v>
      </c>
    </row>
    <row r="656" spans="1:11" ht="42.75" x14ac:dyDescent="0.45">
      <c r="A656" t="s">
        <v>3608</v>
      </c>
      <c r="B656" t="s">
        <v>3609</v>
      </c>
      <c r="C656" t="s">
        <v>15157</v>
      </c>
      <c r="D656">
        <v>655</v>
      </c>
      <c r="E656" t="str">
        <f t="shared" si="30"/>
        <v>E2_7_7_8</v>
      </c>
      <c r="F656" s="9" t="s">
        <v>16919</v>
      </c>
      <c r="G656" s="9" t="s">
        <v>16920</v>
      </c>
      <c r="H656" s="9" t="s">
        <v>16923</v>
      </c>
      <c r="I656" s="9" t="s">
        <v>16924</v>
      </c>
      <c r="J656" s="9" t="str">
        <f t="shared" si="31"/>
        <v>(${Variables:E2_7_7_8_kcat} * E2_7_7_8 * C00046 * C00009)/(${Variables:E2_7_7_8_km} + (E2_7_7_8 * C00046 * C00009))</v>
      </c>
      <c r="K656" s="38" t="str">
        <f t="shared" si="32"/>
        <v>r655: C00046 + C00009 -&gt; C00046 + C00008 | (${Variables:E2_7_7_8_kcat} * E2_7_7_8 * C00046 * C00009)/(${Variables:E2_7_7_8_km} + (E2_7_7_8 * C00046 * C00009))</v>
      </c>
    </row>
    <row r="657" spans="1:11" ht="42.75" x14ac:dyDescent="0.45">
      <c r="A657" t="s">
        <v>3608</v>
      </c>
      <c r="B657" t="s">
        <v>3609</v>
      </c>
      <c r="C657" t="s">
        <v>15157</v>
      </c>
      <c r="D657">
        <v>656</v>
      </c>
      <c r="E657" t="str">
        <f t="shared" si="30"/>
        <v>E2_7_7_8</v>
      </c>
      <c r="F657" s="9" t="s">
        <v>16919</v>
      </c>
      <c r="G657" s="9" t="s">
        <v>16920</v>
      </c>
      <c r="H657" s="9" t="s">
        <v>16925</v>
      </c>
      <c r="I657" s="9" t="s">
        <v>16926</v>
      </c>
      <c r="J657" s="9" t="str">
        <f t="shared" si="31"/>
        <v>(${Variables:E2_7_7_8_kcat} * E2_7_7_8 * C00046 * C00009)/(${Variables:E2_7_7_8_km} + (E2_7_7_8 * C00046 * C00009))</v>
      </c>
      <c r="K657" s="38" t="str">
        <f t="shared" si="32"/>
        <v>r656: C00046 + C00009 -&gt; C00046 + C00015 | (${Variables:E2_7_7_8_kcat} * E2_7_7_8 * C00046 * C00009)/(${Variables:E2_7_7_8_km} + (E2_7_7_8 * C00046 * C00009))</v>
      </c>
    </row>
    <row r="658" spans="1:11" ht="42.75" x14ac:dyDescent="0.45">
      <c r="A658" t="s">
        <v>3608</v>
      </c>
      <c r="B658" t="s">
        <v>3609</v>
      </c>
      <c r="C658" t="s">
        <v>15157</v>
      </c>
      <c r="D658">
        <v>657</v>
      </c>
      <c r="E658" t="str">
        <f t="shared" si="30"/>
        <v>E2_7_7_8</v>
      </c>
      <c r="F658" s="9" t="s">
        <v>16919</v>
      </c>
      <c r="G658" s="9" t="s">
        <v>16920</v>
      </c>
      <c r="H658" s="9" t="s">
        <v>16927</v>
      </c>
      <c r="I658" s="9" t="s">
        <v>16928</v>
      </c>
      <c r="J658" s="9" t="str">
        <f t="shared" si="31"/>
        <v>(${Variables:E2_7_7_8_kcat} * E2_7_7_8 * C00046 * C00009)/(${Variables:E2_7_7_8_km} + (E2_7_7_8 * C00046 * C00009))</v>
      </c>
      <c r="K658" s="38" t="str">
        <f t="shared" si="32"/>
        <v>r657: C00046 + C00009 -&gt; C00046 + C00035 | (${Variables:E2_7_7_8_kcat} * E2_7_7_8 * C00046 * C00009)/(${Variables:E2_7_7_8_km} + (E2_7_7_8 * C00046 * C00009))</v>
      </c>
    </row>
    <row r="659" spans="1:11" ht="42.75" x14ac:dyDescent="0.45">
      <c r="A659" t="s">
        <v>3608</v>
      </c>
      <c r="B659" t="s">
        <v>3609</v>
      </c>
      <c r="C659" t="s">
        <v>15157</v>
      </c>
      <c r="D659">
        <v>658</v>
      </c>
      <c r="E659" t="str">
        <f t="shared" si="30"/>
        <v>E2_7_7_8</v>
      </c>
      <c r="F659" s="9" t="s">
        <v>16919</v>
      </c>
      <c r="G659" s="9" t="s">
        <v>16920</v>
      </c>
      <c r="H659" s="9" t="s">
        <v>16929</v>
      </c>
      <c r="I659" s="9" t="s">
        <v>16930</v>
      </c>
      <c r="J659" s="9" t="str">
        <f t="shared" si="31"/>
        <v>(${Variables:E2_7_7_8_kcat} * E2_7_7_8 * C00046 * C00009)/(${Variables:E2_7_7_8_km} + (E2_7_7_8 * C00046 * C00009))</v>
      </c>
      <c r="K659" s="38" t="str">
        <f t="shared" si="32"/>
        <v>r658: C00046 + C00009 -&gt; C00046 + C00112 | (${Variables:E2_7_7_8_kcat} * E2_7_7_8 * C00046 * C00009)/(${Variables:E2_7_7_8_km} + (E2_7_7_8 * C00046 * C00009))</v>
      </c>
    </row>
    <row r="660" spans="1:11" ht="28.5" x14ac:dyDescent="0.45">
      <c r="A660" t="s">
        <v>189</v>
      </c>
      <c r="B660" t="s">
        <v>190</v>
      </c>
      <c r="C660" t="s">
        <v>15158</v>
      </c>
      <c r="D660">
        <v>659</v>
      </c>
      <c r="E660" t="str">
        <f t="shared" si="30"/>
        <v>E2_7_7_85</v>
      </c>
      <c r="F660" s="9" t="s">
        <v>12015</v>
      </c>
      <c r="G660" s="9" t="s">
        <v>12015</v>
      </c>
      <c r="H660" s="9" t="s">
        <v>16931</v>
      </c>
      <c r="I660" s="9" t="s">
        <v>16932</v>
      </c>
      <c r="J660" s="9" t="str">
        <f t="shared" si="31"/>
        <v>(${Variables:E2_7_7_85_kcat} * E2_7_7_85 * C00002)/(${Variables:E2_7_7_85_km} + (E2_7_7_85 * C00002))</v>
      </c>
      <c r="K660" s="38" t="str">
        <f t="shared" si="32"/>
        <v>r659: C00002 -&gt; C00013 + C20565 | (${Variables:E2_7_7_85_kcat} * E2_7_7_85 * C00002)/(${Variables:E2_7_7_85_km} + (E2_7_7_85 * C00002))</v>
      </c>
    </row>
    <row r="661" spans="1:11" ht="28.5" x14ac:dyDescent="0.45">
      <c r="A661" t="s">
        <v>533</v>
      </c>
      <c r="B661" t="s">
        <v>534</v>
      </c>
      <c r="C661" t="s">
        <v>15158</v>
      </c>
      <c r="D661">
        <v>660</v>
      </c>
      <c r="E661" t="str">
        <f t="shared" si="30"/>
        <v>E2_7_7_85</v>
      </c>
      <c r="F661" s="9" t="s">
        <v>12015</v>
      </c>
      <c r="G661" s="9" t="s">
        <v>12015</v>
      </c>
      <c r="H661" s="9" t="s">
        <v>16931</v>
      </c>
      <c r="I661" s="9" t="s">
        <v>16932</v>
      </c>
      <c r="J661" s="9" t="str">
        <f t="shared" si="31"/>
        <v>(${Variables:E2_7_7_85_kcat} * E2_7_7_85 * C00002)/(${Variables:E2_7_7_85_km} + (E2_7_7_85 * C00002))</v>
      </c>
      <c r="K661" s="38" t="str">
        <f t="shared" si="32"/>
        <v>r660: C00002 -&gt; C00013 + C20565 | (${Variables:E2_7_7_85_kcat} * E2_7_7_85 * C00002)/(${Variables:E2_7_7_85_km} + (E2_7_7_85 * C00002))</v>
      </c>
    </row>
    <row r="662" spans="1:11" ht="57" x14ac:dyDescent="0.45">
      <c r="A662" t="s">
        <v>9604</v>
      </c>
      <c r="B662" t="s">
        <v>9605</v>
      </c>
      <c r="C662" t="s">
        <v>15159</v>
      </c>
      <c r="D662">
        <v>661</v>
      </c>
      <c r="E662" t="str">
        <f t="shared" si="30"/>
        <v>E2_7_7_87</v>
      </c>
      <c r="F662" s="9" t="s">
        <v>16933</v>
      </c>
      <c r="G662" s="9" t="s">
        <v>16934</v>
      </c>
      <c r="H662" s="9" t="s">
        <v>16935</v>
      </c>
      <c r="I662" s="9" t="s">
        <v>16936</v>
      </c>
      <c r="J662" s="9" t="str">
        <f t="shared" si="31"/>
        <v>(${Variables:E2_7_7_87_kcat} * E2_7_7_87 * C00188 * C00002 * C00288 * C00080)/(${Variables:E2_7_7_87_km} + (E2_7_7_87 * C00188 * C00002 * C00288 * C00080))</v>
      </c>
      <c r="K662" s="38" t="str">
        <f t="shared" si="32"/>
        <v>r661: C00188 + C00002 + C00288 + C00080 -&gt; C20641 + C00013 + C00001 | (${Variables:E2_7_7_87_kcat} * E2_7_7_87 * C00188 * C00002 * C00288 * C00080)/(${Variables:E2_7_7_87_km} + (E2_7_7_87 * C00188 * C00002 * C00288 * C00080))</v>
      </c>
    </row>
    <row r="663" spans="1:11" ht="42.75" x14ac:dyDescent="0.45">
      <c r="A663" t="s">
        <v>7669</v>
      </c>
      <c r="B663" t="s">
        <v>7670</v>
      </c>
      <c r="C663" t="s">
        <v>15160</v>
      </c>
      <c r="D663">
        <v>662</v>
      </c>
      <c r="E663" t="str">
        <f t="shared" si="30"/>
        <v>E2_7_7_9</v>
      </c>
      <c r="F663" s="9" t="s">
        <v>16937</v>
      </c>
      <c r="G663" s="9" t="s">
        <v>16938</v>
      </c>
      <c r="H663" s="9" t="s">
        <v>16939</v>
      </c>
      <c r="I663" s="9" t="s">
        <v>16940</v>
      </c>
      <c r="J663" s="9" t="str">
        <f t="shared" si="31"/>
        <v>(${Variables:E2_7_7_9_kcat} * E2_7_7_9 * C00075 * C00103)/(${Variables:E2_7_7_9_km} + (E2_7_7_9 * C00075 * C00103))</v>
      </c>
      <c r="K663" s="38" t="str">
        <f t="shared" si="32"/>
        <v>r662: C00075 + C00103 -&gt; C00013 + C00029 | (${Variables:E2_7_7_9_kcat} * E2_7_7_9 * C00075 * C00103)/(${Variables:E2_7_7_9_km} + (E2_7_7_9 * C00075 * C00103))</v>
      </c>
    </row>
    <row r="664" spans="1:11" ht="42.75" x14ac:dyDescent="0.45">
      <c r="A664" t="s">
        <v>9628</v>
      </c>
      <c r="B664" t="s">
        <v>9629</v>
      </c>
      <c r="C664" t="s">
        <v>15160</v>
      </c>
      <c r="D664">
        <v>663</v>
      </c>
      <c r="E664" t="str">
        <f t="shared" si="30"/>
        <v>E2_7_7_9</v>
      </c>
      <c r="F664" s="9" t="s">
        <v>16937</v>
      </c>
      <c r="G664" s="9" t="s">
        <v>16938</v>
      </c>
      <c r="H664" s="9" t="s">
        <v>16939</v>
      </c>
      <c r="I664" s="9" t="s">
        <v>16940</v>
      </c>
      <c r="J664" s="9" t="str">
        <f t="shared" si="31"/>
        <v>(${Variables:E2_7_7_9_kcat} * E2_7_7_9 * C00075 * C00103)/(${Variables:E2_7_7_9_km} + (E2_7_7_9 * C00075 * C00103))</v>
      </c>
      <c r="K664" s="38" t="str">
        <f t="shared" si="32"/>
        <v>r663: C00075 + C00103 -&gt; C00013 + C00029 | (${Variables:E2_7_7_9_kcat} * E2_7_7_9 * C00075 * C00103)/(${Variables:E2_7_7_9_km} + (E2_7_7_9 * C00075 * C00103))</v>
      </c>
    </row>
    <row r="665" spans="1:11" ht="42.75" x14ac:dyDescent="0.45">
      <c r="A665" t="s">
        <v>7503</v>
      </c>
      <c r="B665" t="s">
        <v>7504</v>
      </c>
      <c r="C665" t="s">
        <v>15161</v>
      </c>
      <c r="D665">
        <v>664</v>
      </c>
      <c r="E665" t="str">
        <f t="shared" si="30"/>
        <v>E2_7_8_13</v>
      </c>
      <c r="F665" s="9" t="s">
        <v>16941</v>
      </c>
      <c r="G665" s="9" t="s">
        <v>16942</v>
      </c>
      <c r="H665" s="9" t="s">
        <v>16943</v>
      </c>
      <c r="I665" s="9" t="s">
        <v>16944</v>
      </c>
      <c r="J665" s="9" t="str">
        <f t="shared" si="31"/>
        <v>(${Variables:E2_7_8_13_kcat} * E2_7_8_13 * C04702 * C17556)/(${Variables:E2_7_8_13_km} + (E2_7_8_13 * C04702 * C17556))</v>
      </c>
      <c r="K665" s="38" t="str">
        <f t="shared" si="32"/>
        <v>r664: C04702 + C17556 -&gt; C00105 + C04851 | (${Variables:E2_7_8_13_kcat} * E2_7_8_13 * C04702 * C17556)/(${Variables:E2_7_8_13_km} + (E2_7_8_13 * C04702 * C17556))</v>
      </c>
    </row>
    <row r="666" spans="1:11" ht="42.75" x14ac:dyDescent="0.45">
      <c r="A666" t="s">
        <v>7503</v>
      </c>
      <c r="B666" t="s">
        <v>7504</v>
      </c>
      <c r="C666" t="s">
        <v>15161</v>
      </c>
      <c r="D666">
        <v>665</v>
      </c>
      <c r="E666" t="str">
        <f t="shared" si="30"/>
        <v>E2_7_8_13</v>
      </c>
      <c r="F666" s="9" t="s">
        <v>16945</v>
      </c>
      <c r="G666" s="9" t="s">
        <v>16946</v>
      </c>
      <c r="H666" s="9" t="s">
        <v>16947</v>
      </c>
      <c r="I666" s="9" t="s">
        <v>16948</v>
      </c>
      <c r="J666" s="9" t="str">
        <f t="shared" si="31"/>
        <v>(${Variables:E2_7_8_13_kcat} * E2_7_8_13 * C04882 * C17556)/(${Variables:E2_7_8_13_km} + (E2_7_8_13 * C04882 * C17556))</v>
      </c>
      <c r="K666" s="38" t="str">
        <f t="shared" si="32"/>
        <v>r665: C04882 + C17556 -&gt; C00105 + C05897 | (${Variables:E2_7_8_13_kcat} * E2_7_8_13 * C04882 * C17556)/(${Variables:E2_7_8_13_km} + (E2_7_8_13 * C04882 * C17556))</v>
      </c>
    </row>
    <row r="667" spans="1:11" ht="42.75" x14ac:dyDescent="0.45">
      <c r="A667" t="s">
        <v>9436</v>
      </c>
      <c r="B667" t="s">
        <v>9437</v>
      </c>
      <c r="C667" t="s">
        <v>15162</v>
      </c>
      <c r="D667">
        <v>666</v>
      </c>
      <c r="E667" t="str">
        <f t="shared" si="30"/>
        <v>E2_7_8_26</v>
      </c>
      <c r="F667" s="9" t="s">
        <v>16949</v>
      </c>
      <c r="G667" s="9" t="s">
        <v>16950</v>
      </c>
      <c r="H667" s="9" t="s">
        <v>16951</v>
      </c>
      <c r="I667" s="9" t="s">
        <v>16952</v>
      </c>
      <c r="J667" s="9" t="str">
        <f t="shared" si="31"/>
        <v>(${Variables:E2_7_8_26_kcat} * E2_7_8_26 * C00194 * C00144)/(${Variables:E2_7_8_26_km} + (E2_7_8_26 * C00194 * C00144))</v>
      </c>
      <c r="K667" s="38" t="str">
        <f t="shared" si="32"/>
        <v>r666: C00194 + C00144 -&gt; C06510 + C05775 | (${Variables:E2_7_8_26_kcat} * E2_7_8_26 * C00194 * C00144)/(${Variables:E2_7_8_26_km} + (E2_7_8_26 * C00194 * C00144))</v>
      </c>
    </row>
    <row r="668" spans="1:11" ht="42.75" x14ac:dyDescent="0.45">
      <c r="A668" t="s">
        <v>9436</v>
      </c>
      <c r="B668" t="s">
        <v>9437</v>
      </c>
      <c r="C668" t="s">
        <v>15162</v>
      </c>
      <c r="D668">
        <v>667</v>
      </c>
      <c r="E668" t="str">
        <f t="shared" si="30"/>
        <v>E2_7_8_26</v>
      </c>
      <c r="F668" s="9" t="s">
        <v>16953</v>
      </c>
      <c r="G668" s="9" t="s">
        <v>16954</v>
      </c>
      <c r="H668" s="9" t="s">
        <v>16955</v>
      </c>
      <c r="I668" s="9" t="s">
        <v>16956</v>
      </c>
      <c r="J668" s="9" t="str">
        <f t="shared" si="31"/>
        <v>(${Variables:E2_7_8_26_kcat} * E2_7_8_26 * C06510 * C04778)/(${Variables:E2_7_8_26_km} + (E2_7_8_26 * C06510 * C04778))</v>
      </c>
      <c r="K668" s="38" t="str">
        <f t="shared" si="32"/>
        <v>r667: C06510 + C04778 -&gt; C00144 + C21153 | (${Variables:E2_7_8_26_kcat} * E2_7_8_26 * C06510 * C04778)/(${Variables:E2_7_8_26_km} + (E2_7_8_26 * C06510 * C04778))</v>
      </c>
    </row>
    <row r="669" spans="1:11" ht="42.75" x14ac:dyDescent="0.45">
      <c r="A669" t="s">
        <v>9754</v>
      </c>
      <c r="B669" t="s">
        <v>9755</v>
      </c>
      <c r="C669" t="s">
        <v>15163</v>
      </c>
      <c r="D669">
        <v>668</v>
      </c>
      <c r="E669" t="str">
        <f t="shared" si="30"/>
        <v>E2_7_8_37</v>
      </c>
      <c r="F669" s="9" t="s">
        <v>16957</v>
      </c>
      <c r="G669" s="9" t="s">
        <v>16958</v>
      </c>
      <c r="H669" s="9" t="s">
        <v>16959</v>
      </c>
      <c r="I669" s="9" t="s">
        <v>16960</v>
      </c>
      <c r="J669" s="9" t="str">
        <f t="shared" si="31"/>
        <v>(${Variables:E2_7_8_37_kcat} * E2_7_8_37 * C00002 * C20396)/(${Variables:E2_7_8_37_km} + (E2_7_8_37 * C00002 * C20396))</v>
      </c>
      <c r="K669" s="38" t="str">
        <f t="shared" si="32"/>
        <v>r668: C00002 + C20396 -&gt; C20422 + C00147 | (${Variables:E2_7_8_37_kcat} * E2_7_8_37 * C00002 * C20396)/(${Variables:E2_7_8_37_km} + (E2_7_8_37 * C00002 * C20396))</v>
      </c>
    </row>
    <row r="670" spans="1:11" ht="42.75" x14ac:dyDescent="0.45">
      <c r="A670" t="s">
        <v>3639</v>
      </c>
      <c r="B670" t="s">
        <v>3640</v>
      </c>
      <c r="C670" t="s">
        <v>15164</v>
      </c>
      <c r="D670">
        <v>669</v>
      </c>
      <c r="E670" t="str">
        <f t="shared" si="30"/>
        <v>E2_7_8_5</v>
      </c>
      <c r="F670" s="9" t="s">
        <v>16961</v>
      </c>
      <c r="G670" s="9" t="s">
        <v>16962</v>
      </c>
      <c r="H670" s="9" t="s">
        <v>16963</v>
      </c>
      <c r="I670" s="9" t="s">
        <v>16964</v>
      </c>
      <c r="J670" s="9" t="str">
        <f t="shared" si="31"/>
        <v>(${Variables:E2_7_8_5_kcat} * E2_7_8_5 * C00269 * C00093)/(${Variables:E2_7_8_5_km} + (E2_7_8_5 * C00269 * C00093))</v>
      </c>
      <c r="K670" s="38" t="str">
        <f t="shared" si="32"/>
        <v>r669: C00269 + C00093 -&gt; C00055 + C03892 | (${Variables:E2_7_8_5_kcat} * E2_7_8_5 * C00269 * C00093)/(${Variables:E2_7_8_5_km} + (E2_7_8_5 * C00269 * C00093))</v>
      </c>
    </row>
    <row r="671" spans="1:11" ht="42.75" x14ac:dyDescent="0.45">
      <c r="A671" t="s">
        <v>9549</v>
      </c>
      <c r="B671" t="s">
        <v>9550</v>
      </c>
      <c r="C671" t="s">
        <v>15165</v>
      </c>
      <c r="D671">
        <v>670</v>
      </c>
      <c r="E671" t="str">
        <f t="shared" si="30"/>
        <v>E2_7_8_7</v>
      </c>
      <c r="F671" s="9" t="s">
        <v>16965</v>
      </c>
      <c r="G671" s="9" t="s">
        <v>16966</v>
      </c>
      <c r="H671" s="9" t="s">
        <v>16967</v>
      </c>
      <c r="I671" s="9" t="s">
        <v>16968</v>
      </c>
      <c r="J671" s="9" t="str">
        <f t="shared" si="31"/>
        <v>(${Variables:E2_7_8_7_kcat} * E2_7_8_7 * C00010 * C03688)/(${Variables:E2_7_8_7_km} + (E2_7_8_7 * C00010 * C03688))</v>
      </c>
      <c r="K671" s="38" t="str">
        <f t="shared" si="32"/>
        <v>r670: C00010 + C03688 -&gt; C00054 + C00229 | (${Variables:E2_7_8_7_kcat} * E2_7_8_7 * C00010 * C03688)/(${Variables:E2_7_8_7_km} + (E2_7_8_7 * C00010 * C03688))</v>
      </c>
    </row>
    <row r="672" spans="1:11" ht="42.75" x14ac:dyDescent="0.45">
      <c r="A672" t="s">
        <v>6804</v>
      </c>
      <c r="B672" t="s">
        <v>6805</v>
      </c>
      <c r="C672" t="s">
        <v>15166</v>
      </c>
      <c r="D672">
        <v>671</v>
      </c>
      <c r="E672" t="str">
        <f t="shared" si="30"/>
        <v>E2_7_9_1</v>
      </c>
      <c r="F672" s="9" t="s">
        <v>16969</v>
      </c>
      <c r="G672" s="9" t="s">
        <v>16970</v>
      </c>
      <c r="H672" s="9" t="s">
        <v>16971</v>
      </c>
      <c r="I672" s="9" t="s">
        <v>16972</v>
      </c>
      <c r="J672" s="9" t="str">
        <f t="shared" si="31"/>
        <v>(${Variables:E2_7_9_1_kcat} * E2_7_9_1 * C00002 * C00022 * C00009)/(${Variables:E2_7_9_1_km} + (E2_7_9_1 * C00002 * C00022 * C00009))</v>
      </c>
      <c r="K672" s="38" t="str">
        <f t="shared" si="32"/>
        <v>r671: C00002 + C00022 + C00009 -&gt; C00020 + C00074 + C00013 | (${Variables:E2_7_9_1_kcat} * E2_7_9_1 * C00002 * C00022 * C00009)/(${Variables:E2_7_9_1_km} + (E2_7_9_1 * C00002 * C00022 * C00009))</v>
      </c>
    </row>
    <row r="673" spans="1:11" ht="42.75" x14ac:dyDescent="0.45">
      <c r="A673" t="s">
        <v>7061</v>
      </c>
      <c r="B673" t="s">
        <v>7062</v>
      </c>
      <c r="C673" t="s">
        <v>15167</v>
      </c>
      <c r="D673">
        <v>672</v>
      </c>
      <c r="E673" t="str">
        <f t="shared" si="30"/>
        <v>E2_7_9_3</v>
      </c>
      <c r="F673" s="9" t="s">
        <v>16973</v>
      </c>
      <c r="G673" s="9" t="s">
        <v>16974</v>
      </c>
      <c r="H673" s="9" t="s">
        <v>16975</v>
      </c>
      <c r="I673" s="9" t="s">
        <v>16976</v>
      </c>
      <c r="J673" s="9" t="str">
        <f t="shared" si="31"/>
        <v>(${Variables:E2_7_9_3_kcat} * E2_7_9_3 * C00002 * C01528 * C00001)/(${Variables:E2_7_9_3_km} + (E2_7_9_3 * C00002 * C01528 * C00001))</v>
      </c>
      <c r="K673" s="38" t="str">
        <f t="shared" si="32"/>
        <v>r672: C00002 + C01528 + C00001 -&gt; C00020 + C05172 + C00009 | (${Variables:E2_7_9_3_kcat} * E2_7_9_3 * C00002 * C01528 * C00001)/(${Variables:E2_7_9_3_km} + (E2_7_9_3 * C00002 * C01528 * C00001))</v>
      </c>
    </row>
    <row r="674" spans="1:11" ht="42.75" x14ac:dyDescent="0.45">
      <c r="A674" t="s">
        <v>4876</v>
      </c>
      <c r="B674" t="s">
        <v>4877</v>
      </c>
      <c r="C674" t="s">
        <v>15168</v>
      </c>
      <c r="D674">
        <v>673</v>
      </c>
      <c r="E674" t="str">
        <f t="shared" si="30"/>
        <v>E2_8_1_10</v>
      </c>
      <c r="F674" s="9" t="s">
        <v>16977</v>
      </c>
      <c r="G674" s="9" t="s">
        <v>16978</v>
      </c>
      <c r="H674" s="9" t="s">
        <v>16979</v>
      </c>
      <c r="I674" s="9" t="s">
        <v>16980</v>
      </c>
      <c r="J674" s="9" t="str">
        <f t="shared" si="31"/>
        <v>(${Variables:E2_8_1_10_kcat} * E2_8_1_10 * C11437 * C15809 * C15814)/(${Variables:E2_8_1_10_km} + (E2_8_1_10 * C11437 * C15809 * C15814))</v>
      </c>
      <c r="K674" s="38" t="str">
        <f t="shared" si="32"/>
        <v>r673: C11437 + C15809 + C15814 -&gt; C20246 + C15810 + C00001 | (${Variables:E2_8_1_10_kcat} * E2_8_1_10 * C11437 * C15809 * C15814)/(${Variables:E2_8_1_10_km} + (E2_8_1_10 * C11437 * C15809 * C15814))</v>
      </c>
    </row>
    <row r="675" spans="1:11" ht="42.75" x14ac:dyDescent="0.45">
      <c r="A675" t="s">
        <v>3492</v>
      </c>
      <c r="B675" t="s">
        <v>3493</v>
      </c>
      <c r="C675" t="s">
        <v>15169</v>
      </c>
      <c r="D675">
        <v>674</v>
      </c>
      <c r="E675" t="str">
        <f t="shared" si="30"/>
        <v>E2_8_1_13</v>
      </c>
      <c r="F675" s="9" t="s">
        <v>16981</v>
      </c>
      <c r="G675" s="9" t="s">
        <v>16982</v>
      </c>
      <c r="H675" s="9" t="s">
        <v>16983</v>
      </c>
      <c r="I675" s="9" t="s">
        <v>16984</v>
      </c>
      <c r="J675" s="9" t="str">
        <f t="shared" si="31"/>
        <v>(${Variables:E2_8_1_13_kcat} * E2_8_1_13 * C00868 * C15812 * C00002)/(${Variables:E2_8_1_13_km} + (E2_8_1_13 * C00868 * C15812 * C00002))</v>
      </c>
      <c r="K675" s="38" t="str">
        <f t="shared" si="32"/>
        <v>r674: C00868 + C15812 + C00002 -&gt; C17322 + C15811 + C00020 + C00013 | (${Variables:E2_8_1_13_kcat} * E2_8_1_13 * C00868 * C15812 * C00002)/(${Variables:E2_8_1_13_km} + (E2_8_1_13 * C00868 * C15812 * C00002))</v>
      </c>
    </row>
    <row r="676" spans="1:11" ht="42.75" x14ac:dyDescent="0.45">
      <c r="A676" t="s">
        <v>2234</v>
      </c>
      <c r="B676" t="s">
        <v>2235</v>
      </c>
      <c r="C676" t="s">
        <v>15170</v>
      </c>
      <c r="D676">
        <v>675</v>
      </c>
      <c r="E676" t="str">
        <f t="shared" si="30"/>
        <v>E2_8_1_4</v>
      </c>
      <c r="F676" s="9" t="s">
        <v>16985</v>
      </c>
      <c r="G676" s="9" t="s">
        <v>16986</v>
      </c>
      <c r="H676" s="9" t="s">
        <v>16987</v>
      </c>
      <c r="I676" s="9" t="s">
        <v>16988</v>
      </c>
      <c r="J676" s="9" t="str">
        <f t="shared" si="31"/>
        <v>(${Variables:E2_8_1_4_kcat} * E2_8_1_4 * C00097 * C02342)/(${Variables:E2_8_1_4_km} + (E2_8_1_4 * C00097 * C02342))</v>
      </c>
      <c r="K676" s="38" t="str">
        <f t="shared" si="32"/>
        <v>r675: C00097 + C02342 -&gt; C00065 + C04161 | (${Variables:E2_8_1_4_kcat} * E2_8_1_4 * C00097 * C02342)/(${Variables:E2_8_1_4_km} + (E2_8_1_4 * C00097 * C02342))</v>
      </c>
    </row>
    <row r="677" spans="1:11" ht="42.75" x14ac:dyDescent="0.45">
      <c r="A677" t="s">
        <v>2234</v>
      </c>
      <c r="B677" t="s">
        <v>2235</v>
      </c>
      <c r="C677" t="s">
        <v>15170</v>
      </c>
      <c r="D677">
        <v>676</v>
      </c>
      <c r="E677" t="str">
        <f t="shared" si="30"/>
        <v>E2_8_1_4</v>
      </c>
      <c r="F677" s="9" t="s">
        <v>16989</v>
      </c>
      <c r="G677" s="9" t="s">
        <v>16990</v>
      </c>
      <c r="H677" s="9" t="s">
        <v>16991</v>
      </c>
      <c r="I677" s="9" t="s">
        <v>16992</v>
      </c>
      <c r="J677" s="9" t="str">
        <f t="shared" si="31"/>
        <v>(${Variables:E2_8_1_4_kcat} * E2_8_1_4 * C15812 * C15813 * C00030)/(${Variables:E2_8_1_4_km} + (E2_8_1_4 * C15812 * C15813 * C00030))</v>
      </c>
      <c r="K677" s="38" t="str">
        <f t="shared" si="32"/>
        <v>r676: C15812 + C15813 + C00030 -&gt; C00020 + C15814 + C15811 + C00028 | (${Variables:E2_8_1_4_kcat} * E2_8_1_4 * C15812 * C15813 * C00030)/(${Variables:E2_8_1_4_km} + (E2_8_1_4 * C15812 * C15813 * C00030))</v>
      </c>
    </row>
    <row r="678" spans="1:11" ht="57" x14ac:dyDescent="0.45">
      <c r="A678" t="s">
        <v>1152</v>
      </c>
      <c r="B678" t="s">
        <v>1153</v>
      </c>
      <c r="C678" t="s">
        <v>15171</v>
      </c>
      <c r="D678">
        <v>677</v>
      </c>
      <c r="E678" t="str">
        <f t="shared" si="30"/>
        <v>E2_8_1_6</v>
      </c>
      <c r="F678" s="9" t="s">
        <v>16993</v>
      </c>
      <c r="G678" s="9" t="s">
        <v>16994</v>
      </c>
      <c r="H678" s="9" t="s">
        <v>16995</v>
      </c>
      <c r="I678" s="9" t="s">
        <v>16996</v>
      </c>
      <c r="J678" s="9" t="str">
        <f t="shared" si="31"/>
        <v>(${Variables:E2_8_1_6_kcat} * E2_8_1_6 * C01909 * C17023 * C00019 * C05359 * C00080)/(${Variables:E2_8_1_6_km} + (E2_8_1_6 * C01909 * C17023 * C00019 * C05359 * C00080))</v>
      </c>
      <c r="K678" s="38" t="str">
        <f t="shared" si="32"/>
        <v>r677: C01909 + C17023 + C00019 + C05359 + C00080 -&gt; C00120 + C00073 + C05198 | (${Variables:E2_8_1_6_kcat} * E2_8_1_6 * C01909 * C17023 * C00019 * C05359 * C00080)/(${Variables:E2_8_1_6_km} + (E2_8_1_6 * C01909 * C17023 * C00019 * C05359 * C00080))</v>
      </c>
    </row>
    <row r="679" spans="1:11" ht="42.75" x14ac:dyDescent="0.45">
      <c r="A679" t="s">
        <v>3484</v>
      </c>
      <c r="B679" t="s">
        <v>3485</v>
      </c>
      <c r="C679" t="s">
        <v>15172</v>
      </c>
      <c r="D679">
        <v>678</v>
      </c>
      <c r="E679" t="str">
        <f t="shared" si="30"/>
        <v>E2_8_1_7</v>
      </c>
      <c r="F679" s="9" t="s">
        <v>16997</v>
      </c>
      <c r="G679" s="9" t="s">
        <v>16998</v>
      </c>
      <c r="H679" s="9" t="s">
        <v>16999</v>
      </c>
      <c r="I679" s="9" t="s">
        <v>17000</v>
      </c>
      <c r="J679" s="9" t="str">
        <f t="shared" si="31"/>
        <v>(${Variables:E2_8_1_7_kcat} * E2_8_1_7 * C00097 * C02743)/(${Variables:E2_8_1_7_km} + (E2_8_1_7 * C00097 * C02743))</v>
      </c>
      <c r="K679" s="38" t="str">
        <f t="shared" si="32"/>
        <v>r678: C00097 + C02743 -&gt; C00041 + C21440 | (${Variables:E2_8_1_7_kcat} * E2_8_1_7 * C00097 * C02743)/(${Variables:E2_8_1_7_km} + (E2_8_1_7 * C00097 * C02743))</v>
      </c>
    </row>
    <row r="680" spans="1:11" ht="42.75" x14ac:dyDescent="0.45">
      <c r="A680" t="s">
        <v>3484</v>
      </c>
      <c r="B680" t="s">
        <v>3485</v>
      </c>
      <c r="C680" t="s">
        <v>15172</v>
      </c>
      <c r="D680">
        <v>679</v>
      </c>
      <c r="E680" t="str">
        <f t="shared" si="30"/>
        <v>E2_8_1_7</v>
      </c>
      <c r="F680" s="9" t="s">
        <v>17001</v>
      </c>
      <c r="G680" s="9" t="s">
        <v>17002</v>
      </c>
      <c r="H680" s="9" t="s">
        <v>17003</v>
      </c>
      <c r="I680" s="9" t="s">
        <v>17004</v>
      </c>
      <c r="J680" s="9" t="str">
        <f t="shared" si="31"/>
        <v>(${Variables:E2_8_1_7_kcat} * E2_8_1_7 * C15811 * C00097)/(${Variables:E2_8_1_7_km} + (E2_8_1_7 * C15811 * C00097))</v>
      </c>
      <c r="K680" s="38" t="str">
        <f t="shared" si="32"/>
        <v>r679: C15811 + C00097 -&gt; C15812 + C00041 | (${Variables:E2_8_1_7_kcat} * E2_8_1_7 * C15811 * C00097)/(${Variables:E2_8_1_7_km} + (E2_8_1_7 * C15811 * C00097))</v>
      </c>
    </row>
    <row r="681" spans="1:11" ht="42.75" x14ac:dyDescent="0.45">
      <c r="A681" t="s">
        <v>3484</v>
      </c>
      <c r="B681" t="s">
        <v>3485</v>
      </c>
      <c r="C681" t="s">
        <v>15172</v>
      </c>
      <c r="D681">
        <v>680</v>
      </c>
      <c r="E681" t="str">
        <f t="shared" si="30"/>
        <v>E2_8_1_7</v>
      </c>
      <c r="F681" s="9" t="s">
        <v>17005</v>
      </c>
      <c r="G681" s="9" t="s">
        <v>17006</v>
      </c>
      <c r="H681" s="9" t="s">
        <v>17007</v>
      </c>
      <c r="I681" s="9" t="s">
        <v>17008</v>
      </c>
      <c r="J681" s="9" t="str">
        <f t="shared" si="31"/>
        <v>(${Variables:E2_8_1_7_kcat} * E2_8_1_7 * C15812 * C02743)/(${Variables:E2_8_1_7_km} + (E2_8_1_7 * C15812 * C02743))</v>
      </c>
      <c r="K681" s="38" t="str">
        <f t="shared" si="32"/>
        <v>r680: C15812 + C02743 -&gt; C15811 + C21440 | (${Variables:E2_8_1_7_kcat} * E2_8_1_7 * C15812 * C02743)/(${Variables:E2_8_1_7_km} + (E2_8_1_7 * C15812 * C02743))</v>
      </c>
    </row>
    <row r="682" spans="1:11" ht="42.75" x14ac:dyDescent="0.45">
      <c r="A682" t="s">
        <v>5736</v>
      </c>
      <c r="B682" t="s">
        <v>5737</v>
      </c>
      <c r="C682" t="s">
        <v>15173</v>
      </c>
      <c r="D682">
        <v>681</v>
      </c>
      <c r="E682" t="str">
        <f t="shared" si="30"/>
        <v>E2_8_4_3</v>
      </c>
      <c r="F682" s="9" t="s">
        <v>17009</v>
      </c>
      <c r="G682" s="9" t="s">
        <v>17010</v>
      </c>
      <c r="H682" s="9" t="s">
        <v>17011</v>
      </c>
      <c r="I682" s="9" t="s">
        <v>17012</v>
      </c>
      <c r="J682" s="9" t="str">
        <f t="shared" si="31"/>
        <v>(${Variables:E2_8_4_3_kcat} * E2_8_4_3 * C04432 * C17023 * C00019)/(${Variables:E2_8_4_3_km} + (E2_8_4_3 * C04432 * C17023 * C00019))</v>
      </c>
      <c r="K682" s="38" t="str">
        <f t="shared" si="32"/>
        <v>r681: C04432 + C17023 + C00019 -&gt; C20753 + C00021 + C00073 + C05198 | (${Variables:E2_8_4_3_kcat} * E2_8_4_3 * C04432 * C17023 * C00019)/(${Variables:E2_8_4_3_km} + (E2_8_4_3 * C04432 * C17023 * C00019))</v>
      </c>
    </row>
    <row r="683" spans="1:11" ht="42.75" x14ac:dyDescent="0.45">
      <c r="A683" t="s">
        <v>5736</v>
      </c>
      <c r="B683" t="s">
        <v>5737</v>
      </c>
      <c r="C683" t="s">
        <v>15173</v>
      </c>
      <c r="D683">
        <v>682</v>
      </c>
      <c r="E683" t="str">
        <f t="shared" si="30"/>
        <v>E2_8_4_3</v>
      </c>
      <c r="F683" s="9" t="s">
        <v>17009</v>
      </c>
      <c r="G683" s="9" t="s">
        <v>17010</v>
      </c>
      <c r="H683" s="9" t="s">
        <v>17013</v>
      </c>
      <c r="I683" s="9" t="s">
        <v>17014</v>
      </c>
      <c r="J683" s="9" t="str">
        <f t="shared" si="31"/>
        <v>(${Variables:E2_8_4_3_kcat} * E2_8_4_3 * C04432 * C17023 * C00019)/(${Variables:E2_8_4_3_km} + (E2_8_4_3 * C04432 * C17023 * C00019))</v>
      </c>
      <c r="K683" s="38" t="str">
        <f t="shared" si="32"/>
        <v>r682: C04432 + C17023 + C00019 -&gt; C20755 + C00073 + C05198 | (${Variables:E2_8_4_3_kcat} * E2_8_4_3 * C04432 * C17023 * C00019)/(${Variables:E2_8_4_3_km} + (E2_8_4_3 * C04432 * C17023 * C00019))</v>
      </c>
    </row>
    <row r="684" spans="1:11" ht="42.75" x14ac:dyDescent="0.45">
      <c r="A684" t="s">
        <v>5736</v>
      </c>
      <c r="B684" t="s">
        <v>5737</v>
      </c>
      <c r="C684" t="s">
        <v>15173</v>
      </c>
      <c r="D684">
        <v>683</v>
      </c>
      <c r="E684" t="str">
        <f t="shared" si="30"/>
        <v>E2_8_4_3</v>
      </c>
      <c r="F684" s="9" t="s">
        <v>17015</v>
      </c>
      <c r="G684" s="9" t="s">
        <v>17016</v>
      </c>
      <c r="H684" s="9" t="s">
        <v>17017</v>
      </c>
      <c r="I684" s="9" t="s">
        <v>17018</v>
      </c>
      <c r="J684" s="9" t="str">
        <f t="shared" si="31"/>
        <v>(${Variables:E2_8_4_3_kcat} * E2_8_4_3 * C20755 * C00019)/(${Variables:E2_8_4_3_km} + (E2_8_4_3 * C20755 * C00019))</v>
      </c>
      <c r="K684" s="38" t="str">
        <f t="shared" si="32"/>
        <v>r683: C20755 + C00019 -&gt; C20753 + C00021 | (${Variables:E2_8_4_3_kcat} * E2_8_4_3 * C20755 * C00019)/(${Variables:E2_8_4_3_km} + (E2_8_4_3 * C20755 * C00019))</v>
      </c>
    </row>
    <row r="685" spans="1:11" ht="57" x14ac:dyDescent="0.45">
      <c r="A685" t="s">
        <v>3635</v>
      </c>
      <c r="B685" t="s">
        <v>3636</v>
      </c>
      <c r="C685" t="s">
        <v>15174</v>
      </c>
      <c r="D685">
        <v>684</v>
      </c>
      <c r="E685" t="str">
        <f t="shared" si="30"/>
        <v>E2_8_4_4</v>
      </c>
      <c r="F685" s="9" t="s">
        <v>17019</v>
      </c>
      <c r="G685" s="9" t="s">
        <v>17020</v>
      </c>
      <c r="H685" s="9" t="s">
        <v>17021</v>
      </c>
      <c r="I685" s="9" t="s">
        <v>17022</v>
      </c>
      <c r="J685" s="9" t="str">
        <f t="shared" si="31"/>
        <v>(${Variables:E2_8_4_4_kcat} * E2_8_4_4 * C20756 * C17023 * C00019 * C00030)/(${Variables:E2_8_4_4_km} + (E2_8_4_4 * C20756 * C17023 * C00019 * C00030))</v>
      </c>
      <c r="K685" s="38" t="str">
        <f t="shared" si="32"/>
        <v>r684: C20756 + C17023 + C00019 + C00030 -&gt; C20758 + C00021 + C00073 + C05198 + C00028 | (${Variables:E2_8_4_4_kcat} * E2_8_4_4 * C20756 * C17023 * C00019 * C00030)/(${Variables:E2_8_4_4_km} + (E2_8_4_4 * C20756 * C17023 * C00019 * C00030))</v>
      </c>
    </row>
    <row r="686" spans="1:11" ht="42.75" x14ac:dyDescent="0.45">
      <c r="A686" t="s">
        <v>7057</v>
      </c>
      <c r="B686" t="s">
        <v>7058</v>
      </c>
      <c r="C686" t="s">
        <v>15175</v>
      </c>
      <c r="D686">
        <v>685</v>
      </c>
      <c r="E686" t="str">
        <f t="shared" si="30"/>
        <v>E2_9_1_1</v>
      </c>
      <c r="F686" s="9" t="s">
        <v>17023</v>
      </c>
      <c r="G686" s="9" t="s">
        <v>17024</v>
      </c>
      <c r="H686" s="9" t="s">
        <v>17025</v>
      </c>
      <c r="I686" s="9" t="s">
        <v>17026</v>
      </c>
      <c r="J686" s="9" t="str">
        <f t="shared" si="31"/>
        <v>(${Variables:E2_9_1_1_kcat} * E2_9_1_1 * C06481 * C05172)/(${Variables:E2_9_1_1_km} + (E2_9_1_1 * C06481 * C05172))</v>
      </c>
      <c r="K686" s="38" t="str">
        <f t="shared" si="32"/>
        <v>r685: C06481 + C05172 -&gt; C06482 + C00009 | (${Variables:E2_9_1_1_kcat} * E2_9_1_1 * C06481 * C05172)/(${Variables:E2_9_1_1_km} + (E2_9_1_1 * C06481 * C05172))</v>
      </c>
    </row>
    <row r="687" spans="1:11" ht="42.75" x14ac:dyDescent="0.45">
      <c r="A687" t="s">
        <v>9673</v>
      </c>
      <c r="B687" t="s">
        <v>9674</v>
      </c>
      <c r="C687" t="s">
        <v>15176</v>
      </c>
      <c r="D687">
        <v>686</v>
      </c>
      <c r="E687" t="str">
        <f t="shared" si="30"/>
        <v>E3_1_1_29</v>
      </c>
      <c r="F687" s="9" t="s">
        <v>17027</v>
      </c>
      <c r="G687" s="9" t="s">
        <v>17028</v>
      </c>
      <c r="H687" s="9" t="s">
        <v>17029</v>
      </c>
      <c r="I687" s="9" t="s">
        <v>17030</v>
      </c>
      <c r="J687" s="9" t="str">
        <f t="shared" si="31"/>
        <v>(${Variables:E3_1_1_29_kcat} * E3_1_1_29 * C03880 * C00001)/(${Variables:E3_1_1_29_km} + (E3_1_1_29 * C03880 * C00001))</v>
      </c>
      <c r="K687" s="38" t="str">
        <f t="shared" si="32"/>
        <v>r686: C03880 + C00001 -&gt; C03523 + C00066 | (${Variables:E3_1_1_29_kcat} * E3_1_1_29 * C03880 * C00001)/(${Variables:E3_1_1_29_km} + (E3_1_1_29 * C03880 * C00001))</v>
      </c>
    </row>
    <row r="688" spans="1:11" ht="42.75" x14ac:dyDescent="0.45">
      <c r="A688" t="s">
        <v>2183</v>
      </c>
      <c r="B688" t="s">
        <v>2184</v>
      </c>
      <c r="C688" t="s">
        <v>15177</v>
      </c>
      <c r="D688">
        <v>687</v>
      </c>
      <c r="E688" t="str">
        <f t="shared" si="30"/>
        <v>E3_1_3_15</v>
      </c>
      <c r="F688" s="9" t="s">
        <v>17031</v>
      </c>
      <c r="G688" s="9" t="s">
        <v>17032</v>
      </c>
      <c r="H688" s="9" t="s">
        <v>17033</v>
      </c>
      <c r="I688" s="9" t="s">
        <v>17034</v>
      </c>
      <c r="J688" s="9" t="str">
        <f t="shared" si="31"/>
        <v>(${Variables:E3_1_3_15_kcat} * E3_1_3_15 * C01100 * C00001)/(${Variables:E3_1_3_15_km} + (E3_1_3_15 * C01100 * C00001))</v>
      </c>
      <c r="K688" s="38" t="str">
        <f t="shared" si="32"/>
        <v>r687: C01100 + C00001 -&gt; C00860 + C00009 | (${Variables:E3_1_3_15_kcat} * E3_1_3_15 * C01100 * C00001)/(${Variables:E3_1_3_15_km} + (E3_1_3_15 * C01100 * C00001))</v>
      </c>
    </row>
    <row r="689" spans="1:11" ht="42.75" x14ac:dyDescent="0.45">
      <c r="A689" t="s">
        <v>7588</v>
      </c>
      <c r="B689" t="s">
        <v>7589</v>
      </c>
      <c r="C689" t="s">
        <v>15178</v>
      </c>
      <c r="D689">
        <v>688</v>
      </c>
      <c r="E689" t="str">
        <f t="shared" si="30"/>
        <v>E3_1_3_16</v>
      </c>
      <c r="F689" s="9" t="s">
        <v>17035</v>
      </c>
      <c r="G689" s="9" t="s">
        <v>17036</v>
      </c>
      <c r="H689" s="9" t="s">
        <v>17037</v>
      </c>
      <c r="I689" s="9" t="s">
        <v>17038</v>
      </c>
      <c r="J689" s="9" t="str">
        <f t="shared" si="31"/>
        <v>(${Variables:E3_1_3_16_kcat} * E3_1_3_16 * C00562 * C00001)/(${Variables:E3_1_3_16_km} + (E3_1_3_16 * C00562 * C00001))</v>
      </c>
      <c r="K689" s="38" t="str">
        <f t="shared" si="32"/>
        <v>r688: C00562 + C00001 -&gt; C00017 + C00009 | (${Variables:E3_1_3_16_kcat} * E3_1_3_16 * C00562 * C00001)/(${Variables:E3_1_3_16_km} + (E3_1_3_16 * C00562 * C00001))</v>
      </c>
    </row>
    <row r="690" spans="1:11" ht="42.75" x14ac:dyDescent="0.45">
      <c r="A690" t="s">
        <v>9634</v>
      </c>
      <c r="B690" t="s">
        <v>9635</v>
      </c>
      <c r="C690" t="s">
        <v>15178</v>
      </c>
      <c r="D690">
        <v>689</v>
      </c>
      <c r="E690" t="str">
        <f t="shared" si="30"/>
        <v>E3_1_3_16</v>
      </c>
      <c r="F690" s="9" t="s">
        <v>17035</v>
      </c>
      <c r="G690" s="9" t="s">
        <v>17036</v>
      </c>
      <c r="H690" s="9" t="s">
        <v>17037</v>
      </c>
      <c r="I690" s="9" t="s">
        <v>17038</v>
      </c>
      <c r="J690" s="9" t="str">
        <f t="shared" si="31"/>
        <v>(${Variables:E3_1_3_16_kcat} * E3_1_3_16 * C00562 * C00001)/(${Variables:E3_1_3_16_km} + (E3_1_3_16 * C00562 * C00001))</v>
      </c>
      <c r="K690" s="38" t="str">
        <f t="shared" si="32"/>
        <v>r689: C00562 + C00001 -&gt; C00017 + C00009 | (${Variables:E3_1_3_16_kcat} * E3_1_3_16 * C00562 * C00001)/(${Variables:E3_1_3_16_km} + (E3_1_3_16 * C00562 * C00001))</v>
      </c>
    </row>
    <row r="691" spans="1:11" ht="42.75" x14ac:dyDescent="0.45">
      <c r="A691" t="s">
        <v>6649</v>
      </c>
      <c r="B691" t="s">
        <v>6650</v>
      </c>
      <c r="C691" t="s">
        <v>15179</v>
      </c>
      <c r="D691">
        <v>690</v>
      </c>
      <c r="E691" t="str">
        <f t="shared" si="30"/>
        <v>E3_1_3_23</v>
      </c>
      <c r="F691" s="9" t="s">
        <v>17039</v>
      </c>
      <c r="G691" s="9" t="s">
        <v>17040</v>
      </c>
      <c r="H691" s="9" t="s">
        <v>17041</v>
      </c>
      <c r="I691" s="9" t="s">
        <v>17042</v>
      </c>
      <c r="J691" s="9" t="str">
        <f t="shared" si="31"/>
        <v>(${Variables:E3_1_3_23_kcat} * E3_1_3_23 * C00934 * C00001)/(${Variables:E3_1_3_23_km} + (E3_1_3_23 * C00934 * C00001))</v>
      </c>
      <c r="K691" s="38" t="str">
        <f t="shared" si="32"/>
        <v>r690: C00934 + C00001 -&gt; C11477 + C00009 | (${Variables:E3_1_3_23_kcat} * E3_1_3_23 * C00934 * C00001)/(${Variables:E3_1_3_23_km} + (E3_1_3_23 * C00934 * C00001))</v>
      </c>
    </row>
    <row r="692" spans="1:11" ht="42.75" x14ac:dyDescent="0.45">
      <c r="A692" t="s">
        <v>6453</v>
      </c>
      <c r="B692" t="s">
        <v>6454</v>
      </c>
      <c r="C692" t="s">
        <v>15180</v>
      </c>
      <c r="D692">
        <v>691</v>
      </c>
      <c r="E692" t="str">
        <f t="shared" si="30"/>
        <v>E3_1_3_48</v>
      </c>
      <c r="F692" s="9" t="s">
        <v>17043</v>
      </c>
      <c r="G692" s="9" t="s">
        <v>17044</v>
      </c>
      <c r="H692" s="9" t="s">
        <v>17045</v>
      </c>
      <c r="I692" s="9" t="s">
        <v>17046</v>
      </c>
      <c r="J692" s="9" t="str">
        <f t="shared" si="31"/>
        <v>(${Variables:E3_1_3_48_kcat} * E3_1_3_48 * C01167 * C00001)/(${Variables:E3_1_3_48_km} + (E3_1_3_48 * C01167 * C00001))</v>
      </c>
      <c r="K692" s="38" t="str">
        <f t="shared" si="32"/>
        <v>r691: C01167 + C00001 -&gt; C00585 + C00009 | (${Variables:E3_1_3_48_kcat} * E3_1_3_48 * C01167 * C00001)/(${Variables:E3_1_3_48_km} + (E3_1_3_48 * C01167 * C00001))</v>
      </c>
    </row>
    <row r="693" spans="1:11" ht="42.75" x14ac:dyDescent="0.45">
      <c r="A693" t="s">
        <v>7157</v>
      </c>
      <c r="B693" t="s">
        <v>7158</v>
      </c>
      <c r="C693" t="s">
        <v>15181</v>
      </c>
      <c r="D693">
        <v>692</v>
      </c>
      <c r="E693" t="str">
        <f t="shared" si="30"/>
        <v>E3_1_3_5</v>
      </c>
      <c r="F693" s="9" t="s">
        <v>17075</v>
      </c>
      <c r="G693" s="9" t="s">
        <v>17076</v>
      </c>
      <c r="H693" s="9" t="s">
        <v>17077</v>
      </c>
      <c r="I693" s="9" t="s">
        <v>17078</v>
      </c>
      <c r="J693" s="9" t="str">
        <f t="shared" si="31"/>
        <v>(${Variables:E3_1_3_5_kcat} * E3_1_3_5 * C02520 * C00001)/(${Variables:E3_1_3_5_km} + (E3_1_3_5 * C02520 * C00001))</v>
      </c>
      <c r="K693" s="38" t="str">
        <f t="shared" si="32"/>
        <v>r692: C02520 + C00001 -&gt; C00911 + C00009 | (${Variables:E3_1_3_5_kcat} * E3_1_3_5 * C02520 * C00001)/(${Variables:E3_1_3_5_km} + (E3_1_3_5 * C02520 * C00001))</v>
      </c>
    </row>
    <row r="694" spans="1:11" ht="42.75" x14ac:dyDescent="0.45">
      <c r="A694" t="s">
        <v>7157</v>
      </c>
      <c r="B694" t="s">
        <v>7158</v>
      </c>
      <c r="C694" t="s">
        <v>15181</v>
      </c>
      <c r="D694">
        <v>693</v>
      </c>
      <c r="E694" t="str">
        <f t="shared" si="30"/>
        <v>E3_1_3_5</v>
      </c>
      <c r="F694" s="9" t="s">
        <v>17047</v>
      </c>
      <c r="G694" s="9" t="s">
        <v>17048</v>
      </c>
      <c r="H694" s="9" t="s">
        <v>16301</v>
      </c>
      <c r="I694" s="9" t="s">
        <v>16302</v>
      </c>
      <c r="J694" s="9" t="str">
        <f t="shared" si="31"/>
        <v>(${Variables:E3_1_3_5_kcat} * E3_1_3_5 * C00020 * C00001)/(${Variables:E3_1_3_5_km} + (E3_1_3_5 * C00020 * C00001))</v>
      </c>
      <c r="K694" s="38" t="str">
        <f t="shared" si="32"/>
        <v>r693: C00020 + C00001 -&gt; C00212 + C00009 | (${Variables:E3_1_3_5_kcat} * E3_1_3_5 * C00020 * C00001)/(${Variables:E3_1_3_5_km} + (E3_1_3_5 * C00020 * C00001))</v>
      </c>
    </row>
    <row r="695" spans="1:11" ht="42.75" x14ac:dyDescent="0.45">
      <c r="A695" t="s">
        <v>7157</v>
      </c>
      <c r="B695" t="s">
        <v>7158</v>
      </c>
      <c r="C695" t="s">
        <v>15181</v>
      </c>
      <c r="D695">
        <v>694</v>
      </c>
      <c r="E695" t="str">
        <f t="shared" si="30"/>
        <v>E3_1_3_5</v>
      </c>
      <c r="F695" s="9" t="s">
        <v>17049</v>
      </c>
      <c r="G695" s="9" t="s">
        <v>17050</v>
      </c>
      <c r="H695" s="9" t="s">
        <v>16373</v>
      </c>
      <c r="I695" s="9" t="s">
        <v>16374</v>
      </c>
      <c r="J695" s="9" t="str">
        <f t="shared" si="31"/>
        <v>(${Variables:E3_1_3_5_kcat} * E3_1_3_5 * C00055 * C00001)/(${Variables:E3_1_3_5_km} + (E3_1_3_5 * C00055 * C00001))</v>
      </c>
      <c r="K695" s="38" t="str">
        <f t="shared" si="32"/>
        <v>r694: C00055 + C00001 -&gt; C00475 + C00009 | (${Variables:E3_1_3_5_kcat} * E3_1_3_5 * C00055 * C00001)/(${Variables:E3_1_3_5_km} + (E3_1_3_5 * C00055 * C00001))</v>
      </c>
    </row>
    <row r="696" spans="1:11" ht="42.75" x14ac:dyDescent="0.45">
      <c r="A696" t="s">
        <v>7157</v>
      </c>
      <c r="B696" t="s">
        <v>7158</v>
      </c>
      <c r="C696" t="s">
        <v>15181</v>
      </c>
      <c r="D696">
        <v>695</v>
      </c>
      <c r="E696" t="str">
        <f t="shared" si="30"/>
        <v>E3_1_3_5</v>
      </c>
      <c r="F696" s="9" t="s">
        <v>17051</v>
      </c>
      <c r="G696" s="9" t="s">
        <v>17052</v>
      </c>
      <c r="H696" s="9" t="s">
        <v>16369</v>
      </c>
      <c r="I696" s="9" t="s">
        <v>16370</v>
      </c>
      <c r="J696" s="9" t="str">
        <f t="shared" si="31"/>
        <v>(${Variables:E3_1_3_5_kcat} * E3_1_3_5 * C00105 * C00001)/(${Variables:E3_1_3_5_km} + (E3_1_3_5 * C00105 * C00001))</v>
      </c>
      <c r="K696" s="38" t="str">
        <f t="shared" si="32"/>
        <v>r695: C00105 + C00001 -&gt; C00299 + C00009 | (${Variables:E3_1_3_5_kcat} * E3_1_3_5 * C00105 * C00001)/(${Variables:E3_1_3_5_km} + (E3_1_3_5 * C00105 * C00001))</v>
      </c>
    </row>
    <row r="697" spans="1:11" ht="42.75" x14ac:dyDescent="0.45">
      <c r="A697" t="s">
        <v>7157</v>
      </c>
      <c r="B697" t="s">
        <v>7158</v>
      </c>
      <c r="C697" t="s">
        <v>15181</v>
      </c>
      <c r="D697">
        <v>696</v>
      </c>
      <c r="E697" t="str">
        <f t="shared" si="30"/>
        <v>E3_1_3_5</v>
      </c>
      <c r="F697" s="9" t="s">
        <v>17053</v>
      </c>
      <c r="G697" s="9" t="s">
        <v>17054</v>
      </c>
      <c r="H697" s="9" t="s">
        <v>16305</v>
      </c>
      <c r="I697" s="9" t="s">
        <v>16306</v>
      </c>
      <c r="J697" s="9" t="str">
        <f t="shared" si="31"/>
        <v>(${Variables:E3_1_3_5_kcat} * E3_1_3_5 * C00130 * C00001)/(${Variables:E3_1_3_5_km} + (E3_1_3_5 * C00130 * C00001))</v>
      </c>
      <c r="K697" s="38" t="str">
        <f t="shared" si="32"/>
        <v>r696: C00130 + C00001 -&gt; C00294 + C00009 | (${Variables:E3_1_3_5_kcat} * E3_1_3_5 * C00130 * C00001)/(${Variables:E3_1_3_5_km} + (E3_1_3_5 * C00130 * C00001))</v>
      </c>
    </row>
    <row r="698" spans="1:11" ht="42.75" x14ac:dyDescent="0.45">
      <c r="A698" t="s">
        <v>7157</v>
      </c>
      <c r="B698" t="s">
        <v>7158</v>
      </c>
      <c r="C698" t="s">
        <v>15181</v>
      </c>
      <c r="D698">
        <v>697</v>
      </c>
      <c r="E698" t="str">
        <f t="shared" si="30"/>
        <v>E3_1_3_5</v>
      </c>
      <c r="F698" s="9" t="s">
        <v>17055</v>
      </c>
      <c r="G698" s="9" t="s">
        <v>17056</v>
      </c>
      <c r="H698" s="9" t="s">
        <v>16313</v>
      </c>
      <c r="I698" s="9" t="s">
        <v>16314</v>
      </c>
      <c r="J698" s="9" t="str">
        <f t="shared" si="31"/>
        <v>(${Variables:E3_1_3_5_kcat} * E3_1_3_5 * C00144 * C00001)/(${Variables:E3_1_3_5_km} + (E3_1_3_5 * C00144 * C00001))</v>
      </c>
      <c r="K698" s="38" t="str">
        <f t="shared" si="32"/>
        <v>r697: C00144 + C00001 -&gt; C00387 + C00009 | (${Variables:E3_1_3_5_kcat} * E3_1_3_5 * C00144 * C00001)/(${Variables:E3_1_3_5_km} + (E3_1_3_5 * C00144 * C00001))</v>
      </c>
    </row>
    <row r="699" spans="1:11" ht="42.75" x14ac:dyDescent="0.45">
      <c r="A699" t="s">
        <v>7157</v>
      </c>
      <c r="B699" t="s">
        <v>7158</v>
      </c>
      <c r="C699" t="s">
        <v>15181</v>
      </c>
      <c r="D699">
        <v>698</v>
      </c>
      <c r="E699" t="str">
        <f t="shared" si="30"/>
        <v>E3_1_3_5</v>
      </c>
      <c r="F699" s="9" t="s">
        <v>17069</v>
      </c>
      <c r="G699" s="9" t="s">
        <v>17070</v>
      </c>
      <c r="H699" s="9" t="s">
        <v>16325</v>
      </c>
      <c r="I699" s="9" t="s">
        <v>16326</v>
      </c>
      <c r="J699" s="9" t="str">
        <f t="shared" si="31"/>
        <v>(${Variables:E3_1_3_5_kcat} * E3_1_3_5 * C00455 * C00001)/(${Variables:E3_1_3_5_km} + (E3_1_3_5 * C00455 * C00001))</v>
      </c>
      <c r="K699" s="38" t="str">
        <f t="shared" si="32"/>
        <v>r698: C00455 + C00001 -&gt; C03150 + C00009 | (${Variables:E3_1_3_5_kcat} * E3_1_3_5 * C00455 * C00001)/(${Variables:E3_1_3_5_km} + (E3_1_3_5 * C00455 * C00001))</v>
      </c>
    </row>
    <row r="700" spans="1:11" ht="42.75" x14ac:dyDescent="0.45">
      <c r="A700" t="s">
        <v>7157</v>
      </c>
      <c r="B700" t="s">
        <v>7158</v>
      </c>
      <c r="C700" t="s">
        <v>15181</v>
      </c>
      <c r="D700">
        <v>699</v>
      </c>
      <c r="E700" t="str">
        <f t="shared" si="30"/>
        <v>E3_1_3_5</v>
      </c>
      <c r="F700" s="9" t="s">
        <v>17071</v>
      </c>
      <c r="G700" s="9" t="s">
        <v>17072</v>
      </c>
      <c r="H700" s="9" t="s">
        <v>16321</v>
      </c>
      <c r="I700" s="9" t="s">
        <v>16322</v>
      </c>
      <c r="J700" s="9" t="str">
        <f t="shared" si="31"/>
        <v>(${Variables:E3_1_3_5_kcat} * E3_1_3_5 * C00655 * C00001)/(${Variables:E3_1_3_5_km} + (E3_1_3_5 * C00655 * C00001))</v>
      </c>
      <c r="K700" s="38" t="str">
        <f t="shared" si="32"/>
        <v>r699: C00655 + C00001 -&gt; C01762 + C00009 | (${Variables:E3_1_3_5_kcat} * E3_1_3_5 * C00655 * C00001)/(${Variables:E3_1_3_5_km} + (E3_1_3_5 * C00655 * C00001))</v>
      </c>
    </row>
    <row r="701" spans="1:11" ht="42.75" x14ac:dyDescent="0.45">
      <c r="A701" t="s">
        <v>7157</v>
      </c>
      <c r="B701" t="s">
        <v>7158</v>
      </c>
      <c r="C701" t="s">
        <v>15181</v>
      </c>
      <c r="D701">
        <v>700</v>
      </c>
      <c r="E701" t="str">
        <f t="shared" si="30"/>
        <v>E3_1_3_5</v>
      </c>
      <c r="F701" s="9" t="s">
        <v>17073</v>
      </c>
      <c r="G701" s="9" t="s">
        <v>17074</v>
      </c>
      <c r="H701" s="9" t="s">
        <v>16333</v>
      </c>
      <c r="I701" s="9" t="s">
        <v>16334</v>
      </c>
      <c r="J701" s="9" t="str">
        <f t="shared" si="31"/>
        <v>(${Variables:E3_1_3_5_kcat} * E3_1_3_5 * C01185 * C00001)/(${Variables:E3_1_3_5_km} + (E3_1_3_5 * C01185 * C00001))</v>
      </c>
      <c r="K701" s="38" t="str">
        <f t="shared" si="32"/>
        <v>r700: C01185 + C00001 -&gt; C05841 + C00009 | (${Variables:E3_1_3_5_kcat} * E3_1_3_5 * C01185 * C00001)/(${Variables:E3_1_3_5_km} + (E3_1_3_5 * C01185 * C00001))</v>
      </c>
    </row>
    <row r="702" spans="1:11" ht="42.75" x14ac:dyDescent="0.45">
      <c r="A702" t="s">
        <v>7157</v>
      </c>
      <c r="B702" t="s">
        <v>7158</v>
      </c>
      <c r="C702" t="s">
        <v>15181</v>
      </c>
      <c r="D702">
        <v>701</v>
      </c>
      <c r="E702" t="str">
        <f t="shared" si="30"/>
        <v>E3_1_3_5</v>
      </c>
      <c r="F702" s="9" t="s">
        <v>17065</v>
      </c>
      <c r="G702" s="9" t="s">
        <v>17066</v>
      </c>
      <c r="H702" s="9" t="s">
        <v>16365</v>
      </c>
      <c r="I702" s="9" t="s">
        <v>16366</v>
      </c>
      <c r="J702" s="9" t="str">
        <f t="shared" si="31"/>
        <v>(${Variables:E3_1_3_5_kcat} * E3_1_3_5 * C00364 * C00001)/(${Variables:E3_1_3_5_km} + (E3_1_3_5 * C00364 * C00001))</v>
      </c>
      <c r="K702" s="38" t="str">
        <f t="shared" si="32"/>
        <v>r701: C00364 + C00001 -&gt; C00214 + C00009 | (${Variables:E3_1_3_5_kcat} * E3_1_3_5 * C00364 * C00001)/(${Variables:E3_1_3_5_km} + (E3_1_3_5 * C00364 * C00001))</v>
      </c>
    </row>
    <row r="703" spans="1:11" ht="42.75" x14ac:dyDescent="0.45">
      <c r="A703" t="s">
        <v>7157</v>
      </c>
      <c r="B703" t="s">
        <v>7158</v>
      </c>
      <c r="C703" t="s">
        <v>15181</v>
      </c>
      <c r="D703">
        <v>702</v>
      </c>
      <c r="E703" t="str">
        <f t="shared" si="30"/>
        <v>E3_1_3_5</v>
      </c>
      <c r="F703" s="9" t="s">
        <v>17057</v>
      </c>
      <c r="G703" s="9" t="s">
        <v>17058</v>
      </c>
      <c r="H703" s="9" t="s">
        <v>17059</v>
      </c>
      <c r="I703" s="9" t="s">
        <v>17060</v>
      </c>
      <c r="J703" s="9" t="str">
        <f t="shared" si="31"/>
        <v>(${Variables:E3_1_3_5_kcat} * E3_1_3_5 * C00239 * C00001)/(${Variables:E3_1_3_5_km} + (E3_1_3_5 * C00239 * C00001))</v>
      </c>
      <c r="K703" s="38" t="str">
        <f t="shared" si="32"/>
        <v>r702: C00239 + C00001 -&gt; C00881 + C00009 | (${Variables:E3_1_3_5_kcat} * E3_1_3_5 * C00239 * C00001)/(${Variables:E3_1_3_5_km} + (E3_1_3_5 * C00239 * C00001))</v>
      </c>
    </row>
    <row r="704" spans="1:11" ht="42.75" x14ac:dyDescent="0.45">
      <c r="A704" t="s">
        <v>7157</v>
      </c>
      <c r="B704" t="s">
        <v>7158</v>
      </c>
      <c r="C704" t="s">
        <v>15181</v>
      </c>
      <c r="D704">
        <v>703</v>
      </c>
      <c r="E704" t="str">
        <f t="shared" si="30"/>
        <v>E3_1_3_5</v>
      </c>
      <c r="F704" s="9" t="s">
        <v>17063</v>
      </c>
      <c r="G704" s="9" t="s">
        <v>17064</v>
      </c>
      <c r="H704" s="9" t="s">
        <v>16309</v>
      </c>
      <c r="I704" s="9" t="s">
        <v>16310</v>
      </c>
      <c r="J704" s="9" t="str">
        <f t="shared" si="31"/>
        <v>(${Variables:E3_1_3_5_kcat} * E3_1_3_5 * C00362 * C00001)/(${Variables:E3_1_3_5_km} + (E3_1_3_5 * C00362 * C00001))</v>
      </c>
      <c r="K704" s="38" t="str">
        <f t="shared" si="32"/>
        <v>r703: C00362 + C00001 -&gt; C00330 + C00009 | (${Variables:E3_1_3_5_kcat} * E3_1_3_5 * C00362 * C00001)/(${Variables:E3_1_3_5_km} + (E3_1_3_5 * C00362 * C00001))</v>
      </c>
    </row>
    <row r="705" spans="1:11" ht="42.75" x14ac:dyDescent="0.45">
      <c r="A705" t="s">
        <v>7157</v>
      </c>
      <c r="B705" t="s">
        <v>7158</v>
      </c>
      <c r="C705" t="s">
        <v>15181</v>
      </c>
      <c r="D705">
        <v>704</v>
      </c>
      <c r="E705" t="str">
        <f t="shared" si="30"/>
        <v>E3_1_3_5</v>
      </c>
      <c r="F705" s="9" t="s">
        <v>17061</v>
      </c>
      <c r="G705" s="9" t="s">
        <v>17062</v>
      </c>
      <c r="H705" s="9" t="s">
        <v>16317</v>
      </c>
      <c r="I705" s="9" t="s">
        <v>16318</v>
      </c>
      <c r="J705" s="9" t="str">
        <f t="shared" si="31"/>
        <v>(${Variables:E3_1_3_5_kcat} * E3_1_3_5 * C00360 * C00001)/(${Variables:E3_1_3_5_km} + (E3_1_3_5 * C00360 * C00001))</v>
      </c>
      <c r="K705" s="38" t="str">
        <f t="shared" si="32"/>
        <v>r704: C00360 + C00001 -&gt; C00559 + C00009 | (${Variables:E3_1_3_5_kcat} * E3_1_3_5 * C00360 * C00001)/(${Variables:E3_1_3_5_km} + (E3_1_3_5 * C00360 * C00001))</v>
      </c>
    </row>
    <row r="706" spans="1:11" ht="42.75" x14ac:dyDescent="0.45">
      <c r="A706" t="s">
        <v>7157</v>
      </c>
      <c r="B706" t="s">
        <v>7158</v>
      </c>
      <c r="C706" t="s">
        <v>15181</v>
      </c>
      <c r="D706">
        <v>705</v>
      </c>
      <c r="E706" t="str">
        <f t="shared" si="30"/>
        <v>E3_1_3_5</v>
      </c>
      <c r="F706" s="9" t="s">
        <v>17067</v>
      </c>
      <c r="G706" s="9" t="s">
        <v>17068</v>
      </c>
      <c r="H706" s="9" t="s">
        <v>16377</v>
      </c>
      <c r="I706" s="9" t="s">
        <v>16378</v>
      </c>
      <c r="J706" s="9" t="str">
        <f t="shared" si="31"/>
        <v>(${Variables:E3_1_3_5_kcat} * E3_1_3_5 * C00365 * C00001)/(${Variables:E3_1_3_5_km} + (E3_1_3_5 * C00365 * C00001))</v>
      </c>
      <c r="K706" s="38" t="str">
        <f t="shared" si="32"/>
        <v>r705: C00365 + C00001 -&gt; C00526 + C00009 | (${Variables:E3_1_3_5_kcat} * E3_1_3_5 * C00365 * C00001)/(${Variables:E3_1_3_5_km} + (E3_1_3_5 * C00365 * C00001))</v>
      </c>
    </row>
    <row r="707" spans="1:11" ht="42.75" x14ac:dyDescent="0.45">
      <c r="A707" t="s">
        <v>7157</v>
      </c>
      <c r="B707" t="s">
        <v>7158</v>
      </c>
      <c r="C707" t="s">
        <v>15181</v>
      </c>
      <c r="D707">
        <v>706</v>
      </c>
      <c r="E707" t="str">
        <f t="shared" ref="E707:E770" si="33">CONCATENATE("E",C707)</f>
        <v>E3_1_3_5</v>
      </c>
      <c r="F707" s="9" t="s">
        <v>17079</v>
      </c>
      <c r="G707" s="9" t="s">
        <v>17080</v>
      </c>
      <c r="H707" s="9" t="s">
        <v>16329</v>
      </c>
      <c r="I707" s="9" t="s">
        <v>16330</v>
      </c>
      <c r="J707" s="9" t="str">
        <f t="shared" ref="J707:J770" si="34">CONCATENATE("(${Variables:",E707,"_kcat","} * ",E707," * ",G707,")","/(${Variables:",E707,"_km","} + (",E707," * ",G707,"))")</f>
        <v>(${Variables:E3_1_3_5_kcat} * E3_1_3_5 * C06196 * C00001)/(${Variables:E3_1_3_5_km} + (E3_1_3_5 * C06196 * C00001))</v>
      </c>
      <c r="K707" s="38" t="str">
        <f t="shared" ref="K707:K770" si="35">CONCATENATE("r",D707,": ",F707," -&gt; ",H707," | ",J707)</f>
        <v>r706: C06196 + C00001 -&gt; C05512 + C00009 | (${Variables:E3_1_3_5_kcat} * E3_1_3_5 * C06196 * C00001)/(${Variables:E3_1_3_5_km} + (E3_1_3_5 * C06196 * C00001))</v>
      </c>
    </row>
    <row r="708" spans="1:11" ht="42.75" x14ac:dyDescent="0.45">
      <c r="A708" t="s">
        <v>4963</v>
      </c>
      <c r="B708" t="s">
        <v>4964</v>
      </c>
      <c r="C708" t="s">
        <v>15181</v>
      </c>
      <c r="D708">
        <v>707</v>
      </c>
      <c r="E708" t="str">
        <f t="shared" si="33"/>
        <v>E3_1_3_5</v>
      </c>
      <c r="F708" s="9" t="s">
        <v>17075</v>
      </c>
      <c r="G708" s="9" t="s">
        <v>17076</v>
      </c>
      <c r="H708" s="9" t="s">
        <v>17077</v>
      </c>
      <c r="I708" s="9" t="s">
        <v>17078</v>
      </c>
      <c r="J708" s="9" t="str">
        <f t="shared" si="34"/>
        <v>(${Variables:E3_1_3_5_kcat} * E3_1_3_5 * C02520 * C00001)/(${Variables:E3_1_3_5_km} + (E3_1_3_5 * C02520 * C00001))</v>
      </c>
      <c r="K708" s="38" t="str">
        <f t="shared" si="35"/>
        <v>r707: C02520 + C00001 -&gt; C00911 + C00009 | (${Variables:E3_1_3_5_kcat} * E3_1_3_5 * C02520 * C00001)/(${Variables:E3_1_3_5_km} + (E3_1_3_5 * C02520 * C00001))</v>
      </c>
    </row>
    <row r="709" spans="1:11" ht="42.75" x14ac:dyDescent="0.45">
      <c r="A709" t="s">
        <v>4963</v>
      </c>
      <c r="B709" t="s">
        <v>4964</v>
      </c>
      <c r="C709" t="s">
        <v>15181</v>
      </c>
      <c r="D709">
        <v>708</v>
      </c>
      <c r="E709" t="str">
        <f t="shared" si="33"/>
        <v>E3_1_3_5</v>
      </c>
      <c r="F709" s="9" t="s">
        <v>17047</v>
      </c>
      <c r="G709" s="9" t="s">
        <v>17048</v>
      </c>
      <c r="H709" s="9" t="s">
        <v>16301</v>
      </c>
      <c r="I709" s="9" t="s">
        <v>16302</v>
      </c>
      <c r="J709" s="9" t="str">
        <f t="shared" si="34"/>
        <v>(${Variables:E3_1_3_5_kcat} * E3_1_3_5 * C00020 * C00001)/(${Variables:E3_1_3_5_km} + (E3_1_3_5 * C00020 * C00001))</v>
      </c>
      <c r="K709" s="38" t="str">
        <f t="shared" si="35"/>
        <v>r708: C00020 + C00001 -&gt; C00212 + C00009 | (${Variables:E3_1_3_5_kcat} * E3_1_3_5 * C00020 * C00001)/(${Variables:E3_1_3_5_km} + (E3_1_3_5 * C00020 * C00001))</v>
      </c>
    </row>
    <row r="710" spans="1:11" ht="42.75" x14ac:dyDescent="0.45">
      <c r="A710" t="s">
        <v>4963</v>
      </c>
      <c r="B710" t="s">
        <v>4964</v>
      </c>
      <c r="C710" t="s">
        <v>15181</v>
      </c>
      <c r="D710">
        <v>709</v>
      </c>
      <c r="E710" t="str">
        <f t="shared" si="33"/>
        <v>E3_1_3_5</v>
      </c>
      <c r="F710" s="9" t="s">
        <v>17049</v>
      </c>
      <c r="G710" s="9" t="s">
        <v>17050</v>
      </c>
      <c r="H710" s="9" t="s">
        <v>16373</v>
      </c>
      <c r="I710" s="9" t="s">
        <v>16374</v>
      </c>
      <c r="J710" s="9" t="str">
        <f t="shared" si="34"/>
        <v>(${Variables:E3_1_3_5_kcat} * E3_1_3_5 * C00055 * C00001)/(${Variables:E3_1_3_5_km} + (E3_1_3_5 * C00055 * C00001))</v>
      </c>
      <c r="K710" s="38" t="str">
        <f t="shared" si="35"/>
        <v>r709: C00055 + C00001 -&gt; C00475 + C00009 | (${Variables:E3_1_3_5_kcat} * E3_1_3_5 * C00055 * C00001)/(${Variables:E3_1_3_5_km} + (E3_1_3_5 * C00055 * C00001))</v>
      </c>
    </row>
    <row r="711" spans="1:11" ht="42.75" x14ac:dyDescent="0.45">
      <c r="A711" t="s">
        <v>4963</v>
      </c>
      <c r="B711" t="s">
        <v>4964</v>
      </c>
      <c r="C711" t="s">
        <v>15181</v>
      </c>
      <c r="D711">
        <v>710</v>
      </c>
      <c r="E711" t="str">
        <f t="shared" si="33"/>
        <v>E3_1_3_5</v>
      </c>
      <c r="F711" s="9" t="s">
        <v>17051</v>
      </c>
      <c r="G711" s="9" t="s">
        <v>17052</v>
      </c>
      <c r="H711" s="9" t="s">
        <v>16369</v>
      </c>
      <c r="I711" s="9" t="s">
        <v>16370</v>
      </c>
      <c r="J711" s="9" t="str">
        <f t="shared" si="34"/>
        <v>(${Variables:E3_1_3_5_kcat} * E3_1_3_5 * C00105 * C00001)/(${Variables:E3_1_3_5_km} + (E3_1_3_5 * C00105 * C00001))</v>
      </c>
      <c r="K711" s="38" t="str">
        <f t="shared" si="35"/>
        <v>r710: C00105 + C00001 -&gt; C00299 + C00009 | (${Variables:E3_1_3_5_kcat} * E3_1_3_5 * C00105 * C00001)/(${Variables:E3_1_3_5_km} + (E3_1_3_5 * C00105 * C00001))</v>
      </c>
    </row>
    <row r="712" spans="1:11" ht="42.75" x14ac:dyDescent="0.45">
      <c r="A712" t="s">
        <v>4963</v>
      </c>
      <c r="B712" t="s">
        <v>4964</v>
      </c>
      <c r="C712" t="s">
        <v>15181</v>
      </c>
      <c r="D712">
        <v>711</v>
      </c>
      <c r="E712" t="str">
        <f t="shared" si="33"/>
        <v>E3_1_3_5</v>
      </c>
      <c r="F712" s="9" t="s">
        <v>17053</v>
      </c>
      <c r="G712" s="9" t="s">
        <v>17054</v>
      </c>
      <c r="H712" s="9" t="s">
        <v>16305</v>
      </c>
      <c r="I712" s="9" t="s">
        <v>16306</v>
      </c>
      <c r="J712" s="9" t="str">
        <f t="shared" si="34"/>
        <v>(${Variables:E3_1_3_5_kcat} * E3_1_3_5 * C00130 * C00001)/(${Variables:E3_1_3_5_km} + (E3_1_3_5 * C00130 * C00001))</v>
      </c>
      <c r="K712" s="38" t="str">
        <f t="shared" si="35"/>
        <v>r711: C00130 + C00001 -&gt; C00294 + C00009 | (${Variables:E3_1_3_5_kcat} * E3_1_3_5 * C00130 * C00001)/(${Variables:E3_1_3_5_km} + (E3_1_3_5 * C00130 * C00001))</v>
      </c>
    </row>
    <row r="713" spans="1:11" ht="42.75" x14ac:dyDescent="0.45">
      <c r="A713" t="s">
        <v>4963</v>
      </c>
      <c r="B713" t="s">
        <v>4964</v>
      </c>
      <c r="C713" t="s">
        <v>15181</v>
      </c>
      <c r="D713">
        <v>712</v>
      </c>
      <c r="E713" t="str">
        <f t="shared" si="33"/>
        <v>E3_1_3_5</v>
      </c>
      <c r="F713" s="9" t="s">
        <v>17055</v>
      </c>
      <c r="G713" s="9" t="s">
        <v>17056</v>
      </c>
      <c r="H713" s="9" t="s">
        <v>16313</v>
      </c>
      <c r="I713" s="9" t="s">
        <v>16314</v>
      </c>
      <c r="J713" s="9" t="str">
        <f t="shared" si="34"/>
        <v>(${Variables:E3_1_3_5_kcat} * E3_1_3_5 * C00144 * C00001)/(${Variables:E3_1_3_5_km} + (E3_1_3_5 * C00144 * C00001))</v>
      </c>
      <c r="K713" s="38" t="str">
        <f t="shared" si="35"/>
        <v>r712: C00144 + C00001 -&gt; C00387 + C00009 | (${Variables:E3_1_3_5_kcat} * E3_1_3_5 * C00144 * C00001)/(${Variables:E3_1_3_5_km} + (E3_1_3_5 * C00144 * C00001))</v>
      </c>
    </row>
    <row r="714" spans="1:11" ht="42.75" x14ac:dyDescent="0.45">
      <c r="A714" t="s">
        <v>4963</v>
      </c>
      <c r="B714" t="s">
        <v>4964</v>
      </c>
      <c r="C714" t="s">
        <v>15181</v>
      </c>
      <c r="D714">
        <v>713</v>
      </c>
      <c r="E714" t="str">
        <f t="shared" si="33"/>
        <v>E3_1_3_5</v>
      </c>
      <c r="F714" s="9" t="s">
        <v>17069</v>
      </c>
      <c r="G714" s="9" t="s">
        <v>17070</v>
      </c>
      <c r="H714" s="9" t="s">
        <v>16325</v>
      </c>
      <c r="I714" s="9" t="s">
        <v>16326</v>
      </c>
      <c r="J714" s="9" t="str">
        <f t="shared" si="34"/>
        <v>(${Variables:E3_1_3_5_kcat} * E3_1_3_5 * C00455 * C00001)/(${Variables:E3_1_3_5_km} + (E3_1_3_5 * C00455 * C00001))</v>
      </c>
      <c r="K714" s="38" t="str">
        <f t="shared" si="35"/>
        <v>r713: C00455 + C00001 -&gt; C03150 + C00009 | (${Variables:E3_1_3_5_kcat} * E3_1_3_5 * C00455 * C00001)/(${Variables:E3_1_3_5_km} + (E3_1_3_5 * C00455 * C00001))</v>
      </c>
    </row>
    <row r="715" spans="1:11" ht="42.75" x14ac:dyDescent="0.45">
      <c r="A715" t="s">
        <v>4963</v>
      </c>
      <c r="B715" t="s">
        <v>4964</v>
      </c>
      <c r="C715" t="s">
        <v>15181</v>
      </c>
      <c r="D715">
        <v>714</v>
      </c>
      <c r="E715" t="str">
        <f t="shared" si="33"/>
        <v>E3_1_3_5</v>
      </c>
      <c r="F715" s="9" t="s">
        <v>17071</v>
      </c>
      <c r="G715" s="9" t="s">
        <v>17072</v>
      </c>
      <c r="H715" s="9" t="s">
        <v>16321</v>
      </c>
      <c r="I715" s="9" t="s">
        <v>16322</v>
      </c>
      <c r="J715" s="9" t="str">
        <f t="shared" si="34"/>
        <v>(${Variables:E3_1_3_5_kcat} * E3_1_3_5 * C00655 * C00001)/(${Variables:E3_1_3_5_km} + (E3_1_3_5 * C00655 * C00001))</v>
      </c>
      <c r="K715" s="38" t="str">
        <f t="shared" si="35"/>
        <v>r714: C00655 + C00001 -&gt; C01762 + C00009 | (${Variables:E3_1_3_5_kcat} * E3_1_3_5 * C00655 * C00001)/(${Variables:E3_1_3_5_km} + (E3_1_3_5 * C00655 * C00001))</v>
      </c>
    </row>
    <row r="716" spans="1:11" ht="42.75" x14ac:dyDescent="0.45">
      <c r="A716" t="s">
        <v>4963</v>
      </c>
      <c r="B716" t="s">
        <v>4964</v>
      </c>
      <c r="C716" t="s">
        <v>15181</v>
      </c>
      <c r="D716">
        <v>715</v>
      </c>
      <c r="E716" t="str">
        <f t="shared" si="33"/>
        <v>E3_1_3_5</v>
      </c>
      <c r="F716" s="9" t="s">
        <v>17073</v>
      </c>
      <c r="G716" s="9" t="s">
        <v>17074</v>
      </c>
      <c r="H716" s="9" t="s">
        <v>16333</v>
      </c>
      <c r="I716" s="9" t="s">
        <v>16334</v>
      </c>
      <c r="J716" s="9" t="str">
        <f t="shared" si="34"/>
        <v>(${Variables:E3_1_3_5_kcat} * E3_1_3_5 * C01185 * C00001)/(${Variables:E3_1_3_5_km} + (E3_1_3_5 * C01185 * C00001))</v>
      </c>
      <c r="K716" s="38" t="str">
        <f t="shared" si="35"/>
        <v>r715: C01185 + C00001 -&gt; C05841 + C00009 | (${Variables:E3_1_3_5_kcat} * E3_1_3_5 * C01185 * C00001)/(${Variables:E3_1_3_5_km} + (E3_1_3_5 * C01185 * C00001))</v>
      </c>
    </row>
    <row r="717" spans="1:11" ht="42.75" x14ac:dyDescent="0.45">
      <c r="A717" t="s">
        <v>4963</v>
      </c>
      <c r="B717" t="s">
        <v>4964</v>
      </c>
      <c r="C717" t="s">
        <v>15181</v>
      </c>
      <c r="D717">
        <v>716</v>
      </c>
      <c r="E717" t="str">
        <f t="shared" si="33"/>
        <v>E3_1_3_5</v>
      </c>
      <c r="F717" s="9" t="s">
        <v>17065</v>
      </c>
      <c r="G717" s="9" t="s">
        <v>17066</v>
      </c>
      <c r="H717" s="9" t="s">
        <v>16365</v>
      </c>
      <c r="I717" s="9" t="s">
        <v>16366</v>
      </c>
      <c r="J717" s="9" t="str">
        <f t="shared" si="34"/>
        <v>(${Variables:E3_1_3_5_kcat} * E3_1_3_5 * C00364 * C00001)/(${Variables:E3_1_3_5_km} + (E3_1_3_5 * C00364 * C00001))</v>
      </c>
      <c r="K717" s="38" t="str">
        <f t="shared" si="35"/>
        <v>r716: C00364 + C00001 -&gt; C00214 + C00009 | (${Variables:E3_1_3_5_kcat} * E3_1_3_5 * C00364 * C00001)/(${Variables:E3_1_3_5_km} + (E3_1_3_5 * C00364 * C00001))</v>
      </c>
    </row>
    <row r="718" spans="1:11" ht="42.75" x14ac:dyDescent="0.45">
      <c r="A718" t="s">
        <v>4963</v>
      </c>
      <c r="B718" t="s">
        <v>4964</v>
      </c>
      <c r="C718" t="s">
        <v>15181</v>
      </c>
      <c r="D718">
        <v>717</v>
      </c>
      <c r="E718" t="str">
        <f t="shared" si="33"/>
        <v>E3_1_3_5</v>
      </c>
      <c r="F718" s="9" t="s">
        <v>17057</v>
      </c>
      <c r="G718" s="9" t="s">
        <v>17058</v>
      </c>
      <c r="H718" s="9" t="s">
        <v>17059</v>
      </c>
      <c r="I718" s="9" t="s">
        <v>17060</v>
      </c>
      <c r="J718" s="9" t="str">
        <f t="shared" si="34"/>
        <v>(${Variables:E3_1_3_5_kcat} * E3_1_3_5 * C00239 * C00001)/(${Variables:E3_1_3_5_km} + (E3_1_3_5 * C00239 * C00001))</v>
      </c>
      <c r="K718" s="38" t="str">
        <f t="shared" si="35"/>
        <v>r717: C00239 + C00001 -&gt; C00881 + C00009 | (${Variables:E3_1_3_5_kcat} * E3_1_3_5 * C00239 * C00001)/(${Variables:E3_1_3_5_km} + (E3_1_3_5 * C00239 * C00001))</v>
      </c>
    </row>
    <row r="719" spans="1:11" ht="42.75" x14ac:dyDescent="0.45">
      <c r="A719" t="s">
        <v>4963</v>
      </c>
      <c r="B719" t="s">
        <v>4964</v>
      </c>
      <c r="C719" t="s">
        <v>15181</v>
      </c>
      <c r="D719">
        <v>718</v>
      </c>
      <c r="E719" t="str">
        <f t="shared" si="33"/>
        <v>E3_1_3_5</v>
      </c>
      <c r="F719" s="9" t="s">
        <v>17063</v>
      </c>
      <c r="G719" s="9" t="s">
        <v>17064</v>
      </c>
      <c r="H719" s="9" t="s">
        <v>16309</v>
      </c>
      <c r="I719" s="9" t="s">
        <v>16310</v>
      </c>
      <c r="J719" s="9" t="str">
        <f t="shared" si="34"/>
        <v>(${Variables:E3_1_3_5_kcat} * E3_1_3_5 * C00362 * C00001)/(${Variables:E3_1_3_5_km} + (E3_1_3_5 * C00362 * C00001))</v>
      </c>
      <c r="K719" s="38" t="str">
        <f t="shared" si="35"/>
        <v>r718: C00362 + C00001 -&gt; C00330 + C00009 | (${Variables:E3_1_3_5_kcat} * E3_1_3_5 * C00362 * C00001)/(${Variables:E3_1_3_5_km} + (E3_1_3_5 * C00362 * C00001))</v>
      </c>
    </row>
    <row r="720" spans="1:11" ht="42.75" x14ac:dyDescent="0.45">
      <c r="A720" t="s">
        <v>4963</v>
      </c>
      <c r="B720" t="s">
        <v>4964</v>
      </c>
      <c r="C720" t="s">
        <v>15181</v>
      </c>
      <c r="D720">
        <v>719</v>
      </c>
      <c r="E720" t="str">
        <f t="shared" si="33"/>
        <v>E3_1_3_5</v>
      </c>
      <c r="F720" s="9" t="s">
        <v>17061</v>
      </c>
      <c r="G720" s="9" t="s">
        <v>17062</v>
      </c>
      <c r="H720" s="9" t="s">
        <v>16317</v>
      </c>
      <c r="I720" s="9" t="s">
        <v>16318</v>
      </c>
      <c r="J720" s="9" t="str">
        <f t="shared" si="34"/>
        <v>(${Variables:E3_1_3_5_kcat} * E3_1_3_5 * C00360 * C00001)/(${Variables:E3_1_3_5_km} + (E3_1_3_5 * C00360 * C00001))</v>
      </c>
      <c r="K720" s="38" t="str">
        <f t="shared" si="35"/>
        <v>r719: C00360 + C00001 -&gt; C00559 + C00009 | (${Variables:E3_1_3_5_kcat} * E3_1_3_5 * C00360 * C00001)/(${Variables:E3_1_3_5_km} + (E3_1_3_5 * C00360 * C00001))</v>
      </c>
    </row>
    <row r="721" spans="1:11" ht="42.75" x14ac:dyDescent="0.45">
      <c r="A721" t="s">
        <v>4963</v>
      </c>
      <c r="B721" t="s">
        <v>4964</v>
      </c>
      <c r="C721" t="s">
        <v>15181</v>
      </c>
      <c r="D721">
        <v>720</v>
      </c>
      <c r="E721" t="str">
        <f t="shared" si="33"/>
        <v>E3_1_3_5</v>
      </c>
      <c r="F721" s="9" t="s">
        <v>17067</v>
      </c>
      <c r="G721" s="9" t="s">
        <v>17068</v>
      </c>
      <c r="H721" s="9" t="s">
        <v>16377</v>
      </c>
      <c r="I721" s="9" t="s">
        <v>16378</v>
      </c>
      <c r="J721" s="9" t="str">
        <f t="shared" si="34"/>
        <v>(${Variables:E3_1_3_5_kcat} * E3_1_3_5 * C00365 * C00001)/(${Variables:E3_1_3_5_km} + (E3_1_3_5 * C00365 * C00001))</v>
      </c>
      <c r="K721" s="38" t="str">
        <f t="shared" si="35"/>
        <v>r720: C00365 + C00001 -&gt; C00526 + C00009 | (${Variables:E3_1_3_5_kcat} * E3_1_3_5 * C00365 * C00001)/(${Variables:E3_1_3_5_km} + (E3_1_3_5 * C00365 * C00001))</v>
      </c>
    </row>
    <row r="722" spans="1:11" ht="42.75" x14ac:dyDescent="0.45">
      <c r="A722" t="s">
        <v>4963</v>
      </c>
      <c r="B722" t="s">
        <v>4964</v>
      </c>
      <c r="C722" t="s">
        <v>15181</v>
      </c>
      <c r="D722">
        <v>721</v>
      </c>
      <c r="E722" t="str">
        <f t="shared" si="33"/>
        <v>E3_1_3_5</v>
      </c>
      <c r="F722" s="9" t="s">
        <v>17079</v>
      </c>
      <c r="G722" s="9" t="s">
        <v>17080</v>
      </c>
      <c r="H722" s="9" t="s">
        <v>16329</v>
      </c>
      <c r="I722" s="9" t="s">
        <v>16330</v>
      </c>
      <c r="J722" s="9" t="str">
        <f t="shared" si="34"/>
        <v>(${Variables:E3_1_3_5_kcat} * E3_1_3_5 * C06196 * C00001)/(${Variables:E3_1_3_5_km} + (E3_1_3_5 * C06196 * C00001))</v>
      </c>
      <c r="K722" s="38" t="str">
        <f t="shared" si="35"/>
        <v>r721: C06196 + C00001 -&gt; C05512 + C00009 | (${Variables:E3_1_3_5_kcat} * E3_1_3_5 * C06196 * C00001)/(${Variables:E3_1_3_5_km} + (E3_1_3_5 * C06196 * C00001))</v>
      </c>
    </row>
    <row r="723" spans="1:11" ht="42.75" x14ac:dyDescent="0.45">
      <c r="A723" t="s">
        <v>7533</v>
      </c>
      <c r="B723" t="s">
        <v>7534</v>
      </c>
      <c r="C723" t="s">
        <v>15182</v>
      </c>
      <c r="D723">
        <v>722</v>
      </c>
      <c r="E723" t="str">
        <f t="shared" si="33"/>
        <v>E3_1_4_52</v>
      </c>
      <c r="F723" s="9" t="s">
        <v>17081</v>
      </c>
      <c r="G723" s="9" t="s">
        <v>17082</v>
      </c>
      <c r="H723" s="9" t="s">
        <v>12222</v>
      </c>
      <c r="I723" s="9" t="s">
        <v>12222</v>
      </c>
      <c r="J723" s="9" t="str">
        <f t="shared" si="34"/>
        <v>(${Variables:E3_1_4_52_kcat} * E3_1_4_52 * C16463 * C00001)/(${Variables:E3_1_4_52_km} + (E3_1_4_52 * C16463 * C00001))</v>
      </c>
      <c r="K723" s="38" t="str">
        <f t="shared" si="35"/>
        <v>r722: C16463 + C00001 -&gt; C18076 | (${Variables:E3_1_4_52_kcat} * E3_1_4_52 * C16463 * C00001)/(${Variables:E3_1_4_52_km} + (E3_1_4_52 * C16463 * C00001))</v>
      </c>
    </row>
    <row r="724" spans="1:11" ht="42.75" x14ac:dyDescent="0.45">
      <c r="A724" t="s">
        <v>8198</v>
      </c>
      <c r="B724" t="s">
        <v>8199</v>
      </c>
      <c r="C724" t="s">
        <v>15182</v>
      </c>
      <c r="D724">
        <v>723</v>
      </c>
      <c r="E724" t="str">
        <f t="shared" si="33"/>
        <v>E3_1_4_52</v>
      </c>
      <c r="F724" s="9" t="s">
        <v>17081</v>
      </c>
      <c r="G724" s="9" t="s">
        <v>17082</v>
      </c>
      <c r="H724" s="9" t="s">
        <v>12222</v>
      </c>
      <c r="I724" s="9" t="s">
        <v>12222</v>
      </c>
      <c r="J724" s="9" t="str">
        <f t="shared" si="34"/>
        <v>(${Variables:E3_1_4_52_kcat} * E3_1_4_52 * C16463 * C00001)/(${Variables:E3_1_4_52_km} + (E3_1_4_52 * C16463 * C00001))</v>
      </c>
      <c r="K724" s="38" t="str">
        <f t="shared" si="35"/>
        <v>r723: C16463 + C00001 -&gt; C18076 | (${Variables:E3_1_4_52_kcat} * E3_1_4_52 * C16463 * C00001)/(${Variables:E3_1_4_52_km} + (E3_1_4_52 * C16463 * C00001))</v>
      </c>
    </row>
    <row r="725" spans="1:11" ht="42.75" x14ac:dyDescent="0.45">
      <c r="A725" t="s">
        <v>1749</v>
      </c>
      <c r="B725" t="s">
        <v>1750</v>
      </c>
      <c r="C725" t="s">
        <v>15182</v>
      </c>
      <c r="D725">
        <v>724</v>
      </c>
      <c r="E725" t="str">
        <f t="shared" si="33"/>
        <v>E3_1_4_52</v>
      </c>
      <c r="F725" s="9" t="s">
        <v>17081</v>
      </c>
      <c r="G725" s="9" t="s">
        <v>17082</v>
      </c>
      <c r="H725" s="9" t="s">
        <v>12222</v>
      </c>
      <c r="I725" s="9" t="s">
        <v>12222</v>
      </c>
      <c r="J725" s="9" t="str">
        <f t="shared" si="34"/>
        <v>(${Variables:E3_1_4_52_kcat} * E3_1_4_52 * C16463 * C00001)/(${Variables:E3_1_4_52_km} + (E3_1_4_52 * C16463 * C00001))</v>
      </c>
      <c r="K725" s="38" t="str">
        <f t="shared" si="35"/>
        <v>r724: C16463 + C00001 -&gt; C18076 | (${Variables:E3_1_4_52_kcat} * E3_1_4_52 * C16463 * C00001)/(${Variables:E3_1_4_52_km} + (E3_1_4_52 * C16463 * C00001))</v>
      </c>
    </row>
    <row r="726" spans="1:11" ht="42.75" x14ac:dyDescent="0.45">
      <c r="A726" t="s">
        <v>1571</v>
      </c>
      <c r="B726" t="s">
        <v>1572</v>
      </c>
      <c r="C726" t="s">
        <v>15182</v>
      </c>
      <c r="D726">
        <v>725</v>
      </c>
      <c r="E726" t="str">
        <f t="shared" si="33"/>
        <v>E3_1_4_52</v>
      </c>
      <c r="F726" s="9" t="s">
        <v>17081</v>
      </c>
      <c r="G726" s="9" t="s">
        <v>17082</v>
      </c>
      <c r="H726" s="9" t="s">
        <v>12222</v>
      </c>
      <c r="I726" s="9" t="s">
        <v>12222</v>
      </c>
      <c r="J726" s="9" t="str">
        <f t="shared" si="34"/>
        <v>(${Variables:E3_1_4_52_kcat} * E3_1_4_52 * C16463 * C00001)/(${Variables:E3_1_4_52_km} + (E3_1_4_52 * C16463 * C00001))</v>
      </c>
      <c r="K726" s="38" t="str">
        <f t="shared" si="35"/>
        <v>r725: C16463 + C00001 -&gt; C18076 | (${Variables:E3_1_4_52_kcat} * E3_1_4_52 * C16463 * C00001)/(${Variables:E3_1_4_52_km} + (E3_1_4_52 * C16463 * C00001))</v>
      </c>
    </row>
    <row r="727" spans="1:11" ht="42.75" x14ac:dyDescent="0.45">
      <c r="A727" t="s">
        <v>4235</v>
      </c>
      <c r="B727" t="s">
        <v>4236</v>
      </c>
      <c r="C727" t="s">
        <v>15182</v>
      </c>
      <c r="D727">
        <v>726</v>
      </c>
      <c r="E727" t="str">
        <f t="shared" si="33"/>
        <v>E3_1_4_52</v>
      </c>
      <c r="F727" s="9" t="s">
        <v>17081</v>
      </c>
      <c r="G727" s="9" t="s">
        <v>17082</v>
      </c>
      <c r="H727" s="9" t="s">
        <v>12222</v>
      </c>
      <c r="I727" s="9" t="s">
        <v>12222</v>
      </c>
      <c r="J727" s="9" t="str">
        <f t="shared" si="34"/>
        <v>(${Variables:E3_1_4_52_kcat} * E3_1_4_52 * C16463 * C00001)/(${Variables:E3_1_4_52_km} + (E3_1_4_52 * C16463 * C00001))</v>
      </c>
      <c r="K727" s="38" t="str">
        <f t="shared" si="35"/>
        <v>r726: C16463 + C00001 -&gt; C18076 | (${Variables:E3_1_4_52_kcat} * E3_1_4_52 * C16463 * C00001)/(${Variables:E3_1_4_52_km} + (E3_1_4_52 * C16463 * C00001))</v>
      </c>
    </row>
    <row r="728" spans="1:11" ht="42.75" x14ac:dyDescent="0.45">
      <c r="A728" t="s">
        <v>6112</v>
      </c>
      <c r="B728" t="s">
        <v>6113</v>
      </c>
      <c r="C728" t="s">
        <v>15182</v>
      </c>
      <c r="D728">
        <v>727</v>
      </c>
      <c r="E728" t="str">
        <f t="shared" si="33"/>
        <v>E3_1_4_52</v>
      </c>
      <c r="F728" s="9" t="s">
        <v>17081</v>
      </c>
      <c r="G728" s="9" t="s">
        <v>17082</v>
      </c>
      <c r="H728" s="9" t="s">
        <v>12222</v>
      </c>
      <c r="I728" s="9" t="s">
        <v>12222</v>
      </c>
      <c r="J728" s="9" t="str">
        <f t="shared" si="34"/>
        <v>(${Variables:E3_1_4_52_kcat} * E3_1_4_52 * C16463 * C00001)/(${Variables:E3_1_4_52_km} + (E3_1_4_52 * C16463 * C00001))</v>
      </c>
      <c r="K728" s="38" t="str">
        <f t="shared" si="35"/>
        <v>r727: C16463 + C00001 -&gt; C18076 | (${Variables:E3_1_4_52_kcat} * E3_1_4_52 * C16463 * C00001)/(${Variables:E3_1_4_52_km} + (E3_1_4_52 * C16463 * C00001))</v>
      </c>
    </row>
    <row r="729" spans="1:11" ht="42.75" x14ac:dyDescent="0.45">
      <c r="A729" t="s">
        <v>7242</v>
      </c>
      <c r="B729" t="s">
        <v>7243</v>
      </c>
      <c r="C729" t="s">
        <v>15183</v>
      </c>
      <c r="D729">
        <v>728</v>
      </c>
      <c r="E729" t="str">
        <f t="shared" si="33"/>
        <v>E3_2_1_170</v>
      </c>
      <c r="F729" s="9" t="s">
        <v>17083</v>
      </c>
      <c r="G729" s="9" t="s">
        <v>17084</v>
      </c>
      <c r="H729" s="9" t="s">
        <v>17085</v>
      </c>
      <c r="I729" s="9" t="s">
        <v>17086</v>
      </c>
      <c r="J729" s="9" t="str">
        <f t="shared" si="34"/>
        <v>(${Variables:E3_2_1_170_kcat} * E3_2_1_170 * C11544 * C00001)/(${Variables:E3_2_1_170_km} + (E3_2_1_170 * C11544 * C00001))</v>
      </c>
      <c r="K729" s="38" t="str">
        <f t="shared" si="35"/>
        <v>r728: C11544 + C00001 -&gt; C00159 + C00258 | (${Variables:E3_2_1_170_kcat} * E3_2_1_170 * C11544 * C00001)/(${Variables:E3_2_1_170_km} + (E3_2_1_170 * C11544 * C00001))</v>
      </c>
    </row>
    <row r="730" spans="1:11" ht="42.75" x14ac:dyDescent="0.45">
      <c r="A730" t="s">
        <v>8518</v>
      </c>
      <c r="B730" t="s">
        <v>8519</v>
      </c>
      <c r="C730" t="s">
        <v>15183</v>
      </c>
      <c r="D730">
        <v>729</v>
      </c>
      <c r="E730" t="str">
        <f t="shared" si="33"/>
        <v>E3_2_1_170</v>
      </c>
      <c r="F730" s="9" t="s">
        <v>17083</v>
      </c>
      <c r="G730" s="9" t="s">
        <v>17084</v>
      </c>
      <c r="H730" s="9" t="s">
        <v>17085</v>
      </c>
      <c r="I730" s="9" t="s">
        <v>17086</v>
      </c>
      <c r="J730" s="9" t="str">
        <f t="shared" si="34"/>
        <v>(${Variables:E3_2_1_170_kcat} * E3_2_1_170 * C11544 * C00001)/(${Variables:E3_2_1_170_km} + (E3_2_1_170 * C11544 * C00001))</v>
      </c>
      <c r="K730" s="38" t="str">
        <f t="shared" si="35"/>
        <v>r729: C11544 + C00001 -&gt; C00159 + C00258 | (${Variables:E3_2_1_170_kcat} * E3_2_1_170 * C11544 * C00001)/(${Variables:E3_2_1_170_km} + (E3_2_1_170 * C11544 * C00001))</v>
      </c>
    </row>
    <row r="731" spans="1:11" ht="42.75" x14ac:dyDescent="0.45">
      <c r="A731" t="s">
        <v>1471</v>
      </c>
      <c r="B731" t="s">
        <v>1472</v>
      </c>
      <c r="C731" t="s">
        <v>15184</v>
      </c>
      <c r="D731">
        <v>730</v>
      </c>
      <c r="E731" t="str">
        <f t="shared" si="33"/>
        <v>E3_2_1_20</v>
      </c>
      <c r="F731" s="9" t="s">
        <v>17093</v>
      </c>
      <c r="G731" s="9" t="s">
        <v>17094</v>
      </c>
      <c r="H731" s="9" t="s">
        <v>12234</v>
      </c>
      <c r="I731" s="9" t="s">
        <v>12234</v>
      </c>
      <c r="J731" s="9" t="str">
        <f t="shared" si="34"/>
        <v>(${Variables:E3_2_1_20_kcat} * E3_2_1_20 * C00208 * C00001)/(${Variables:E3_2_1_20_km} + (E3_2_1_20 * C00208 * C00001))</v>
      </c>
      <c r="K731" s="38" t="str">
        <f t="shared" si="35"/>
        <v>r730: C00208 + C00001 -&gt; C00031 | (${Variables:E3_2_1_20_kcat} * E3_2_1_20 * C00208 * C00001)/(${Variables:E3_2_1_20_km} + (E3_2_1_20 * C00208 * C00001))</v>
      </c>
    </row>
    <row r="732" spans="1:11" ht="42.75" x14ac:dyDescent="0.45">
      <c r="A732" t="s">
        <v>1471</v>
      </c>
      <c r="B732" t="s">
        <v>1472</v>
      </c>
      <c r="C732" t="s">
        <v>15184</v>
      </c>
      <c r="D732">
        <v>731</v>
      </c>
      <c r="E732" t="str">
        <f t="shared" si="33"/>
        <v>E3_2_1_20</v>
      </c>
      <c r="F732" s="9" t="s">
        <v>17087</v>
      </c>
      <c r="G732" s="9" t="s">
        <v>17088</v>
      </c>
      <c r="H732" s="9" t="s">
        <v>17089</v>
      </c>
      <c r="I732" s="9" t="s">
        <v>17090</v>
      </c>
      <c r="J732" s="9" t="str">
        <f t="shared" si="34"/>
        <v>(${Variables:E3_2_1_20_kcat} * E3_2_1_20 * C00089 * C00001)/(${Variables:E3_2_1_20_km} + (E3_2_1_20 * C00089 * C00001))</v>
      </c>
      <c r="K732" s="38" t="str">
        <f t="shared" si="35"/>
        <v>r731: C00089 + C00001 -&gt; C00095 + C00031 | (${Variables:E3_2_1_20_kcat} * E3_2_1_20 * C00089 * C00001)/(${Variables:E3_2_1_20_km} + (E3_2_1_20 * C00089 * C00001))</v>
      </c>
    </row>
    <row r="733" spans="1:11" ht="42.75" x14ac:dyDescent="0.45">
      <c r="A733" t="s">
        <v>1471</v>
      </c>
      <c r="B733" t="s">
        <v>1472</v>
      </c>
      <c r="C733" t="s">
        <v>15184</v>
      </c>
      <c r="D733">
        <v>732</v>
      </c>
      <c r="E733" t="str">
        <f t="shared" si="33"/>
        <v>E3_2_1_20</v>
      </c>
      <c r="F733" s="9" t="s">
        <v>17087</v>
      </c>
      <c r="G733" s="9" t="s">
        <v>17088</v>
      </c>
      <c r="H733" s="9" t="s">
        <v>17091</v>
      </c>
      <c r="I733" s="9" t="s">
        <v>17092</v>
      </c>
      <c r="J733" s="9" t="str">
        <f t="shared" si="34"/>
        <v>(${Variables:E3_2_1_20_kcat} * E3_2_1_20 * C00089 * C00001)/(${Variables:E3_2_1_20_km} + (E3_2_1_20 * C00089 * C00001))</v>
      </c>
      <c r="K733" s="38" t="str">
        <f t="shared" si="35"/>
        <v>r732: C00089 + C00001 -&gt; C02336 + C00267 | (${Variables:E3_2_1_20_kcat} * E3_2_1_20 * C00089 * C00001)/(${Variables:E3_2_1_20_km} + (E3_2_1_20 * C00089 * C00001))</v>
      </c>
    </row>
    <row r="734" spans="1:11" ht="42.75" x14ac:dyDescent="0.45">
      <c r="A734" t="s">
        <v>1471</v>
      </c>
      <c r="B734" t="s">
        <v>1472</v>
      </c>
      <c r="C734" t="s">
        <v>15184</v>
      </c>
      <c r="D734">
        <v>733</v>
      </c>
      <c r="E734" t="str">
        <f t="shared" si="33"/>
        <v>E3_2_1_20</v>
      </c>
      <c r="F734" s="9" t="s">
        <v>17095</v>
      </c>
      <c r="G734" s="9" t="s">
        <v>17096</v>
      </c>
      <c r="H734" s="9" t="s">
        <v>12242</v>
      </c>
      <c r="I734" s="9" t="s">
        <v>12242</v>
      </c>
      <c r="J734" s="9" t="str">
        <f t="shared" si="34"/>
        <v>(${Variables:E3_2_1_20_kcat} * E3_2_1_20 * G00275 * C00001)/(${Variables:E3_2_1_20_km} + (E3_2_1_20 * G00275 * C00001))</v>
      </c>
      <c r="K734" s="38" t="str">
        <f t="shared" si="35"/>
        <v>r733: G00275 + C00001 -&gt; C00267 | (${Variables:E3_2_1_20_kcat} * E3_2_1_20 * G00275 * C00001)/(${Variables:E3_2_1_20_km} + (E3_2_1_20 * G00275 * C00001))</v>
      </c>
    </row>
    <row r="735" spans="1:11" ht="42.75" x14ac:dyDescent="0.45">
      <c r="A735" t="s">
        <v>1471</v>
      </c>
      <c r="B735" t="s">
        <v>1472</v>
      </c>
      <c r="C735" t="s">
        <v>15184</v>
      </c>
      <c r="D735">
        <v>734</v>
      </c>
      <c r="E735" t="str">
        <f t="shared" si="33"/>
        <v>E3_2_1_20</v>
      </c>
      <c r="F735" s="9" t="s">
        <v>17097</v>
      </c>
      <c r="G735" s="9" t="s">
        <v>17098</v>
      </c>
      <c r="H735" s="9" t="s">
        <v>17089</v>
      </c>
      <c r="I735" s="9" t="s">
        <v>17090</v>
      </c>
      <c r="J735" s="9" t="str">
        <f t="shared" si="34"/>
        <v>(${Variables:E3_2_1_20_kcat} * E3_2_1_20 * G00370 * C00001)/(${Variables:E3_2_1_20_km} + (E3_2_1_20 * G00370 * C00001))</v>
      </c>
      <c r="K735" s="38" t="str">
        <f t="shared" si="35"/>
        <v>r734: G00370 + C00001 -&gt; C00095 + C00031 | (${Variables:E3_2_1_20_kcat} * E3_2_1_20 * G00370 * C00001)/(${Variables:E3_2_1_20_km} + (E3_2_1_20 * G00370 * C00001))</v>
      </c>
    </row>
    <row r="736" spans="1:11" ht="42.75" x14ac:dyDescent="0.45">
      <c r="A736" t="s">
        <v>1471</v>
      </c>
      <c r="B736" t="s">
        <v>1472</v>
      </c>
      <c r="C736" t="s">
        <v>15184</v>
      </c>
      <c r="D736">
        <v>735</v>
      </c>
      <c r="E736" t="str">
        <f t="shared" si="33"/>
        <v>E3_2_1_20</v>
      </c>
      <c r="F736" s="9" t="s">
        <v>17097</v>
      </c>
      <c r="G736" s="9" t="s">
        <v>17098</v>
      </c>
      <c r="H736" s="9" t="s">
        <v>17091</v>
      </c>
      <c r="I736" s="9" t="s">
        <v>17092</v>
      </c>
      <c r="J736" s="9" t="str">
        <f t="shared" si="34"/>
        <v>(${Variables:E3_2_1_20_kcat} * E3_2_1_20 * G00370 * C00001)/(${Variables:E3_2_1_20_km} + (E3_2_1_20 * G00370 * C00001))</v>
      </c>
      <c r="K736" s="38" t="str">
        <f t="shared" si="35"/>
        <v>r735: G00370 + C00001 -&gt; C02336 + C00267 | (${Variables:E3_2_1_20_kcat} * E3_2_1_20 * G00370 * C00001)/(${Variables:E3_2_1_20_km} + (E3_2_1_20 * G00370 * C00001))</v>
      </c>
    </row>
    <row r="737" spans="1:11" ht="42.75" x14ac:dyDescent="0.45">
      <c r="A737" t="s">
        <v>8144</v>
      </c>
      <c r="B737" t="s">
        <v>8145</v>
      </c>
      <c r="C737" t="s">
        <v>15185</v>
      </c>
      <c r="D737">
        <v>736</v>
      </c>
      <c r="E737" t="str">
        <f t="shared" si="33"/>
        <v>E3_2_1_86</v>
      </c>
      <c r="F737" s="9" t="s">
        <v>17099</v>
      </c>
      <c r="G737" s="9" t="s">
        <v>17100</v>
      </c>
      <c r="H737" s="9" t="s">
        <v>17101</v>
      </c>
      <c r="I737" s="9" t="s">
        <v>17102</v>
      </c>
      <c r="J737" s="9" t="str">
        <f t="shared" si="34"/>
        <v>(${Variables:E3_2_1_86_kcat} * E3_2_1_86 * C04534 * C00001)/(${Variables:E3_2_1_86_km} + (E3_2_1_86 * C04534 * C00001))</v>
      </c>
      <c r="K737" s="38" t="str">
        <f t="shared" si="35"/>
        <v>r736: C04534 + C00001 -&gt; C00031 + C00092 | (${Variables:E3_2_1_86_kcat} * E3_2_1_86 * C04534 * C00001)/(${Variables:E3_2_1_86_km} + (E3_2_1_86 * C04534 * C00001))</v>
      </c>
    </row>
    <row r="738" spans="1:11" ht="42.75" x14ac:dyDescent="0.45">
      <c r="A738" t="s">
        <v>8144</v>
      </c>
      <c r="B738" t="s">
        <v>8145</v>
      </c>
      <c r="C738" t="s">
        <v>15185</v>
      </c>
      <c r="D738">
        <v>737</v>
      </c>
      <c r="E738" t="str">
        <f t="shared" si="33"/>
        <v>E3_2_1_86</v>
      </c>
      <c r="F738" s="9" t="s">
        <v>17111</v>
      </c>
      <c r="G738" s="9" t="s">
        <v>17112</v>
      </c>
      <c r="H738" s="9" t="s">
        <v>17101</v>
      </c>
      <c r="I738" s="9" t="s">
        <v>17102</v>
      </c>
      <c r="J738" s="9" t="str">
        <f t="shared" si="34"/>
        <v>(${Variables:E3_2_1_86_kcat} * E3_2_1_86 * G10518 * C00001)/(${Variables:E3_2_1_86_km} + (E3_2_1_86 * G10518 * C00001))</v>
      </c>
      <c r="K738" s="38" t="str">
        <f t="shared" si="35"/>
        <v>r737: G10518 + C00001 -&gt; C00031 + C00092 | (${Variables:E3_2_1_86_kcat} * E3_2_1_86 * G10518 * C00001)/(${Variables:E3_2_1_86_km} + (E3_2_1_86 * G10518 * C00001))</v>
      </c>
    </row>
    <row r="739" spans="1:11" ht="42.75" x14ac:dyDescent="0.45">
      <c r="A739" t="s">
        <v>8144</v>
      </c>
      <c r="B739" t="s">
        <v>8145</v>
      </c>
      <c r="C739" t="s">
        <v>15185</v>
      </c>
      <c r="D739">
        <v>738</v>
      </c>
      <c r="E739" t="str">
        <f t="shared" si="33"/>
        <v>E3_2_1_86</v>
      </c>
      <c r="F739" s="9" t="s">
        <v>17103</v>
      </c>
      <c r="G739" s="9" t="s">
        <v>17104</v>
      </c>
      <c r="H739" s="9" t="s">
        <v>17105</v>
      </c>
      <c r="I739" s="9" t="s">
        <v>17106</v>
      </c>
      <c r="J739" s="9" t="str">
        <f t="shared" si="34"/>
        <v>(${Variables:E3_2_1_86_kcat} * E3_2_1_86 * C06187 * C00001)/(${Variables:E3_2_1_86_km} + (E3_2_1_86 * C06187 * C00001))</v>
      </c>
      <c r="K739" s="38" t="str">
        <f t="shared" si="35"/>
        <v>r738: C06187 + C00001 -&gt; C00530 + C01172 | (${Variables:E3_2_1_86_kcat} * E3_2_1_86 * C06187 * C00001)/(${Variables:E3_2_1_86_km} + (E3_2_1_86 * C06187 * C00001))</v>
      </c>
    </row>
    <row r="740" spans="1:11" ht="42.75" x14ac:dyDescent="0.45">
      <c r="A740" t="s">
        <v>8144</v>
      </c>
      <c r="B740" t="s">
        <v>8145</v>
      </c>
      <c r="C740" t="s">
        <v>15185</v>
      </c>
      <c r="D740">
        <v>739</v>
      </c>
      <c r="E740" t="str">
        <f t="shared" si="33"/>
        <v>E3_2_1_86</v>
      </c>
      <c r="F740" s="9" t="s">
        <v>17107</v>
      </c>
      <c r="G740" s="9" t="s">
        <v>17108</v>
      </c>
      <c r="H740" s="9" t="s">
        <v>17109</v>
      </c>
      <c r="I740" s="9" t="s">
        <v>17110</v>
      </c>
      <c r="J740" s="9" t="str">
        <f t="shared" si="34"/>
        <v>(${Variables:E3_2_1_86_kcat} * E3_2_1_86 * C06188 * C00001)/(${Variables:E3_2_1_86_km} + (E3_2_1_86 * C06188 * C00001))</v>
      </c>
      <c r="K740" s="38" t="str">
        <f t="shared" si="35"/>
        <v>r739: C06188 + C00001 -&gt; C02323 + C01172 | (${Variables:E3_2_1_86_kcat} * E3_2_1_86 * C06188 * C00001)/(${Variables:E3_2_1_86_km} + (E3_2_1_86 * C06188 * C00001))</v>
      </c>
    </row>
    <row r="741" spans="1:11" ht="42.75" x14ac:dyDescent="0.45">
      <c r="A741" t="s">
        <v>8534</v>
      </c>
      <c r="B741" t="s">
        <v>8535</v>
      </c>
      <c r="C741" t="s">
        <v>15186</v>
      </c>
      <c r="D741">
        <v>740</v>
      </c>
      <c r="E741" t="str">
        <f t="shared" si="33"/>
        <v>E3_2_1_93</v>
      </c>
      <c r="F741" s="9" t="s">
        <v>17113</v>
      </c>
      <c r="G741" s="9" t="s">
        <v>17114</v>
      </c>
      <c r="H741" s="9" t="s">
        <v>17101</v>
      </c>
      <c r="I741" s="9" t="s">
        <v>17102</v>
      </c>
      <c r="J741" s="9" t="str">
        <f t="shared" si="34"/>
        <v>(${Variables:E3_2_1_93_kcat} * E3_2_1_93 * C00001 * C00689)/(${Variables:E3_2_1_93_km} + (E3_2_1_93 * C00001 * C00689))</v>
      </c>
      <c r="K741" s="38" t="str">
        <f t="shared" si="35"/>
        <v>r740: C00001 + C00689 -&gt; C00031 + C00092 | (${Variables:E3_2_1_93_kcat} * E3_2_1_93 * C00001 * C00689)/(${Variables:E3_2_1_93_km} + (E3_2_1_93 * C00001 * C00689))</v>
      </c>
    </row>
    <row r="742" spans="1:11" ht="42.75" x14ac:dyDescent="0.45">
      <c r="A742" t="s">
        <v>8534</v>
      </c>
      <c r="B742" t="s">
        <v>8535</v>
      </c>
      <c r="C742" t="s">
        <v>15186</v>
      </c>
      <c r="D742">
        <v>741</v>
      </c>
      <c r="E742" t="str">
        <f t="shared" si="33"/>
        <v>E3_2_1_93</v>
      </c>
      <c r="F742" s="9" t="s">
        <v>17115</v>
      </c>
      <c r="G742" s="9" t="s">
        <v>17116</v>
      </c>
      <c r="H742" s="9" t="s">
        <v>17101</v>
      </c>
      <c r="I742" s="9" t="s">
        <v>17102</v>
      </c>
      <c r="J742" s="9" t="str">
        <f t="shared" si="34"/>
        <v>(${Variables:E3_2_1_93_kcat} * E3_2_1_93 * C00001 * G09795)/(${Variables:E3_2_1_93_km} + (E3_2_1_93 * C00001 * G09795))</v>
      </c>
      <c r="K742" s="38" t="str">
        <f t="shared" si="35"/>
        <v>r741: C00001 + G09795 -&gt; C00031 + C00092 | (${Variables:E3_2_1_93_kcat} * E3_2_1_93 * C00001 * G09795)/(${Variables:E3_2_1_93_km} + (E3_2_1_93 * C00001 * G09795))</v>
      </c>
    </row>
    <row r="743" spans="1:11" ht="42.75" x14ac:dyDescent="0.45">
      <c r="A743" t="s">
        <v>7365</v>
      </c>
      <c r="B743" t="s">
        <v>7366</v>
      </c>
      <c r="C743" t="s">
        <v>15187</v>
      </c>
      <c r="D743">
        <v>742</v>
      </c>
      <c r="E743" t="str">
        <f t="shared" si="33"/>
        <v>E3_2_2_9</v>
      </c>
      <c r="F743" s="9" t="s">
        <v>17117</v>
      </c>
      <c r="G743" s="9" t="s">
        <v>17118</v>
      </c>
      <c r="H743" s="9" t="s">
        <v>17119</v>
      </c>
      <c r="I743" s="9" t="s">
        <v>17120</v>
      </c>
      <c r="J743" s="9" t="str">
        <f t="shared" si="34"/>
        <v>(${Variables:E3_2_2_9_kcat} * E3_2_2_9 * C00021 * C00001)/(${Variables:E3_2_2_9_km} + (E3_2_2_9 * C00021 * C00001))</v>
      </c>
      <c r="K743" s="38" t="str">
        <f t="shared" si="35"/>
        <v>r742: C00021 + C00001 -&gt; C03539 + C00147 | (${Variables:E3_2_2_9_kcat} * E3_2_2_9 * C00021 * C00001)/(${Variables:E3_2_2_9_km} + (E3_2_2_9 * C00021 * C00001))</v>
      </c>
    </row>
    <row r="744" spans="1:11" ht="42.75" x14ac:dyDescent="0.45">
      <c r="A744" t="s">
        <v>7365</v>
      </c>
      <c r="B744" t="s">
        <v>7366</v>
      </c>
      <c r="C744" t="s">
        <v>15187</v>
      </c>
      <c r="D744">
        <v>743</v>
      </c>
      <c r="E744" t="str">
        <f t="shared" si="33"/>
        <v>E3_2_2_9</v>
      </c>
      <c r="F744" s="9" t="s">
        <v>17125</v>
      </c>
      <c r="G744" s="9" t="s">
        <v>17126</v>
      </c>
      <c r="H744" s="9" t="s">
        <v>17127</v>
      </c>
      <c r="I744" s="9" t="s">
        <v>17128</v>
      </c>
      <c r="J744" s="9" t="str">
        <f t="shared" si="34"/>
        <v>(${Variables:E3_2_2_9_kcat} * E3_2_2_9 * C05198 * C00001)/(${Variables:E3_2_2_9_km} + (E3_2_2_9 * C05198 * C00001))</v>
      </c>
      <c r="K744" s="38" t="str">
        <f t="shared" si="35"/>
        <v>r743: C05198 + C00001 -&gt; C22288 + C00147 | (${Variables:E3_2_2_9_kcat} * E3_2_2_9 * C05198 * C00001)/(${Variables:E3_2_2_9_km} + (E3_2_2_9 * C05198 * C00001))</v>
      </c>
    </row>
    <row r="745" spans="1:11" ht="42.75" x14ac:dyDescent="0.45">
      <c r="A745" t="s">
        <v>7365</v>
      </c>
      <c r="B745" t="s">
        <v>7366</v>
      </c>
      <c r="C745" t="s">
        <v>15187</v>
      </c>
      <c r="D745">
        <v>744</v>
      </c>
      <c r="E745" t="str">
        <f t="shared" si="33"/>
        <v>E3_2_2_9</v>
      </c>
      <c r="F745" s="9" t="s">
        <v>17121</v>
      </c>
      <c r="G745" s="9" t="s">
        <v>17122</v>
      </c>
      <c r="H745" s="9" t="s">
        <v>17123</v>
      </c>
      <c r="I745" s="9" t="s">
        <v>17124</v>
      </c>
      <c r="J745" s="9" t="str">
        <f t="shared" si="34"/>
        <v>(${Variables:E3_2_2_9_kcat} * E3_2_2_9 * C00170 * C00001)/(${Variables:E3_2_2_9_km} + (E3_2_2_9 * C00170 * C00001))</v>
      </c>
      <c r="K745" s="38" t="str">
        <f t="shared" si="35"/>
        <v>r744: C00170 + C00001 -&gt; C00147 + C03089 | (${Variables:E3_2_2_9_kcat} * E3_2_2_9 * C00170 * C00001)/(${Variables:E3_2_2_9_km} + (E3_2_2_9 * C00170 * C00001))</v>
      </c>
    </row>
    <row r="746" spans="1:11" ht="42.75" x14ac:dyDescent="0.45">
      <c r="A746" t="s">
        <v>3547</v>
      </c>
      <c r="B746" t="s">
        <v>3548</v>
      </c>
      <c r="C746" t="s">
        <v>15188</v>
      </c>
      <c r="D746">
        <v>745</v>
      </c>
      <c r="E746" t="str">
        <f t="shared" si="33"/>
        <v>E3_4_11_1</v>
      </c>
      <c r="F746" s="9" t="s">
        <v>17129</v>
      </c>
      <c r="G746" s="9" t="s">
        <v>17130</v>
      </c>
      <c r="H746" s="9" t="s">
        <v>17131</v>
      </c>
      <c r="I746" s="9" t="s">
        <v>17132</v>
      </c>
      <c r="J746" s="9" t="str">
        <f t="shared" si="34"/>
        <v>(${Variables:E3_4_11_1_kcat} * E3_4_11_1 * C01419 * C00001)/(${Variables:E3_4_11_1_km} + (E3_4_11_1 * C01419 * C00001))</v>
      </c>
      <c r="K746" s="38" t="str">
        <f t="shared" si="35"/>
        <v>r745: C01419 + C00001 -&gt; C00097 + C00037 | (${Variables:E3_4_11_1_kcat} * E3_4_11_1 * C01419 * C00001)/(${Variables:E3_4_11_1_km} + (E3_4_11_1 * C01419 * C00001))</v>
      </c>
    </row>
    <row r="747" spans="1:11" ht="42.75" x14ac:dyDescent="0.45">
      <c r="A747" t="s">
        <v>3547</v>
      </c>
      <c r="B747" t="s">
        <v>3548</v>
      </c>
      <c r="C747" t="s">
        <v>15188</v>
      </c>
      <c r="D747">
        <v>746</v>
      </c>
      <c r="E747" t="str">
        <f t="shared" si="33"/>
        <v>E3_4_11_1</v>
      </c>
      <c r="F747" s="9" t="s">
        <v>17133</v>
      </c>
      <c r="G747" s="9" t="s">
        <v>17134</v>
      </c>
      <c r="H747" s="9" t="s">
        <v>17135</v>
      </c>
      <c r="I747" s="9" t="s">
        <v>17136</v>
      </c>
      <c r="J747" s="9" t="str">
        <f t="shared" si="34"/>
        <v>(${Variables:E3_4_11_1_kcat} * E3_4_11_1 * C05729 * C00001)/(${Variables:E3_4_11_1_km} + (E3_4_11_1 * C05729 * C00001))</v>
      </c>
      <c r="K747" s="38" t="str">
        <f t="shared" si="35"/>
        <v>r746: C05729 + C00001 -&gt; C05726 + C00037 | (${Variables:E3_4_11_1_kcat} * E3_4_11_1 * C05729 * C00001)/(${Variables:E3_4_11_1_km} + (E3_4_11_1 * C05729 * C00001))</v>
      </c>
    </row>
    <row r="748" spans="1:11" ht="42.75" x14ac:dyDescent="0.45">
      <c r="A748" t="s">
        <v>8394</v>
      </c>
      <c r="B748" t="s">
        <v>8395</v>
      </c>
      <c r="C748" t="s">
        <v>15189</v>
      </c>
      <c r="D748">
        <v>747</v>
      </c>
      <c r="E748" t="str">
        <f t="shared" si="33"/>
        <v>E3_4_11_5</v>
      </c>
      <c r="F748" s="9" t="s">
        <v>17137</v>
      </c>
      <c r="G748" s="9" t="s">
        <v>17138</v>
      </c>
      <c r="H748" s="9" t="s">
        <v>17139</v>
      </c>
      <c r="I748" s="9" t="s">
        <v>17140</v>
      </c>
      <c r="J748" s="9" t="str">
        <f t="shared" si="34"/>
        <v>(${Variables:E3_4_11_5_kcat} * E3_4_11_5 * C00012 * C00001)/(${Variables:E3_4_11_5_km} + (E3_4_11_5 * C00012 * C00001))</v>
      </c>
      <c r="K748" s="38" t="str">
        <f t="shared" si="35"/>
        <v>r747: C00012 + C00001 -&gt; C00148 + C00012 | (${Variables:E3_4_11_5_kcat} * E3_4_11_5 * C00012 * C00001)/(${Variables:E3_4_11_5_km} + (E3_4_11_5 * C00012 * C00001))</v>
      </c>
    </row>
    <row r="749" spans="1:11" ht="42.75" x14ac:dyDescent="0.45">
      <c r="A749" t="s">
        <v>7110</v>
      </c>
      <c r="B749" t="s">
        <v>7111</v>
      </c>
      <c r="C749" t="s">
        <v>15190</v>
      </c>
      <c r="D749">
        <v>748</v>
      </c>
      <c r="E749" t="str">
        <f t="shared" si="33"/>
        <v>E3_5_1_1</v>
      </c>
      <c r="F749" s="9" t="s">
        <v>17141</v>
      </c>
      <c r="G749" s="9" t="s">
        <v>17142</v>
      </c>
      <c r="H749" s="9" t="s">
        <v>17143</v>
      </c>
      <c r="I749" s="9" t="s">
        <v>17144</v>
      </c>
      <c r="J749" s="9" t="str">
        <f t="shared" si="34"/>
        <v>(${Variables:E3_5_1_1_kcat} * E3_5_1_1 * C00152 * C00001)/(${Variables:E3_5_1_1_km} + (E3_5_1_1 * C00152 * C00001))</v>
      </c>
      <c r="K749" s="38" t="str">
        <f t="shared" si="35"/>
        <v>r748: C00152 + C00001 -&gt; C00049 + C00014 | (${Variables:E3_5_1_1_kcat} * E3_5_1_1 * C00152 * C00001)/(${Variables:E3_5_1_1_km} + (E3_5_1_1 * C00152 * C00001))</v>
      </c>
    </row>
    <row r="750" spans="1:11" ht="42.75" x14ac:dyDescent="0.45">
      <c r="A750" t="s">
        <v>7110</v>
      </c>
      <c r="B750" t="s">
        <v>7111</v>
      </c>
      <c r="C750" t="s">
        <v>15190</v>
      </c>
      <c r="D750">
        <v>749</v>
      </c>
      <c r="E750" t="str">
        <f t="shared" si="33"/>
        <v>E3_5_1_1</v>
      </c>
      <c r="F750" s="9" t="s">
        <v>17145</v>
      </c>
      <c r="G750" s="9" t="s">
        <v>17146</v>
      </c>
      <c r="H750" s="9" t="s">
        <v>17147</v>
      </c>
      <c r="I750" s="9" t="s">
        <v>17148</v>
      </c>
      <c r="J750" s="9" t="str">
        <f t="shared" si="34"/>
        <v>(${Variables:E3_5_1_1_kcat} * E3_5_1_1 * C00241 * C00001)/(${Variables:E3_5_1_1_km} + (E3_5_1_1 * C00241 * C00001))</v>
      </c>
      <c r="K750" s="38" t="str">
        <f t="shared" si="35"/>
        <v>r749: C00241 + C00001 -&gt; C00060 + C00014 | (${Variables:E3_5_1_1_kcat} * E3_5_1_1 * C00241 * C00001)/(${Variables:E3_5_1_1_km} + (E3_5_1_1 * C00241 * C00001))</v>
      </c>
    </row>
    <row r="751" spans="1:11" ht="42.75" x14ac:dyDescent="0.45">
      <c r="A751" t="s">
        <v>8141</v>
      </c>
      <c r="B751" t="s">
        <v>8142</v>
      </c>
      <c r="C751" t="s">
        <v>15191</v>
      </c>
      <c r="D751">
        <v>750</v>
      </c>
      <c r="E751" t="str">
        <f t="shared" si="33"/>
        <v>E3_5_1_105</v>
      </c>
      <c r="F751" s="9" t="s">
        <v>17149</v>
      </c>
      <c r="G751" s="9" t="s">
        <v>17150</v>
      </c>
      <c r="H751" s="9" t="s">
        <v>17151</v>
      </c>
      <c r="I751" s="9" t="s">
        <v>17152</v>
      </c>
      <c r="J751" s="9" t="str">
        <f t="shared" si="34"/>
        <v>(${Variables:E3_5_1_105_kcat} * E3_5_1_105 * C01674 * C00001)/(${Variables:E3_5_1_105_km} + (E3_5_1_105 * C01674 * C00001))</v>
      </c>
      <c r="K751" s="38" t="str">
        <f t="shared" si="35"/>
        <v>r750: C01674 + C00001 -&gt; C21747 + C00033 | (${Variables:E3_5_1_105_kcat} * E3_5_1_105 * C01674 * C00001)/(${Variables:E3_5_1_105_km} + (E3_5_1_105 * C01674 * C00001))</v>
      </c>
    </row>
    <row r="752" spans="1:11" ht="42.75" x14ac:dyDescent="0.45">
      <c r="A752" t="s">
        <v>1667</v>
      </c>
      <c r="B752" t="s">
        <v>1668</v>
      </c>
      <c r="C752" t="s">
        <v>15192</v>
      </c>
      <c r="D752">
        <v>751</v>
      </c>
      <c r="E752" t="str">
        <f t="shared" si="33"/>
        <v>E3_5_1_2</v>
      </c>
      <c r="F752" s="9" t="s">
        <v>15787</v>
      </c>
      <c r="G752" s="9" t="s">
        <v>15788</v>
      </c>
      <c r="H752" s="9" t="s">
        <v>15789</v>
      </c>
      <c r="I752" s="9" t="s">
        <v>15790</v>
      </c>
      <c r="J752" s="9" t="str">
        <f t="shared" si="34"/>
        <v>(${Variables:E3_5_1_2_kcat} * E3_5_1_2 * C00064 * C00001)/(${Variables:E3_5_1_2_km} + (E3_5_1_2 * C00064 * C00001))</v>
      </c>
      <c r="K752" s="38" t="str">
        <f t="shared" si="35"/>
        <v>r751: C00064 + C00001 -&gt; C00025 + C00014 | (${Variables:E3_5_1_2_kcat} * E3_5_1_2 * C00064 * C00001)/(${Variables:E3_5_1_2_km} + (E3_5_1_2 * C00064 * C00001))</v>
      </c>
    </row>
    <row r="753" spans="1:11" ht="42.75" x14ac:dyDescent="0.45">
      <c r="A753" t="s">
        <v>1667</v>
      </c>
      <c r="B753" t="s">
        <v>1668</v>
      </c>
      <c r="C753" t="s">
        <v>15192</v>
      </c>
      <c r="D753">
        <v>752</v>
      </c>
      <c r="E753" t="str">
        <f t="shared" si="33"/>
        <v>E3_5_1_2</v>
      </c>
      <c r="F753" s="9" t="s">
        <v>17153</v>
      </c>
      <c r="G753" s="9" t="s">
        <v>17154</v>
      </c>
      <c r="H753" s="9" t="s">
        <v>17155</v>
      </c>
      <c r="I753" s="9" t="s">
        <v>17156</v>
      </c>
      <c r="J753" s="9" t="str">
        <f t="shared" si="34"/>
        <v>(${Variables:E3_5_1_2_kcat} * E3_5_1_2 * C00819 * C00001)/(${Variables:E3_5_1_2_km} + (E3_5_1_2 * C00819 * C00001))</v>
      </c>
      <c r="K753" s="38" t="str">
        <f t="shared" si="35"/>
        <v>r752: C00819 + C00001 -&gt; C00217 + C00014 | (${Variables:E3_5_1_2_kcat} * E3_5_1_2 * C00819 * C00001)/(${Variables:E3_5_1_2_km} + (E3_5_1_2 * C00819 * C00001))</v>
      </c>
    </row>
    <row r="754" spans="1:11" ht="42.75" x14ac:dyDescent="0.45">
      <c r="A754" t="s">
        <v>1667</v>
      </c>
      <c r="B754" t="s">
        <v>1668</v>
      </c>
      <c r="C754" t="s">
        <v>15192</v>
      </c>
      <c r="D754">
        <v>753</v>
      </c>
      <c r="E754" t="str">
        <f t="shared" si="33"/>
        <v>E3_5_1_2</v>
      </c>
      <c r="F754" s="9" t="s">
        <v>17145</v>
      </c>
      <c r="G754" s="9" t="s">
        <v>17146</v>
      </c>
      <c r="H754" s="9" t="s">
        <v>17147</v>
      </c>
      <c r="I754" s="9" t="s">
        <v>17148</v>
      </c>
      <c r="J754" s="9" t="str">
        <f t="shared" si="34"/>
        <v>(${Variables:E3_5_1_2_kcat} * E3_5_1_2 * C00241 * C00001)/(${Variables:E3_5_1_2_km} + (E3_5_1_2 * C00241 * C00001))</v>
      </c>
      <c r="K754" s="38" t="str">
        <f t="shared" si="35"/>
        <v>r753: C00241 + C00001 -&gt; C00060 + C00014 | (${Variables:E3_5_1_2_kcat} * E3_5_1_2 * C00241 * C00001)/(${Variables:E3_5_1_2_km} + (E3_5_1_2 * C00241 * C00001))</v>
      </c>
    </row>
    <row r="755" spans="1:11" ht="42.75" x14ac:dyDescent="0.45">
      <c r="A755" t="s">
        <v>2738</v>
      </c>
      <c r="B755" t="s">
        <v>2739</v>
      </c>
      <c r="C755" t="s">
        <v>15193</v>
      </c>
      <c r="D755">
        <v>754</v>
      </c>
      <c r="E755" t="str">
        <f t="shared" si="33"/>
        <v>E3_5_1_25</v>
      </c>
      <c r="F755" s="9" t="s">
        <v>17157</v>
      </c>
      <c r="G755" s="9" t="s">
        <v>17158</v>
      </c>
      <c r="H755" s="9" t="s">
        <v>17159</v>
      </c>
      <c r="I755" s="9" t="s">
        <v>17160</v>
      </c>
      <c r="J755" s="9" t="str">
        <f t="shared" si="34"/>
        <v>(${Variables:E3_5_1_25_kcat} * E3_5_1_25 * C00357 * C00001)/(${Variables:E3_5_1_25_km} + (E3_5_1_25 * C00357 * C00001))</v>
      </c>
      <c r="K755" s="38" t="str">
        <f t="shared" si="35"/>
        <v>r754: C00357 + C00001 -&gt; C00352 + C00033 | (${Variables:E3_5_1_25_kcat} * E3_5_1_25 * C00357 * C00001)/(${Variables:E3_5_1_25_km} + (E3_5_1_25 * C00357 * C00001))</v>
      </c>
    </row>
    <row r="756" spans="1:11" ht="42.75" x14ac:dyDescent="0.45">
      <c r="A756" t="s">
        <v>9477</v>
      </c>
      <c r="B756" t="s">
        <v>9478</v>
      </c>
      <c r="C756" t="s">
        <v>15193</v>
      </c>
      <c r="D756">
        <v>755</v>
      </c>
      <c r="E756" t="str">
        <f t="shared" si="33"/>
        <v>E3_5_1_25</v>
      </c>
      <c r="F756" s="9" t="s">
        <v>17157</v>
      </c>
      <c r="G756" s="9" t="s">
        <v>17158</v>
      </c>
      <c r="H756" s="9" t="s">
        <v>17159</v>
      </c>
      <c r="I756" s="9" t="s">
        <v>17160</v>
      </c>
      <c r="J756" s="9" t="str">
        <f t="shared" si="34"/>
        <v>(${Variables:E3_5_1_25_kcat} * E3_5_1_25 * C00357 * C00001)/(${Variables:E3_5_1_25_km} + (E3_5_1_25 * C00357 * C00001))</v>
      </c>
      <c r="K756" s="38" t="str">
        <f t="shared" si="35"/>
        <v>r755: C00357 + C00001 -&gt; C00352 + C00033 | (${Variables:E3_5_1_25_kcat} * E3_5_1_25 * C00357 * C00001)/(${Variables:E3_5_1_25_km} + (E3_5_1_25 * C00357 * C00001))</v>
      </c>
    </row>
    <row r="757" spans="1:11" ht="42.75" x14ac:dyDescent="0.45">
      <c r="A757" t="s">
        <v>499</v>
      </c>
      <c r="B757" t="s">
        <v>500</v>
      </c>
      <c r="C757" t="s">
        <v>15194</v>
      </c>
      <c r="D757">
        <v>756</v>
      </c>
      <c r="E757" t="str">
        <f t="shared" si="33"/>
        <v>E3_5_1_28</v>
      </c>
      <c r="F757" s="9" t="s">
        <v>17161</v>
      </c>
      <c r="G757" s="9" t="s">
        <v>17162</v>
      </c>
      <c r="H757" s="9" t="s">
        <v>17163</v>
      </c>
      <c r="I757" s="9" t="s">
        <v>17164</v>
      </c>
      <c r="J757" s="9" t="str">
        <f t="shared" si="34"/>
        <v>(${Variables:E3_5_1_28_kcat} * E3_5_1_28 * C02999 * C00001)/(${Variables:E3_5_1_28_km} + (E3_5_1_28 * C02999 * C00001))</v>
      </c>
      <c r="K757" s="38" t="str">
        <f t="shared" si="35"/>
        <v>r756: C02999 + C00001 -&gt; C02713 + C00041 | (${Variables:E3_5_1_28_kcat} * E3_5_1_28 * C02999 * C00001)/(${Variables:E3_5_1_28_km} + (E3_5_1_28 * C02999 * C00001))</v>
      </c>
    </row>
    <row r="758" spans="1:11" ht="42.75" x14ac:dyDescent="0.45">
      <c r="A758" t="s">
        <v>2332</v>
      </c>
      <c r="B758" t="s">
        <v>2333</v>
      </c>
      <c r="C758" t="s">
        <v>15194</v>
      </c>
      <c r="D758">
        <v>757</v>
      </c>
      <c r="E758" t="str">
        <f t="shared" si="33"/>
        <v>E3_5_1_28</v>
      </c>
      <c r="F758" s="9" t="s">
        <v>17161</v>
      </c>
      <c r="G758" s="9" t="s">
        <v>17162</v>
      </c>
      <c r="H758" s="9" t="s">
        <v>17163</v>
      </c>
      <c r="I758" s="9" t="s">
        <v>17164</v>
      </c>
      <c r="J758" s="9" t="str">
        <f t="shared" si="34"/>
        <v>(${Variables:E3_5_1_28_kcat} * E3_5_1_28 * C02999 * C00001)/(${Variables:E3_5_1_28_km} + (E3_5_1_28 * C02999 * C00001))</v>
      </c>
      <c r="K758" s="38" t="str">
        <f t="shared" si="35"/>
        <v>r757: C02999 + C00001 -&gt; C02713 + C00041 | (${Variables:E3_5_1_28_kcat} * E3_5_1_28 * C02999 * C00001)/(${Variables:E3_5_1_28_km} + (E3_5_1_28 * C02999 * C00001))</v>
      </c>
    </row>
    <row r="759" spans="1:11" ht="42.75" x14ac:dyDescent="0.45">
      <c r="A759" t="s">
        <v>2807</v>
      </c>
      <c r="B759" t="s">
        <v>2808</v>
      </c>
      <c r="C759" t="s">
        <v>15194</v>
      </c>
      <c r="D759">
        <v>758</v>
      </c>
      <c r="E759" t="str">
        <f t="shared" si="33"/>
        <v>E3_5_1_28</v>
      </c>
      <c r="F759" s="9" t="s">
        <v>17161</v>
      </c>
      <c r="G759" s="9" t="s">
        <v>17162</v>
      </c>
      <c r="H759" s="9" t="s">
        <v>17163</v>
      </c>
      <c r="I759" s="9" t="s">
        <v>17164</v>
      </c>
      <c r="J759" s="9" t="str">
        <f t="shared" si="34"/>
        <v>(${Variables:E3_5_1_28_kcat} * E3_5_1_28 * C02999 * C00001)/(${Variables:E3_5_1_28_km} + (E3_5_1_28 * C02999 * C00001))</v>
      </c>
      <c r="K759" s="38" t="str">
        <f t="shared" si="35"/>
        <v>r758: C02999 + C00001 -&gt; C02713 + C00041 | (${Variables:E3_5_1_28_kcat} * E3_5_1_28 * C02999 * C00001)/(${Variables:E3_5_1_28_km} + (E3_5_1_28 * C02999 * C00001))</v>
      </c>
    </row>
    <row r="760" spans="1:11" ht="42.75" x14ac:dyDescent="0.45">
      <c r="A760" t="s">
        <v>2809</v>
      </c>
      <c r="B760" t="s">
        <v>2810</v>
      </c>
      <c r="C760" t="s">
        <v>15194</v>
      </c>
      <c r="D760">
        <v>759</v>
      </c>
      <c r="E760" t="str">
        <f t="shared" si="33"/>
        <v>E3_5_1_28</v>
      </c>
      <c r="F760" s="9" t="s">
        <v>17161</v>
      </c>
      <c r="G760" s="9" t="s">
        <v>17162</v>
      </c>
      <c r="H760" s="9" t="s">
        <v>17163</v>
      </c>
      <c r="I760" s="9" t="s">
        <v>17164</v>
      </c>
      <c r="J760" s="9" t="str">
        <f t="shared" si="34"/>
        <v>(${Variables:E3_5_1_28_kcat} * E3_5_1_28 * C02999 * C00001)/(${Variables:E3_5_1_28_km} + (E3_5_1_28 * C02999 * C00001))</v>
      </c>
      <c r="K760" s="38" t="str">
        <f t="shared" si="35"/>
        <v>r759: C02999 + C00001 -&gt; C02713 + C00041 | (${Variables:E3_5_1_28_kcat} * E3_5_1_28 * C02999 * C00001)/(${Variables:E3_5_1_28_km} + (E3_5_1_28 * C02999 * C00001))</v>
      </c>
    </row>
    <row r="761" spans="1:11" ht="42.75" x14ac:dyDescent="0.45">
      <c r="A761" t="s">
        <v>4481</v>
      </c>
      <c r="B761" t="s">
        <v>4482</v>
      </c>
      <c r="C761" t="s">
        <v>15194</v>
      </c>
      <c r="D761">
        <v>760</v>
      </c>
      <c r="E761" t="str">
        <f t="shared" si="33"/>
        <v>E3_5_1_28</v>
      </c>
      <c r="F761" s="9" t="s">
        <v>17161</v>
      </c>
      <c r="G761" s="9" t="s">
        <v>17162</v>
      </c>
      <c r="H761" s="9" t="s">
        <v>17163</v>
      </c>
      <c r="I761" s="9" t="s">
        <v>17164</v>
      </c>
      <c r="J761" s="9" t="str">
        <f t="shared" si="34"/>
        <v>(${Variables:E3_5_1_28_kcat} * E3_5_1_28 * C02999 * C00001)/(${Variables:E3_5_1_28_km} + (E3_5_1_28 * C02999 * C00001))</v>
      </c>
      <c r="K761" s="38" t="str">
        <f t="shared" si="35"/>
        <v>r760: C02999 + C00001 -&gt; C02713 + C00041 | (${Variables:E3_5_1_28_kcat} * E3_5_1_28 * C02999 * C00001)/(${Variables:E3_5_1_28_km} + (E3_5_1_28 * C02999 * C00001))</v>
      </c>
    </row>
    <row r="762" spans="1:11" ht="42.75" x14ac:dyDescent="0.45">
      <c r="A762" t="s">
        <v>6245</v>
      </c>
      <c r="B762" t="s">
        <v>6246</v>
      </c>
      <c r="C762" t="s">
        <v>15194</v>
      </c>
      <c r="D762">
        <v>761</v>
      </c>
      <c r="E762" t="str">
        <f t="shared" si="33"/>
        <v>E3_5_1_28</v>
      </c>
      <c r="F762" s="9" t="s">
        <v>17161</v>
      </c>
      <c r="G762" s="9" t="s">
        <v>17162</v>
      </c>
      <c r="H762" s="9" t="s">
        <v>17163</v>
      </c>
      <c r="I762" s="9" t="s">
        <v>17164</v>
      </c>
      <c r="J762" s="9" t="str">
        <f t="shared" si="34"/>
        <v>(${Variables:E3_5_1_28_kcat} * E3_5_1_28 * C02999 * C00001)/(${Variables:E3_5_1_28_km} + (E3_5_1_28 * C02999 * C00001))</v>
      </c>
      <c r="K762" s="38" t="str">
        <f t="shared" si="35"/>
        <v>r761: C02999 + C00001 -&gt; C02713 + C00041 | (${Variables:E3_5_1_28_kcat} * E3_5_1_28 * C02999 * C00001)/(${Variables:E3_5_1_28_km} + (E3_5_1_28 * C02999 * C00001))</v>
      </c>
    </row>
    <row r="763" spans="1:11" ht="42.75" x14ac:dyDescent="0.45">
      <c r="A763" t="s">
        <v>7857</v>
      </c>
      <c r="B763" t="s">
        <v>7858</v>
      </c>
      <c r="C763" t="s">
        <v>15194</v>
      </c>
      <c r="D763">
        <v>762</v>
      </c>
      <c r="E763" t="str">
        <f t="shared" si="33"/>
        <v>E3_5_1_28</v>
      </c>
      <c r="F763" s="9" t="s">
        <v>17161</v>
      </c>
      <c r="G763" s="9" t="s">
        <v>17162</v>
      </c>
      <c r="H763" s="9" t="s">
        <v>17163</v>
      </c>
      <c r="I763" s="9" t="s">
        <v>17164</v>
      </c>
      <c r="J763" s="9" t="str">
        <f t="shared" si="34"/>
        <v>(${Variables:E3_5_1_28_kcat} * E3_5_1_28 * C02999 * C00001)/(${Variables:E3_5_1_28_km} + (E3_5_1_28 * C02999 * C00001))</v>
      </c>
      <c r="K763" s="38" t="str">
        <f t="shared" si="35"/>
        <v>r762: C02999 + C00001 -&gt; C02713 + C00041 | (${Variables:E3_5_1_28_kcat} * E3_5_1_28 * C02999 * C00001)/(${Variables:E3_5_1_28_km} + (E3_5_1_28 * C02999 * C00001))</v>
      </c>
    </row>
    <row r="764" spans="1:11" ht="42.75" x14ac:dyDescent="0.45">
      <c r="A764" t="s">
        <v>5016</v>
      </c>
      <c r="B764" t="s">
        <v>5017</v>
      </c>
      <c r="C764" t="s">
        <v>15195</v>
      </c>
      <c r="D764">
        <v>763</v>
      </c>
      <c r="E764" t="str">
        <f t="shared" si="33"/>
        <v>E3_5_1_88</v>
      </c>
      <c r="F764" s="9" t="s">
        <v>17169</v>
      </c>
      <c r="G764" s="9" t="s">
        <v>17170</v>
      </c>
      <c r="H764" s="9" t="s">
        <v>17171</v>
      </c>
      <c r="I764" s="9" t="s">
        <v>17172</v>
      </c>
      <c r="J764" s="9" t="str">
        <f t="shared" si="34"/>
        <v>(${Variables:E3_5_1_88_kcat} * E3_5_1_88 * C11439 * C00001)/(${Variables:E3_5_1_88_km} + (E3_5_1_88 * C11439 * C00001))</v>
      </c>
      <c r="K764" s="38" t="str">
        <f t="shared" si="35"/>
        <v>r763: C11439 + C00001 -&gt; C11440 + C00058 | (${Variables:E3_5_1_88_kcat} * E3_5_1_88 * C11439 * C00001)/(${Variables:E3_5_1_88_km} + (E3_5_1_88 * C11439 * C00001))</v>
      </c>
    </row>
    <row r="765" spans="1:11" ht="42.75" x14ac:dyDescent="0.45">
      <c r="A765" t="s">
        <v>5016</v>
      </c>
      <c r="B765" t="s">
        <v>5017</v>
      </c>
      <c r="C765" t="s">
        <v>15195</v>
      </c>
      <c r="D765">
        <v>764</v>
      </c>
      <c r="E765" t="str">
        <f t="shared" si="33"/>
        <v>E3_5_1_88</v>
      </c>
      <c r="F765" s="9" t="s">
        <v>17165</v>
      </c>
      <c r="G765" s="9" t="s">
        <v>17166</v>
      </c>
      <c r="H765" s="9" t="s">
        <v>17167</v>
      </c>
      <c r="I765" s="9" t="s">
        <v>17168</v>
      </c>
      <c r="J765" s="9" t="str">
        <f t="shared" si="34"/>
        <v>(${Variables:E3_5_1_88_kcat} * E3_5_1_88 * C04258 * C00001)/(${Variables:E3_5_1_88_km} + (E3_5_1_88 * C04258 * C00001))</v>
      </c>
      <c r="K765" s="38" t="str">
        <f t="shared" si="35"/>
        <v>r764: C04258 + C00001 -&gt; C00058 + C03617 | (${Variables:E3_5_1_88_kcat} * E3_5_1_88 * C04258 * C00001)/(${Variables:E3_5_1_88_km} + (E3_5_1_88 * C04258 * C00001))</v>
      </c>
    </row>
    <row r="766" spans="1:11" ht="42.75" x14ac:dyDescent="0.45">
      <c r="A766" t="s">
        <v>7289</v>
      </c>
      <c r="B766" t="s">
        <v>7290</v>
      </c>
      <c r="C766" t="s">
        <v>15195</v>
      </c>
      <c r="D766">
        <v>765</v>
      </c>
      <c r="E766" t="str">
        <f t="shared" si="33"/>
        <v>E3_5_1_88</v>
      </c>
      <c r="F766" s="9" t="s">
        <v>17169</v>
      </c>
      <c r="G766" s="9" t="s">
        <v>17170</v>
      </c>
      <c r="H766" s="9" t="s">
        <v>17171</v>
      </c>
      <c r="I766" s="9" t="s">
        <v>17172</v>
      </c>
      <c r="J766" s="9" t="str">
        <f t="shared" si="34"/>
        <v>(${Variables:E3_5_1_88_kcat} * E3_5_1_88 * C11439 * C00001)/(${Variables:E3_5_1_88_km} + (E3_5_1_88 * C11439 * C00001))</v>
      </c>
      <c r="K766" s="38" t="str">
        <f t="shared" si="35"/>
        <v>r765: C11439 + C00001 -&gt; C11440 + C00058 | (${Variables:E3_5_1_88_kcat} * E3_5_1_88 * C11439 * C00001)/(${Variables:E3_5_1_88_km} + (E3_5_1_88 * C11439 * C00001))</v>
      </c>
    </row>
    <row r="767" spans="1:11" ht="42.75" x14ac:dyDescent="0.45">
      <c r="A767" t="s">
        <v>7289</v>
      </c>
      <c r="B767" t="s">
        <v>7290</v>
      </c>
      <c r="C767" t="s">
        <v>15195</v>
      </c>
      <c r="D767">
        <v>766</v>
      </c>
      <c r="E767" t="str">
        <f t="shared" si="33"/>
        <v>E3_5_1_88</v>
      </c>
      <c r="F767" s="9" t="s">
        <v>17165</v>
      </c>
      <c r="G767" s="9" t="s">
        <v>17166</v>
      </c>
      <c r="H767" s="9" t="s">
        <v>17167</v>
      </c>
      <c r="I767" s="9" t="s">
        <v>17168</v>
      </c>
      <c r="J767" s="9" t="str">
        <f t="shared" si="34"/>
        <v>(${Variables:E3_5_1_88_kcat} * E3_5_1_88 * C04258 * C00001)/(${Variables:E3_5_1_88_km} + (E3_5_1_88 * C04258 * C00001))</v>
      </c>
      <c r="K767" s="38" t="str">
        <f t="shared" si="35"/>
        <v>r766: C04258 + C00001 -&gt; C00058 + C03617 | (${Variables:E3_5_1_88_kcat} * E3_5_1_88 * C04258 * C00001)/(${Variables:E3_5_1_88_km} + (E3_5_1_88 * C04258 * C00001))</v>
      </c>
    </row>
    <row r="768" spans="1:11" ht="42.75" x14ac:dyDescent="0.45">
      <c r="A768" t="s">
        <v>5968</v>
      </c>
      <c r="B768" t="s">
        <v>5969</v>
      </c>
      <c r="C768" t="s">
        <v>15196</v>
      </c>
      <c r="D768">
        <v>767</v>
      </c>
      <c r="E768" t="str">
        <f t="shared" si="33"/>
        <v>E3_5_2_2</v>
      </c>
      <c r="F768" s="9" t="s">
        <v>17173</v>
      </c>
      <c r="G768" s="9" t="s">
        <v>17174</v>
      </c>
      <c r="H768" s="9" t="s">
        <v>12366</v>
      </c>
      <c r="I768" s="9" t="s">
        <v>12366</v>
      </c>
      <c r="J768" s="9" t="str">
        <f t="shared" si="34"/>
        <v>(${Variables:E3_5_2_2_kcat} * E3_5_2_2 * C00429 * C00001)/(${Variables:E3_5_2_2_km} + (E3_5_2_2 * C00429 * C00001))</v>
      </c>
      <c r="K768" s="38" t="str">
        <f t="shared" si="35"/>
        <v>r767: C00429 + C00001 -&gt; C02642 | (${Variables:E3_5_2_2_kcat} * E3_5_2_2 * C00429 * C00001)/(${Variables:E3_5_2_2_km} + (E3_5_2_2 * C00429 * C00001))</v>
      </c>
    </row>
    <row r="769" spans="1:11" ht="42.75" x14ac:dyDescent="0.45">
      <c r="A769" t="s">
        <v>5968</v>
      </c>
      <c r="B769" t="s">
        <v>5969</v>
      </c>
      <c r="C769" t="s">
        <v>15196</v>
      </c>
      <c r="D769">
        <v>768</v>
      </c>
      <c r="E769" t="str">
        <f t="shared" si="33"/>
        <v>E3_5_2_2</v>
      </c>
      <c r="F769" s="9" t="s">
        <v>17177</v>
      </c>
      <c r="G769" s="9" t="s">
        <v>17178</v>
      </c>
      <c r="H769" s="9" t="s">
        <v>12369</v>
      </c>
      <c r="I769" s="9" t="s">
        <v>12369</v>
      </c>
      <c r="J769" s="9" t="str">
        <f t="shared" si="34"/>
        <v>(${Variables:E3_5_2_2_kcat} * E3_5_2_2 * C21028 * C00001)/(${Variables:E3_5_2_2_km} + (E3_5_2_2 * C21028 * C00001))</v>
      </c>
      <c r="K769" s="38" t="str">
        <f t="shared" si="35"/>
        <v>r768: C21028 + C00001 -&gt; C21029 | (${Variables:E3_5_2_2_kcat} * E3_5_2_2 * C21028 * C00001)/(${Variables:E3_5_2_2_km} + (E3_5_2_2 * C21028 * C00001))</v>
      </c>
    </row>
    <row r="770" spans="1:11" ht="42.75" x14ac:dyDescent="0.45">
      <c r="A770" t="s">
        <v>5968</v>
      </c>
      <c r="B770" t="s">
        <v>5969</v>
      </c>
      <c r="C770" t="s">
        <v>15196</v>
      </c>
      <c r="D770">
        <v>769</v>
      </c>
      <c r="E770" t="str">
        <f t="shared" si="33"/>
        <v>E3_5_2_2</v>
      </c>
      <c r="F770" s="9" t="s">
        <v>17175</v>
      </c>
      <c r="G770" s="9" t="s">
        <v>17176</v>
      </c>
      <c r="H770" s="9" t="s">
        <v>12372</v>
      </c>
      <c r="I770" s="9" t="s">
        <v>12372</v>
      </c>
      <c r="J770" s="9" t="str">
        <f t="shared" si="34"/>
        <v>(${Variables:E3_5_2_2_kcat} * E3_5_2_2 * C16630 * C00001)/(${Variables:E3_5_2_2_km} + (E3_5_2_2 * C16630 * C00001))</v>
      </c>
      <c r="K770" s="38" t="str">
        <f t="shared" si="35"/>
        <v>r769: C16630 + C00001 -&gt; C16631 | (${Variables:E3_5_2_2_kcat} * E3_5_2_2 * C16630 * C00001)/(${Variables:E3_5_2_2_km} + (E3_5_2_2 * C16630 * C00001))</v>
      </c>
    </row>
    <row r="771" spans="1:11" ht="42.75" x14ac:dyDescent="0.45">
      <c r="A771" t="s">
        <v>8815</v>
      </c>
      <c r="B771" t="s">
        <v>8816</v>
      </c>
      <c r="C771" t="s">
        <v>15196</v>
      </c>
      <c r="D771">
        <v>770</v>
      </c>
      <c r="E771" t="str">
        <f t="shared" ref="E771:E834" si="36">CONCATENATE("E",C771)</f>
        <v>E3_5_2_2</v>
      </c>
      <c r="F771" s="9" t="s">
        <v>17173</v>
      </c>
      <c r="G771" s="9" t="s">
        <v>17174</v>
      </c>
      <c r="H771" s="9" t="s">
        <v>12366</v>
      </c>
      <c r="I771" s="9" t="s">
        <v>12366</v>
      </c>
      <c r="J771" s="9" t="str">
        <f t="shared" ref="J771:J834" si="37">CONCATENATE("(${Variables:",E771,"_kcat","} * ",E771," * ",G771,")","/(${Variables:",E771,"_km","} + (",E771," * ",G771,"))")</f>
        <v>(${Variables:E3_5_2_2_kcat} * E3_5_2_2 * C00429 * C00001)/(${Variables:E3_5_2_2_km} + (E3_5_2_2 * C00429 * C00001))</v>
      </c>
      <c r="K771" s="38" t="str">
        <f t="shared" ref="K771:K834" si="38">CONCATENATE("r",D771,": ",F771," -&gt; ",H771," | ",J771)</f>
        <v>r770: C00429 + C00001 -&gt; C02642 | (${Variables:E3_5_2_2_kcat} * E3_5_2_2 * C00429 * C00001)/(${Variables:E3_5_2_2_km} + (E3_5_2_2 * C00429 * C00001))</v>
      </c>
    </row>
    <row r="772" spans="1:11" ht="42.75" x14ac:dyDescent="0.45">
      <c r="A772" t="s">
        <v>8815</v>
      </c>
      <c r="B772" t="s">
        <v>8816</v>
      </c>
      <c r="C772" t="s">
        <v>15196</v>
      </c>
      <c r="D772">
        <v>771</v>
      </c>
      <c r="E772" t="str">
        <f t="shared" si="36"/>
        <v>E3_5_2_2</v>
      </c>
      <c r="F772" s="9" t="s">
        <v>17177</v>
      </c>
      <c r="G772" s="9" t="s">
        <v>17178</v>
      </c>
      <c r="H772" s="9" t="s">
        <v>12369</v>
      </c>
      <c r="I772" s="9" t="s">
        <v>12369</v>
      </c>
      <c r="J772" s="9" t="str">
        <f t="shared" si="37"/>
        <v>(${Variables:E3_5_2_2_kcat} * E3_5_2_2 * C21028 * C00001)/(${Variables:E3_5_2_2_km} + (E3_5_2_2 * C21028 * C00001))</v>
      </c>
      <c r="K772" s="38" t="str">
        <f t="shared" si="38"/>
        <v>r771: C21028 + C00001 -&gt; C21029 | (${Variables:E3_5_2_2_kcat} * E3_5_2_2 * C21028 * C00001)/(${Variables:E3_5_2_2_km} + (E3_5_2_2 * C21028 * C00001))</v>
      </c>
    </row>
    <row r="773" spans="1:11" ht="42.75" x14ac:dyDescent="0.45">
      <c r="A773" t="s">
        <v>8815</v>
      </c>
      <c r="B773" t="s">
        <v>8816</v>
      </c>
      <c r="C773" t="s">
        <v>15196</v>
      </c>
      <c r="D773">
        <v>772</v>
      </c>
      <c r="E773" t="str">
        <f t="shared" si="36"/>
        <v>E3_5_2_2</v>
      </c>
      <c r="F773" s="9" t="s">
        <v>17175</v>
      </c>
      <c r="G773" s="9" t="s">
        <v>17176</v>
      </c>
      <c r="H773" s="9" t="s">
        <v>12372</v>
      </c>
      <c r="I773" s="9" t="s">
        <v>12372</v>
      </c>
      <c r="J773" s="9" t="str">
        <f t="shared" si="37"/>
        <v>(${Variables:E3_5_2_2_kcat} * E3_5_2_2 * C16630 * C00001)/(${Variables:E3_5_2_2_km} + (E3_5_2_2 * C16630 * C00001))</v>
      </c>
      <c r="K773" s="38" t="str">
        <f t="shared" si="38"/>
        <v>r772: C16630 + C00001 -&gt; C16631 | (${Variables:E3_5_2_2_kcat} * E3_5_2_2 * C16630 * C00001)/(${Variables:E3_5_2_2_km} + (E3_5_2_2 * C16630 * C00001))</v>
      </c>
    </row>
    <row r="774" spans="1:11" ht="42.75" x14ac:dyDescent="0.45">
      <c r="A774" t="s">
        <v>4204</v>
      </c>
      <c r="B774" t="s">
        <v>4205</v>
      </c>
      <c r="C774" t="s">
        <v>15197</v>
      </c>
      <c r="D774">
        <v>773</v>
      </c>
      <c r="E774" t="str">
        <f t="shared" si="36"/>
        <v>E3_5_2_3</v>
      </c>
      <c r="F774" s="9" t="s">
        <v>17179</v>
      </c>
      <c r="G774" s="9" t="s">
        <v>17180</v>
      </c>
      <c r="H774" s="9" t="s">
        <v>12377</v>
      </c>
      <c r="I774" s="9" t="s">
        <v>12377</v>
      </c>
      <c r="J774" s="9" t="str">
        <f t="shared" si="37"/>
        <v>(${Variables:E3_5_2_3_kcat} * E3_5_2_3 * C00337 * C00001)/(${Variables:E3_5_2_3_km} + (E3_5_2_3 * C00337 * C00001))</v>
      </c>
      <c r="K774" s="38" t="str">
        <f t="shared" si="38"/>
        <v>r773: C00337 + C00001 -&gt; C00438 | (${Variables:E3_5_2_3_kcat} * E3_5_2_3 * C00337 * C00001)/(${Variables:E3_5_2_3_km} + (E3_5_2_3 * C00337 * C00001))</v>
      </c>
    </row>
    <row r="775" spans="1:11" ht="42.75" x14ac:dyDescent="0.45">
      <c r="A775" t="s">
        <v>10132</v>
      </c>
      <c r="B775" t="s">
        <v>10133</v>
      </c>
      <c r="C775" t="s">
        <v>15197</v>
      </c>
      <c r="D775">
        <v>774</v>
      </c>
      <c r="E775" t="str">
        <f t="shared" si="36"/>
        <v>E3_5_2_3</v>
      </c>
      <c r="F775" s="9" t="s">
        <v>17179</v>
      </c>
      <c r="G775" s="9" t="s">
        <v>17180</v>
      </c>
      <c r="H775" s="9" t="s">
        <v>12377</v>
      </c>
      <c r="I775" s="9" t="s">
        <v>12377</v>
      </c>
      <c r="J775" s="9" t="str">
        <f t="shared" si="37"/>
        <v>(${Variables:E3_5_2_3_kcat} * E3_5_2_3 * C00337 * C00001)/(${Variables:E3_5_2_3_km} + (E3_5_2_3 * C00337 * C00001))</v>
      </c>
      <c r="K775" s="38" t="str">
        <f t="shared" si="38"/>
        <v>r774: C00337 + C00001 -&gt; C00438 | (${Variables:E3_5_2_3_kcat} * E3_5_2_3 * C00337 * C00001)/(${Variables:E3_5_2_3_km} + (E3_5_2_3 * C00337 * C00001))</v>
      </c>
    </row>
    <row r="776" spans="1:11" ht="42.75" x14ac:dyDescent="0.45">
      <c r="A776" t="s">
        <v>1444</v>
      </c>
      <c r="B776" t="s">
        <v>1445</v>
      </c>
      <c r="C776" t="s">
        <v>15198</v>
      </c>
      <c r="D776">
        <v>775</v>
      </c>
      <c r="E776" t="str">
        <f t="shared" si="36"/>
        <v>E3_5_2_6</v>
      </c>
      <c r="F776" s="9" t="s">
        <v>17183</v>
      </c>
      <c r="G776" s="9" t="s">
        <v>17184</v>
      </c>
      <c r="H776" s="9" t="s">
        <v>12382</v>
      </c>
      <c r="I776" s="9" t="s">
        <v>12382</v>
      </c>
      <c r="J776" s="9" t="str">
        <f t="shared" si="37"/>
        <v>(${Variables:E3_5_2_6_kcat} * E3_5_2_6 * C01866 * C00001)/(${Variables:E3_5_2_6_km} + (E3_5_2_6 * C01866 * C00001))</v>
      </c>
      <c r="K776" s="38" t="str">
        <f t="shared" si="38"/>
        <v>r775: C01866 + C00001 -&gt; C03806 | (${Variables:E3_5_2_6_kcat} * E3_5_2_6 * C01866 * C00001)/(${Variables:E3_5_2_6_km} + (E3_5_2_6 * C01866 * C00001))</v>
      </c>
    </row>
    <row r="777" spans="1:11" ht="42.75" x14ac:dyDescent="0.45">
      <c r="A777" t="s">
        <v>1444</v>
      </c>
      <c r="B777" t="s">
        <v>1445</v>
      </c>
      <c r="C777" t="s">
        <v>15198</v>
      </c>
      <c r="D777">
        <v>776</v>
      </c>
      <c r="E777" t="str">
        <f t="shared" si="36"/>
        <v>E3_5_2_6</v>
      </c>
      <c r="F777" s="9" t="s">
        <v>17185</v>
      </c>
      <c r="G777" s="9" t="s">
        <v>17186</v>
      </c>
      <c r="H777" s="9" t="s">
        <v>12385</v>
      </c>
      <c r="I777" s="9" t="s">
        <v>12385</v>
      </c>
      <c r="J777" s="9" t="str">
        <f t="shared" si="37"/>
        <v>(${Variables:E3_5_2_6_kcat} * E3_5_2_6 * C05551 * C00001)/(${Variables:E3_5_2_6_km} + (E3_5_2_6 * C05551 * C00001))</v>
      </c>
      <c r="K777" s="38" t="str">
        <f t="shared" si="38"/>
        <v>r776: C05551 + C00001 -&gt; C16672 | (${Variables:E3_5_2_6_kcat} * E3_5_2_6 * C05551 * C00001)/(${Variables:E3_5_2_6_km} + (E3_5_2_6 * C05551 * C00001))</v>
      </c>
    </row>
    <row r="778" spans="1:11" ht="42.75" x14ac:dyDescent="0.45">
      <c r="A778" t="s">
        <v>1444</v>
      </c>
      <c r="B778" t="s">
        <v>1445</v>
      </c>
      <c r="C778" t="s">
        <v>15198</v>
      </c>
      <c r="D778">
        <v>777</v>
      </c>
      <c r="E778" t="str">
        <f t="shared" si="36"/>
        <v>E3_5_2_6</v>
      </c>
      <c r="F778" s="9" t="s">
        <v>17181</v>
      </c>
      <c r="G778" s="9" t="s">
        <v>17182</v>
      </c>
      <c r="H778" s="9" t="s">
        <v>12388</v>
      </c>
      <c r="I778" s="9" t="s">
        <v>12388</v>
      </c>
      <c r="J778" s="9" t="str">
        <f t="shared" si="37"/>
        <v>(${Variables:E3_5_2_6_kcat} * E3_5_2_6 * C00395 * C00001)/(${Variables:E3_5_2_6_km} + (E3_5_2_6 * C00395 * C00001))</v>
      </c>
      <c r="K778" s="38" t="str">
        <f t="shared" si="38"/>
        <v>r777: C00395 + C00001 -&gt; C06567 | (${Variables:E3_5_2_6_kcat} * E3_5_2_6 * C00395 * C00001)/(${Variables:E3_5_2_6_km} + (E3_5_2_6 * C00395 * C00001))</v>
      </c>
    </row>
    <row r="779" spans="1:11" ht="42.75" x14ac:dyDescent="0.45">
      <c r="A779" t="s">
        <v>3796</v>
      </c>
      <c r="B779" t="s">
        <v>3797</v>
      </c>
      <c r="C779" t="s">
        <v>15199</v>
      </c>
      <c r="D779">
        <v>778</v>
      </c>
      <c r="E779" t="str">
        <f t="shared" si="36"/>
        <v>E3_5_2_9</v>
      </c>
      <c r="F779" s="9" t="s">
        <v>17187</v>
      </c>
      <c r="G779" s="9" t="s">
        <v>17188</v>
      </c>
      <c r="H779" s="9" t="s">
        <v>17189</v>
      </c>
      <c r="I779" s="9" t="s">
        <v>17190</v>
      </c>
      <c r="J779" s="9" t="str">
        <f t="shared" si="37"/>
        <v>(${Variables:E3_5_2_9_kcat} * E3_5_2_9 * C00002 * C01879 * C00001)/(${Variables:E3_5_2_9_km} + (E3_5_2_9 * C00002 * C01879 * C00001))</v>
      </c>
      <c r="K779" s="38" t="str">
        <f t="shared" si="38"/>
        <v>r778: C00002 + C01879 + C00001 -&gt; C00008 + C00009 + C00025 | (${Variables:E3_5_2_9_kcat} * E3_5_2_9 * C00002 * C01879 * C00001)/(${Variables:E3_5_2_9_km} + (E3_5_2_9 * C00002 * C01879 * C00001))</v>
      </c>
    </row>
    <row r="780" spans="1:11" ht="42.75" x14ac:dyDescent="0.45">
      <c r="A780" t="s">
        <v>3803</v>
      </c>
      <c r="B780" t="s">
        <v>3804</v>
      </c>
      <c r="C780" t="s">
        <v>15199</v>
      </c>
      <c r="D780">
        <v>779</v>
      </c>
      <c r="E780" t="str">
        <f t="shared" si="36"/>
        <v>E3_5_2_9</v>
      </c>
      <c r="F780" s="9" t="s">
        <v>17187</v>
      </c>
      <c r="G780" s="9" t="s">
        <v>17188</v>
      </c>
      <c r="H780" s="9" t="s">
        <v>17189</v>
      </c>
      <c r="I780" s="9" t="s">
        <v>17190</v>
      </c>
      <c r="J780" s="9" t="str">
        <f t="shared" si="37"/>
        <v>(${Variables:E3_5_2_9_kcat} * E3_5_2_9 * C00002 * C01879 * C00001)/(${Variables:E3_5_2_9_km} + (E3_5_2_9 * C00002 * C01879 * C00001))</v>
      </c>
      <c r="K780" s="38" t="str">
        <f t="shared" si="38"/>
        <v>r779: C00002 + C01879 + C00001 -&gt; C00008 + C00009 + C00025 | (${Variables:E3_5_2_9_kcat} * E3_5_2_9 * C00002 * C01879 * C00001)/(${Variables:E3_5_2_9_km} + (E3_5_2_9 * C00002 * C01879 * C00001))</v>
      </c>
    </row>
    <row r="781" spans="1:11" ht="42.75" x14ac:dyDescent="0.45">
      <c r="A781" t="s">
        <v>2614</v>
      </c>
      <c r="B781" t="s">
        <v>2615</v>
      </c>
      <c r="C781" t="s">
        <v>15200</v>
      </c>
      <c r="D781">
        <v>780</v>
      </c>
      <c r="E781" t="str">
        <f t="shared" si="36"/>
        <v>E3_5_3_11</v>
      </c>
      <c r="F781" s="9" t="s">
        <v>17191</v>
      </c>
      <c r="G781" s="9" t="s">
        <v>17192</v>
      </c>
      <c r="H781" s="9" t="s">
        <v>17193</v>
      </c>
      <c r="I781" s="9" t="s">
        <v>17194</v>
      </c>
      <c r="J781" s="9" t="str">
        <f t="shared" si="37"/>
        <v>(${Variables:E3_5_3_11_kcat} * E3_5_3_11 * C00179 * C00001)/(${Variables:E3_5_3_11_km} + (E3_5_3_11 * C00179 * C00001))</v>
      </c>
      <c r="K781" s="38" t="str">
        <f t="shared" si="38"/>
        <v>r780: C00179 + C00001 -&gt; C00134 + C00086 | (${Variables:E3_5_3_11_kcat} * E3_5_3_11 * C00179 * C00001)/(${Variables:E3_5_3_11_km} + (E3_5_3_11 * C00179 * C00001))</v>
      </c>
    </row>
    <row r="782" spans="1:11" ht="42.75" x14ac:dyDescent="0.45">
      <c r="A782" t="s">
        <v>887</v>
      </c>
      <c r="B782" t="s">
        <v>888</v>
      </c>
      <c r="C782" t="s">
        <v>15201</v>
      </c>
      <c r="D782">
        <v>781</v>
      </c>
      <c r="E782" t="str">
        <f t="shared" si="36"/>
        <v>E3_5_4_10</v>
      </c>
      <c r="F782" s="9" t="s">
        <v>17053</v>
      </c>
      <c r="G782" s="9" t="s">
        <v>17054</v>
      </c>
      <c r="H782" s="9" t="s">
        <v>12403</v>
      </c>
      <c r="I782" s="9" t="s">
        <v>12403</v>
      </c>
      <c r="J782" s="9" t="str">
        <f t="shared" si="37"/>
        <v>(${Variables:E3_5_4_10_kcat} * E3_5_4_10 * C00130 * C00001)/(${Variables:E3_5_4_10_km} + (E3_5_4_10 * C00130 * C00001))</v>
      </c>
      <c r="K782" s="38" t="str">
        <f t="shared" si="38"/>
        <v>r781: C00130 + C00001 -&gt; C04734 | (${Variables:E3_5_4_10_kcat} * E3_5_4_10 * C00130 * C00001)/(${Variables:E3_5_4_10_km} + (E3_5_4_10 * C00130 * C00001))</v>
      </c>
    </row>
    <row r="783" spans="1:11" ht="42.75" x14ac:dyDescent="0.45">
      <c r="A783" t="s">
        <v>5495</v>
      </c>
      <c r="B783" t="s">
        <v>5496</v>
      </c>
      <c r="C783" t="s">
        <v>15202</v>
      </c>
      <c r="D783">
        <v>782</v>
      </c>
      <c r="E783" t="str">
        <f t="shared" si="36"/>
        <v>E3_5_4_12</v>
      </c>
      <c r="F783" s="9" t="s">
        <v>17057</v>
      </c>
      <c r="G783" s="9" t="s">
        <v>17058</v>
      </c>
      <c r="H783" s="9" t="s">
        <v>17195</v>
      </c>
      <c r="I783" s="9" t="s">
        <v>17196</v>
      </c>
      <c r="J783" s="9" t="str">
        <f t="shared" si="37"/>
        <v>(${Variables:E3_5_4_12_kcat} * E3_5_4_12 * C00239 * C00001)/(${Variables:E3_5_4_12_km} + (E3_5_4_12 * C00239 * C00001))</v>
      </c>
      <c r="K783" s="38" t="str">
        <f t="shared" si="38"/>
        <v>r782: C00239 + C00001 -&gt; C00365 + C00014 | (${Variables:E3_5_4_12_kcat} * E3_5_4_12 * C00239 * C00001)/(${Variables:E3_5_4_12_km} + (E3_5_4_12 * C00239 * C00001))</v>
      </c>
    </row>
    <row r="784" spans="1:11" ht="42.75" x14ac:dyDescent="0.45">
      <c r="A784" t="s">
        <v>9588</v>
      </c>
      <c r="B784" t="s">
        <v>9589</v>
      </c>
      <c r="C784" t="s">
        <v>15202</v>
      </c>
      <c r="D784">
        <v>783</v>
      </c>
      <c r="E784" t="str">
        <f t="shared" si="36"/>
        <v>E3_5_4_12</v>
      </c>
      <c r="F784" s="9" t="s">
        <v>17057</v>
      </c>
      <c r="G784" s="9" t="s">
        <v>17058</v>
      </c>
      <c r="H784" s="9" t="s">
        <v>17195</v>
      </c>
      <c r="I784" s="9" t="s">
        <v>17196</v>
      </c>
      <c r="J784" s="9" t="str">
        <f t="shared" si="37"/>
        <v>(${Variables:E3_5_4_12_kcat} * E3_5_4_12 * C00239 * C00001)/(${Variables:E3_5_4_12_km} + (E3_5_4_12 * C00239 * C00001))</v>
      </c>
      <c r="K784" s="38" t="str">
        <f t="shared" si="38"/>
        <v>r783: C00239 + C00001 -&gt; C00365 + C00014 | (${Variables:E3_5_4_12_kcat} * E3_5_4_12 * C00239 * C00001)/(${Variables:E3_5_4_12_km} + (E3_5_4_12 * C00239 * C00001))</v>
      </c>
    </row>
    <row r="785" spans="1:11" ht="42.75" x14ac:dyDescent="0.45">
      <c r="A785" t="s">
        <v>3987</v>
      </c>
      <c r="B785" t="s">
        <v>3988</v>
      </c>
      <c r="C785" t="s">
        <v>15203</v>
      </c>
      <c r="D785">
        <v>784</v>
      </c>
      <c r="E785" t="str">
        <f t="shared" si="36"/>
        <v>E3_5_4_16</v>
      </c>
      <c r="F785" s="9" t="s">
        <v>17197</v>
      </c>
      <c r="G785" s="9" t="s">
        <v>17198</v>
      </c>
      <c r="H785" s="9" t="s">
        <v>17199</v>
      </c>
      <c r="I785" s="9" t="s">
        <v>17200</v>
      </c>
      <c r="J785" s="9" t="str">
        <f t="shared" si="37"/>
        <v>(${Variables:E3_5_4_16_kcat} * E3_5_4_16 * C00044 * C00001)/(${Variables:E3_5_4_16_km} + (E3_5_4_16 * C00044 * C00001))</v>
      </c>
      <c r="K785" s="38" t="str">
        <f t="shared" si="38"/>
        <v>r784: C00044 + C00001 -&gt; C04895 + C00058 | (${Variables:E3_5_4_16_kcat} * E3_5_4_16 * C00044 * C00001)/(${Variables:E3_5_4_16_km} + (E3_5_4_16 * C00044 * C00001))</v>
      </c>
    </row>
    <row r="786" spans="1:11" ht="42.75" x14ac:dyDescent="0.45">
      <c r="A786" t="s">
        <v>3987</v>
      </c>
      <c r="B786" t="s">
        <v>3988</v>
      </c>
      <c r="C786" t="s">
        <v>15203</v>
      </c>
      <c r="D786">
        <v>785</v>
      </c>
      <c r="E786" t="str">
        <f t="shared" si="36"/>
        <v>E3_5_4_16</v>
      </c>
      <c r="F786" s="9" t="s">
        <v>17197</v>
      </c>
      <c r="G786" s="9" t="s">
        <v>17198</v>
      </c>
      <c r="H786" s="9" t="s">
        <v>12414</v>
      </c>
      <c r="I786" s="9" t="s">
        <v>12414</v>
      </c>
      <c r="J786" s="9" t="str">
        <f t="shared" si="37"/>
        <v>(${Variables:E3_5_4_16_kcat} * E3_5_4_16 * C00044 * C00001)/(${Variables:E3_5_4_16_km} + (E3_5_4_16 * C00044 * C00001))</v>
      </c>
      <c r="K786" s="38" t="str">
        <f t="shared" si="38"/>
        <v>r785: C00044 + C00001 -&gt; C05922 | (${Variables:E3_5_4_16_kcat} * E3_5_4_16 * C00044 * C00001)/(${Variables:E3_5_4_16_km} + (E3_5_4_16 * C00044 * C00001))</v>
      </c>
    </row>
    <row r="787" spans="1:11" ht="42.75" x14ac:dyDescent="0.45">
      <c r="A787" t="s">
        <v>3987</v>
      </c>
      <c r="B787" t="s">
        <v>3988</v>
      </c>
      <c r="C787" t="s">
        <v>15203</v>
      </c>
      <c r="D787">
        <v>786</v>
      </c>
      <c r="E787" t="str">
        <f t="shared" si="36"/>
        <v>E3_5_4_16</v>
      </c>
      <c r="F787" s="9" t="s">
        <v>17201</v>
      </c>
      <c r="G787" s="9" t="s">
        <v>17202</v>
      </c>
      <c r="H787" s="9" t="s">
        <v>12417</v>
      </c>
      <c r="I787" s="9" t="s">
        <v>12417</v>
      </c>
      <c r="J787" s="9" t="str">
        <f t="shared" si="37"/>
        <v>(${Variables:E3_5_4_16_kcat} * E3_5_4_16 * C04895 * C00001)/(${Variables:E3_5_4_16_km} + (E3_5_4_16 * C04895 * C00001))</v>
      </c>
      <c r="K787" s="38" t="str">
        <f t="shared" si="38"/>
        <v>r786: C04895 + C00001 -&gt; C06148 | (${Variables:E3_5_4_16_kcat} * E3_5_4_16 * C04895 * C00001)/(${Variables:E3_5_4_16_km} + (E3_5_4_16 * C04895 * C00001))</v>
      </c>
    </row>
    <row r="788" spans="1:11" ht="42.75" x14ac:dyDescent="0.45">
      <c r="A788" t="s">
        <v>3987</v>
      </c>
      <c r="B788" t="s">
        <v>3988</v>
      </c>
      <c r="C788" t="s">
        <v>15203</v>
      </c>
      <c r="D788">
        <v>787</v>
      </c>
      <c r="E788" t="str">
        <f t="shared" si="36"/>
        <v>E3_5_4_16</v>
      </c>
      <c r="F788" s="9" t="s">
        <v>17203</v>
      </c>
      <c r="G788" s="9" t="s">
        <v>17204</v>
      </c>
      <c r="H788" s="9" t="s">
        <v>17205</v>
      </c>
      <c r="I788" s="9" t="s">
        <v>17206</v>
      </c>
      <c r="J788" s="9" t="str">
        <f t="shared" si="37"/>
        <v>(${Variables:E3_5_4_16_kcat} * E3_5_4_16 * C05922 * C00001)/(${Variables:E3_5_4_16_km} + (E3_5_4_16 * C05922 * C00001))</v>
      </c>
      <c r="K788" s="38" t="str">
        <f t="shared" si="38"/>
        <v>r787: C05922 + C00001 -&gt; C05923 + C00058 | (${Variables:E3_5_4_16_kcat} * E3_5_4_16 * C05922 * C00001)/(${Variables:E3_5_4_16_km} + (E3_5_4_16 * C05922 * C00001))</v>
      </c>
    </row>
    <row r="789" spans="1:11" ht="28.5" x14ac:dyDescent="0.45">
      <c r="A789" t="s">
        <v>3987</v>
      </c>
      <c r="B789" t="s">
        <v>3988</v>
      </c>
      <c r="C789" t="s">
        <v>15203</v>
      </c>
      <c r="D789">
        <v>788</v>
      </c>
      <c r="E789" t="str">
        <f t="shared" si="36"/>
        <v>E3_5_4_16</v>
      </c>
      <c r="F789" s="9" t="s">
        <v>12422</v>
      </c>
      <c r="G789" s="9" t="s">
        <v>12422</v>
      </c>
      <c r="H789" s="9" t="s">
        <v>12417</v>
      </c>
      <c r="I789" s="9" t="s">
        <v>12417</v>
      </c>
      <c r="J789" s="9" t="str">
        <f t="shared" si="37"/>
        <v>(${Variables:E3_5_4_16_kcat} * E3_5_4_16 * C05923)/(${Variables:E3_5_4_16_km} + (E3_5_4_16 * C05923))</v>
      </c>
      <c r="K789" s="38" t="str">
        <f t="shared" si="38"/>
        <v>r788: C05923 -&gt; C06148 | (${Variables:E3_5_4_16_kcat} * E3_5_4_16 * C05923)/(${Variables:E3_5_4_16_km} + (E3_5_4_16 * C05923))</v>
      </c>
    </row>
    <row r="790" spans="1:11" ht="42.75" x14ac:dyDescent="0.45">
      <c r="A790" t="s">
        <v>4288</v>
      </c>
      <c r="B790" t="s">
        <v>4289</v>
      </c>
      <c r="C790" t="s">
        <v>15204</v>
      </c>
      <c r="D790">
        <v>789</v>
      </c>
      <c r="E790" t="str">
        <f t="shared" si="36"/>
        <v>E3_5_4_19</v>
      </c>
      <c r="F790" s="9" t="s">
        <v>17207</v>
      </c>
      <c r="G790" s="9" t="s">
        <v>17208</v>
      </c>
      <c r="H790" s="9" t="s">
        <v>12427</v>
      </c>
      <c r="I790" s="9" t="s">
        <v>12427</v>
      </c>
      <c r="J790" s="9" t="str">
        <f t="shared" si="37"/>
        <v>(${Variables:E3_5_4_19_kcat} * E3_5_4_19 * C02741 * C00001)/(${Variables:E3_5_4_19_km} + (E3_5_4_19 * C02741 * C00001))</v>
      </c>
      <c r="K790" s="38" t="str">
        <f t="shared" si="38"/>
        <v>r789: C02741 + C00001 -&gt; C04896 | (${Variables:E3_5_4_19_kcat} * E3_5_4_19 * C02741 * C00001)/(${Variables:E3_5_4_19_km} + (E3_5_4_19 * C02741 * C00001))</v>
      </c>
    </row>
    <row r="791" spans="1:11" ht="42.75" x14ac:dyDescent="0.45">
      <c r="A791" t="s">
        <v>5184</v>
      </c>
      <c r="B791" t="s">
        <v>5185</v>
      </c>
      <c r="C791" t="s">
        <v>15205</v>
      </c>
      <c r="D791">
        <v>790</v>
      </c>
      <c r="E791" t="str">
        <f t="shared" si="36"/>
        <v>E3_5_4_2</v>
      </c>
      <c r="F791" s="9" t="s">
        <v>17209</v>
      </c>
      <c r="G791" s="9" t="s">
        <v>17210</v>
      </c>
      <c r="H791" s="9" t="s">
        <v>17211</v>
      </c>
      <c r="I791" s="9" t="s">
        <v>17212</v>
      </c>
      <c r="J791" s="9" t="str">
        <f t="shared" si="37"/>
        <v>(${Variables:E3_5_4_2_kcat} * E3_5_4_2 * C00147 * C00001)/(${Variables:E3_5_4_2_km} + (E3_5_4_2 * C00147 * C00001))</v>
      </c>
      <c r="K791" s="38" t="str">
        <f t="shared" si="38"/>
        <v>r790: C00147 + C00001 -&gt; C00262 + C00014 | (${Variables:E3_5_4_2_kcat} * E3_5_4_2 * C00147 * C00001)/(${Variables:E3_5_4_2_km} + (E3_5_4_2 * C00147 * C00001))</v>
      </c>
    </row>
    <row r="792" spans="1:11" ht="42.75" x14ac:dyDescent="0.45">
      <c r="A792" t="s">
        <v>4851</v>
      </c>
      <c r="B792" t="s">
        <v>4852</v>
      </c>
      <c r="C792" t="s">
        <v>15206</v>
      </c>
      <c r="D792">
        <v>791</v>
      </c>
      <c r="E792" t="str">
        <f t="shared" si="36"/>
        <v>E3_5_4_25</v>
      </c>
      <c r="F792" s="9" t="s">
        <v>17197</v>
      </c>
      <c r="G792" s="9" t="s">
        <v>17198</v>
      </c>
      <c r="H792" s="9" t="s">
        <v>17213</v>
      </c>
      <c r="I792" s="9" t="s">
        <v>17214</v>
      </c>
      <c r="J792" s="9" t="str">
        <f t="shared" si="37"/>
        <v>(${Variables:E3_5_4_25_kcat} * E3_5_4_25 * C00044 * C00001)/(${Variables:E3_5_4_25_km} + (E3_5_4_25 * C00044 * C00001))</v>
      </c>
      <c r="K792" s="38" t="str">
        <f t="shared" si="38"/>
        <v>r791: C00044 + C00001 -&gt; C00058 + C01304 + C00009 | (${Variables:E3_5_4_25_kcat} * E3_5_4_25 * C00044 * C00001)/(${Variables:E3_5_4_25_km} + (E3_5_4_25 * C00044 * C00001))</v>
      </c>
    </row>
    <row r="793" spans="1:11" ht="42.75" x14ac:dyDescent="0.45">
      <c r="A793" t="s">
        <v>4858</v>
      </c>
      <c r="B793" t="s">
        <v>4859</v>
      </c>
      <c r="C793" t="s">
        <v>15207</v>
      </c>
      <c r="D793">
        <v>792</v>
      </c>
      <c r="E793" t="str">
        <f t="shared" si="36"/>
        <v>E3_5_4_26</v>
      </c>
      <c r="F793" s="9" t="s">
        <v>17215</v>
      </c>
      <c r="G793" s="9" t="s">
        <v>17216</v>
      </c>
      <c r="H793" s="9" t="s">
        <v>17217</v>
      </c>
      <c r="I793" s="9" t="s">
        <v>17218</v>
      </c>
      <c r="J793" s="9" t="str">
        <f t="shared" si="37"/>
        <v>(${Variables:E3_5_4_26_kcat} * E3_5_4_26 * C01304 * C00001)/(${Variables:E3_5_4_26_km} + (E3_5_4_26 * C01304 * C00001))</v>
      </c>
      <c r="K793" s="38" t="str">
        <f t="shared" si="38"/>
        <v>r792: C01304 + C00001 -&gt; C01268 + C00014 | (${Variables:E3_5_4_26_kcat} * E3_5_4_26 * C01304 * C00001)/(${Variables:E3_5_4_26_km} + (E3_5_4_26 * C01304 * C00001))</v>
      </c>
    </row>
    <row r="794" spans="1:11" ht="42.75" x14ac:dyDescent="0.45">
      <c r="A794" t="s">
        <v>4988</v>
      </c>
      <c r="B794" t="s">
        <v>4989</v>
      </c>
      <c r="C794" t="s">
        <v>15208</v>
      </c>
      <c r="D794">
        <v>793</v>
      </c>
      <c r="E794" t="str">
        <f t="shared" si="36"/>
        <v>E3_5_4_4</v>
      </c>
      <c r="F794" s="9" t="s">
        <v>17219</v>
      </c>
      <c r="G794" s="9" t="s">
        <v>17220</v>
      </c>
      <c r="H794" s="9" t="s">
        <v>17221</v>
      </c>
      <c r="I794" s="9" t="s">
        <v>17222</v>
      </c>
      <c r="J794" s="9" t="str">
        <f t="shared" si="37"/>
        <v>(${Variables:E3_5_4_4_kcat} * E3_5_4_4 * C00212 * C00001)/(${Variables:E3_5_4_4_km} + (E3_5_4_4 * C00212 * C00001))</v>
      </c>
      <c r="K794" s="38" t="str">
        <f t="shared" si="38"/>
        <v>r793: C00212 + C00001 -&gt; C00294 + C00014 | (${Variables:E3_5_4_4_kcat} * E3_5_4_4 * C00212 * C00001)/(${Variables:E3_5_4_4_km} + (E3_5_4_4 * C00212 * C00001))</v>
      </c>
    </row>
    <row r="795" spans="1:11" ht="42.75" x14ac:dyDescent="0.45">
      <c r="A795" t="s">
        <v>4988</v>
      </c>
      <c r="B795" t="s">
        <v>4989</v>
      </c>
      <c r="C795" t="s">
        <v>15208</v>
      </c>
      <c r="D795">
        <v>794</v>
      </c>
      <c r="E795" t="str">
        <f t="shared" si="36"/>
        <v>E3_5_4_4</v>
      </c>
      <c r="F795" s="9" t="s">
        <v>17223</v>
      </c>
      <c r="G795" s="9" t="s">
        <v>17224</v>
      </c>
      <c r="H795" s="9" t="s">
        <v>17225</v>
      </c>
      <c r="I795" s="9" t="s">
        <v>17226</v>
      </c>
      <c r="J795" s="9" t="str">
        <f t="shared" si="37"/>
        <v>(${Variables:E3_5_4_4_kcat} * E3_5_4_4 * C00559 * C00001)/(${Variables:E3_5_4_4_km} + (E3_5_4_4 * C00559 * C00001))</v>
      </c>
      <c r="K795" s="38" t="str">
        <f t="shared" si="38"/>
        <v>r794: C00559 + C00001 -&gt; C05512 + C00014 | (${Variables:E3_5_4_4_kcat} * E3_5_4_4 * C00559 * C00001)/(${Variables:E3_5_4_4_km} + (E3_5_4_4 * C00559 * C00001))</v>
      </c>
    </row>
    <row r="796" spans="1:11" ht="42.75" x14ac:dyDescent="0.45">
      <c r="A796" t="s">
        <v>2319</v>
      </c>
      <c r="B796" t="s">
        <v>2320</v>
      </c>
      <c r="C796" t="s">
        <v>15209</v>
      </c>
      <c r="D796">
        <v>795</v>
      </c>
      <c r="E796" t="str">
        <f t="shared" si="36"/>
        <v>E3_5_4_5</v>
      </c>
      <c r="F796" s="9" t="s">
        <v>17227</v>
      </c>
      <c r="G796" s="9" t="s">
        <v>17228</v>
      </c>
      <c r="H796" s="9" t="s">
        <v>17229</v>
      </c>
      <c r="I796" s="9" t="s">
        <v>17230</v>
      </c>
      <c r="J796" s="9" t="str">
        <f t="shared" si="37"/>
        <v>(${Variables:E3_5_4_5_kcat} * E3_5_4_5 * C00475 * C00001)/(${Variables:E3_5_4_5_km} + (E3_5_4_5 * C00475 * C00001))</v>
      </c>
      <c r="K796" s="38" t="str">
        <f t="shared" si="38"/>
        <v>r795: C00475 + C00001 -&gt; C00299 + C00014 | (${Variables:E3_5_4_5_kcat} * E3_5_4_5 * C00475 * C00001)/(${Variables:E3_5_4_5_km} + (E3_5_4_5 * C00475 * C00001))</v>
      </c>
    </row>
    <row r="797" spans="1:11" ht="42.75" x14ac:dyDescent="0.45">
      <c r="A797" t="s">
        <v>2319</v>
      </c>
      <c r="B797" t="s">
        <v>2320</v>
      </c>
      <c r="C797" t="s">
        <v>15209</v>
      </c>
      <c r="D797">
        <v>796</v>
      </c>
      <c r="E797" t="str">
        <f t="shared" si="36"/>
        <v>E3_5_4_5</v>
      </c>
      <c r="F797" s="9" t="s">
        <v>17231</v>
      </c>
      <c r="G797" s="9" t="s">
        <v>17232</v>
      </c>
      <c r="H797" s="9" t="s">
        <v>17233</v>
      </c>
      <c r="I797" s="9" t="s">
        <v>17234</v>
      </c>
      <c r="J797" s="9" t="str">
        <f t="shared" si="37"/>
        <v>(${Variables:E3_5_4_5_kcat} * E3_5_4_5 * C00881 * C00001)/(${Variables:E3_5_4_5_km} + (E3_5_4_5 * C00881 * C00001))</v>
      </c>
      <c r="K797" s="38" t="str">
        <f t="shared" si="38"/>
        <v>r796: C00881 + C00001 -&gt; C00526 + C00014 | (${Variables:E3_5_4_5_kcat} * E3_5_4_5 * C00881 * C00001)/(${Variables:E3_5_4_5_km} + (E3_5_4_5 * C00881 * C00001))</v>
      </c>
    </row>
    <row r="798" spans="1:11" ht="42.75" x14ac:dyDescent="0.45">
      <c r="A798" t="s">
        <v>2319</v>
      </c>
      <c r="B798" t="s">
        <v>2320</v>
      </c>
      <c r="C798" t="s">
        <v>15209</v>
      </c>
      <c r="D798">
        <v>797</v>
      </c>
      <c r="E798" t="str">
        <f t="shared" si="36"/>
        <v>E3_5_4_5</v>
      </c>
      <c r="F798" s="9" t="s">
        <v>17235</v>
      </c>
      <c r="G798" s="9" t="s">
        <v>17236</v>
      </c>
      <c r="H798" s="9" t="s">
        <v>17237</v>
      </c>
      <c r="I798" s="9" t="s">
        <v>17238</v>
      </c>
      <c r="J798" s="9" t="str">
        <f t="shared" si="37"/>
        <v>(${Variables:E3_5_4_5_kcat} * E3_5_4_5 * C16635 * C00001)/(${Variables:E3_5_4_5_km} + (E3_5_4_5 * C16635 * C00001))</v>
      </c>
      <c r="K798" s="38" t="str">
        <f t="shared" si="38"/>
        <v>r797: C16635 + C00001 -&gt; C12739 + C00014 | (${Variables:E3_5_4_5_kcat} * E3_5_4_5 * C16635 * C00001)/(${Variables:E3_5_4_5_km} + (E3_5_4_5 * C16635 * C00001))</v>
      </c>
    </row>
    <row r="799" spans="1:11" ht="42.75" x14ac:dyDescent="0.45">
      <c r="A799" t="s">
        <v>6882</v>
      </c>
      <c r="B799" t="s">
        <v>6883</v>
      </c>
      <c r="C799" t="s">
        <v>15209</v>
      </c>
      <c r="D799">
        <v>798</v>
      </c>
      <c r="E799" t="str">
        <f t="shared" si="36"/>
        <v>E3_5_4_5</v>
      </c>
      <c r="F799" s="9" t="s">
        <v>17227</v>
      </c>
      <c r="G799" s="9" t="s">
        <v>17228</v>
      </c>
      <c r="H799" s="9" t="s">
        <v>17229</v>
      </c>
      <c r="I799" s="9" t="s">
        <v>17230</v>
      </c>
      <c r="J799" s="9" t="str">
        <f t="shared" si="37"/>
        <v>(${Variables:E3_5_4_5_kcat} * E3_5_4_5 * C00475 * C00001)/(${Variables:E3_5_4_5_km} + (E3_5_4_5 * C00475 * C00001))</v>
      </c>
      <c r="K799" s="38" t="str">
        <f t="shared" si="38"/>
        <v>r798: C00475 + C00001 -&gt; C00299 + C00014 | (${Variables:E3_5_4_5_kcat} * E3_5_4_5 * C00475 * C00001)/(${Variables:E3_5_4_5_km} + (E3_5_4_5 * C00475 * C00001))</v>
      </c>
    </row>
    <row r="800" spans="1:11" ht="42.75" x14ac:dyDescent="0.45">
      <c r="A800" t="s">
        <v>6882</v>
      </c>
      <c r="B800" t="s">
        <v>6883</v>
      </c>
      <c r="C800" t="s">
        <v>15209</v>
      </c>
      <c r="D800">
        <v>799</v>
      </c>
      <c r="E800" t="str">
        <f t="shared" si="36"/>
        <v>E3_5_4_5</v>
      </c>
      <c r="F800" s="9" t="s">
        <v>17231</v>
      </c>
      <c r="G800" s="9" t="s">
        <v>17232</v>
      </c>
      <c r="H800" s="9" t="s">
        <v>17233</v>
      </c>
      <c r="I800" s="9" t="s">
        <v>17234</v>
      </c>
      <c r="J800" s="9" t="str">
        <f t="shared" si="37"/>
        <v>(${Variables:E3_5_4_5_kcat} * E3_5_4_5 * C00881 * C00001)/(${Variables:E3_5_4_5_km} + (E3_5_4_5 * C00881 * C00001))</v>
      </c>
      <c r="K800" s="38" t="str">
        <f t="shared" si="38"/>
        <v>r799: C00881 + C00001 -&gt; C00526 + C00014 | (${Variables:E3_5_4_5_kcat} * E3_5_4_5 * C00881 * C00001)/(${Variables:E3_5_4_5_km} + (E3_5_4_5 * C00881 * C00001))</v>
      </c>
    </row>
    <row r="801" spans="1:11" ht="42.75" x14ac:dyDescent="0.45">
      <c r="A801" t="s">
        <v>6882</v>
      </c>
      <c r="B801" t="s">
        <v>6883</v>
      </c>
      <c r="C801" t="s">
        <v>15209</v>
      </c>
      <c r="D801">
        <v>800</v>
      </c>
      <c r="E801" t="str">
        <f t="shared" si="36"/>
        <v>E3_5_4_5</v>
      </c>
      <c r="F801" s="9" t="s">
        <v>17235</v>
      </c>
      <c r="G801" s="9" t="s">
        <v>17236</v>
      </c>
      <c r="H801" s="9" t="s">
        <v>17237</v>
      </c>
      <c r="I801" s="9" t="s">
        <v>17238</v>
      </c>
      <c r="J801" s="9" t="str">
        <f t="shared" si="37"/>
        <v>(${Variables:E3_5_4_5_kcat} * E3_5_4_5 * C16635 * C00001)/(${Variables:E3_5_4_5_km} + (E3_5_4_5 * C16635 * C00001))</v>
      </c>
      <c r="K801" s="38" t="str">
        <f t="shared" si="38"/>
        <v>r800: C16635 + C00001 -&gt; C12739 + C00014 | (${Variables:E3_5_4_5_kcat} * E3_5_4_5 * C16635 * C00001)/(${Variables:E3_5_4_5_km} + (E3_5_4_5 * C16635 * C00001))</v>
      </c>
    </row>
    <row r="802" spans="1:11" ht="42.75" x14ac:dyDescent="0.45">
      <c r="A802" t="s">
        <v>2129</v>
      </c>
      <c r="B802" t="s">
        <v>2130</v>
      </c>
      <c r="C802" t="s">
        <v>15210</v>
      </c>
      <c r="D802">
        <v>801</v>
      </c>
      <c r="E802" t="str">
        <f t="shared" si="36"/>
        <v>E3_5_4_9</v>
      </c>
      <c r="F802" s="9" t="s">
        <v>17239</v>
      </c>
      <c r="G802" s="9" t="s">
        <v>17240</v>
      </c>
      <c r="H802" s="9" t="s">
        <v>17241</v>
      </c>
      <c r="I802" s="9" t="s">
        <v>17242</v>
      </c>
      <c r="J802" s="9" t="str">
        <f t="shared" si="37"/>
        <v>(${Variables:E3_5_4_9_kcat} * E3_5_4_9 * C00445 * C00001)/(${Variables:E3_5_4_9_km} + (E3_5_4_9 * C00445 * C00001))</v>
      </c>
      <c r="K802" s="38" t="str">
        <f t="shared" si="38"/>
        <v>r801: C00445 + C00001 -&gt; C00234 + C00080 | (${Variables:E3_5_4_9_kcat} * E3_5_4_9 * C00445 * C00001)/(${Variables:E3_5_4_9_km} + (E3_5_4_9 * C00445 * C00001))</v>
      </c>
    </row>
    <row r="803" spans="1:11" ht="42.75" x14ac:dyDescent="0.45">
      <c r="A803" t="s">
        <v>2742</v>
      </c>
      <c r="B803" t="s">
        <v>2743</v>
      </c>
      <c r="C803" t="s">
        <v>15211</v>
      </c>
      <c r="D803">
        <v>802</v>
      </c>
      <c r="E803" t="str">
        <f t="shared" si="36"/>
        <v>E3_5_99_6</v>
      </c>
      <c r="F803" s="9" t="s">
        <v>17243</v>
      </c>
      <c r="G803" s="9" t="s">
        <v>17244</v>
      </c>
      <c r="H803" s="9" t="s">
        <v>17245</v>
      </c>
      <c r="I803" s="9" t="s">
        <v>17246</v>
      </c>
      <c r="J803" s="9" t="str">
        <f t="shared" si="37"/>
        <v>(${Variables:E3_5_99_6_kcat} * E3_5_99_6 * C00352 * C00001)/(${Variables:E3_5_99_6_km} + (E3_5_99_6 * C00352 * C00001))</v>
      </c>
      <c r="K803" s="38" t="str">
        <f t="shared" si="38"/>
        <v>r802: C00352 + C00001 -&gt; C00085 + C00014 | (${Variables:E3_5_99_6_kcat} * E3_5_99_6 * C00352 * C00001)/(${Variables:E3_5_99_6_km} + (E3_5_99_6 * C00352 * C00001))</v>
      </c>
    </row>
    <row r="804" spans="1:11" ht="42.75" x14ac:dyDescent="0.45">
      <c r="A804" t="s">
        <v>1259</v>
      </c>
      <c r="B804" t="s">
        <v>1260</v>
      </c>
      <c r="C804" t="s">
        <v>15212</v>
      </c>
      <c r="D804">
        <v>803</v>
      </c>
      <c r="E804" t="str">
        <f t="shared" si="36"/>
        <v>E3_6_1_1</v>
      </c>
      <c r="F804" s="9" t="s">
        <v>17247</v>
      </c>
      <c r="G804" s="9" t="s">
        <v>17248</v>
      </c>
      <c r="H804" s="9" t="s">
        <v>12477</v>
      </c>
      <c r="I804" s="9" t="s">
        <v>12477</v>
      </c>
      <c r="J804" s="9" t="str">
        <f t="shared" si="37"/>
        <v>(${Variables:E3_6_1_1_kcat} * E3_6_1_1 * C00013 * C00001)/(${Variables:E3_6_1_1_km} + (E3_6_1_1 * C00013 * C00001))</v>
      </c>
      <c r="K804" s="38" t="str">
        <f t="shared" si="38"/>
        <v>r803: C00013 + C00001 -&gt; C00009 | (${Variables:E3_6_1_1_kcat} * E3_6_1_1 * C00013 * C00001)/(${Variables:E3_6_1_1_km} + (E3_6_1_1 * C00013 * C00001))</v>
      </c>
    </row>
    <row r="805" spans="1:11" ht="42.75" x14ac:dyDescent="0.45">
      <c r="A805" t="s">
        <v>6781</v>
      </c>
      <c r="B805" t="s">
        <v>6782</v>
      </c>
      <c r="C805" t="s">
        <v>15213</v>
      </c>
      <c r="D805">
        <v>804</v>
      </c>
      <c r="E805" t="str">
        <f t="shared" si="36"/>
        <v>E3_6_1_23</v>
      </c>
      <c r="F805" s="9" t="s">
        <v>17249</v>
      </c>
      <c r="G805" s="9" t="s">
        <v>17250</v>
      </c>
      <c r="H805" s="9" t="s">
        <v>17251</v>
      </c>
      <c r="I805" s="9" t="s">
        <v>17252</v>
      </c>
      <c r="J805" s="9" t="str">
        <f t="shared" si="37"/>
        <v>(${Variables:E3_6_1_23_kcat} * E3_6_1_23 * C00460 * C00001)/(${Variables:E3_6_1_23_km} + (E3_6_1_23 * C00460 * C00001))</v>
      </c>
      <c r="K805" s="38" t="str">
        <f t="shared" si="38"/>
        <v>r804: C00460 + C00001 -&gt; C00365 + C00013 | (${Variables:E3_6_1_23_kcat} * E3_6_1_23 * C00460 * C00001)/(${Variables:E3_6_1_23_km} + (E3_6_1_23 * C00460 * C00001))</v>
      </c>
    </row>
    <row r="806" spans="1:11" ht="42.75" x14ac:dyDescent="0.45">
      <c r="A806" t="s">
        <v>6781</v>
      </c>
      <c r="B806" t="s">
        <v>6782</v>
      </c>
      <c r="C806" t="s">
        <v>15213</v>
      </c>
      <c r="D806">
        <v>805</v>
      </c>
      <c r="E806" t="str">
        <f t="shared" si="36"/>
        <v>E3_6_1_23</v>
      </c>
      <c r="F806" s="9" t="s">
        <v>17253</v>
      </c>
      <c r="G806" s="9" t="s">
        <v>17254</v>
      </c>
      <c r="H806" s="9" t="s">
        <v>17255</v>
      </c>
      <c r="I806" s="9" t="s">
        <v>17256</v>
      </c>
      <c r="J806" s="9" t="str">
        <f t="shared" si="37"/>
        <v>(${Variables:E3_6_1_23_kcat} * E3_6_1_23 * C21751 * C00001)/(${Variables:E3_6_1_23_km} + (E3_6_1_23 * C21751 * C00001))</v>
      </c>
      <c r="K806" s="38" t="str">
        <f t="shared" si="38"/>
        <v>r805: C21751 + C00001 -&gt; C04242 + C00013 | (${Variables:E3_6_1_23_kcat} * E3_6_1_23 * C21751 * C00001)/(${Variables:E3_6_1_23_km} + (E3_6_1_23 * C21751 * C00001))</v>
      </c>
    </row>
    <row r="807" spans="1:11" ht="42.75" x14ac:dyDescent="0.45">
      <c r="A807" t="s">
        <v>3655</v>
      </c>
      <c r="B807" t="s">
        <v>3656</v>
      </c>
      <c r="C807" t="s">
        <v>15214</v>
      </c>
      <c r="D807">
        <v>806</v>
      </c>
      <c r="E807" t="str">
        <f t="shared" si="36"/>
        <v>E3_6_1_27</v>
      </c>
      <c r="F807" s="9" t="s">
        <v>17257</v>
      </c>
      <c r="G807" s="9" t="s">
        <v>17258</v>
      </c>
      <c r="H807" s="9" t="s">
        <v>17259</v>
      </c>
      <c r="I807" s="9" t="s">
        <v>17260</v>
      </c>
      <c r="J807" s="9" t="str">
        <f t="shared" si="37"/>
        <v>(${Variables:E3_6_1_27_kcat} * E3_6_1_27 * C04574 * C00001)/(${Variables:E3_6_1_27_km} + (E3_6_1_27 * C04574 * C00001))</v>
      </c>
      <c r="K807" s="38" t="str">
        <f t="shared" si="38"/>
        <v>r806: C04574 + C00001 -&gt; C17556 + C00009 | (${Variables:E3_6_1_27_kcat} * E3_6_1_27 * C04574 * C00001)/(${Variables:E3_6_1_27_km} + (E3_6_1_27 * C04574 * C00001))</v>
      </c>
    </row>
    <row r="808" spans="1:11" ht="42.75" x14ac:dyDescent="0.45">
      <c r="A808" t="s">
        <v>8258</v>
      </c>
      <c r="B808" t="s">
        <v>8259</v>
      </c>
      <c r="C808" t="s">
        <v>15214</v>
      </c>
      <c r="D808">
        <v>807</v>
      </c>
      <c r="E808" t="str">
        <f t="shared" si="36"/>
        <v>E3_6_1_27</v>
      </c>
      <c r="F808" s="9" t="s">
        <v>17257</v>
      </c>
      <c r="G808" s="9" t="s">
        <v>17258</v>
      </c>
      <c r="H808" s="9" t="s">
        <v>17259</v>
      </c>
      <c r="I808" s="9" t="s">
        <v>17260</v>
      </c>
      <c r="J808" s="9" t="str">
        <f t="shared" si="37"/>
        <v>(${Variables:E3_6_1_27_kcat} * E3_6_1_27 * C04574 * C00001)/(${Variables:E3_6_1_27_km} + (E3_6_1_27 * C04574 * C00001))</v>
      </c>
      <c r="K808" s="38" t="str">
        <f t="shared" si="38"/>
        <v>r807: C04574 + C00001 -&gt; C17556 + C00009 | (${Variables:E3_6_1_27_kcat} * E3_6_1_27 * C04574 * C00001)/(${Variables:E3_6_1_27_km} + (E3_6_1_27 * C04574 * C00001))</v>
      </c>
    </row>
    <row r="809" spans="1:11" ht="42.75" x14ac:dyDescent="0.45">
      <c r="A809" t="s">
        <v>4288</v>
      </c>
      <c r="B809" t="s">
        <v>4289</v>
      </c>
      <c r="C809" t="s">
        <v>15215</v>
      </c>
      <c r="D809">
        <v>808</v>
      </c>
      <c r="E809" t="str">
        <f t="shared" si="36"/>
        <v>E3_6_1_31</v>
      </c>
      <c r="F809" s="9" t="s">
        <v>17261</v>
      </c>
      <c r="G809" s="9" t="s">
        <v>17262</v>
      </c>
      <c r="H809" s="9" t="s">
        <v>17263</v>
      </c>
      <c r="I809" s="9" t="s">
        <v>17264</v>
      </c>
      <c r="J809" s="9" t="str">
        <f t="shared" si="37"/>
        <v>(${Variables:E3_6_1_31_kcat} * E3_6_1_31 * C02739 * C00001)/(${Variables:E3_6_1_31_km} + (E3_6_1_31 * C02739 * C00001))</v>
      </c>
      <c r="K809" s="38" t="str">
        <f t="shared" si="38"/>
        <v>r808: C02739 + C00001 -&gt; C02741 + C00013 | (${Variables:E3_6_1_31_kcat} * E3_6_1_31 * C02739 * C00001)/(${Variables:E3_6_1_31_km} + (E3_6_1_31 * C02739 * C00001))</v>
      </c>
    </row>
    <row r="810" spans="1:11" ht="42.75" x14ac:dyDescent="0.45">
      <c r="A810" t="s">
        <v>7126</v>
      </c>
      <c r="B810" t="s">
        <v>7127</v>
      </c>
      <c r="C810" t="s">
        <v>15216</v>
      </c>
      <c r="D810">
        <v>809</v>
      </c>
      <c r="E810" t="str">
        <f t="shared" si="36"/>
        <v>E3_6_1_41</v>
      </c>
      <c r="F810" s="9" t="s">
        <v>17265</v>
      </c>
      <c r="G810" s="9" t="s">
        <v>17266</v>
      </c>
      <c r="H810" s="9" t="s">
        <v>11829</v>
      </c>
      <c r="I810" s="9" t="s">
        <v>11829</v>
      </c>
      <c r="J810" s="9" t="str">
        <f t="shared" si="37"/>
        <v>(${Variables:E3_6_1_41_kcat} * E3_6_1_41 * C01260 * C00001)/(${Variables:E3_6_1_41_km} + (E3_6_1_41 * C01260 * C00001))</v>
      </c>
      <c r="K810" s="38" t="str">
        <f t="shared" si="38"/>
        <v>r809: C01260 + C00001 -&gt; C00008 | (${Variables:E3_6_1_41_kcat} * E3_6_1_41 * C01260 * C00001)/(${Variables:E3_6_1_41_km} + (E3_6_1_41 * C01260 * C00001))</v>
      </c>
    </row>
    <row r="811" spans="1:11" ht="42.75" x14ac:dyDescent="0.45">
      <c r="A811" t="s">
        <v>9751</v>
      </c>
      <c r="B811" t="s">
        <v>9752</v>
      </c>
      <c r="C811" t="s">
        <v>15217</v>
      </c>
      <c r="D811">
        <v>810</v>
      </c>
      <c r="E811" t="str">
        <f t="shared" si="36"/>
        <v>E3_6_1_63</v>
      </c>
      <c r="F811" s="9" t="s">
        <v>17267</v>
      </c>
      <c r="G811" s="9" t="s">
        <v>17268</v>
      </c>
      <c r="H811" s="9" t="s">
        <v>17269</v>
      </c>
      <c r="I811" s="9" t="s">
        <v>17270</v>
      </c>
      <c r="J811" s="9" t="str">
        <f t="shared" si="37"/>
        <v>(${Variables:E3_6_1_63_kcat} * E3_6_1_63 * C20422 * C00001)/(${Variables:E3_6_1_63_km} + (E3_6_1_63 * C20422 * C00001))</v>
      </c>
      <c r="K811" s="38" t="str">
        <f t="shared" si="38"/>
        <v>r810: C20422 + C00001 -&gt; C20423 + C00013 | (${Variables:E3_6_1_63_kcat} * E3_6_1_63 * C20422 * C00001)/(${Variables:E3_6_1_63_km} + (E3_6_1_63 * C20422 * C00001))</v>
      </c>
    </row>
    <row r="812" spans="1:11" ht="42.75" x14ac:dyDescent="0.45">
      <c r="A812" t="s">
        <v>9399</v>
      </c>
      <c r="B812" t="s">
        <v>9400</v>
      </c>
      <c r="C812" t="s">
        <v>15218</v>
      </c>
      <c r="D812">
        <v>811</v>
      </c>
      <c r="E812" t="str">
        <f t="shared" si="36"/>
        <v>E3_7_1_12</v>
      </c>
      <c r="F812" s="9" t="s">
        <v>17271</v>
      </c>
      <c r="G812" s="9" t="s">
        <v>17272</v>
      </c>
      <c r="H812" s="9" t="s">
        <v>17273</v>
      </c>
      <c r="I812" s="9" t="s">
        <v>17274</v>
      </c>
      <c r="J812" s="9" t="str">
        <f t="shared" si="37"/>
        <v>(${Variables:E3_7_1_12_kcat} * E3_7_1_12 * C16242 * C00001)/(${Variables:E3_7_1_12_km} + (E3_7_1_12 * C16242 * C00001))</v>
      </c>
      <c r="K812" s="38" t="str">
        <f t="shared" si="38"/>
        <v>r811: C16242 + C00001 -&gt; C16243 + C00084 | (${Variables:E3_7_1_12_kcat} * E3_7_1_12 * C16242 * C00001)/(${Variables:E3_7_1_12_km} + (E3_7_1_12 * C16242 * C00001))</v>
      </c>
    </row>
    <row r="813" spans="1:11" ht="28.5" x14ac:dyDescent="0.45">
      <c r="A813" t="s">
        <v>7107</v>
      </c>
      <c r="B813" t="s">
        <v>7108</v>
      </c>
      <c r="C813" t="s">
        <v>15219</v>
      </c>
      <c r="D813">
        <v>812</v>
      </c>
      <c r="E813" t="str">
        <f t="shared" si="36"/>
        <v>E4_1_1_12</v>
      </c>
      <c r="F813" s="9" t="s">
        <v>12525</v>
      </c>
      <c r="G813" s="9" t="s">
        <v>12525</v>
      </c>
      <c r="H813" s="9" t="s">
        <v>17275</v>
      </c>
      <c r="I813" s="9" t="s">
        <v>17276</v>
      </c>
      <c r="J813" s="9" t="str">
        <f t="shared" si="37"/>
        <v>(${Variables:E4_1_1_12_kcat} * E4_1_1_12 * C00049)/(${Variables:E4_1_1_12_km} + (E4_1_1_12 * C00049))</v>
      </c>
      <c r="K813" s="38" t="str">
        <f t="shared" si="38"/>
        <v>r812: C00049 -&gt; C00041 + C00011 | (${Variables:E4_1_1_12_kcat} * E4_1_1_12 * C00049)/(${Variables:E4_1_1_12_km} + (E4_1_1_12 * C00049))</v>
      </c>
    </row>
    <row r="814" spans="1:11" ht="28.5" x14ac:dyDescent="0.45">
      <c r="A814" t="s">
        <v>7107</v>
      </c>
      <c r="B814" t="s">
        <v>7108</v>
      </c>
      <c r="C814" t="s">
        <v>15219</v>
      </c>
      <c r="D814">
        <v>813</v>
      </c>
      <c r="E814" t="str">
        <f t="shared" si="36"/>
        <v>E4_1_1_12</v>
      </c>
      <c r="F814" s="9" t="s">
        <v>12528</v>
      </c>
      <c r="G814" s="9" t="s">
        <v>12528</v>
      </c>
      <c r="H814" s="9" t="s">
        <v>17277</v>
      </c>
      <c r="I814" s="9" t="s">
        <v>17278</v>
      </c>
      <c r="J814" s="9" t="str">
        <f t="shared" si="37"/>
        <v>(${Variables:E4_1_1_12_kcat} * E4_1_1_12 * C00606)/(${Variables:E4_1_1_12_km} + (E4_1_1_12 * C00606))</v>
      </c>
      <c r="K814" s="38" t="str">
        <f t="shared" si="38"/>
        <v>r813: C00606 -&gt; C00041 + C09306 | (${Variables:E4_1_1_12_kcat} * E4_1_1_12 * C00606)/(${Variables:E4_1_1_12_km} + (E4_1_1_12 * C00606))</v>
      </c>
    </row>
    <row r="815" spans="1:11" ht="28.5" x14ac:dyDescent="0.45">
      <c r="A815" t="s">
        <v>5893</v>
      </c>
      <c r="B815" t="s">
        <v>5894</v>
      </c>
      <c r="C815" t="s">
        <v>15220</v>
      </c>
      <c r="D815">
        <v>814</v>
      </c>
      <c r="E815" t="str">
        <f t="shared" si="36"/>
        <v>E4_1_1_20</v>
      </c>
      <c r="F815" s="9" t="s">
        <v>12533</v>
      </c>
      <c r="G815" s="9" t="s">
        <v>12533</v>
      </c>
      <c r="H815" s="9" t="s">
        <v>17279</v>
      </c>
      <c r="I815" s="9" t="s">
        <v>17280</v>
      </c>
      <c r="J815" s="9" t="str">
        <f t="shared" si="37"/>
        <v>(${Variables:E4_1_1_20_kcat} * E4_1_1_20 * C00680)/(${Variables:E4_1_1_20_km} + (E4_1_1_20 * C00680))</v>
      </c>
      <c r="K815" s="38" t="str">
        <f t="shared" si="38"/>
        <v>r814: C00680 -&gt; C00047 + C00011 | (${Variables:E4_1_1_20_kcat} * E4_1_1_20 * C00680)/(${Variables:E4_1_1_20_km} + (E4_1_1_20 * C00680))</v>
      </c>
    </row>
    <row r="816" spans="1:11" ht="28.5" x14ac:dyDescent="0.45">
      <c r="A816" t="s">
        <v>867</v>
      </c>
      <c r="B816" t="s">
        <v>868</v>
      </c>
      <c r="C816" t="s">
        <v>15221</v>
      </c>
      <c r="D816">
        <v>815</v>
      </c>
      <c r="E816" t="str">
        <f t="shared" si="36"/>
        <v>E4_1_1_21</v>
      </c>
      <c r="F816" s="9" t="s">
        <v>12538</v>
      </c>
      <c r="G816" s="9" t="s">
        <v>12538</v>
      </c>
      <c r="H816" s="9" t="s">
        <v>17281</v>
      </c>
      <c r="I816" s="9" t="s">
        <v>17282</v>
      </c>
      <c r="J816" s="9" t="str">
        <f t="shared" si="37"/>
        <v>(${Variables:E4_1_1_21_kcat} * E4_1_1_21 * C04751)/(${Variables:E4_1_1_21_km} + (E4_1_1_21 * C04751))</v>
      </c>
      <c r="K816" s="38" t="str">
        <f t="shared" si="38"/>
        <v>r815: C04751 -&gt; C03373 + C00011 | (${Variables:E4_1_1_21_kcat} * E4_1_1_21 * C04751)/(${Variables:E4_1_1_21_km} + (E4_1_1_21 * C04751))</v>
      </c>
    </row>
    <row r="817" spans="1:11" ht="28.5" x14ac:dyDescent="0.45">
      <c r="A817" t="s">
        <v>9935</v>
      </c>
      <c r="B817" t="s">
        <v>9936</v>
      </c>
      <c r="C817" t="s">
        <v>15222</v>
      </c>
      <c r="D817">
        <v>816</v>
      </c>
      <c r="E817" t="str">
        <f t="shared" si="36"/>
        <v>E4_1_1_23</v>
      </c>
      <c r="F817" s="9" t="s">
        <v>12543</v>
      </c>
      <c r="G817" s="9" t="s">
        <v>12543</v>
      </c>
      <c r="H817" s="9" t="s">
        <v>17283</v>
      </c>
      <c r="I817" s="9" t="s">
        <v>17284</v>
      </c>
      <c r="J817" s="9" t="str">
        <f t="shared" si="37"/>
        <v>(${Variables:E4_1_1_23_kcat} * E4_1_1_23 * C01103)/(${Variables:E4_1_1_23_km} + (E4_1_1_23 * C01103))</v>
      </c>
      <c r="K817" s="38" t="str">
        <f t="shared" si="38"/>
        <v>r816: C01103 -&gt; C00105 + C00011 | (${Variables:E4_1_1_23_kcat} * E4_1_1_23 * C01103)/(${Variables:E4_1_1_23_km} + (E4_1_1_23 * C01103))</v>
      </c>
    </row>
    <row r="818" spans="1:11" ht="28.5" x14ac:dyDescent="0.45">
      <c r="A818" t="s">
        <v>7297</v>
      </c>
      <c r="B818" t="s">
        <v>7298</v>
      </c>
      <c r="C818" t="s">
        <v>15223</v>
      </c>
      <c r="D818">
        <v>817</v>
      </c>
      <c r="E818" t="str">
        <f t="shared" si="36"/>
        <v>E4_1_1_36</v>
      </c>
      <c r="F818" s="9" t="s">
        <v>12548</v>
      </c>
      <c r="G818" s="9" t="s">
        <v>12548</v>
      </c>
      <c r="H818" s="9" t="s">
        <v>17285</v>
      </c>
      <c r="I818" s="9" t="s">
        <v>17286</v>
      </c>
      <c r="J818" s="9" t="str">
        <f t="shared" si="37"/>
        <v>(${Variables:E4_1_1_36_kcat} * E4_1_1_36 * C04352)/(${Variables:E4_1_1_36_km} + (E4_1_1_36 * C04352))</v>
      </c>
      <c r="K818" s="38" t="str">
        <f t="shared" si="38"/>
        <v>r817: C04352 -&gt; C01134 + C00011 | (${Variables:E4_1_1_36_kcat} * E4_1_1_36 * C04352)/(${Variables:E4_1_1_36_km} + (E4_1_1_36 * C04352))</v>
      </c>
    </row>
    <row r="819" spans="1:11" ht="42.75" x14ac:dyDescent="0.45">
      <c r="A819" t="s">
        <v>2606</v>
      </c>
      <c r="B819" t="s">
        <v>2607</v>
      </c>
      <c r="C819" t="s">
        <v>15224</v>
      </c>
      <c r="D819">
        <v>818</v>
      </c>
      <c r="E819" t="str">
        <f t="shared" si="36"/>
        <v>E4_1_1_50</v>
      </c>
      <c r="F819" s="9" t="s">
        <v>17287</v>
      </c>
      <c r="G819" s="9" t="s">
        <v>17288</v>
      </c>
      <c r="H819" s="9" t="s">
        <v>17289</v>
      </c>
      <c r="I819" s="9" t="s">
        <v>17290</v>
      </c>
      <c r="J819" s="9" t="str">
        <f t="shared" si="37"/>
        <v>(${Variables:E4_1_1_50_kcat} * E4_1_1_50 * C00019 * C00080)/(${Variables:E4_1_1_50_km} + (E4_1_1_50 * C00019 * C00080))</v>
      </c>
      <c r="K819" s="38" t="str">
        <f t="shared" si="38"/>
        <v>r818: C00019 + C00080 -&gt; C01137 + C00011 | (${Variables:E4_1_1_50_kcat} * E4_1_1_50 * C00019 * C00080)/(${Variables:E4_1_1_50_km} + (E4_1_1_50 * C00019 * C00080))</v>
      </c>
    </row>
    <row r="820" spans="1:11" ht="42.75" x14ac:dyDescent="0.45">
      <c r="A820" t="s">
        <v>679</v>
      </c>
      <c r="B820" t="s">
        <v>680</v>
      </c>
      <c r="C820" t="s">
        <v>15225</v>
      </c>
      <c r="D820">
        <v>819</v>
      </c>
      <c r="E820" t="str">
        <f t="shared" si="36"/>
        <v>E4_1_1_83</v>
      </c>
      <c r="F820" s="9" t="s">
        <v>17291</v>
      </c>
      <c r="G820" s="9" t="s">
        <v>17292</v>
      </c>
      <c r="H820" s="9" t="s">
        <v>17293</v>
      </c>
      <c r="I820" s="9" t="s">
        <v>17294</v>
      </c>
      <c r="J820" s="9" t="str">
        <f t="shared" si="37"/>
        <v>(${Variables:E4_1_1_83_kcat} * E4_1_1_83 * C00642 * C00080)/(${Variables:E4_1_1_83_km} + (E4_1_1_83 * C00642 * C00080))</v>
      </c>
      <c r="K820" s="38" t="str">
        <f t="shared" si="38"/>
        <v>r819: C00642 + C00080 -&gt; C01468 + C00011 | (${Variables:E4_1_1_83_kcat} * E4_1_1_83 * C00642 * C00080)/(${Variables:E4_1_1_83_km} + (E4_1_1_83 * C00642 * C00080))</v>
      </c>
    </row>
    <row r="821" spans="1:11" ht="42.75" x14ac:dyDescent="0.45">
      <c r="A821" t="s">
        <v>683</v>
      </c>
      <c r="B821" t="s">
        <v>684</v>
      </c>
      <c r="C821" t="s">
        <v>15225</v>
      </c>
      <c r="D821">
        <v>820</v>
      </c>
      <c r="E821" t="str">
        <f t="shared" si="36"/>
        <v>E4_1_1_83</v>
      </c>
      <c r="F821" s="9" t="s">
        <v>17291</v>
      </c>
      <c r="G821" s="9" t="s">
        <v>17292</v>
      </c>
      <c r="H821" s="9" t="s">
        <v>17293</v>
      </c>
      <c r="I821" s="9" t="s">
        <v>17294</v>
      </c>
      <c r="J821" s="9" t="str">
        <f t="shared" si="37"/>
        <v>(${Variables:E4_1_1_83_kcat} * E4_1_1_83 * C00642 * C00080)/(${Variables:E4_1_1_83_km} + (E4_1_1_83 * C00642 * C00080))</v>
      </c>
      <c r="K821" s="38" t="str">
        <f t="shared" si="38"/>
        <v>r820: C00642 + C00080 -&gt; C01468 + C00011 | (${Variables:E4_1_1_83_kcat} * E4_1_1_83 * C00642 * C00080)/(${Variables:E4_1_1_83_km} + (E4_1_1_83 * C00642 * C00080))</v>
      </c>
    </row>
    <row r="822" spans="1:11" ht="28.5" x14ac:dyDescent="0.45">
      <c r="A822" t="s">
        <v>1364</v>
      </c>
      <c r="B822" t="s">
        <v>1365</v>
      </c>
      <c r="C822" t="s">
        <v>15226</v>
      </c>
      <c r="D822">
        <v>821</v>
      </c>
      <c r="E822" t="str">
        <f t="shared" si="36"/>
        <v>E4_1_2_13</v>
      </c>
      <c r="F822" s="9" t="s">
        <v>12563</v>
      </c>
      <c r="G822" s="9" t="s">
        <v>12563</v>
      </c>
      <c r="H822" s="9" t="s">
        <v>17295</v>
      </c>
      <c r="I822" s="9" t="s">
        <v>17296</v>
      </c>
      <c r="J822" s="9" t="str">
        <f t="shared" si="37"/>
        <v>(${Variables:E4_1_2_13_kcat} * E4_1_2_13 * C00354)/(${Variables:E4_1_2_13_km} + (E4_1_2_13 * C00354))</v>
      </c>
      <c r="K822" s="38" t="str">
        <f t="shared" si="38"/>
        <v>r821: C00354 -&gt; C00111 + C00118 | (${Variables:E4_1_2_13_kcat} * E4_1_2_13 * C00354)/(${Variables:E4_1_2_13_km} + (E4_1_2_13 * C00354))</v>
      </c>
    </row>
    <row r="823" spans="1:11" ht="28.5" x14ac:dyDescent="0.45">
      <c r="A823" t="s">
        <v>1364</v>
      </c>
      <c r="B823" t="s">
        <v>1365</v>
      </c>
      <c r="C823" t="s">
        <v>15226</v>
      </c>
      <c r="D823">
        <v>822</v>
      </c>
      <c r="E823" t="str">
        <f t="shared" si="36"/>
        <v>E4_1_2_13</v>
      </c>
      <c r="F823" s="9" t="s">
        <v>12566</v>
      </c>
      <c r="G823" s="9" t="s">
        <v>12566</v>
      </c>
      <c r="H823" s="9" t="s">
        <v>17295</v>
      </c>
      <c r="I823" s="9" t="s">
        <v>17296</v>
      </c>
      <c r="J823" s="9" t="str">
        <f t="shared" si="37"/>
        <v>(${Variables:E4_1_2_13_kcat} * E4_1_2_13 * C05378)/(${Variables:E4_1_2_13_km} + (E4_1_2_13 * C05378))</v>
      </c>
      <c r="K823" s="38" t="str">
        <f t="shared" si="38"/>
        <v>r822: C05378 -&gt; C00111 + C00118 | (${Variables:E4_1_2_13_kcat} * E4_1_2_13 * C05378)/(${Variables:E4_1_2_13_km} + (E4_1_2_13 * C05378))</v>
      </c>
    </row>
    <row r="824" spans="1:11" ht="28.5" x14ac:dyDescent="0.45">
      <c r="A824" t="s">
        <v>1364</v>
      </c>
      <c r="B824" t="s">
        <v>1365</v>
      </c>
      <c r="C824" t="s">
        <v>15226</v>
      </c>
      <c r="D824">
        <v>823</v>
      </c>
      <c r="E824" t="str">
        <f t="shared" si="36"/>
        <v>E4_1_2_13</v>
      </c>
      <c r="F824" s="9" t="s">
        <v>12568</v>
      </c>
      <c r="G824" s="9" t="s">
        <v>12568</v>
      </c>
      <c r="H824" s="9" t="s">
        <v>17297</v>
      </c>
      <c r="I824" s="9" t="s">
        <v>17298</v>
      </c>
      <c r="J824" s="9" t="str">
        <f t="shared" si="37"/>
        <v>(${Variables:E4_1_2_13_kcat} * E4_1_2_13 * C00447)/(${Variables:E4_1_2_13_km} + (E4_1_2_13 * C00447))</v>
      </c>
      <c r="K824" s="38" t="str">
        <f t="shared" si="38"/>
        <v>r823: C00447 -&gt; C00111 + C00279 | (${Variables:E4_1_2_13_kcat} * E4_1_2_13 * C00447)/(${Variables:E4_1_2_13_km} + (E4_1_2_13 * C00447))</v>
      </c>
    </row>
    <row r="825" spans="1:11" ht="28.5" x14ac:dyDescent="0.45">
      <c r="A825" t="s">
        <v>1364</v>
      </c>
      <c r="B825" t="s">
        <v>1365</v>
      </c>
      <c r="C825" t="s">
        <v>15226</v>
      </c>
      <c r="D825">
        <v>824</v>
      </c>
      <c r="E825" t="str">
        <f t="shared" si="36"/>
        <v>E4_1_2_13</v>
      </c>
      <c r="F825" s="9" t="s">
        <v>12571</v>
      </c>
      <c r="G825" s="9" t="s">
        <v>12571</v>
      </c>
      <c r="H825" s="9" t="s">
        <v>17299</v>
      </c>
      <c r="I825" s="9" t="s">
        <v>17300</v>
      </c>
      <c r="J825" s="9" t="str">
        <f t="shared" si="37"/>
        <v>(${Variables:E4_1_2_13_kcat} * E4_1_2_13 * C01094)/(${Variables:E4_1_2_13_km} + (E4_1_2_13 * C01094))</v>
      </c>
      <c r="K825" s="38" t="str">
        <f t="shared" si="38"/>
        <v>r824: C01094 -&gt; C00111 + C00577 | (${Variables:E4_1_2_13_kcat} * E4_1_2_13 * C01094)/(${Variables:E4_1_2_13_km} + (E4_1_2_13 * C01094))</v>
      </c>
    </row>
    <row r="826" spans="1:11" ht="28.5" x14ac:dyDescent="0.45">
      <c r="A826" t="s">
        <v>10126</v>
      </c>
      <c r="B826" t="s">
        <v>10127</v>
      </c>
      <c r="C826" t="s">
        <v>15227</v>
      </c>
      <c r="D826">
        <v>825</v>
      </c>
      <c r="E826" t="str">
        <f t="shared" si="36"/>
        <v>E4_1_2_14</v>
      </c>
      <c r="F826" s="9" t="s">
        <v>12576</v>
      </c>
      <c r="G826" s="9" t="s">
        <v>12576</v>
      </c>
      <c r="H826" s="9" t="s">
        <v>17301</v>
      </c>
      <c r="I826" s="9" t="s">
        <v>17302</v>
      </c>
      <c r="J826" s="9" t="str">
        <f t="shared" si="37"/>
        <v>(${Variables:E4_1_2_14_kcat} * E4_1_2_14 * C04442)/(${Variables:E4_1_2_14_km} + (E4_1_2_14 * C04442))</v>
      </c>
      <c r="K826" s="38" t="str">
        <f t="shared" si="38"/>
        <v>r825: C04442 -&gt; C00118 + C00022 | (${Variables:E4_1_2_14_kcat} * E4_1_2_14 * C04442)/(${Variables:E4_1_2_14_km} + (E4_1_2_14 * C04442))</v>
      </c>
    </row>
    <row r="827" spans="1:11" ht="28.5" x14ac:dyDescent="0.45">
      <c r="A827" t="s">
        <v>3995</v>
      </c>
      <c r="B827" t="s">
        <v>3996</v>
      </c>
      <c r="C827" t="s">
        <v>15228</v>
      </c>
      <c r="D827">
        <v>826</v>
      </c>
      <c r="E827" t="str">
        <f t="shared" si="36"/>
        <v>E4_1_2_25</v>
      </c>
      <c r="F827" s="9" t="s">
        <v>12581</v>
      </c>
      <c r="G827" s="9" t="s">
        <v>12581</v>
      </c>
      <c r="H827" s="9" t="s">
        <v>17303</v>
      </c>
      <c r="I827" s="9" t="s">
        <v>17304</v>
      </c>
      <c r="J827" s="9" t="str">
        <f t="shared" si="37"/>
        <v>(${Variables:E4_1_2_25_kcat} * E4_1_2_25 * C04874)/(${Variables:E4_1_2_25_km} + (E4_1_2_25 * C04874))</v>
      </c>
      <c r="K827" s="38" t="str">
        <f t="shared" si="38"/>
        <v>r826: C04874 -&gt; C00266 + C01300 | (${Variables:E4_1_2_25_kcat} * E4_1_2_25 * C04874)/(${Variables:E4_1_2_25_km} + (E4_1_2_25 * C04874))</v>
      </c>
    </row>
    <row r="828" spans="1:11" ht="28.5" x14ac:dyDescent="0.45">
      <c r="A828" t="s">
        <v>4133</v>
      </c>
      <c r="B828" t="s">
        <v>4134</v>
      </c>
      <c r="C828" t="s">
        <v>15229</v>
      </c>
      <c r="D828">
        <v>827</v>
      </c>
      <c r="E828" t="str">
        <f t="shared" si="36"/>
        <v>E4_1_2_4</v>
      </c>
      <c r="F828" s="9" t="s">
        <v>12586</v>
      </c>
      <c r="G828" s="9" t="s">
        <v>12586</v>
      </c>
      <c r="H828" s="9" t="s">
        <v>17305</v>
      </c>
      <c r="I828" s="9" t="s">
        <v>17306</v>
      </c>
      <c r="J828" s="9" t="str">
        <f t="shared" si="37"/>
        <v>(${Variables:E4_1_2_4_kcat} * E4_1_2_4 * C00673)/(${Variables:E4_1_2_4_km} + (E4_1_2_4 * C00673))</v>
      </c>
      <c r="K828" s="38" t="str">
        <f t="shared" si="38"/>
        <v>r827: C00673 -&gt; C00118 + C00084 | (${Variables:E4_1_2_4_kcat} * E4_1_2_4 * C00673)/(${Variables:E4_1_2_4_km} + (E4_1_2_4 * C00673))</v>
      </c>
    </row>
    <row r="829" spans="1:11" ht="28.5" x14ac:dyDescent="0.45">
      <c r="A829" t="s">
        <v>9467</v>
      </c>
      <c r="B829" t="s">
        <v>9468</v>
      </c>
      <c r="C829" t="s">
        <v>15230</v>
      </c>
      <c r="D829">
        <v>828</v>
      </c>
      <c r="E829" t="str">
        <f t="shared" si="36"/>
        <v>E4_1_2_40</v>
      </c>
      <c r="F829" s="9" t="s">
        <v>12591</v>
      </c>
      <c r="G829" s="9" t="s">
        <v>12591</v>
      </c>
      <c r="H829" s="9" t="s">
        <v>17295</v>
      </c>
      <c r="I829" s="9" t="s">
        <v>17296</v>
      </c>
      <c r="J829" s="9" t="str">
        <f t="shared" si="37"/>
        <v>(${Variables:E4_1_2_40_kcat} * E4_1_2_40 * C03785)/(${Variables:E4_1_2_40_km} + (E4_1_2_40 * C03785))</v>
      </c>
      <c r="K829" s="38" t="str">
        <f t="shared" si="38"/>
        <v>r828: C03785 -&gt; C00111 + C00118 | (${Variables:E4_1_2_40_kcat} * E4_1_2_40 * C03785)/(${Variables:E4_1_2_40_km} + (E4_1_2_40 * C03785))</v>
      </c>
    </row>
    <row r="830" spans="1:11" ht="28.5" x14ac:dyDescent="0.45">
      <c r="A830" t="s">
        <v>7316</v>
      </c>
      <c r="B830" t="s">
        <v>7317</v>
      </c>
      <c r="C830" t="s">
        <v>15231</v>
      </c>
      <c r="D830">
        <v>829</v>
      </c>
      <c r="E830" t="str">
        <f t="shared" si="36"/>
        <v>E4_1_2_48</v>
      </c>
      <c r="F830" s="9" t="s">
        <v>12595</v>
      </c>
      <c r="G830" s="9" t="s">
        <v>12595</v>
      </c>
      <c r="H830" s="9" t="s">
        <v>17307</v>
      </c>
      <c r="I830" s="9" t="s">
        <v>17308</v>
      </c>
      <c r="J830" s="9" t="str">
        <f t="shared" si="37"/>
        <v>(${Variables:E4_1_2_48_kcat} * E4_1_2_48 * C00188)/(${Variables:E4_1_2_48_km} + (E4_1_2_48 * C00188))</v>
      </c>
      <c r="K830" s="38" t="str">
        <f t="shared" si="38"/>
        <v>r829: C00188 -&gt; C00037 + C00084 | (${Variables:E4_1_2_48_kcat} * E4_1_2_48 * C00188)/(${Variables:E4_1_2_48_km} + (E4_1_2_48 * C00188))</v>
      </c>
    </row>
    <row r="831" spans="1:11" ht="28.5" x14ac:dyDescent="0.45">
      <c r="A831" t="s">
        <v>7316</v>
      </c>
      <c r="B831" t="s">
        <v>7317</v>
      </c>
      <c r="C831" t="s">
        <v>15231</v>
      </c>
      <c r="D831">
        <v>830</v>
      </c>
      <c r="E831" t="str">
        <f t="shared" si="36"/>
        <v>E4_1_2_48</v>
      </c>
      <c r="F831" s="9" t="s">
        <v>12598</v>
      </c>
      <c r="G831" s="9" t="s">
        <v>12598</v>
      </c>
      <c r="H831" s="9" t="s">
        <v>17307</v>
      </c>
      <c r="I831" s="9" t="s">
        <v>17308</v>
      </c>
      <c r="J831" s="9" t="str">
        <f t="shared" si="37"/>
        <v>(${Variables:E4_1_2_48_kcat} * E4_1_2_48 * C05519)/(${Variables:E4_1_2_48_km} + (E4_1_2_48 * C05519))</v>
      </c>
      <c r="K831" s="38" t="str">
        <f t="shared" si="38"/>
        <v>r830: C05519 -&gt; C00037 + C00084 | (${Variables:E4_1_2_48_kcat} * E4_1_2_48 * C05519)/(${Variables:E4_1_2_48_km} + (E4_1_2_48 * C05519))</v>
      </c>
    </row>
    <row r="832" spans="1:11" ht="42.75" x14ac:dyDescent="0.45">
      <c r="A832" t="s">
        <v>3974</v>
      </c>
      <c r="B832" t="s">
        <v>3975</v>
      </c>
      <c r="C832" t="s">
        <v>15232</v>
      </c>
      <c r="D832">
        <v>831</v>
      </c>
      <c r="E832" t="str">
        <f t="shared" si="36"/>
        <v>E4_1_3_27</v>
      </c>
      <c r="F832" s="9" t="s">
        <v>16531</v>
      </c>
      <c r="G832" s="9" t="s">
        <v>16532</v>
      </c>
      <c r="H832" s="9" t="s">
        <v>17311</v>
      </c>
      <c r="I832" s="9" t="s">
        <v>17312</v>
      </c>
      <c r="J832" s="9" t="str">
        <f t="shared" si="37"/>
        <v>(${Variables:E4_1_3_27_kcat} * E4_1_3_27 * C00251 * C00064)/(${Variables:E4_1_3_27_km} + (E4_1_3_27 * C00251 * C00064))</v>
      </c>
      <c r="K832" s="38" t="str">
        <f t="shared" si="38"/>
        <v>r831: C00251 + C00064 -&gt; C00108 + C00022 + C00025 | (${Variables:E4_1_3_27_kcat} * E4_1_3_27 * C00251 * C00064)/(${Variables:E4_1_3_27_km} + (E4_1_3_27 * C00251 * C00064))</v>
      </c>
    </row>
    <row r="833" spans="1:11" ht="42.75" x14ac:dyDescent="0.45">
      <c r="A833" t="s">
        <v>3974</v>
      </c>
      <c r="B833" t="s">
        <v>3975</v>
      </c>
      <c r="C833" t="s">
        <v>15232</v>
      </c>
      <c r="D833">
        <v>832</v>
      </c>
      <c r="E833" t="str">
        <f t="shared" si="36"/>
        <v>E4_1_3_27</v>
      </c>
      <c r="F833" s="9" t="s">
        <v>16527</v>
      </c>
      <c r="G833" s="9" t="s">
        <v>16528</v>
      </c>
      <c r="H833" s="9" t="s">
        <v>17309</v>
      </c>
      <c r="I833" s="9" t="s">
        <v>17310</v>
      </c>
      <c r="J833" s="9" t="str">
        <f t="shared" si="37"/>
        <v>(${Variables:E4_1_3_27_kcat} * E4_1_3_27 * C00251 * C00014)/(${Variables:E4_1_3_27_km} + (E4_1_3_27 * C00251 * C00014))</v>
      </c>
      <c r="K833" s="38" t="str">
        <f t="shared" si="38"/>
        <v>r832: C00251 + C00014 -&gt; C00108 + C00022 + C00001 | (${Variables:E4_1_3_27_kcat} * E4_1_3_27 * C00251 * C00014)/(${Variables:E4_1_3_27_km} + (E4_1_3_27 * C00251 * C00014))</v>
      </c>
    </row>
    <row r="834" spans="1:11" ht="28.5" x14ac:dyDescent="0.45">
      <c r="A834" t="s">
        <v>6372</v>
      </c>
      <c r="B834" t="s">
        <v>6373</v>
      </c>
      <c r="C834" t="s">
        <v>15233</v>
      </c>
      <c r="D834">
        <v>833</v>
      </c>
      <c r="E834" t="str">
        <f t="shared" si="36"/>
        <v>E4_1_3_3</v>
      </c>
      <c r="F834" s="9" t="s">
        <v>12608</v>
      </c>
      <c r="G834" s="9" t="s">
        <v>12608</v>
      </c>
      <c r="H834" s="9" t="s">
        <v>17313</v>
      </c>
      <c r="I834" s="9" t="s">
        <v>17314</v>
      </c>
      <c r="J834" s="9" t="str">
        <f t="shared" si="37"/>
        <v>(${Variables:E4_1_3_3_kcat} * E4_1_3_3 * C22382)/(${Variables:E4_1_3_3_km} + (E4_1_3_3 * C22382))</v>
      </c>
      <c r="K834" s="38" t="str">
        <f t="shared" si="38"/>
        <v>r833: C22382 -&gt; C00645 + C00022 | (${Variables:E4_1_3_3_kcat} * E4_1_3_3 * C22382)/(${Variables:E4_1_3_3_km} + (E4_1_3_3 * C22382))</v>
      </c>
    </row>
    <row r="835" spans="1:11" ht="28.5" x14ac:dyDescent="0.45">
      <c r="A835" t="s">
        <v>6372</v>
      </c>
      <c r="B835" t="s">
        <v>6373</v>
      </c>
      <c r="C835" t="s">
        <v>15233</v>
      </c>
      <c r="D835">
        <v>834</v>
      </c>
      <c r="E835" t="str">
        <f t="shared" ref="E835:E898" si="39">CONCATENATE("E",C835)</f>
        <v>E4_1_3_3</v>
      </c>
      <c r="F835" s="9" t="s">
        <v>12611</v>
      </c>
      <c r="G835" s="9" t="s">
        <v>12611</v>
      </c>
      <c r="H835" s="9" t="s">
        <v>17313</v>
      </c>
      <c r="I835" s="9" t="s">
        <v>17314</v>
      </c>
      <c r="J835" s="9" t="str">
        <f t="shared" ref="J835:J898" si="40">CONCATENATE("(${Variables:",E835,"_kcat","} * ",E835," * ",G835,")","/(${Variables:",E835,"_km","} + (",E835," * ",G835,"))")</f>
        <v>(${Variables:E4_1_3_3_kcat} * E4_1_3_3 * C00270)/(${Variables:E4_1_3_3_km} + (E4_1_3_3 * C00270))</v>
      </c>
      <c r="K835" s="38" t="str">
        <f t="shared" ref="K835:K898" si="41">CONCATENATE("r",D835,": ",F835," -&gt; ",H835," | ",J835)</f>
        <v>r834: C00270 -&gt; C00645 + C00022 | (${Variables:E4_1_3_3_kcat} * E4_1_3_3 * C00270)/(${Variables:E4_1_3_3_km} + (E4_1_3_3 * C00270))</v>
      </c>
    </row>
    <row r="836" spans="1:11" ht="28.5" x14ac:dyDescent="0.45">
      <c r="A836" t="s">
        <v>4851</v>
      </c>
      <c r="B836" t="s">
        <v>4852</v>
      </c>
      <c r="C836" t="s">
        <v>15234</v>
      </c>
      <c r="D836">
        <v>835</v>
      </c>
      <c r="E836" t="str">
        <f t="shared" si="39"/>
        <v>E4_1_99_12</v>
      </c>
      <c r="F836" s="9" t="s">
        <v>12615</v>
      </c>
      <c r="G836" s="9" t="s">
        <v>12615</v>
      </c>
      <c r="H836" s="9" t="s">
        <v>17315</v>
      </c>
      <c r="I836" s="9" t="s">
        <v>17316</v>
      </c>
      <c r="J836" s="9" t="str">
        <f t="shared" si="40"/>
        <v>(${Variables:E4_1_99_12_kcat} * E4_1_99_12 * C00199)/(${Variables:E4_1_99_12_km} + (E4_1_99_12 * C00199))</v>
      </c>
      <c r="K836" s="38" t="str">
        <f t="shared" si="41"/>
        <v>r835: C00199 -&gt; C15556 + C00058 | (${Variables:E4_1_99_12_kcat} * E4_1_99_12 * C00199)/(${Variables:E4_1_99_12_km} + (E4_1_99_12 * C00199))</v>
      </c>
    </row>
    <row r="837" spans="1:11" ht="42.75" x14ac:dyDescent="0.45">
      <c r="A837" t="s">
        <v>285</v>
      </c>
      <c r="B837" t="s">
        <v>286</v>
      </c>
      <c r="C837" t="s">
        <v>15235</v>
      </c>
      <c r="D837">
        <v>836</v>
      </c>
      <c r="E837" t="str">
        <f t="shared" si="39"/>
        <v>E4_1_99_17</v>
      </c>
      <c r="F837" s="9" t="s">
        <v>17317</v>
      </c>
      <c r="G837" s="9" t="s">
        <v>17318</v>
      </c>
      <c r="H837" s="9" t="s">
        <v>17319</v>
      </c>
      <c r="I837" s="9" t="s">
        <v>17320</v>
      </c>
      <c r="J837" s="9" t="str">
        <f t="shared" si="40"/>
        <v>(${Variables:E4_1_99_17_kcat} * E4_1_99_17 * C03373 * C00019)/(${Variables:E4_1_99_17_km} + (E4_1_99_17 * C03373 * C00019))</v>
      </c>
      <c r="K837" s="38" t="str">
        <f t="shared" si="41"/>
        <v>r836: C03373 + C00019 -&gt; C04556 + C05198 + C00073 + C00058 + C00237 | (${Variables:E4_1_99_17_kcat} * E4_1_99_17 * C03373 * C00019)/(${Variables:E4_1_99_17_km} + (E4_1_99_17 * C03373 * C00019))</v>
      </c>
    </row>
    <row r="838" spans="1:11" ht="42.75" x14ac:dyDescent="0.45">
      <c r="A838" t="s">
        <v>4865</v>
      </c>
      <c r="B838" t="s">
        <v>4866</v>
      </c>
      <c r="C838" t="s">
        <v>15235</v>
      </c>
      <c r="D838">
        <v>837</v>
      </c>
      <c r="E838" t="str">
        <f t="shared" si="39"/>
        <v>E4_1_99_17</v>
      </c>
      <c r="F838" s="9" t="s">
        <v>17317</v>
      </c>
      <c r="G838" s="9" t="s">
        <v>17318</v>
      </c>
      <c r="H838" s="9" t="s">
        <v>17319</v>
      </c>
      <c r="I838" s="9" t="s">
        <v>17320</v>
      </c>
      <c r="J838" s="9" t="str">
        <f t="shared" si="40"/>
        <v>(${Variables:E4_1_99_17_kcat} * E4_1_99_17 * C03373 * C00019)/(${Variables:E4_1_99_17_km} + (E4_1_99_17 * C03373 * C00019))</v>
      </c>
      <c r="K838" s="38" t="str">
        <f t="shared" si="41"/>
        <v>r837: C03373 + C00019 -&gt; C04556 + C05198 + C00073 + C00058 + C00237 | (${Variables:E4_1_99_17_kcat} * E4_1_99_17 * C03373 * C00019)/(${Variables:E4_1_99_17_km} + (E4_1_99_17 * C03373 * C00019))</v>
      </c>
    </row>
    <row r="839" spans="1:11" ht="57" x14ac:dyDescent="0.45">
      <c r="A839" t="s">
        <v>4903</v>
      </c>
      <c r="B839" t="s">
        <v>4904</v>
      </c>
      <c r="C839" t="s">
        <v>15236</v>
      </c>
      <c r="D839">
        <v>838</v>
      </c>
      <c r="E839" t="str">
        <f t="shared" si="39"/>
        <v>E4_1_99_22</v>
      </c>
      <c r="F839" s="9" t="s">
        <v>17321</v>
      </c>
      <c r="G839" s="9" t="s">
        <v>17322</v>
      </c>
      <c r="H839" s="9" t="s">
        <v>17323</v>
      </c>
      <c r="I839" s="9" t="s">
        <v>17324</v>
      </c>
      <c r="J839" s="9" t="str">
        <f t="shared" si="40"/>
        <v>(${Variables:E4_1_99_22_kcat} * E4_1_99_22 * C00044 * C00019 * C00030)/(${Variables:E4_1_99_22_km} + (E4_1_99_22 * C00044 * C00019 * C00030))</v>
      </c>
      <c r="K839" s="38" t="str">
        <f t="shared" si="41"/>
        <v>r838: C00044 + C00019 + C00030 -&gt; C21310 + C05198 + C00073 + C00028 | (${Variables:E4_1_99_22_kcat} * E4_1_99_22 * C00044 * C00019 * C00030)/(${Variables:E4_1_99_22_km} + (E4_1_99_22 * C00044 * C00019 * C00030))</v>
      </c>
    </row>
    <row r="840" spans="1:11" ht="28.5" x14ac:dyDescent="0.45">
      <c r="A840" t="s">
        <v>6329</v>
      </c>
      <c r="B840" t="s">
        <v>6330</v>
      </c>
      <c r="C840" t="s">
        <v>15237</v>
      </c>
      <c r="D840">
        <v>839</v>
      </c>
      <c r="E840" t="str">
        <f t="shared" si="39"/>
        <v>E4_2_1_10</v>
      </c>
      <c r="F840" s="9" t="s">
        <v>12633</v>
      </c>
      <c r="G840" s="9" t="s">
        <v>12633</v>
      </c>
      <c r="H840" s="9" t="s">
        <v>17325</v>
      </c>
      <c r="I840" s="9" t="s">
        <v>17326</v>
      </c>
      <c r="J840" s="9" t="str">
        <f t="shared" si="40"/>
        <v>(${Variables:E4_2_1_10_kcat} * E4_2_1_10 * C00944)/(${Variables:E4_2_1_10_km} + (E4_2_1_10 * C00944))</v>
      </c>
      <c r="K840" s="38" t="str">
        <f t="shared" si="41"/>
        <v>r839: C00944 -&gt; C02637 + C00001 | (${Variables:E4_2_1_10_kcat} * E4_2_1_10 * C00944)/(${Variables:E4_2_1_10_km} + (E4_2_1_10 * C00944))</v>
      </c>
    </row>
    <row r="841" spans="1:11" ht="28.5" x14ac:dyDescent="0.45">
      <c r="A841" t="s">
        <v>8790</v>
      </c>
      <c r="B841" t="s">
        <v>8791</v>
      </c>
      <c r="C841" t="s">
        <v>15238</v>
      </c>
      <c r="D841">
        <v>840</v>
      </c>
      <c r="E841" t="str">
        <f t="shared" si="39"/>
        <v>E4_2_1_11</v>
      </c>
      <c r="F841" s="9" t="s">
        <v>12638</v>
      </c>
      <c r="G841" s="9" t="s">
        <v>12638</v>
      </c>
      <c r="H841" s="9" t="s">
        <v>17327</v>
      </c>
      <c r="I841" s="9" t="s">
        <v>17328</v>
      </c>
      <c r="J841" s="9" t="str">
        <f t="shared" si="40"/>
        <v>(${Variables:E4_2_1_11_kcat} * E4_2_1_11 * C00631)/(${Variables:E4_2_1_11_km} + (E4_2_1_11 * C00631))</v>
      </c>
      <c r="K841" s="38" t="str">
        <f t="shared" si="41"/>
        <v>r840: C00631 -&gt; C00074 + C00001 | (${Variables:E4_2_1_11_kcat} * E4_2_1_11 * C00631)/(${Variables:E4_2_1_11_km} + (E4_2_1_11 * C00631))</v>
      </c>
    </row>
    <row r="842" spans="1:11" ht="28.5" x14ac:dyDescent="0.45">
      <c r="A842" t="s">
        <v>8790</v>
      </c>
      <c r="B842" t="s">
        <v>8791</v>
      </c>
      <c r="C842" t="s">
        <v>15238</v>
      </c>
      <c r="D842">
        <v>841</v>
      </c>
      <c r="E842" t="str">
        <f t="shared" si="39"/>
        <v>E4_2_1_11</v>
      </c>
      <c r="F842" s="9" t="s">
        <v>12641</v>
      </c>
      <c r="G842" s="9" t="s">
        <v>12641</v>
      </c>
      <c r="H842" s="9" t="s">
        <v>17329</v>
      </c>
      <c r="I842" s="9" t="s">
        <v>17330</v>
      </c>
      <c r="J842" s="9" t="str">
        <f t="shared" si="40"/>
        <v>(${Variables:E4_2_1_11_kcat} * E4_2_1_11 * C03356)/(${Variables:E4_2_1_11_km} + (E4_2_1_11 * C03356))</v>
      </c>
      <c r="K842" s="38" t="str">
        <f t="shared" si="41"/>
        <v>r841: C03356 -&gt; C04309 + C00001 | (${Variables:E4_2_1_11_kcat} * E4_2_1_11 * C03356)/(${Variables:E4_2_1_11_km} + (E4_2_1_11 * C03356))</v>
      </c>
    </row>
    <row r="843" spans="1:11" ht="42.75" x14ac:dyDescent="0.45">
      <c r="A843" t="s">
        <v>8407</v>
      </c>
      <c r="B843" t="s">
        <v>8408</v>
      </c>
      <c r="C843" t="s">
        <v>15239</v>
      </c>
      <c r="D843">
        <v>842</v>
      </c>
      <c r="E843" t="str">
        <f t="shared" si="39"/>
        <v>E4_2_1_126</v>
      </c>
      <c r="F843" s="9" t="s">
        <v>17331</v>
      </c>
      <c r="G843" s="9" t="s">
        <v>17332</v>
      </c>
      <c r="H843" s="9" t="s">
        <v>17333</v>
      </c>
      <c r="I843" s="9" t="s">
        <v>17334</v>
      </c>
      <c r="J843" s="9" t="str">
        <f t="shared" si="40"/>
        <v>(${Variables:E4_2_1_126_kcat} * E4_2_1_126 * C00256 * C00357)/(${Variables:E4_2_1_126_km} + (E4_2_1_126 * C00256 * C00357))</v>
      </c>
      <c r="K843" s="38" t="str">
        <f t="shared" si="41"/>
        <v>r842: C00256 + C00357 -&gt; C16698 + C00001 | (${Variables:E4_2_1_126_kcat} * E4_2_1_126 * C00256 * C00357)/(${Variables:E4_2_1_126_km} + (E4_2_1_126 * C00256 * C00357))</v>
      </c>
    </row>
    <row r="844" spans="1:11" ht="28.5" x14ac:dyDescent="0.45">
      <c r="A844" t="s">
        <v>1343</v>
      </c>
      <c r="B844" t="s">
        <v>1344</v>
      </c>
      <c r="C844" t="s">
        <v>15240</v>
      </c>
      <c r="D844">
        <v>843</v>
      </c>
      <c r="E844" t="str">
        <f t="shared" si="39"/>
        <v>E4_2_1_157</v>
      </c>
      <c r="F844" s="9" t="s">
        <v>12651</v>
      </c>
      <c r="G844" s="9" t="s">
        <v>12651</v>
      </c>
      <c r="H844" s="9" t="s">
        <v>17335</v>
      </c>
      <c r="I844" s="9" t="s">
        <v>17336</v>
      </c>
      <c r="J844" s="9" t="str">
        <f t="shared" si="40"/>
        <v>(${Variables:E4_2_1_157_kcat} * E4_2_1_157 * C21089)/(${Variables:E4_2_1_157_km} + (E4_2_1_157 * C21089))</v>
      </c>
      <c r="K844" s="38" t="str">
        <f t="shared" si="41"/>
        <v>r843: C21089 -&gt; C21090 + C00001 | (${Variables:E4_2_1_157_kcat} * E4_2_1_157 * C21089)/(${Variables:E4_2_1_157_km} + (E4_2_1_157 * C21089))</v>
      </c>
    </row>
    <row r="845" spans="1:11" ht="28.5" x14ac:dyDescent="0.45">
      <c r="A845" t="s">
        <v>1347</v>
      </c>
      <c r="B845" t="s">
        <v>1348</v>
      </c>
      <c r="C845" t="s">
        <v>15240</v>
      </c>
      <c r="D845">
        <v>844</v>
      </c>
      <c r="E845" t="str">
        <f t="shared" si="39"/>
        <v>E4_2_1_157</v>
      </c>
      <c r="F845" s="9" t="s">
        <v>12651</v>
      </c>
      <c r="G845" s="9" t="s">
        <v>12651</v>
      </c>
      <c r="H845" s="9" t="s">
        <v>17335</v>
      </c>
      <c r="I845" s="9" t="s">
        <v>17336</v>
      </c>
      <c r="J845" s="9" t="str">
        <f t="shared" si="40"/>
        <v>(${Variables:E4_2_1_157_kcat} * E4_2_1_157 * C21089)/(${Variables:E4_2_1_157_km} + (E4_2_1_157 * C21089))</v>
      </c>
      <c r="K845" s="38" t="str">
        <f t="shared" si="41"/>
        <v>r844: C21089 -&gt; C21090 + C00001 | (${Variables:E4_2_1_157_kcat} * E4_2_1_157 * C21089)/(${Variables:E4_2_1_157_km} + (E4_2_1_157 * C21089))</v>
      </c>
    </row>
    <row r="846" spans="1:11" ht="28.5" x14ac:dyDescent="0.45">
      <c r="A846" t="s">
        <v>9104</v>
      </c>
      <c r="B846" t="s">
        <v>9105</v>
      </c>
      <c r="C846" t="s">
        <v>15241</v>
      </c>
      <c r="D846">
        <v>845</v>
      </c>
      <c r="E846" t="str">
        <f t="shared" si="39"/>
        <v>E4_2_1_172</v>
      </c>
      <c r="F846" s="9" t="s">
        <v>12656</v>
      </c>
      <c r="G846" s="9" t="s">
        <v>12656</v>
      </c>
      <c r="H846" s="9" t="s">
        <v>17337</v>
      </c>
      <c r="I846" s="9" t="s">
        <v>17338</v>
      </c>
      <c r="J846" s="9" t="str">
        <f t="shared" si="40"/>
        <v>(${Variables:E4_2_1_172_kcat} * E4_2_1_172 * C01157)/(${Variables:E4_2_1_172_km} + (E4_2_1_172 * C01157))</v>
      </c>
      <c r="K846" s="38" t="str">
        <f t="shared" si="41"/>
        <v>r845: C01157 -&gt; C03912 + C00001 | (${Variables:E4_2_1_172_kcat} * E4_2_1_172 * C01157)/(${Variables:E4_2_1_172_km} + (E4_2_1_172 * C01157))</v>
      </c>
    </row>
    <row r="847" spans="1:11" ht="28.5" x14ac:dyDescent="0.45">
      <c r="A847" t="s">
        <v>4272</v>
      </c>
      <c r="B847" t="s">
        <v>4273</v>
      </c>
      <c r="C847" t="s">
        <v>15242</v>
      </c>
      <c r="D847">
        <v>846</v>
      </c>
      <c r="E847" t="str">
        <f t="shared" si="39"/>
        <v>E4_2_1_19</v>
      </c>
      <c r="F847" s="9" t="s">
        <v>12661</v>
      </c>
      <c r="G847" s="9" t="s">
        <v>12661</v>
      </c>
      <c r="H847" s="9" t="s">
        <v>17339</v>
      </c>
      <c r="I847" s="9" t="s">
        <v>17340</v>
      </c>
      <c r="J847" s="9" t="str">
        <f t="shared" si="40"/>
        <v>(${Variables:E4_2_1_19_kcat} * E4_2_1_19 * C04666)/(${Variables:E4_2_1_19_km} + (E4_2_1_19 * C04666))</v>
      </c>
      <c r="K847" s="38" t="str">
        <f t="shared" si="41"/>
        <v>r846: C04666 -&gt; C01267 + C00001 | (${Variables:E4_2_1_19_kcat} * E4_2_1_19 * C04666)/(${Variables:E4_2_1_19_km} + (E4_2_1_19 * C04666))</v>
      </c>
    </row>
    <row r="848" spans="1:11" ht="28.5" x14ac:dyDescent="0.45">
      <c r="A848" t="s">
        <v>2712</v>
      </c>
      <c r="B848" t="s">
        <v>2713</v>
      </c>
      <c r="C848" t="s">
        <v>15243</v>
      </c>
      <c r="D848">
        <v>847</v>
      </c>
      <c r="E848" t="str">
        <f t="shared" si="39"/>
        <v>E4_2_1_2</v>
      </c>
      <c r="F848" s="9" t="s">
        <v>12666</v>
      </c>
      <c r="G848" s="9" t="s">
        <v>12666</v>
      </c>
      <c r="H848" s="9" t="s">
        <v>17341</v>
      </c>
      <c r="I848" s="9" t="s">
        <v>17342</v>
      </c>
      <c r="J848" s="9" t="str">
        <f t="shared" si="40"/>
        <v>(${Variables:E4_2_1_2_kcat} * E4_2_1_2 * C00149)/(${Variables:E4_2_1_2_km} + (E4_2_1_2 * C00149))</v>
      </c>
      <c r="K848" s="38" t="str">
        <f t="shared" si="41"/>
        <v>r847: C00149 -&gt; C00122 + C00001 | (${Variables:E4_2_1_2_kcat} * E4_2_1_2 * C00149)/(${Variables:E4_2_1_2_km} + (E4_2_1_2 * C00149))</v>
      </c>
    </row>
    <row r="849" spans="1:11" ht="28.5" x14ac:dyDescent="0.45">
      <c r="A849" t="s">
        <v>9376</v>
      </c>
      <c r="B849" t="s">
        <v>9377</v>
      </c>
      <c r="C849" t="s">
        <v>15244</v>
      </c>
      <c r="D849">
        <v>848</v>
      </c>
      <c r="E849" t="str">
        <f t="shared" si="39"/>
        <v>E4_2_1_24</v>
      </c>
      <c r="F849" s="9" t="s">
        <v>12671</v>
      </c>
      <c r="G849" s="9" t="s">
        <v>12671</v>
      </c>
      <c r="H849" s="9" t="s">
        <v>16497</v>
      </c>
      <c r="I849" s="9" t="s">
        <v>16498</v>
      </c>
      <c r="J849" s="9" t="str">
        <f t="shared" si="40"/>
        <v>(${Variables:E4_2_1_24_kcat} * E4_2_1_24 * C00430)/(${Variables:E4_2_1_24_km} + (E4_2_1_24 * C00430))</v>
      </c>
      <c r="K849" s="38" t="str">
        <f t="shared" si="41"/>
        <v>r848: C00430 -&gt; C00931 + C00001 | (${Variables:E4_2_1_24_kcat} * E4_2_1_24 * C00430)/(${Variables:E4_2_1_24_km} + (E4_2_1_24 * C00430))</v>
      </c>
    </row>
    <row r="850" spans="1:11" ht="28.5" x14ac:dyDescent="0.45">
      <c r="A850" t="s">
        <v>2456</v>
      </c>
      <c r="B850" t="s">
        <v>2457</v>
      </c>
      <c r="C850" t="s">
        <v>15245</v>
      </c>
      <c r="D850">
        <v>849</v>
      </c>
      <c r="E850" t="str">
        <f t="shared" si="39"/>
        <v>E4_2_1_3</v>
      </c>
      <c r="F850" s="9" t="s">
        <v>12675</v>
      </c>
      <c r="G850" s="9" t="s">
        <v>12675</v>
      </c>
      <c r="H850" s="9" t="s">
        <v>12676</v>
      </c>
      <c r="I850" s="9" t="s">
        <v>12676</v>
      </c>
      <c r="J850" s="9" t="str">
        <f t="shared" si="40"/>
        <v>(${Variables:E4_2_1_3_kcat} * E4_2_1_3 * C00158)/(${Variables:E4_2_1_3_km} + (E4_2_1_3 * C00158))</v>
      </c>
      <c r="K850" s="38" t="str">
        <f t="shared" si="41"/>
        <v>r849: C00158 -&gt; C00311 | (${Variables:E4_2_1_3_kcat} * E4_2_1_3 * C00158)/(${Variables:E4_2_1_3_km} + (E4_2_1_3 * C00158))</v>
      </c>
    </row>
    <row r="851" spans="1:11" ht="28.5" x14ac:dyDescent="0.45">
      <c r="A851" t="s">
        <v>2456</v>
      </c>
      <c r="B851" t="s">
        <v>2457</v>
      </c>
      <c r="C851" t="s">
        <v>15245</v>
      </c>
      <c r="D851">
        <v>850</v>
      </c>
      <c r="E851" t="str">
        <f t="shared" si="39"/>
        <v>E4_2_1_3</v>
      </c>
      <c r="F851" s="9" t="s">
        <v>12675</v>
      </c>
      <c r="G851" s="9" t="s">
        <v>12675</v>
      </c>
      <c r="H851" s="9" t="s">
        <v>17343</v>
      </c>
      <c r="I851" s="9" t="s">
        <v>17344</v>
      </c>
      <c r="J851" s="9" t="str">
        <f t="shared" si="40"/>
        <v>(${Variables:E4_2_1_3_kcat} * E4_2_1_3 * C00158)/(${Variables:E4_2_1_3_km} + (E4_2_1_3 * C00158))</v>
      </c>
      <c r="K851" s="38" t="str">
        <f t="shared" si="41"/>
        <v>r850: C00158 -&gt; C00417 + C00001 | (${Variables:E4_2_1_3_kcat} * E4_2_1_3 * C00158)/(${Variables:E4_2_1_3_km} + (E4_2_1_3 * C00158))</v>
      </c>
    </row>
    <row r="852" spans="1:11" ht="28.5" x14ac:dyDescent="0.45">
      <c r="A852" t="s">
        <v>2456</v>
      </c>
      <c r="B852" t="s">
        <v>2457</v>
      </c>
      <c r="C852" t="s">
        <v>15245</v>
      </c>
      <c r="D852">
        <v>851</v>
      </c>
      <c r="E852" t="str">
        <f t="shared" si="39"/>
        <v>E4_2_1_3</v>
      </c>
      <c r="F852" s="9" t="s">
        <v>12676</v>
      </c>
      <c r="G852" s="9" t="s">
        <v>12676</v>
      </c>
      <c r="H852" s="9" t="s">
        <v>17343</v>
      </c>
      <c r="I852" s="9" t="s">
        <v>17344</v>
      </c>
      <c r="J852" s="9" t="str">
        <f t="shared" si="40"/>
        <v>(${Variables:E4_2_1_3_kcat} * E4_2_1_3 * C00311)/(${Variables:E4_2_1_3_km} + (E4_2_1_3 * C00311))</v>
      </c>
      <c r="K852" s="38" t="str">
        <f t="shared" si="41"/>
        <v>r851: C00311 -&gt; C00417 + C00001 | (${Variables:E4_2_1_3_kcat} * E4_2_1_3 * C00311)/(${Variables:E4_2_1_3_km} + (E4_2_1_3 * C00311))</v>
      </c>
    </row>
    <row r="853" spans="1:11" ht="28.5" x14ac:dyDescent="0.45">
      <c r="A853" t="s">
        <v>2676</v>
      </c>
      <c r="B853" t="s">
        <v>2677</v>
      </c>
      <c r="C853" t="s">
        <v>15246</v>
      </c>
      <c r="D853">
        <v>852</v>
      </c>
      <c r="E853" t="str">
        <f t="shared" si="39"/>
        <v>E4_2_1_33</v>
      </c>
      <c r="F853" s="9" t="s">
        <v>12683</v>
      </c>
      <c r="G853" s="9" t="s">
        <v>12683</v>
      </c>
      <c r="H853" s="9" t="s">
        <v>12684</v>
      </c>
      <c r="I853" s="9" t="s">
        <v>12684</v>
      </c>
      <c r="J853" s="9" t="str">
        <f t="shared" si="40"/>
        <v>(${Variables:E4_2_1_33_kcat} * E4_2_1_33 * C04411)/(${Variables:E4_2_1_33_km} + (E4_2_1_33 * C04411))</v>
      </c>
      <c r="K853" s="38" t="str">
        <f t="shared" si="41"/>
        <v>r852: C04411 -&gt; C02504 | (${Variables:E4_2_1_33_kcat} * E4_2_1_33 * C04411)/(${Variables:E4_2_1_33_km} + (E4_2_1_33 * C04411))</v>
      </c>
    </row>
    <row r="854" spans="1:11" ht="28.5" x14ac:dyDescent="0.45">
      <c r="A854" t="s">
        <v>2676</v>
      </c>
      <c r="B854" t="s">
        <v>2677</v>
      </c>
      <c r="C854" t="s">
        <v>15246</v>
      </c>
      <c r="D854">
        <v>853</v>
      </c>
      <c r="E854" t="str">
        <f t="shared" si="39"/>
        <v>E4_2_1_33</v>
      </c>
      <c r="F854" s="9" t="s">
        <v>12683</v>
      </c>
      <c r="G854" s="9" t="s">
        <v>12683</v>
      </c>
      <c r="H854" s="9" t="s">
        <v>17345</v>
      </c>
      <c r="I854" s="9" t="s">
        <v>17346</v>
      </c>
      <c r="J854" s="9" t="str">
        <f t="shared" si="40"/>
        <v>(${Variables:E4_2_1_33_kcat} * E4_2_1_33 * C04411)/(${Variables:E4_2_1_33_km} + (E4_2_1_33 * C04411))</v>
      </c>
      <c r="K854" s="38" t="str">
        <f t="shared" si="41"/>
        <v>r853: C04411 -&gt; C02631 + C00001 | (${Variables:E4_2_1_33_kcat} * E4_2_1_33 * C04411)/(${Variables:E4_2_1_33_km} + (E4_2_1_33 * C04411))</v>
      </c>
    </row>
    <row r="855" spans="1:11" ht="28.5" x14ac:dyDescent="0.45">
      <c r="A855" t="s">
        <v>2676</v>
      </c>
      <c r="B855" t="s">
        <v>2677</v>
      </c>
      <c r="C855" t="s">
        <v>15246</v>
      </c>
      <c r="D855">
        <v>854</v>
      </c>
      <c r="E855" t="str">
        <f t="shared" si="39"/>
        <v>E4_2_1_33</v>
      </c>
      <c r="F855" s="9" t="s">
        <v>12684</v>
      </c>
      <c r="G855" s="9" t="s">
        <v>12684</v>
      </c>
      <c r="H855" s="9" t="s">
        <v>17345</v>
      </c>
      <c r="I855" s="9" t="s">
        <v>17346</v>
      </c>
      <c r="J855" s="9" t="str">
        <f t="shared" si="40"/>
        <v>(${Variables:E4_2_1_33_kcat} * E4_2_1_33 * C02504)/(${Variables:E4_2_1_33_km} + (E4_2_1_33 * C02504))</v>
      </c>
      <c r="K855" s="38" t="str">
        <f t="shared" si="41"/>
        <v>r854: C02504 -&gt; C02631 + C00001 | (${Variables:E4_2_1_33_kcat} * E4_2_1_33 * C02504)/(${Variables:E4_2_1_33_km} + (E4_2_1_33 * C02504))</v>
      </c>
    </row>
    <row r="856" spans="1:11" ht="28.5" x14ac:dyDescent="0.45">
      <c r="A856" t="s">
        <v>2680</v>
      </c>
      <c r="B856" t="s">
        <v>2681</v>
      </c>
      <c r="C856" t="s">
        <v>15246</v>
      </c>
      <c r="D856">
        <v>855</v>
      </c>
      <c r="E856" t="str">
        <f t="shared" si="39"/>
        <v>E4_2_1_33</v>
      </c>
      <c r="F856" s="9" t="s">
        <v>12683</v>
      </c>
      <c r="G856" s="9" t="s">
        <v>12683</v>
      </c>
      <c r="H856" s="9" t="s">
        <v>12684</v>
      </c>
      <c r="I856" s="9" t="s">
        <v>12684</v>
      </c>
      <c r="J856" s="9" t="str">
        <f t="shared" si="40"/>
        <v>(${Variables:E4_2_1_33_kcat} * E4_2_1_33 * C04411)/(${Variables:E4_2_1_33_km} + (E4_2_1_33 * C04411))</v>
      </c>
      <c r="K856" s="38" t="str">
        <f t="shared" si="41"/>
        <v>r855: C04411 -&gt; C02504 | (${Variables:E4_2_1_33_kcat} * E4_2_1_33 * C04411)/(${Variables:E4_2_1_33_km} + (E4_2_1_33 * C04411))</v>
      </c>
    </row>
    <row r="857" spans="1:11" ht="28.5" x14ac:dyDescent="0.45">
      <c r="A857" t="s">
        <v>2680</v>
      </c>
      <c r="B857" t="s">
        <v>2681</v>
      </c>
      <c r="C857" t="s">
        <v>15246</v>
      </c>
      <c r="D857">
        <v>856</v>
      </c>
      <c r="E857" t="str">
        <f t="shared" si="39"/>
        <v>E4_2_1_33</v>
      </c>
      <c r="F857" s="9" t="s">
        <v>12683</v>
      </c>
      <c r="G857" s="9" t="s">
        <v>12683</v>
      </c>
      <c r="H857" s="9" t="s">
        <v>17345</v>
      </c>
      <c r="I857" s="9" t="s">
        <v>17346</v>
      </c>
      <c r="J857" s="9" t="str">
        <f t="shared" si="40"/>
        <v>(${Variables:E4_2_1_33_kcat} * E4_2_1_33 * C04411)/(${Variables:E4_2_1_33_km} + (E4_2_1_33 * C04411))</v>
      </c>
      <c r="K857" s="38" t="str">
        <f t="shared" si="41"/>
        <v>r856: C04411 -&gt; C02631 + C00001 | (${Variables:E4_2_1_33_kcat} * E4_2_1_33 * C04411)/(${Variables:E4_2_1_33_km} + (E4_2_1_33 * C04411))</v>
      </c>
    </row>
    <row r="858" spans="1:11" ht="28.5" x14ac:dyDescent="0.45">
      <c r="A858" t="s">
        <v>2680</v>
      </c>
      <c r="B858" t="s">
        <v>2681</v>
      </c>
      <c r="C858" t="s">
        <v>15246</v>
      </c>
      <c r="D858">
        <v>857</v>
      </c>
      <c r="E858" t="str">
        <f t="shared" si="39"/>
        <v>E4_2_1_33</v>
      </c>
      <c r="F858" s="9" t="s">
        <v>12684</v>
      </c>
      <c r="G858" s="9" t="s">
        <v>12684</v>
      </c>
      <c r="H858" s="9" t="s">
        <v>17345</v>
      </c>
      <c r="I858" s="9" t="s">
        <v>17346</v>
      </c>
      <c r="J858" s="9" t="str">
        <f t="shared" si="40"/>
        <v>(${Variables:E4_2_1_33_kcat} * E4_2_1_33 * C02504)/(${Variables:E4_2_1_33_km} + (E4_2_1_33 * C02504))</v>
      </c>
      <c r="K858" s="38" t="str">
        <f t="shared" si="41"/>
        <v>r857: C02504 -&gt; C02631 + C00001 | (${Variables:E4_2_1_33_kcat} * E4_2_1_33 * C02504)/(${Variables:E4_2_1_33_km} + (E4_2_1_33 * C02504))</v>
      </c>
    </row>
    <row r="859" spans="1:11" ht="28.5" x14ac:dyDescent="0.45">
      <c r="A859" t="s">
        <v>910</v>
      </c>
      <c r="B859" t="s">
        <v>911</v>
      </c>
      <c r="C859" t="s">
        <v>15247</v>
      </c>
      <c r="D859">
        <v>858</v>
      </c>
      <c r="E859" t="str">
        <f t="shared" si="39"/>
        <v>E4_2_1_46</v>
      </c>
      <c r="F859" s="9" t="s">
        <v>12691</v>
      </c>
      <c r="G859" s="9" t="s">
        <v>12691</v>
      </c>
      <c r="H859" s="9" t="s">
        <v>17347</v>
      </c>
      <c r="I859" s="9" t="s">
        <v>17348</v>
      </c>
      <c r="J859" s="9" t="str">
        <f t="shared" si="40"/>
        <v>(${Variables:E4_2_1_46_kcat} * E4_2_1_46 * C00842)/(${Variables:E4_2_1_46_km} + (E4_2_1_46 * C00842))</v>
      </c>
      <c r="K859" s="38" t="str">
        <f t="shared" si="41"/>
        <v>r858: C00842 -&gt; C11907 + C00001 | (${Variables:E4_2_1_46_kcat} * E4_2_1_46 * C00842)/(${Variables:E4_2_1_46_km} + (E4_2_1_46 * C00842))</v>
      </c>
    </row>
    <row r="860" spans="1:11" ht="28.5" x14ac:dyDescent="0.45">
      <c r="A860" t="s">
        <v>5233</v>
      </c>
      <c r="B860" t="s">
        <v>5234</v>
      </c>
      <c r="C860" t="s">
        <v>15248</v>
      </c>
      <c r="D860">
        <v>859</v>
      </c>
      <c r="E860" t="str">
        <f t="shared" si="39"/>
        <v>E4_2_1_51</v>
      </c>
      <c r="F860" s="9" t="s">
        <v>12696</v>
      </c>
      <c r="G860" s="9" t="s">
        <v>12696</v>
      </c>
      <c r="H860" s="9" t="s">
        <v>17349</v>
      </c>
      <c r="I860" s="9" t="s">
        <v>17350</v>
      </c>
      <c r="J860" s="9" t="str">
        <f t="shared" si="40"/>
        <v>(${Variables:E4_2_1_51_kcat} * E4_2_1_51 * C00254)/(${Variables:E4_2_1_51_km} + (E4_2_1_51 * C00254))</v>
      </c>
      <c r="K860" s="38" t="str">
        <f t="shared" si="41"/>
        <v>r859: C00254 -&gt; C00166 + C00001 + C00011 | (${Variables:E4_2_1_51_kcat} * E4_2_1_51 * C00254)/(${Variables:E4_2_1_51_km} + (E4_2_1_51 * C00254))</v>
      </c>
    </row>
    <row r="861" spans="1:11" ht="28.5" x14ac:dyDescent="0.45">
      <c r="A861" t="s">
        <v>5233</v>
      </c>
      <c r="B861" t="s">
        <v>5234</v>
      </c>
      <c r="C861" t="s">
        <v>15248</v>
      </c>
      <c r="D861">
        <v>860</v>
      </c>
      <c r="E861" t="str">
        <f t="shared" si="39"/>
        <v>E4_2_1_51</v>
      </c>
      <c r="F861" s="9" t="s">
        <v>12699</v>
      </c>
      <c r="G861" s="9" t="s">
        <v>12699</v>
      </c>
      <c r="H861" s="9" t="s">
        <v>17351</v>
      </c>
      <c r="I861" s="9" t="s">
        <v>17352</v>
      </c>
      <c r="J861" s="9" t="str">
        <f t="shared" si="40"/>
        <v>(${Variables:E4_2_1_51_kcat} * E4_2_1_51 * C00826)/(${Variables:E4_2_1_51_km} + (E4_2_1_51 * C00826))</v>
      </c>
      <c r="K861" s="38" t="str">
        <f t="shared" si="41"/>
        <v>r860: C00826 -&gt; C00079 + C00001 + C00011 | (${Variables:E4_2_1_51_kcat} * E4_2_1_51 * C00826)/(${Variables:E4_2_1_51_km} + (E4_2_1_51 * C00826))</v>
      </c>
    </row>
    <row r="862" spans="1:11" ht="28.5" x14ac:dyDescent="0.45">
      <c r="A862" t="s">
        <v>594</v>
      </c>
      <c r="B862" t="s">
        <v>595</v>
      </c>
      <c r="C862" t="s">
        <v>15249</v>
      </c>
      <c r="D862">
        <v>861</v>
      </c>
      <c r="E862" t="str">
        <f t="shared" si="39"/>
        <v>E4_2_1_59</v>
      </c>
      <c r="F862" s="9" t="s">
        <v>12704</v>
      </c>
      <c r="G862" s="9" t="s">
        <v>12704</v>
      </c>
      <c r="H862" s="9" t="s">
        <v>17353</v>
      </c>
      <c r="I862" s="9" t="s">
        <v>17354</v>
      </c>
      <c r="J862" s="9" t="str">
        <f t="shared" si="40"/>
        <v>(${Variables:E4_2_1_59_kcat} * E4_2_1_59 * C01271)/(${Variables:E4_2_1_59_km} + (E4_2_1_59 * C01271))</v>
      </c>
      <c r="K862" s="38" t="str">
        <f t="shared" si="41"/>
        <v>r861: C01271 -&gt; C00693 + C00001 | (${Variables:E4_2_1_59_kcat} * E4_2_1_59 * C01271)/(${Variables:E4_2_1_59_km} + (E4_2_1_59 * C01271))</v>
      </c>
    </row>
    <row r="863" spans="1:11" ht="28.5" x14ac:dyDescent="0.45">
      <c r="A863" t="s">
        <v>594</v>
      </c>
      <c r="B863" t="s">
        <v>595</v>
      </c>
      <c r="C863" t="s">
        <v>15249</v>
      </c>
      <c r="D863">
        <v>862</v>
      </c>
      <c r="E863" t="str">
        <f t="shared" si="39"/>
        <v>E4_2_1_59</v>
      </c>
      <c r="F863" s="9" t="s">
        <v>12707</v>
      </c>
      <c r="G863" s="9" t="s">
        <v>12707</v>
      </c>
      <c r="H863" s="9" t="s">
        <v>17355</v>
      </c>
      <c r="I863" s="9" t="s">
        <v>17356</v>
      </c>
      <c r="J863" s="9" t="str">
        <f t="shared" si="40"/>
        <v>(${Variables:E4_2_1_59_kcat} * E4_2_1_59 * C04618)/(${Variables:E4_2_1_59_km} + (E4_2_1_59 * C04618))</v>
      </c>
      <c r="K863" s="38" t="str">
        <f t="shared" si="41"/>
        <v>r862: C04618 -&gt; C04246 + C00001 | (${Variables:E4_2_1_59_kcat} * E4_2_1_59 * C04618)/(${Variables:E4_2_1_59_km} + (E4_2_1_59 * C04618))</v>
      </c>
    </row>
    <row r="864" spans="1:11" ht="28.5" x14ac:dyDescent="0.45">
      <c r="A864" t="s">
        <v>594</v>
      </c>
      <c r="B864" t="s">
        <v>595</v>
      </c>
      <c r="C864" t="s">
        <v>15249</v>
      </c>
      <c r="D864">
        <v>863</v>
      </c>
      <c r="E864" t="str">
        <f t="shared" si="39"/>
        <v>E4_2_1_59</v>
      </c>
      <c r="F864" s="9" t="s">
        <v>12710</v>
      </c>
      <c r="G864" s="9" t="s">
        <v>12710</v>
      </c>
      <c r="H864" s="9" t="s">
        <v>17357</v>
      </c>
      <c r="I864" s="9" t="s">
        <v>17358</v>
      </c>
      <c r="J864" s="9" t="str">
        <f t="shared" si="40"/>
        <v>(${Variables:E4_2_1_59_kcat} * E4_2_1_59 * C04619)/(${Variables:E4_2_1_59_km} + (E4_2_1_59 * C04619))</v>
      </c>
      <c r="K864" s="38" t="str">
        <f t="shared" si="41"/>
        <v>r863: C04619 -&gt; C05754 + C00001 | (${Variables:E4_2_1_59_kcat} * E4_2_1_59 * C04619)/(${Variables:E4_2_1_59_km} + (E4_2_1_59 * C04619))</v>
      </c>
    </row>
    <row r="865" spans="1:11" ht="28.5" x14ac:dyDescent="0.45">
      <c r="A865" t="s">
        <v>594</v>
      </c>
      <c r="B865" t="s">
        <v>595</v>
      </c>
      <c r="C865" t="s">
        <v>15249</v>
      </c>
      <c r="D865">
        <v>864</v>
      </c>
      <c r="E865" t="str">
        <f t="shared" si="39"/>
        <v>E4_2_1_59</v>
      </c>
      <c r="F865" s="9" t="s">
        <v>12713</v>
      </c>
      <c r="G865" s="9" t="s">
        <v>12713</v>
      </c>
      <c r="H865" s="9" t="s">
        <v>17359</v>
      </c>
      <c r="I865" s="9" t="s">
        <v>17360</v>
      </c>
      <c r="J865" s="9" t="str">
        <f t="shared" si="40"/>
        <v>(${Variables:E4_2_1_59_kcat} * E4_2_1_59 * C04620)/(${Variables:E4_2_1_59_km} + (E4_2_1_59 * C04620))</v>
      </c>
      <c r="K865" s="38" t="str">
        <f t="shared" si="41"/>
        <v>r864: C04620 -&gt; C05751 + C00001 | (${Variables:E4_2_1_59_kcat} * E4_2_1_59 * C04620)/(${Variables:E4_2_1_59_km} + (E4_2_1_59 * C04620))</v>
      </c>
    </row>
    <row r="866" spans="1:11" ht="28.5" x14ac:dyDescent="0.45">
      <c r="A866" t="s">
        <v>594</v>
      </c>
      <c r="B866" t="s">
        <v>595</v>
      </c>
      <c r="C866" t="s">
        <v>15249</v>
      </c>
      <c r="D866">
        <v>865</v>
      </c>
      <c r="E866" t="str">
        <f t="shared" si="39"/>
        <v>E4_2_1_59</v>
      </c>
      <c r="F866" s="9" t="s">
        <v>12716</v>
      </c>
      <c r="G866" s="9" t="s">
        <v>12716</v>
      </c>
      <c r="H866" s="9" t="s">
        <v>17361</v>
      </c>
      <c r="I866" s="9" t="s">
        <v>17362</v>
      </c>
      <c r="J866" s="9" t="str">
        <f t="shared" si="40"/>
        <v>(${Variables:E4_2_1_59_kcat} * E4_2_1_59 * C04633)/(${Variables:E4_2_1_59_km} + (E4_2_1_59 * C04633))</v>
      </c>
      <c r="K866" s="38" t="str">
        <f t="shared" si="41"/>
        <v>r865: C04633 -&gt; C05763 + C00001 | (${Variables:E4_2_1_59_kcat} * E4_2_1_59 * C04633)/(${Variables:E4_2_1_59_km} + (E4_2_1_59 * C04633))</v>
      </c>
    </row>
    <row r="867" spans="1:11" ht="28.5" x14ac:dyDescent="0.45">
      <c r="A867" t="s">
        <v>594</v>
      </c>
      <c r="B867" t="s">
        <v>595</v>
      </c>
      <c r="C867" t="s">
        <v>15249</v>
      </c>
      <c r="D867">
        <v>866</v>
      </c>
      <c r="E867" t="str">
        <f t="shared" si="39"/>
        <v>E4_2_1_59</v>
      </c>
      <c r="F867" s="9" t="s">
        <v>12719</v>
      </c>
      <c r="G867" s="9" t="s">
        <v>12719</v>
      </c>
      <c r="H867" s="9" t="s">
        <v>17363</v>
      </c>
      <c r="I867" s="9" t="s">
        <v>17364</v>
      </c>
      <c r="J867" s="9" t="str">
        <f t="shared" si="40"/>
        <v>(${Variables:E4_2_1_59_kcat} * E4_2_1_59 * C04688)/(${Variables:E4_2_1_59_km} + (E4_2_1_59 * C04688))</v>
      </c>
      <c r="K867" s="38" t="str">
        <f t="shared" si="41"/>
        <v>r866: C04688 -&gt; C05760 + C00001 | (${Variables:E4_2_1_59_kcat} * E4_2_1_59 * C04688)/(${Variables:E4_2_1_59_km} + (E4_2_1_59 * C04688))</v>
      </c>
    </row>
    <row r="868" spans="1:11" ht="28.5" x14ac:dyDescent="0.45">
      <c r="A868" t="s">
        <v>594</v>
      </c>
      <c r="B868" t="s">
        <v>595</v>
      </c>
      <c r="C868" t="s">
        <v>15249</v>
      </c>
      <c r="D868">
        <v>867</v>
      </c>
      <c r="E868" t="str">
        <f t="shared" si="39"/>
        <v>E4_2_1_59</v>
      </c>
      <c r="F868" s="9" t="s">
        <v>12722</v>
      </c>
      <c r="G868" s="9" t="s">
        <v>12722</v>
      </c>
      <c r="H868" s="9" t="s">
        <v>17365</v>
      </c>
      <c r="I868" s="9" t="s">
        <v>17366</v>
      </c>
      <c r="J868" s="9" t="str">
        <f t="shared" si="40"/>
        <v>(${Variables:E4_2_1_59_kcat} * E4_2_1_59 * C05747)/(${Variables:E4_2_1_59_km} + (E4_2_1_59 * C05747))</v>
      </c>
      <c r="K868" s="38" t="str">
        <f t="shared" si="41"/>
        <v>r867: C05747 -&gt; C05748 + C00001 | (${Variables:E4_2_1_59_kcat} * E4_2_1_59 * C05747)/(${Variables:E4_2_1_59_km} + (E4_2_1_59 * C05747))</v>
      </c>
    </row>
    <row r="869" spans="1:11" ht="28.5" x14ac:dyDescent="0.45">
      <c r="A869" t="s">
        <v>594</v>
      </c>
      <c r="B869" t="s">
        <v>595</v>
      </c>
      <c r="C869" t="s">
        <v>15249</v>
      </c>
      <c r="D869">
        <v>868</v>
      </c>
      <c r="E869" t="str">
        <f t="shared" si="39"/>
        <v>E4_2_1_59</v>
      </c>
      <c r="F869" s="9" t="s">
        <v>12725</v>
      </c>
      <c r="G869" s="9" t="s">
        <v>12725</v>
      </c>
      <c r="H869" s="9" t="s">
        <v>17367</v>
      </c>
      <c r="I869" s="9" t="s">
        <v>17368</v>
      </c>
      <c r="J869" s="9" t="str">
        <f t="shared" si="40"/>
        <v>(${Variables:E4_2_1_59_kcat} * E4_2_1_59 * C05757)/(${Variables:E4_2_1_59_km} + (E4_2_1_59 * C05757))</v>
      </c>
      <c r="K869" s="38" t="str">
        <f t="shared" si="41"/>
        <v>r868: C05757 -&gt; C05758 + C00001 | (${Variables:E4_2_1_59_kcat} * E4_2_1_59 * C05757)/(${Variables:E4_2_1_59_km} + (E4_2_1_59 * C05757))</v>
      </c>
    </row>
    <row r="870" spans="1:11" ht="28.5" x14ac:dyDescent="0.45">
      <c r="A870" t="s">
        <v>594</v>
      </c>
      <c r="B870" t="s">
        <v>595</v>
      </c>
      <c r="C870" t="s">
        <v>15249</v>
      </c>
      <c r="D870">
        <v>869</v>
      </c>
      <c r="E870" t="str">
        <f t="shared" si="39"/>
        <v>E4_2_1_59</v>
      </c>
      <c r="F870" s="9" t="s">
        <v>12728</v>
      </c>
      <c r="G870" s="9" t="s">
        <v>12728</v>
      </c>
      <c r="H870" s="9" t="s">
        <v>17369</v>
      </c>
      <c r="I870" s="9" t="s">
        <v>17370</v>
      </c>
      <c r="J870" s="9" t="str">
        <f t="shared" si="40"/>
        <v>(${Variables:E4_2_1_59_kcat} * E4_2_1_59 * C20373)/(${Variables:E4_2_1_59_km} + (E4_2_1_59 * C20373))</v>
      </c>
      <c r="K870" s="38" t="str">
        <f t="shared" si="41"/>
        <v>r869: C20373 -&gt; C20374 + C00001 | (${Variables:E4_2_1_59_kcat} * E4_2_1_59 * C20373)/(${Variables:E4_2_1_59_km} + (E4_2_1_59 * C20373))</v>
      </c>
    </row>
    <row r="871" spans="1:11" ht="28.5" x14ac:dyDescent="0.45">
      <c r="A871" t="s">
        <v>594</v>
      </c>
      <c r="B871" t="s">
        <v>595</v>
      </c>
      <c r="C871" t="s">
        <v>15249</v>
      </c>
      <c r="D871">
        <v>870</v>
      </c>
      <c r="E871" t="str">
        <f t="shared" si="39"/>
        <v>E4_2_1_59</v>
      </c>
      <c r="F871" s="9" t="s">
        <v>12731</v>
      </c>
      <c r="G871" s="9" t="s">
        <v>12731</v>
      </c>
      <c r="H871" s="9" t="s">
        <v>17371</v>
      </c>
      <c r="I871" s="9" t="s">
        <v>17372</v>
      </c>
      <c r="J871" s="9" t="str">
        <f t="shared" si="40"/>
        <v>(${Variables:E4_2_1_59_kcat} * E4_2_1_59 * C20377)/(${Variables:E4_2_1_59_km} + (E4_2_1_59 * C20377))</v>
      </c>
      <c r="K871" s="38" t="str">
        <f t="shared" si="41"/>
        <v>r870: C20377 -&gt; C20378 + C00001 | (${Variables:E4_2_1_59_kcat} * E4_2_1_59 * C20377)/(${Variables:E4_2_1_59_km} + (E4_2_1_59 * C20377))</v>
      </c>
    </row>
    <row r="872" spans="1:11" ht="28.5" x14ac:dyDescent="0.45">
      <c r="A872" t="s">
        <v>5797</v>
      </c>
      <c r="B872" t="s">
        <v>5798</v>
      </c>
      <c r="C872" t="s">
        <v>15250</v>
      </c>
      <c r="D872">
        <v>871</v>
      </c>
      <c r="E872" t="str">
        <f t="shared" si="39"/>
        <v>E4_2_1_9</v>
      </c>
      <c r="F872" s="9" t="s">
        <v>12736</v>
      </c>
      <c r="G872" s="9" t="s">
        <v>12736</v>
      </c>
      <c r="H872" s="9" t="s">
        <v>17373</v>
      </c>
      <c r="I872" s="9" t="s">
        <v>17374</v>
      </c>
      <c r="J872" s="9" t="str">
        <f t="shared" si="40"/>
        <v>(${Variables:E4_2_1_9_kcat} * E4_2_1_9 * C04039)/(${Variables:E4_2_1_9_km} + (E4_2_1_9 * C04039))</v>
      </c>
      <c r="K872" s="38" t="str">
        <f t="shared" si="41"/>
        <v>r871: C04039 -&gt; C00141 + C00001 | (${Variables:E4_2_1_9_kcat} * E4_2_1_9 * C04039)/(${Variables:E4_2_1_9_km} + (E4_2_1_9 * C04039))</v>
      </c>
    </row>
    <row r="873" spans="1:11" ht="28.5" x14ac:dyDescent="0.45">
      <c r="A873" t="s">
        <v>5797</v>
      </c>
      <c r="B873" t="s">
        <v>5798</v>
      </c>
      <c r="C873" t="s">
        <v>15250</v>
      </c>
      <c r="D873">
        <v>872</v>
      </c>
      <c r="E873" t="str">
        <f t="shared" si="39"/>
        <v>E4_2_1_9</v>
      </c>
      <c r="F873" s="9" t="s">
        <v>12739</v>
      </c>
      <c r="G873" s="9" t="s">
        <v>12739</v>
      </c>
      <c r="H873" s="9" t="s">
        <v>17373</v>
      </c>
      <c r="I873" s="9" t="s">
        <v>17374</v>
      </c>
      <c r="J873" s="9" t="str">
        <f t="shared" si="40"/>
        <v>(${Variables:E4_2_1_9_kcat} * E4_2_1_9 * C04272)/(${Variables:E4_2_1_9_km} + (E4_2_1_9 * C04272))</v>
      </c>
      <c r="K873" s="38" t="str">
        <f t="shared" si="41"/>
        <v>r872: C04272 -&gt; C00141 + C00001 | (${Variables:E4_2_1_9_kcat} * E4_2_1_9 * C04272)/(${Variables:E4_2_1_9_km} + (E4_2_1_9 * C04272))</v>
      </c>
    </row>
    <row r="874" spans="1:11" ht="28.5" x14ac:dyDescent="0.45">
      <c r="A874" t="s">
        <v>5797</v>
      </c>
      <c r="B874" t="s">
        <v>5798</v>
      </c>
      <c r="C874" t="s">
        <v>15250</v>
      </c>
      <c r="D874">
        <v>873</v>
      </c>
      <c r="E874" t="str">
        <f t="shared" si="39"/>
        <v>E4_2_1_9</v>
      </c>
      <c r="F874" s="9" t="s">
        <v>12741</v>
      </c>
      <c r="G874" s="9" t="s">
        <v>12741</v>
      </c>
      <c r="H874" s="9" t="s">
        <v>17375</v>
      </c>
      <c r="I874" s="9" t="s">
        <v>17376</v>
      </c>
      <c r="J874" s="9" t="str">
        <f t="shared" si="40"/>
        <v>(${Variables:E4_2_1_9_kcat} * E4_2_1_9 * C06007)/(${Variables:E4_2_1_9_km} + (E4_2_1_9 * C06007))</v>
      </c>
      <c r="K874" s="38" t="str">
        <f t="shared" si="41"/>
        <v>r873: C06007 -&gt; C00671 + C00001 | (${Variables:E4_2_1_9_kcat} * E4_2_1_9 * C06007)/(${Variables:E4_2_1_9_km} + (E4_2_1_9 * C06007))</v>
      </c>
    </row>
    <row r="875" spans="1:11" ht="42.75" x14ac:dyDescent="0.45">
      <c r="A875" t="s">
        <v>6062</v>
      </c>
      <c r="B875" t="s">
        <v>6063</v>
      </c>
      <c r="C875" t="s">
        <v>15251</v>
      </c>
      <c r="D875">
        <v>874</v>
      </c>
      <c r="E875" t="str">
        <f t="shared" si="39"/>
        <v>E4_2_3_1</v>
      </c>
      <c r="F875" s="9" t="s">
        <v>17377</v>
      </c>
      <c r="G875" s="9" t="s">
        <v>17378</v>
      </c>
      <c r="H875" s="9" t="s">
        <v>17379</v>
      </c>
      <c r="I875" s="9" t="s">
        <v>17380</v>
      </c>
      <c r="J875" s="9" t="str">
        <f t="shared" si="40"/>
        <v>(${Variables:E4_2_3_1_kcat} * E4_2_3_1 * C01102 * C00001)/(${Variables:E4_2_3_1_km} + (E4_2_3_1 * C01102 * C00001))</v>
      </c>
      <c r="K875" s="38" t="str">
        <f t="shared" si="41"/>
        <v>r874: C01102 + C00001 -&gt; C00188 + C00009 | (${Variables:E4_2_3_1_kcat} * E4_2_3_1 * C01102 * C00001)/(${Variables:E4_2_3_1_km} + (E4_2_3_1 * C01102 * C00001))</v>
      </c>
    </row>
    <row r="876" spans="1:11" ht="42.75" x14ac:dyDescent="0.45">
      <c r="A876" t="s">
        <v>6062</v>
      </c>
      <c r="B876" t="s">
        <v>6063</v>
      </c>
      <c r="C876" t="s">
        <v>15251</v>
      </c>
      <c r="D876">
        <v>875</v>
      </c>
      <c r="E876" t="str">
        <f t="shared" si="39"/>
        <v>E4_2_3_1</v>
      </c>
      <c r="F876" s="9" t="s">
        <v>17381</v>
      </c>
      <c r="G876" s="9" t="s">
        <v>17382</v>
      </c>
      <c r="H876" s="9" t="s">
        <v>17383</v>
      </c>
      <c r="I876" s="9" t="s">
        <v>17384</v>
      </c>
      <c r="J876" s="9" t="str">
        <f t="shared" si="40"/>
        <v>(${Variables:E4_2_3_1_kcat} * E4_2_3_1 * C06055 * C00001)/(${Variables:E4_2_3_1_km} + (E4_2_3_1 * C06055 * C00001))</v>
      </c>
      <c r="K876" s="38" t="str">
        <f t="shared" si="41"/>
        <v>r875: C06055 + C00001 -&gt; C06056 + C00009 | (${Variables:E4_2_3_1_kcat} * E4_2_3_1 * C06055 * C00001)/(${Variables:E4_2_3_1_km} + (E4_2_3_1 * C06055 * C00001))</v>
      </c>
    </row>
    <row r="877" spans="1:11" ht="28.5" x14ac:dyDescent="0.45">
      <c r="A877" t="s">
        <v>3088</v>
      </c>
      <c r="B877" t="s">
        <v>3089</v>
      </c>
      <c r="C877" t="s">
        <v>15252</v>
      </c>
      <c r="D877">
        <v>876</v>
      </c>
      <c r="E877" t="str">
        <f t="shared" si="39"/>
        <v>E4_2_3_3</v>
      </c>
      <c r="F877" s="9" t="s">
        <v>12754</v>
      </c>
      <c r="G877" s="9" t="s">
        <v>12754</v>
      </c>
      <c r="H877" s="9" t="s">
        <v>17385</v>
      </c>
      <c r="I877" s="9" t="s">
        <v>17386</v>
      </c>
      <c r="J877" s="9" t="str">
        <f t="shared" si="40"/>
        <v>(${Variables:E4_2_3_3_kcat} * E4_2_3_3 * C00111)/(${Variables:E4_2_3_3_km} + (E4_2_3_3 * C00111))</v>
      </c>
      <c r="K877" s="38" t="str">
        <f t="shared" si="41"/>
        <v>r876: C00111 -&gt; C00546 + C00009 | (${Variables:E4_2_3_3_kcat} * E4_2_3_3 * C00111)/(${Variables:E4_2_3_3_km} + (E4_2_3_3 * C00111))</v>
      </c>
    </row>
    <row r="878" spans="1:11" ht="28.5" x14ac:dyDescent="0.45">
      <c r="A878" t="s">
        <v>5221</v>
      </c>
      <c r="B878" t="s">
        <v>5222</v>
      </c>
      <c r="C878" t="s">
        <v>15253</v>
      </c>
      <c r="D878">
        <v>877</v>
      </c>
      <c r="E878" t="str">
        <f t="shared" si="39"/>
        <v>E4_2_3_4</v>
      </c>
      <c r="F878" s="9" t="s">
        <v>12759</v>
      </c>
      <c r="G878" s="9" t="s">
        <v>12759</v>
      </c>
      <c r="H878" s="9" t="s">
        <v>17387</v>
      </c>
      <c r="I878" s="9" t="s">
        <v>17388</v>
      </c>
      <c r="J878" s="9" t="str">
        <f t="shared" si="40"/>
        <v>(${Variables:E4_2_3_4_kcat} * E4_2_3_4 * C04691)/(${Variables:E4_2_3_4_km} + (E4_2_3_4 * C04691))</v>
      </c>
      <c r="K878" s="38" t="str">
        <f t="shared" si="41"/>
        <v>r877: C04691 -&gt; C00944 + C00009 | (${Variables:E4_2_3_4_kcat} * E4_2_3_4 * C04691)/(${Variables:E4_2_3_4_km} + (E4_2_3_4 * C04691))</v>
      </c>
    </row>
    <row r="879" spans="1:11" ht="28.5" x14ac:dyDescent="0.45">
      <c r="A879" t="s">
        <v>5229</v>
      </c>
      <c r="B879" t="s">
        <v>5230</v>
      </c>
      <c r="C879" t="s">
        <v>15254</v>
      </c>
      <c r="D879">
        <v>878</v>
      </c>
      <c r="E879" t="str">
        <f t="shared" si="39"/>
        <v>E4_2_3_5</v>
      </c>
      <c r="F879" s="9" t="s">
        <v>12764</v>
      </c>
      <c r="G879" s="9" t="s">
        <v>12764</v>
      </c>
      <c r="H879" s="9" t="s">
        <v>17389</v>
      </c>
      <c r="I879" s="9" t="s">
        <v>17390</v>
      </c>
      <c r="J879" s="9" t="str">
        <f t="shared" si="40"/>
        <v>(${Variables:E4_2_3_5_kcat} * E4_2_3_5 * C01269)/(${Variables:E4_2_3_5_km} + (E4_2_3_5 * C01269))</v>
      </c>
      <c r="K879" s="38" t="str">
        <f t="shared" si="41"/>
        <v>r878: C01269 -&gt; C00251 + C00009 | (${Variables:E4_2_3_5_kcat} * E4_2_3_5 * C01269)/(${Variables:E4_2_3_5_km} + (E4_2_3_5 * C01269))</v>
      </c>
    </row>
    <row r="880" spans="1:11" ht="42.75" x14ac:dyDescent="0.45">
      <c r="A880" t="s">
        <v>5975</v>
      </c>
      <c r="B880" t="s">
        <v>5976</v>
      </c>
      <c r="C880" t="s">
        <v>15255</v>
      </c>
      <c r="D880">
        <v>879</v>
      </c>
      <c r="E880" t="str">
        <f t="shared" si="39"/>
        <v>E4_3_1_15</v>
      </c>
      <c r="F880" s="9" t="s">
        <v>17393</v>
      </c>
      <c r="G880" s="9" t="s">
        <v>17394</v>
      </c>
      <c r="H880" s="9" t="s">
        <v>17391</v>
      </c>
      <c r="I880" s="9" t="s">
        <v>17392</v>
      </c>
      <c r="J880" s="9" t="str">
        <f t="shared" si="40"/>
        <v>(${Variables:E4_3_1_15_kcat} * E4_3_1_15 * C06393 * C00001)/(${Variables:E4_3_1_15_km} + (E4_3_1_15 * C06393 * C00001))</v>
      </c>
      <c r="K880" s="38" t="str">
        <f t="shared" si="41"/>
        <v>r879: C06393 + C00001 -&gt; C00022 + C00014 | (${Variables:E4_3_1_15_kcat} * E4_3_1_15 * C06393 * C00001)/(${Variables:E4_3_1_15_km} + (E4_3_1_15 * C06393 * C00001))</v>
      </c>
    </row>
    <row r="881" spans="1:11" ht="28.5" x14ac:dyDescent="0.45">
      <c r="A881" t="s">
        <v>5975</v>
      </c>
      <c r="B881" t="s">
        <v>5976</v>
      </c>
      <c r="C881" t="s">
        <v>15255</v>
      </c>
      <c r="D881">
        <v>880</v>
      </c>
      <c r="E881" t="str">
        <f t="shared" si="39"/>
        <v>E4_3_1_15</v>
      </c>
      <c r="F881" s="9" t="s">
        <v>12774</v>
      </c>
      <c r="G881" s="9" t="s">
        <v>12774</v>
      </c>
      <c r="H881" s="9" t="s">
        <v>17391</v>
      </c>
      <c r="I881" s="9" t="s">
        <v>17392</v>
      </c>
      <c r="J881" s="9" t="str">
        <f t="shared" si="40"/>
        <v>(${Variables:E4_3_1_15_kcat} * E4_3_1_15 * C00716)/(${Variables:E4_3_1_15_km} + (E4_3_1_15 * C00716))</v>
      </c>
      <c r="K881" s="38" t="str">
        <f t="shared" si="41"/>
        <v>r880: C00716 -&gt; C00022 + C00014 | (${Variables:E4_3_1_15_kcat} * E4_3_1_15 * C00716)/(${Variables:E4_3_1_15_km} + (E4_3_1_15 * C00716))</v>
      </c>
    </row>
    <row r="882" spans="1:11" ht="42.75" x14ac:dyDescent="0.45">
      <c r="A882" t="s">
        <v>8830</v>
      </c>
      <c r="B882" t="s">
        <v>8831</v>
      </c>
      <c r="C882" t="s">
        <v>15255</v>
      </c>
      <c r="D882">
        <v>881</v>
      </c>
      <c r="E882" t="str">
        <f t="shared" si="39"/>
        <v>E4_3_1_15</v>
      </c>
      <c r="F882" s="9" t="s">
        <v>17393</v>
      </c>
      <c r="G882" s="9" t="s">
        <v>17394</v>
      </c>
      <c r="H882" s="9" t="s">
        <v>17391</v>
      </c>
      <c r="I882" s="9" t="s">
        <v>17392</v>
      </c>
      <c r="J882" s="9" t="str">
        <f t="shared" si="40"/>
        <v>(${Variables:E4_3_1_15_kcat} * E4_3_1_15 * C06393 * C00001)/(${Variables:E4_3_1_15_km} + (E4_3_1_15 * C06393 * C00001))</v>
      </c>
      <c r="K882" s="38" t="str">
        <f t="shared" si="41"/>
        <v>r881: C06393 + C00001 -&gt; C00022 + C00014 | (${Variables:E4_3_1_15_kcat} * E4_3_1_15 * C06393 * C00001)/(${Variables:E4_3_1_15_km} + (E4_3_1_15 * C06393 * C00001))</v>
      </c>
    </row>
    <row r="883" spans="1:11" ht="28.5" x14ac:dyDescent="0.45">
      <c r="A883" t="s">
        <v>8830</v>
      </c>
      <c r="B883" t="s">
        <v>8831</v>
      </c>
      <c r="C883" t="s">
        <v>15255</v>
      </c>
      <c r="D883">
        <v>882</v>
      </c>
      <c r="E883" t="str">
        <f t="shared" si="39"/>
        <v>E4_3_1_15</v>
      </c>
      <c r="F883" s="9" t="s">
        <v>12774</v>
      </c>
      <c r="G883" s="9" t="s">
        <v>12774</v>
      </c>
      <c r="H883" s="9" t="s">
        <v>17391</v>
      </c>
      <c r="I883" s="9" t="s">
        <v>17392</v>
      </c>
      <c r="J883" s="9" t="str">
        <f t="shared" si="40"/>
        <v>(${Variables:E4_3_1_15_kcat} * E4_3_1_15 * C00716)/(${Variables:E4_3_1_15_km} + (E4_3_1_15 * C00716))</v>
      </c>
      <c r="K883" s="38" t="str">
        <f t="shared" si="41"/>
        <v>r882: C00716 -&gt; C00022 + C00014 | (${Variables:E4_3_1_15_kcat} * E4_3_1_15 * C00716)/(${Variables:E4_3_1_15_km} + (E4_3_1_15 * C00716))</v>
      </c>
    </row>
    <row r="884" spans="1:11" ht="28.5" x14ac:dyDescent="0.45">
      <c r="A884" t="s">
        <v>8933</v>
      </c>
      <c r="B884" t="s">
        <v>8934</v>
      </c>
      <c r="C884" t="s">
        <v>15256</v>
      </c>
      <c r="D884">
        <v>883</v>
      </c>
      <c r="E884" t="str">
        <f t="shared" si="39"/>
        <v>E4_3_1_17</v>
      </c>
      <c r="F884" s="9" t="s">
        <v>12778</v>
      </c>
      <c r="G884" s="9" t="s">
        <v>12778</v>
      </c>
      <c r="H884" s="9" t="s">
        <v>17391</v>
      </c>
      <c r="I884" s="9" t="s">
        <v>17392</v>
      </c>
      <c r="J884" s="9" t="str">
        <f t="shared" si="40"/>
        <v>(${Variables:E4_3_1_17_kcat} * E4_3_1_17 * C00065)/(${Variables:E4_3_1_17_km} + (E4_3_1_17 * C00065))</v>
      </c>
      <c r="K884" s="38" t="str">
        <f t="shared" si="41"/>
        <v>r883: C00065 -&gt; C00022 + C00014 | (${Variables:E4_3_1_17_kcat} * E4_3_1_17 * C00065)/(${Variables:E4_3_1_17_km} + (E4_3_1_17 * C00065))</v>
      </c>
    </row>
    <row r="885" spans="1:11" ht="28.5" x14ac:dyDescent="0.45">
      <c r="A885" t="s">
        <v>8933</v>
      </c>
      <c r="B885" t="s">
        <v>8934</v>
      </c>
      <c r="C885" t="s">
        <v>15256</v>
      </c>
      <c r="D885">
        <v>884</v>
      </c>
      <c r="E885" t="str">
        <f t="shared" si="39"/>
        <v>E4_3_1_17</v>
      </c>
      <c r="F885" s="9" t="s">
        <v>12778</v>
      </c>
      <c r="G885" s="9" t="s">
        <v>12778</v>
      </c>
      <c r="H885" s="9" t="s">
        <v>17395</v>
      </c>
      <c r="I885" s="9" t="s">
        <v>17396</v>
      </c>
      <c r="J885" s="9" t="str">
        <f t="shared" si="40"/>
        <v>(${Variables:E4_3_1_17_kcat} * E4_3_1_17 * C00065)/(${Variables:E4_3_1_17_km} + (E4_3_1_17 * C00065))</v>
      </c>
      <c r="K885" s="38" t="str">
        <f t="shared" si="41"/>
        <v>r884: C00065 -&gt; C02218 + C00001 | (${Variables:E4_3_1_17_kcat} * E4_3_1_17 * C00065)/(${Variables:E4_3_1_17_km} + (E4_3_1_17 * C00065))</v>
      </c>
    </row>
    <row r="886" spans="1:11" ht="28.5" x14ac:dyDescent="0.45">
      <c r="A886" t="s">
        <v>8933</v>
      </c>
      <c r="B886" t="s">
        <v>8934</v>
      </c>
      <c r="C886" t="s">
        <v>15256</v>
      </c>
      <c r="D886">
        <v>885</v>
      </c>
      <c r="E886" t="str">
        <f t="shared" si="39"/>
        <v>E4_3_1_17</v>
      </c>
      <c r="F886" s="9" t="s">
        <v>12782</v>
      </c>
      <c r="G886" s="9" t="s">
        <v>12782</v>
      </c>
      <c r="H886" s="9" t="s">
        <v>12783</v>
      </c>
      <c r="I886" s="9" t="s">
        <v>12783</v>
      </c>
      <c r="J886" s="9" t="str">
        <f t="shared" si="40"/>
        <v>(${Variables:E4_3_1_17_kcat} * E4_3_1_17 * C02218)/(${Variables:E4_3_1_17_km} + (E4_3_1_17 * C02218))</v>
      </c>
      <c r="K886" s="38" t="str">
        <f t="shared" si="41"/>
        <v>r885: C02218 -&gt; C20904 | (${Variables:E4_3_1_17_kcat} * E4_3_1_17 * C02218)/(${Variables:E4_3_1_17_km} + (E4_3_1_17 * C02218))</v>
      </c>
    </row>
    <row r="887" spans="1:11" ht="42.75" x14ac:dyDescent="0.45">
      <c r="A887" t="s">
        <v>8933</v>
      </c>
      <c r="B887" t="s">
        <v>8934</v>
      </c>
      <c r="C887" t="s">
        <v>15256</v>
      </c>
      <c r="D887">
        <v>886</v>
      </c>
      <c r="E887" t="str">
        <f t="shared" si="39"/>
        <v>E4_3_1_17</v>
      </c>
      <c r="F887" s="9" t="s">
        <v>17399</v>
      </c>
      <c r="G887" s="9" t="s">
        <v>17400</v>
      </c>
      <c r="H887" s="9" t="s">
        <v>17391</v>
      </c>
      <c r="I887" s="9" t="s">
        <v>17392</v>
      </c>
      <c r="J887" s="9" t="str">
        <f t="shared" si="40"/>
        <v>(${Variables:E4_3_1_17_kcat} * E4_3_1_17 * C20904 * C00001)/(${Variables:E4_3_1_17_km} + (E4_3_1_17 * C20904 * C00001))</v>
      </c>
      <c r="K887" s="38" t="str">
        <f t="shared" si="41"/>
        <v>r886: C20904 + C00001 -&gt; C00022 + C00014 | (${Variables:E4_3_1_17_kcat} * E4_3_1_17 * C20904 * C00001)/(${Variables:E4_3_1_17_km} + (E4_3_1_17 * C20904 * C00001))</v>
      </c>
    </row>
    <row r="888" spans="1:11" ht="28.5" x14ac:dyDescent="0.45">
      <c r="A888" t="s">
        <v>8933</v>
      </c>
      <c r="B888" t="s">
        <v>8934</v>
      </c>
      <c r="C888" t="s">
        <v>15256</v>
      </c>
      <c r="D888">
        <v>887</v>
      </c>
      <c r="E888" t="str">
        <f t="shared" si="39"/>
        <v>E4_3_1_17</v>
      </c>
      <c r="F888" s="9" t="s">
        <v>12787</v>
      </c>
      <c r="G888" s="9" t="s">
        <v>12787</v>
      </c>
      <c r="H888" s="9" t="s">
        <v>17397</v>
      </c>
      <c r="I888" s="9" t="s">
        <v>17398</v>
      </c>
      <c r="J888" s="9" t="str">
        <f t="shared" si="40"/>
        <v>(${Variables:E4_3_1_17_kcat} * E4_3_1_17 * C05167)/(${Variables:E4_3_1_17_km} + (E4_3_1_17 * C05167))</v>
      </c>
      <c r="K888" s="38" t="str">
        <f t="shared" si="41"/>
        <v>r887: C05167 -&gt; C00161 + C00014 | (${Variables:E4_3_1_17_kcat} * E4_3_1_17 * C05167)/(${Variables:E4_3_1_17_km} + (E4_3_1_17 * C05167))</v>
      </c>
    </row>
    <row r="889" spans="1:11" ht="28.5" x14ac:dyDescent="0.45">
      <c r="A889" t="s">
        <v>7103</v>
      </c>
      <c r="B889" t="s">
        <v>7104</v>
      </c>
      <c r="C889" t="s">
        <v>15257</v>
      </c>
      <c r="D889">
        <v>888</v>
      </c>
      <c r="E889" t="str">
        <f t="shared" si="39"/>
        <v>E4_3_1_19</v>
      </c>
      <c r="F889" s="9" t="s">
        <v>12595</v>
      </c>
      <c r="G889" s="9" t="s">
        <v>12595</v>
      </c>
      <c r="H889" s="9" t="s">
        <v>17401</v>
      </c>
      <c r="I889" s="9" t="s">
        <v>17402</v>
      </c>
      <c r="J889" s="9" t="str">
        <f t="shared" si="40"/>
        <v>(${Variables:E4_3_1_19_kcat} * E4_3_1_19 * C00188)/(${Variables:E4_3_1_19_km} + (E4_3_1_19 * C00188))</v>
      </c>
      <c r="K889" s="38" t="str">
        <f t="shared" si="41"/>
        <v>r888: C00188 -&gt; C00109 + C00014 | (${Variables:E4_3_1_19_kcat} * E4_3_1_19 * C00188)/(${Variables:E4_3_1_19_km} + (E4_3_1_19 * C00188))</v>
      </c>
    </row>
    <row r="890" spans="1:11" ht="28.5" x14ac:dyDescent="0.45">
      <c r="A890" t="s">
        <v>7103</v>
      </c>
      <c r="B890" t="s">
        <v>7104</v>
      </c>
      <c r="C890" t="s">
        <v>15257</v>
      </c>
      <c r="D890">
        <v>889</v>
      </c>
      <c r="E890" t="str">
        <f t="shared" si="39"/>
        <v>E4_3_1_19</v>
      </c>
      <c r="F890" s="9" t="s">
        <v>12794</v>
      </c>
      <c r="G890" s="9" t="s">
        <v>12794</v>
      </c>
      <c r="H890" s="9" t="s">
        <v>12795</v>
      </c>
      <c r="I890" s="9" t="s">
        <v>12795</v>
      </c>
      <c r="J890" s="9" t="str">
        <f t="shared" si="40"/>
        <v>(${Variables:E4_3_1_19_kcat} * E4_3_1_19 * C17234)/(${Variables:E4_3_1_19_km} + (E4_3_1_19 * C17234))</v>
      </c>
      <c r="K890" s="38" t="str">
        <f t="shared" si="41"/>
        <v>r889: C17234 -&gt; C20905 | (${Variables:E4_3_1_19_kcat} * E4_3_1_19 * C17234)/(${Variables:E4_3_1_19_km} + (E4_3_1_19 * C17234))</v>
      </c>
    </row>
    <row r="891" spans="1:11" ht="42.75" x14ac:dyDescent="0.45">
      <c r="A891" t="s">
        <v>7103</v>
      </c>
      <c r="B891" t="s">
        <v>7104</v>
      </c>
      <c r="C891" t="s">
        <v>15257</v>
      </c>
      <c r="D891">
        <v>890</v>
      </c>
      <c r="E891" t="str">
        <f t="shared" si="39"/>
        <v>E4_3_1_19</v>
      </c>
      <c r="F891" s="9" t="s">
        <v>17403</v>
      </c>
      <c r="G891" s="9" t="s">
        <v>17404</v>
      </c>
      <c r="H891" s="9" t="s">
        <v>17401</v>
      </c>
      <c r="I891" s="9" t="s">
        <v>17402</v>
      </c>
      <c r="J891" s="9" t="str">
        <f t="shared" si="40"/>
        <v>(${Variables:E4_3_1_19_kcat} * E4_3_1_19 * C20905 * C00001)/(${Variables:E4_3_1_19_km} + (E4_3_1_19 * C20905 * C00001))</v>
      </c>
      <c r="K891" s="38" t="str">
        <f t="shared" si="41"/>
        <v>r890: C20905 + C00001 -&gt; C00109 + C00014 | (${Variables:E4_3_1_19_kcat} * E4_3_1_19 * C20905 * C00001)/(${Variables:E4_3_1_19_km} + (E4_3_1_19 * C20905 * C00001))</v>
      </c>
    </row>
    <row r="892" spans="1:11" ht="28.5" x14ac:dyDescent="0.45">
      <c r="A892" t="s">
        <v>7103</v>
      </c>
      <c r="B892" t="s">
        <v>7104</v>
      </c>
      <c r="C892" t="s">
        <v>15257</v>
      </c>
      <c r="D892">
        <v>891</v>
      </c>
      <c r="E892" t="str">
        <f t="shared" si="39"/>
        <v>E4_3_1_19</v>
      </c>
      <c r="F892" s="9" t="s">
        <v>12778</v>
      </c>
      <c r="G892" s="9" t="s">
        <v>12778</v>
      </c>
      <c r="H892" s="9" t="s">
        <v>17391</v>
      </c>
      <c r="I892" s="9" t="s">
        <v>17392</v>
      </c>
      <c r="J892" s="9" t="str">
        <f t="shared" si="40"/>
        <v>(${Variables:E4_3_1_19_kcat} * E4_3_1_19 * C00065)/(${Variables:E4_3_1_19_km} + (E4_3_1_19 * C00065))</v>
      </c>
      <c r="K892" s="38" t="str">
        <f t="shared" si="41"/>
        <v>r891: C00065 -&gt; C00022 + C00014 | (${Variables:E4_3_1_19_kcat} * E4_3_1_19 * C00065)/(${Variables:E4_3_1_19_km} + (E4_3_1_19 * C00065))</v>
      </c>
    </row>
    <row r="893" spans="1:11" ht="28.5" x14ac:dyDescent="0.45">
      <c r="A893" t="s">
        <v>7103</v>
      </c>
      <c r="B893" t="s">
        <v>7104</v>
      </c>
      <c r="C893" t="s">
        <v>15257</v>
      </c>
      <c r="D893">
        <v>892</v>
      </c>
      <c r="E893" t="str">
        <f t="shared" si="39"/>
        <v>E4_3_1_19</v>
      </c>
      <c r="F893" s="9" t="s">
        <v>12787</v>
      </c>
      <c r="G893" s="9" t="s">
        <v>12787</v>
      </c>
      <c r="H893" s="9" t="s">
        <v>17397</v>
      </c>
      <c r="I893" s="9" t="s">
        <v>17398</v>
      </c>
      <c r="J893" s="9" t="str">
        <f t="shared" si="40"/>
        <v>(${Variables:E4_3_1_19_kcat} * E4_3_1_19 * C05167)/(${Variables:E4_3_1_19_km} + (E4_3_1_19 * C05167))</v>
      </c>
      <c r="K893" s="38" t="str">
        <f t="shared" si="41"/>
        <v>r892: C05167 -&gt; C00161 + C00014 | (${Variables:E4_3_1_19_kcat} * E4_3_1_19 * C05167)/(${Variables:E4_3_1_19_km} + (E4_3_1_19 * C05167))</v>
      </c>
    </row>
    <row r="894" spans="1:11" ht="28.5" x14ac:dyDescent="0.45">
      <c r="A894" t="s">
        <v>5533</v>
      </c>
      <c r="B894" t="s">
        <v>5534</v>
      </c>
      <c r="C894" t="s">
        <v>15258</v>
      </c>
      <c r="D894">
        <v>893</v>
      </c>
      <c r="E894" t="str">
        <f t="shared" si="39"/>
        <v>E4_3_1_7</v>
      </c>
      <c r="F894" s="9" t="s">
        <v>12801</v>
      </c>
      <c r="G894" s="9" t="s">
        <v>12801</v>
      </c>
      <c r="H894" s="9" t="s">
        <v>17405</v>
      </c>
      <c r="I894" s="9" t="s">
        <v>17406</v>
      </c>
      <c r="J894" s="9" t="str">
        <f t="shared" si="40"/>
        <v>(${Variables:E4_3_1_7_kcat} * E4_3_1_7 * C00189)/(${Variables:E4_3_1_7_km} + (E4_3_1_7 * C00189))</v>
      </c>
      <c r="K894" s="38" t="str">
        <f t="shared" si="41"/>
        <v>r893: C00189 -&gt; C00084 + C00014 | (${Variables:E4_3_1_7_kcat} * E4_3_1_7 * C00189)/(${Variables:E4_3_1_7_km} + (E4_3_1_7 * C00189))</v>
      </c>
    </row>
    <row r="895" spans="1:11" ht="28.5" x14ac:dyDescent="0.45">
      <c r="A895" t="s">
        <v>5533</v>
      </c>
      <c r="B895" t="s">
        <v>5534</v>
      </c>
      <c r="C895" t="s">
        <v>15258</v>
      </c>
      <c r="D895">
        <v>894</v>
      </c>
      <c r="E895" t="str">
        <f t="shared" si="39"/>
        <v>E4_3_1_7</v>
      </c>
      <c r="F895" s="9" t="s">
        <v>12787</v>
      </c>
      <c r="G895" s="9" t="s">
        <v>12787</v>
      </c>
      <c r="H895" s="9" t="s">
        <v>17407</v>
      </c>
      <c r="I895" s="9" t="s">
        <v>17408</v>
      </c>
      <c r="J895" s="9" t="str">
        <f t="shared" si="40"/>
        <v>(${Variables:E4_3_1_7_kcat} * E4_3_1_7 * C05167)/(${Variables:E4_3_1_7_km} + (E4_3_1_7 * C05167))</v>
      </c>
      <c r="K895" s="38" t="str">
        <f t="shared" si="41"/>
        <v>r894: C05167 -&gt; C11823 + C00014 | (${Variables:E4_3_1_7_kcat} * E4_3_1_7 * C05167)/(${Variables:E4_3_1_7_km} + (E4_3_1_7 * C05167))</v>
      </c>
    </row>
    <row r="896" spans="1:11" ht="28.5" x14ac:dyDescent="0.45">
      <c r="A896" t="s">
        <v>7073</v>
      </c>
      <c r="B896" t="s">
        <v>7074</v>
      </c>
      <c r="C896" t="s">
        <v>15259</v>
      </c>
      <c r="D896">
        <v>895</v>
      </c>
      <c r="E896" t="str">
        <f t="shared" si="39"/>
        <v>E4_3_2_1</v>
      </c>
      <c r="F896" s="9" t="s">
        <v>12808</v>
      </c>
      <c r="G896" s="9" t="s">
        <v>12808</v>
      </c>
      <c r="H896" s="9" t="s">
        <v>17409</v>
      </c>
      <c r="I896" s="9" t="s">
        <v>17410</v>
      </c>
      <c r="J896" s="9" t="str">
        <f t="shared" si="40"/>
        <v>(${Variables:E4_3_2_1_kcat} * E4_3_2_1 * C03406)/(${Variables:E4_3_2_1_km} + (E4_3_2_1 * C03406))</v>
      </c>
      <c r="K896" s="38" t="str">
        <f t="shared" si="41"/>
        <v>r895: C03406 -&gt; C00122 + C00062 | (${Variables:E4_3_2_1_kcat} * E4_3_2_1 * C03406)/(${Variables:E4_3_2_1_km} + (E4_3_2_1 * C03406))</v>
      </c>
    </row>
    <row r="897" spans="1:11" ht="42.75" x14ac:dyDescent="0.45">
      <c r="A897" t="s">
        <v>4276</v>
      </c>
      <c r="B897" t="s">
        <v>4277</v>
      </c>
      <c r="C897" t="s">
        <v>15260</v>
      </c>
      <c r="D897">
        <v>896</v>
      </c>
      <c r="E897" t="str">
        <f t="shared" si="39"/>
        <v>E4_3_2_10</v>
      </c>
      <c r="F897" s="9" t="s">
        <v>17415</v>
      </c>
      <c r="G897" s="9" t="s">
        <v>17416</v>
      </c>
      <c r="H897" s="9" t="s">
        <v>17417</v>
      </c>
      <c r="I897" s="9" t="s">
        <v>17418</v>
      </c>
      <c r="J897" s="9" t="str">
        <f t="shared" si="40"/>
        <v>(${Variables:E4_3_2_10_kcat} * E4_3_2_10 * C04916 * C00064)/(${Variables:E4_3_2_10_km} + (E4_3_2_10 * C04916 * C00064))</v>
      </c>
      <c r="K897" s="38" t="str">
        <f t="shared" si="41"/>
        <v>r896: C04916 + C00064 -&gt; C04666 + C04677 + C00025 | (${Variables:E4_3_2_10_kcat} * E4_3_2_10 * C04916 * C00064)/(${Variables:E4_3_2_10_km} + (E4_3_2_10 * C04916 * C00064))</v>
      </c>
    </row>
    <row r="898" spans="1:11" ht="42.75" x14ac:dyDescent="0.45">
      <c r="A898" t="s">
        <v>4276</v>
      </c>
      <c r="B898" t="s">
        <v>4277</v>
      </c>
      <c r="C898" t="s">
        <v>15260</v>
      </c>
      <c r="D898">
        <v>897</v>
      </c>
      <c r="E898" t="str">
        <f t="shared" si="39"/>
        <v>E4_3_2_10</v>
      </c>
      <c r="F898" s="9" t="s">
        <v>15787</v>
      </c>
      <c r="G898" s="9" t="s">
        <v>15788</v>
      </c>
      <c r="H898" s="9" t="s">
        <v>15789</v>
      </c>
      <c r="I898" s="9" t="s">
        <v>15790</v>
      </c>
      <c r="J898" s="9" t="str">
        <f t="shared" si="40"/>
        <v>(${Variables:E4_3_2_10_kcat} * E4_3_2_10 * C00064 * C00001)/(${Variables:E4_3_2_10_km} + (E4_3_2_10 * C00064 * C00001))</v>
      </c>
      <c r="K898" s="38" t="str">
        <f t="shared" si="41"/>
        <v>r897: C00064 + C00001 -&gt; C00025 + C00014 | (${Variables:E4_3_2_10_kcat} * E4_3_2_10 * C00064 * C00001)/(${Variables:E4_3_2_10_km} + (E4_3_2_10 * C00064 * C00001))</v>
      </c>
    </row>
    <row r="899" spans="1:11" ht="42.75" x14ac:dyDescent="0.45">
      <c r="A899" t="s">
        <v>4276</v>
      </c>
      <c r="B899" t="s">
        <v>4277</v>
      </c>
      <c r="C899" t="s">
        <v>15260</v>
      </c>
      <c r="D899">
        <v>898</v>
      </c>
      <c r="E899" t="str">
        <f t="shared" ref="E899:E962" si="42">CONCATENATE("E",C899)</f>
        <v>E4_3_2_10</v>
      </c>
      <c r="F899" s="9" t="s">
        <v>17411</v>
      </c>
      <c r="G899" s="9" t="s">
        <v>17412</v>
      </c>
      <c r="H899" s="9" t="s">
        <v>17413</v>
      </c>
      <c r="I899" s="9" t="s">
        <v>17414</v>
      </c>
      <c r="J899" s="9" t="str">
        <f t="shared" ref="J899:J962" si="43">CONCATENATE("(${Variables:",E899,"_kcat","} * ",E899," * ",G899,")","/(${Variables:",E899,"_km","} + (",E899," * ",G899,"))")</f>
        <v>(${Variables:E4_3_2_10_kcat} * E4_3_2_10 * C04916 * C00014)/(${Variables:E4_3_2_10_km} + (E4_3_2_10 * C04916 * C00014))</v>
      </c>
      <c r="K899" s="38" t="str">
        <f t="shared" ref="K899:K962" si="44">CONCATENATE("r",D899,": ",F899," -&gt; ",H899," | ",J899)</f>
        <v>r898: C04916 + C00014 -&gt; C04677 + C04666 + C00001 | (${Variables:E4_3_2_10_kcat} * E4_3_2_10 * C04916 * C00014)/(${Variables:E4_3_2_10_km} + (E4_3_2_10 * C04916 * C00014))</v>
      </c>
    </row>
    <row r="900" spans="1:11" ht="42.75" x14ac:dyDescent="0.45">
      <c r="A900" t="s">
        <v>4284</v>
      </c>
      <c r="B900" t="s">
        <v>4285</v>
      </c>
      <c r="C900" t="s">
        <v>15260</v>
      </c>
      <c r="D900">
        <v>899</v>
      </c>
      <c r="E900" t="str">
        <f t="shared" si="42"/>
        <v>E4_3_2_10</v>
      </c>
      <c r="F900" s="9" t="s">
        <v>17415</v>
      </c>
      <c r="G900" s="9" t="s">
        <v>17416</v>
      </c>
      <c r="H900" s="9" t="s">
        <v>17417</v>
      </c>
      <c r="I900" s="9" t="s">
        <v>17418</v>
      </c>
      <c r="J900" s="9" t="str">
        <f t="shared" si="43"/>
        <v>(${Variables:E4_3_2_10_kcat} * E4_3_2_10 * C04916 * C00064)/(${Variables:E4_3_2_10_km} + (E4_3_2_10 * C04916 * C00064))</v>
      </c>
      <c r="K900" s="38" t="str">
        <f t="shared" si="44"/>
        <v>r899: C04916 + C00064 -&gt; C04666 + C04677 + C00025 | (${Variables:E4_3_2_10_kcat} * E4_3_2_10 * C04916 * C00064)/(${Variables:E4_3_2_10_km} + (E4_3_2_10 * C04916 * C00064))</v>
      </c>
    </row>
    <row r="901" spans="1:11" ht="42.75" x14ac:dyDescent="0.45">
      <c r="A901" t="s">
        <v>4284</v>
      </c>
      <c r="B901" t="s">
        <v>4285</v>
      </c>
      <c r="C901" t="s">
        <v>15260</v>
      </c>
      <c r="D901">
        <v>900</v>
      </c>
      <c r="E901" t="str">
        <f t="shared" si="42"/>
        <v>E4_3_2_10</v>
      </c>
      <c r="F901" s="9" t="s">
        <v>15787</v>
      </c>
      <c r="G901" s="9" t="s">
        <v>15788</v>
      </c>
      <c r="H901" s="9" t="s">
        <v>15789</v>
      </c>
      <c r="I901" s="9" t="s">
        <v>15790</v>
      </c>
      <c r="J901" s="9" t="str">
        <f t="shared" si="43"/>
        <v>(${Variables:E4_3_2_10_kcat} * E4_3_2_10 * C00064 * C00001)/(${Variables:E4_3_2_10_km} + (E4_3_2_10 * C00064 * C00001))</v>
      </c>
      <c r="K901" s="38" t="str">
        <f t="shared" si="44"/>
        <v>r900: C00064 + C00001 -&gt; C00025 + C00014 | (${Variables:E4_3_2_10_kcat} * E4_3_2_10 * C00064 * C00001)/(${Variables:E4_3_2_10_km} + (E4_3_2_10 * C00064 * C00001))</v>
      </c>
    </row>
    <row r="902" spans="1:11" ht="42.75" x14ac:dyDescent="0.45">
      <c r="A902" t="s">
        <v>4284</v>
      </c>
      <c r="B902" t="s">
        <v>4285</v>
      </c>
      <c r="C902" t="s">
        <v>15260</v>
      </c>
      <c r="D902">
        <v>901</v>
      </c>
      <c r="E902" t="str">
        <f t="shared" si="42"/>
        <v>E4_3_2_10</v>
      </c>
      <c r="F902" s="9" t="s">
        <v>17411</v>
      </c>
      <c r="G902" s="9" t="s">
        <v>17412</v>
      </c>
      <c r="H902" s="9" t="s">
        <v>17413</v>
      </c>
      <c r="I902" s="9" t="s">
        <v>17414</v>
      </c>
      <c r="J902" s="9" t="str">
        <f t="shared" si="43"/>
        <v>(${Variables:E4_3_2_10_kcat} * E4_3_2_10 * C04916 * C00014)/(${Variables:E4_3_2_10_km} + (E4_3_2_10 * C04916 * C00014))</v>
      </c>
      <c r="K902" s="38" t="str">
        <f t="shared" si="44"/>
        <v>r901: C04916 + C00014 -&gt; C04677 + C04666 + C00001 | (${Variables:E4_3_2_10_kcat} * E4_3_2_10 * C04916 * C00014)/(${Variables:E4_3_2_10_km} + (E4_3_2_10 * C04916 * C00014))</v>
      </c>
    </row>
    <row r="903" spans="1:11" ht="28.5" x14ac:dyDescent="0.45">
      <c r="A903" t="s">
        <v>3661</v>
      </c>
      <c r="B903" t="s">
        <v>3662</v>
      </c>
      <c r="C903" t="s">
        <v>15261</v>
      </c>
      <c r="D903">
        <v>902</v>
      </c>
      <c r="E903" t="str">
        <f t="shared" si="42"/>
        <v>E4_3_2_2</v>
      </c>
      <c r="F903" s="9" t="s">
        <v>12821</v>
      </c>
      <c r="G903" s="9" t="s">
        <v>12821</v>
      </c>
      <c r="H903" s="9" t="s">
        <v>17419</v>
      </c>
      <c r="I903" s="9" t="s">
        <v>17420</v>
      </c>
      <c r="J903" s="9" t="str">
        <f t="shared" si="43"/>
        <v>(${Variables:E4_3_2_2_kcat} * E4_3_2_2 * C03794)/(${Variables:E4_3_2_2_km} + (E4_3_2_2 * C03794))</v>
      </c>
      <c r="K903" s="38" t="str">
        <f t="shared" si="44"/>
        <v>r902: C03794 -&gt; C00122 + C00020 | (${Variables:E4_3_2_2_kcat} * E4_3_2_2 * C03794)/(${Variables:E4_3_2_2_km} + (E4_3_2_2 * C03794))</v>
      </c>
    </row>
    <row r="904" spans="1:11" ht="28.5" x14ac:dyDescent="0.45">
      <c r="A904" t="s">
        <v>3661</v>
      </c>
      <c r="B904" t="s">
        <v>3662</v>
      </c>
      <c r="C904" t="s">
        <v>15261</v>
      </c>
      <c r="D904">
        <v>903</v>
      </c>
      <c r="E904" t="str">
        <f t="shared" si="42"/>
        <v>E4_3_2_2</v>
      </c>
      <c r="F904" s="9" t="s">
        <v>12824</v>
      </c>
      <c r="G904" s="9" t="s">
        <v>12824</v>
      </c>
      <c r="H904" s="9" t="s">
        <v>17421</v>
      </c>
      <c r="I904" s="9" t="s">
        <v>17422</v>
      </c>
      <c r="J904" s="9" t="str">
        <f t="shared" si="43"/>
        <v>(${Variables:E4_3_2_2_kcat} * E4_3_2_2 * C04823)/(${Variables:E4_3_2_2_km} + (E4_3_2_2 * C04823))</v>
      </c>
      <c r="K904" s="38" t="str">
        <f t="shared" si="44"/>
        <v>r903: C04823 -&gt; C00122 + C04677 | (${Variables:E4_3_2_2_kcat} * E4_3_2_2 * C04823)/(${Variables:E4_3_2_2_km} + (E4_3_2_2 * C04823))</v>
      </c>
    </row>
    <row r="905" spans="1:11" ht="28.5" x14ac:dyDescent="0.45">
      <c r="A905" t="s">
        <v>3661</v>
      </c>
      <c r="B905" t="s">
        <v>3662</v>
      </c>
      <c r="C905" t="s">
        <v>15261</v>
      </c>
      <c r="D905">
        <v>904</v>
      </c>
      <c r="E905" t="str">
        <f t="shared" si="42"/>
        <v>E4_3_2_2</v>
      </c>
      <c r="F905" s="9" t="s">
        <v>12827</v>
      </c>
      <c r="G905" s="9" t="s">
        <v>12827</v>
      </c>
      <c r="H905" s="9" t="s">
        <v>17423</v>
      </c>
      <c r="I905" s="9" t="s">
        <v>17424</v>
      </c>
      <c r="J905" s="9" t="str">
        <f t="shared" si="43"/>
        <v>(${Variables:E4_3_2_2_kcat} * E4_3_2_2 * C22395)/(${Variables:E4_3_2_2_km} + (E4_3_2_2 * C22395))</v>
      </c>
      <c r="K905" s="38" t="str">
        <f t="shared" si="44"/>
        <v>r904: C22395 -&gt; C22441 + C00122 | (${Variables:E4_3_2_2_kcat} * E4_3_2_2 * C22395)/(${Variables:E4_3_2_2_km} + (E4_3_2_2 * C22395))</v>
      </c>
    </row>
    <row r="906" spans="1:11" ht="42.75" x14ac:dyDescent="0.45">
      <c r="A906" t="s">
        <v>8937</v>
      </c>
      <c r="B906" t="s">
        <v>8938</v>
      </c>
      <c r="C906" t="s">
        <v>15262</v>
      </c>
      <c r="D906">
        <v>905</v>
      </c>
      <c r="E906" t="str">
        <f t="shared" si="42"/>
        <v>E4_3_3_7</v>
      </c>
      <c r="F906" s="9" t="s">
        <v>17425</v>
      </c>
      <c r="G906" s="9" t="s">
        <v>17426</v>
      </c>
      <c r="H906" s="9" t="s">
        <v>17427</v>
      </c>
      <c r="I906" s="9" t="s">
        <v>17428</v>
      </c>
      <c r="J906" s="9" t="str">
        <f t="shared" si="43"/>
        <v>(${Variables:E4_3_3_7_kcat} * E4_3_3_7 * C00441 * C00022)/(${Variables:E4_3_3_7_km} + (E4_3_3_7 * C00441 * C00022))</v>
      </c>
      <c r="K906" s="38" t="str">
        <f t="shared" si="44"/>
        <v>r905: C00441 + C00022 -&gt; C20258 + C00001 | (${Variables:E4_3_3_7_kcat} * E4_3_3_7 * C00441 * C00022)/(${Variables:E4_3_3_7_km} + (E4_3_3_7 * C00441 * C00022))</v>
      </c>
    </row>
    <row r="907" spans="1:11" ht="42.75" x14ac:dyDescent="0.45">
      <c r="A907" t="s">
        <v>8942</v>
      </c>
      <c r="B907" t="s">
        <v>8943</v>
      </c>
      <c r="C907" t="s">
        <v>15262</v>
      </c>
      <c r="D907">
        <v>906</v>
      </c>
      <c r="E907" t="str">
        <f t="shared" si="42"/>
        <v>E4_3_3_7</v>
      </c>
      <c r="F907" s="9" t="s">
        <v>17425</v>
      </c>
      <c r="G907" s="9" t="s">
        <v>17426</v>
      </c>
      <c r="H907" s="9" t="s">
        <v>17427</v>
      </c>
      <c r="I907" s="9" t="s">
        <v>17428</v>
      </c>
      <c r="J907" s="9" t="str">
        <f t="shared" si="43"/>
        <v>(${Variables:E4_3_3_7_kcat} * E4_3_3_7 * C00441 * C00022)/(${Variables:E4_3_3_7_km} + (E4_3_3_7 * C00441 * C00022))</v>
      </c>
      <c r="K907" s="38" t="str">
        <f t="shared" si="44"/>
        <v>r906: C00441 + C00022 -&gt; C20258 + C00001 | (${Variables:E4_3_3_7_kcat} * E4_3_3_7 * C00441 * C00022)/(${Variables:E4_3_3_7_km} + (E4_3_3_7 * C00441 * C00022))</v>
      </c>
    </row>
    <row r="908" spans="1:11" ht="42.75" x14ac:dyDescent="0.45">
      <c r="A908" t="s">
        <v>10097</v>
      </c>
      <c r="B908" t="s">
        <v>10098</v>
      </c>
      <c r="C908" t="s">
        <v>15262</v>
      </c>
      <c r="D908">
        <v>907</v>
      </c>
      <c r="E908" t="str">
        <f t="shared" si="42"/>
        <v>E4_3_3_7</v>
      </c>
      <c r="F908" s="9" t="s">
        <v>17425</v>
      </c>
      <c r="G908" s="9" t="s">
        <v>17426</v>
      </c>
      <c r="H908" s="9" t="s">
        <v>17427</v>
      </c>
      <c r="I908" s="9" t="s">
        <v>17428</v>
      </c>
      <c r="J908" s="9" t="str">
        <f t="shared" si="43"/>
        <v>(${Variables:E4_3_3_7_kcat} * E4_3_3_7 * C00441 * C00022)/(${Variables:E4_3_3_7_km} + (E4_3_3_7 * C00441 * C00022))</v>
      </c>
      <c r="K908" s="38" t="str">
        <f t="shared" si="44"/>
        <v>r907: C00441 + C00022 -&gt; C20258 + C00001 | (${Variables:E4_3_3_7_kcat} * E4_3_3_7 * C00441 * C00022)/(${Variables:E4_3_3_7_km} + (E4_3_3_7 * C00441 * C00022))</v>
      </c>
    </row>
    <row r="909" spans="1:11" ht="42.75" x14ac:dyDescent="0.45">
      <c r="A909" t="s">
        <v>5579</v>
      </c>
      <c r="B909" t="s">
        <v>5580</v>
      </c>
      <c r="C909" t="s">
        <v>15263</v>
      </c>
      <c r="D909">
        <v>908</v>
      </c>
      <c r="E909" t="str">
        <f t="shared" si="42"/>
        <v>E4_4_1_13</v>
      </c>
      <c r="F909" s="9" t="s">
        <v>17445</v>
      </c>
      <c r="G909" s="9" t="s">
        <v>17446</v>
      </c>
      <c r="H909" s="9" t="s">
        <v>17447</v>
      </c>
      <c r="I909" s="9" t="s">
        <v>17448</v>
      </c>
      <c r="J909" s="9" t="str">
        <f t="shared" si="43"/>
        <v>(${Variables:E4_4_1_13_kcat} * E4_4_1_13 * C02882 * C00001)/(${Variables:E4_4_1_13_km} + (E4_4_1_13 * C02882 * C00001))</v>
      </c>
      <c r="K909" s="38" t="str">
        <f t="shared" si="44"/>
        <v>r908: C02882 + C00001 -&gt; C00145 + C00014 + C00022 | (${Variables:E4_4_1_13_kcat} * E4_4_1_13 * C02882 * C00001)/(${Variables:E4_4_1_13_km} + (E4_4_1_13 * C02882 * C00001))</v>
      </c>
    </row>
    <row r="910" spans="1:11" ht="42.75" x14ac:dyDescent="0.45">
      <c r="A910" t="s">
        <v>5579</v>
      </c>
      <c r="B910" t="s">
        <v>5580</v>
      </c>
      <c r="C910" t="s">
        <v>15263</v>
      </c>
      <c r="D910">
        <v>909</v>
      </c>
      <c r="E910" t="str">
        <f t="shared" si="42"/>
        <v>E4_4_1_13</v>
      </c>
      <c r="F910" s="9" t="s">
        <v>17437</v>
      </c>
      <c r="G910" s="9" t="s">
        <v>17438</v>
      </c>
      <c r="H910" s="9" t="s">
        <v>17439</v>
      </c>
      <c r="I910" s="9" t="s">
        <v>17440</v>
      </c>
      <c r="J910" s="9" t="str">
        <f t="shared" si="43"/>
        <v>(${Variables:E4_4_1_13_kcat} * E4_4_1_13 * C02291 * C00001)/(${Variables:E4_4_1_13_km} + (E4_4_1_13 * C02291 * C00001))</v>
      </c>
      <c r="K910" s="38" t="str">
        <f t="shared" si="44"/>
        <v>r909: C02291 + C00001 -&gt; C00155 + C00014 + C00022 | (${Variables:E4_4_1_13_kcat} * E4_4_1_13 * C02291 * C00001)/(${Variables:E4_4_1_13_km} + (E4_4_1_13 * C02291 * C00001))</v>
      </c>
    </row>
    <row r="911" spans="1:11" ht="42.75" x14ac:dyDescent="0.45">
      <c r="A911" t="s">
        <v>5579</v>
      </c>
      <c r="B911" t="s">
        <v>5580</v>
      </c>
      <c r="C911" t="s">
        <v>15263</v>
      </c>
      <c r="D911">
        <v>910</v>
      </c>
      <c r="E911" t="str">
        <f t="shared" si="42"/>
        <v>E4_4_1_13</v>
      </c>
      <c r="F911" s="9" t="s">
        <v>17433</v>
      </c>
      <c r="G911" s="9" t="s">
        <v>17434</v>
      </c>
      <c r="H911" s="9" t="s">
        <v>17435</v>
      </c>
      <c r="I911" s="9" t="s">
        <v>17436</v>
      </c>
      <c r="J911" s="9" t="str">
        <f t="shared" si="43"/>
        <v>(${Variables:E4_4_1_13_kcat} * E4_4_1_13 * C00491 * C00001)/(${Variables:E4_4_1_13_km} + (E4_4_1_13 * C00491 * C00001))</v>
      </c>
      <c r="K911" s="38" t="str">
        <f t="shared" si="44"/>
        <v>r910: C00491 + C00001 -&gt; C00022 + C00014 + C01962 | (${Variables:E4_4_1_13_kcat} * E4_4_1_13 * C00491 * C00001)/(${Variables:E4_4_1_13_km} + (E4_4_1_13 * C00491 * C00001))</v>
      </c>
    </row>
    <row r="912" spans="1:11" ht="42.75" x14ac:dyDescent="0.45">
      <c r="A912" t="s">
        <v>5579</v>
      </c>
      <c r="B912" t="s">
        <v>5580</v>
      </c>
      <c r="C912" t="s">
        <v>15263</v>
      </c>
      <c r="D912">
        <v>911</v>
      </c>
      <c r="E912" t="str">
        <f t="shared" si="42"/>
        <v>E4_4_1_13</v>
      </c>
      <c r="F912" s="9" t="s">
        <v>17441</v>
      </c>
      <c r="G912" s="9" t="s">
        <v>17442</v>
      </c>
      <c r="H912" s="9" t="s">
        <v>17443</v>
      </c>
      <c r="I912" s="9" t="s">
        <v>17444</v>
      </c>
      <c r="J912" s="9" t="str">
        <f t="shared" si="43"/>
        <v>(${Variables:E4_4_1_13_kcat} * E4_4_1_13 * C02749 * C00001)/(${Variables:E4_4_1_13_km} + (E4_4_1_13 * C02749 * C00001))</v>
      </c>
      <c r="K912" s="38" t="str">
        <f t="shared" si="44"/>
        <v>r911: C02749 + C00001 -&gt; C00812 + C00014 + C00022 | (${Variables:E4_4_1_13_kcat} * E4_4_1_13 * C02749 * C00001)/(${Variables:E4_4_1_13_km} + (E4_4_1_13 * C02749 * C00001))</v>
      </c>
    </row>
    <row r="913" spans="1:11" ht="42.75" x14ac:dyDescent="0.45">
      <c r="A913" t="s">
        <v>5579</v>
      </c>
      <c r="B913" t="s">
        <v>5580</v>
      </c>
      <c r="C913" t="s">
        <v>15263</v>
      </c>
      <c r="D913">
        <v>912</v>
      </c>
      <c r="E913" t="str">
        <f t="shared" si="42"/>
        <v>E4_4_1_13</v>
      </c>
      <c r="F913" s="9" t="s">
        <v>17445</v>
      </c>
      <c r="G913" s="9" t="s">
        <v>17446</v>
      </c>
      <c r="H913" s="9" t="s">
        <v>17449</v>
      </c>
      <c r="I913" s="9" t="s">
        <v>17450</v>
      </c>
      <c r="J913" s="9" t="str">
        <f t="shared" si="43"/>
        <v>(${Variables:E4_4_1_13_kcat} * E4_4_1_13 * C02882 * C00001)/(${Variables:E4_4_1_13_km} + (E4_4_1_13 * C02882 * C00001))</v>
      </c>
      <c r="K913" s="38" t="str">
        <f t="shared" si="44"/>
        <v>r912: C02882 + C00001 -&gt; C01336 + C00014 + C00022 | (${Variables:E4_4_1_13_kcat} * E4_4_1_13 * C02882 * C00001)/(${Variables:E4_4_1_13_km} + (E4_4_1_13 * C02882 * C00001))</v>
      </c>
    </row>
    <row r="914" spans="1:11" ht="42.75" x14ac:dyDescent="0.45">
      <c r="A914" t="s">
        <v>5579</v>
      </c>
      <c r="B914" t="s">
        <v>5580</v>
      </c>
      <c r="C914" t="s">
        <v>15263</v>
      </c>
      <c r="D914">
        <v>913</v>
      </c>
      <c r="E914" t="str">
        <f t="shared" si="42"/>
        <v>E4_4_1_13</v>
      </c>
      <c r="F914" s="9" t="s">
        <v>17429</v>
      </c>
      <c r="G914" s="9" t="s">
        <v>17430</v>
      </c>
      <c r="H914" s="9" t="s">
        <v>17431</v>
      </c>
      <c r="I914" s="9" t="s">
        <v>17432</v>
      </c>
      <c r="J914" s="9" t="str">
        <f t="shared" si="43"/>
        <v>(${Variables:E4_4_1_13_kcat} * E4_4_1_13 * C00097 * C00001)/(${Variables:E4_4_1_13_km} + (E4_4_1_13 * C00097 * C00001))</v>
      </c>
      <c r="K914" s="38" t="str">
        <f t="shared" si="44"/>
        <v>r913: C00097 + C00001 -&gt; C00283 + C00022 + C00014 | (${Variables:E4_4_1_13_kcat} * E4_4_1_13 * C00097 * C00001)/(${Variables:E4_4_1_13_km} + (E4_4_1_13 * C00097 * C00001))</v>
      </c>
    </row>
    <row r="915" spans="1:11" ht="42.75" x14ac:dyDescent="0.45">
      <c r="A915" t="s">
        <v>5579</v>
      </c>
      <c r="B915" t="s">
        <v>5580</v>
      </c>
      <c r="C915" t="s">
        <v>15263</v>
      </c>
      <c r="D915">
        <v>914</v>
      </c>
      <c r="E915" t="str">
        <f t="shared" si="42"/>
        <v>E4_4_1_13</v>
      </c>
      <c r="F915" s="9" t="s">
        <v>17455</v>
      </c>
      <c r="G915" s="9" t="s">
        <v>17456</v>
      </c>
      <c r="H915" s="9" t="s">
        <v>17457</v>
      </c>
      <c r="I915" s="9" t="s">
        <v>17458</v>
      </c>
      <c r="J915" s="9" t="str">
        <f t="shared" si="43"/>
        <v>(${Variables:E4_4_1_13_kcat} * E4_4_1_13 * C05699 * C00001)/(${Variables:E4_4_1_13_km} + (E4_4_1_13 * C05699 * C00001))</v>
      </c>
      <c r="K915" s="38" t="str">
        <f t="shared" si="44"/>
        <v>r914: C05699 + C00001 -&gt; C05698 + C00014 + C00022 | (${Variables:E4_4_1_13_kcat} * E4_4_1_13 * C05699 * C00001)/(${Variables:E4_4_1_13_km} + (E4_4_1_13 * C05699 * C00001))</v>
      </c>
    </row>
    <row r="916" spans="1:11" ht="42.75" x14ac:dyDescent="0.45">
      <c r="A916" t="s">
        <v>5579</v>
      </c>
      <c r="B916" t="s">
        <v>5580</v>
      </c>
      <c r="C916" t="s">
        <v>15263</v>
      </c>
      <c r="D916">
        <v>915</v>
      </c>
      <c r="E916" t="str">
        <f t="shared" si="42"/>
        <v>E4_4_1_13</v>
      </c>
      <c r="F916" s="9" t="s">
        <v>17451</v>
      </c>
      <c r="G916" s="9" t="s">
        <v>17452</v>
      </c>
      <c r="H916" s="9" t="s">
        <v>17453</v>
      </c>
      <c r="I916" s="9" t="s">
        <v>17454</v>
      </c>
      <c r="J916" s="9" t="str">
        <f t="shared" si="43"/>
        <v>(${Variables:E4_4_1_13_kcat} * E4_4_1_13 * C05689 * C00001)/(${Variables:E4_4_1_13_km} + (E4_4_1_13 * C05689 * C00001))</v>
      </c>
      <c r="K916" s="38" t="str">
        <f t="shared" si="44"/>
        <v>r915: C05689 + C00001 -&gt; C00022 + C00014 + C05703 | (${Variables:E4_4_1_13_kcat} * E4_4_1_13 * C05689 * C00001)/(${Variables:E4_4_1_13_km} + (E4_4_1_13 * C05689 * C00001))</v>
      </c>
    </row>
    <row r="917" spans="1:11" ht="42.75" x14ac:dyDescent="0.45">
      <c r="A917" t="s">
        <v>7028</v>
      </c>
      <c r="B917" t="s">
        <v>7029</v>
      </c>
      <c r="C917" t="s">
        <v>15263</v>
      </c>
      <c r="D917">
        <v>916</v>
      </c>
      <c r="E917" t="str">
        <f t="shared" si="42"/>
        <v>E4_4_1_13</v>
      </c>
      <c r="F917" s="9" t="s">
        <v>17445</v>
      </c>
      <c r="G917" s="9" t="s">
        <v>17446</v>
      </c>
      <c r="H917" s="9" t="s">
        <v>17447</v>
      </c>
      <c r="I917" s="9" t="s">
        <v>17448</v>
      </c>
      <c r="J917" s="9" t="str">
        <f t="shared" si="43"/>
        <v>(${Variables:E4_4_1_13_kcat} * E4_4_1_13 * C02882 * C00001)/(${Variables:E4_4_1_13_km} + (E4_4_1_13 * C02882 * C00001))</v>
      </c>
      <c r="K917" s="38" t="str">
        <f t="shared" si="44"/>
        <v>r916: C02882 + C00001 -&gt; C00145 + C00014 + C00022 | (${Variables:E4_4_1_13_kcat} * E4_4_1_13 * C02882 * C00001)/(${Variables:E4_4_1_13_km} + (E4_4_1_13 * C02882 * C00001))</v>
      </c>
    </row>
    <row r="918" spans="1:11" ht="42.75" x14ac:dyDescent="0.45">
      <c r="A918" t="s">
        <v>7028</v>
      </c>
      <c r="B918" t="s">
        <v>7029</v>
      </c>
      <c r="C918" t="s">
        <v>15263</v>
      </c>
      <c r="D918">
        <v>917</v>
      </c>
      <c r="E918" t="str">
        <f t="shared" si="42"/>
        <v>E4_4_1_13</v>
      </c>
      <c r="F918" s="9" t="s">
        <v>17437</v>
      </c>
      <c r="G918" s="9" t="s">
        <v>17438</v>
      </c>
      <c r="H918" s="9" t="s">
        <v>17439</v>
      </c>
      <c r="I918" s="9" t="s">
        <v>17440</v>
      </c>
      <c r="J918" s="9" t="str">
        <f t="shared" si="43"/>
        <v>(${Variables:E4_4_1_13_kcat} * E4_4_1_13 * C02291 * C00001)/(${Variables:E4_4_1_13_km} + (E4_4_1_13 * C02291 * C00001))</v>
      </c>
      <c r="K918" s="38" t="str">
        <f t="shared" si="44"/>
        <v>r917: C02291 + C00001 -&gt; C00155 + C00014 + C00022 | (${Variables:E4_4_1_13_kcat} * E4_4_1_13 * C02291 * C00001)/(${Variables:E4_4_1_13_km} + (E4_4_1_13 * C02291 * C00001))</v>
      </c>
    </row>
    <row r="919" spans="1:11" ht="42.75" x14ac:dyDescent="0.45">
      <c r="A919" t="s">
        <v>7028</v>
      </c>
      <c r="B919" t="s">
        <v>7029</v>
      </c>
      <c r="C919" t="s">
        <v>15263</v>
      </c>
      <c r="D919">
        <v>918</v>
      </c>
      <c r="E919" t="str">
        <f t="shared" si="42"/>
        <v>E4_4_1_13</v>
      </c>
      <c r="F919" s="9" t="s">
        <v>17433</v>
      </c>
      <c r="G919" s="9" t="s">
        <v>17434</v>
      </c>
      <c r="H919" s="9" t="s">
        <v>17435</v>
      </c>
      <c r="I919" s="9" t="s">
        <v>17436</v>
      </c>
      <c r="J919" s="9" t="str">
        <f t="shared" si="43"/>
        <v>(${Variables:E4_4_1_13_kcat} * E4_4_1_13 * C00491 * C00001)/(${Variables:E4_4_1_13_km} + (E4_4_1_13 * C00491 * C00001))</v>
      </c>
      <c r="K919" s="38" t="str">
        <f t="shared" si="44"/>
        <v>r918: C00491 + C00001 -&gt; C00022 + C00014 + C01962 | (${Variables:E4_4_1_13_kcat} * E4_4_1_13 * C00491 * C00001)/(${Variables:E4_4_1_13_km} + (E4_4_1_13 * C00491 * C00001))</v>
      </c>
    </row>
    <row r="920" spans="1:11" ht="42.75" x14ac:dyDescent="0.45">
      <c r="A920" t="s">
        <v>7028</v>
      </c>
      <c r="B920" t="s">
        <v>7029</v>
      </c>
      <c r="C920" t="s">
        <v>15263</v>
      </c>
      <c r="D920">
        <v>919</v>
      </c>
      <c r="E920" t="str">
        <f t="shared" si="42"/>
        <v>E4_4_1_13</v>
      </c>
      <c r="F920" s="9" t="s">
        <v>17441</v>
      </c>
      <c r="G920" s="9" t="s">
        <v>17442</v>
      </c>
      <c r="H920" s="9" t="s">
        <v>17443</v>
      </c>
      <c r="I920" s="9" t="s">
        <v>17444</v>
      </c>
      <c r="J920" s="9" t="str">
        <f t="shared" si="43"/>
        <v>(${Variables:E4_4_1_13_kcat} * E4_4_1_13 * C02749 * C00001)/(${Variables:E4_4_1_13_km} + (E4_4_1_13 * C02749 * C00001))</v>
      </c>
      <c r="K920" s="38" t="str">
        <f t="shared" si="44"/>
        <v>r919: C02749 + C00001 -&gt; C00812 + C00014 + C00022 | (${Variables:E4_4_1_13_kcat} * E4_4_1_13 * C02749 * C00001)/(${Variables:E4_4_1_13_km} + (E4_4_1_13 * C02749 * C00001))</v>
      </c>
    </row>
    <row r="921" spans="1:11" ht="42.75" x14ac:dyDescent="0.45">
      <c r="A921" t="s">
        <v>7028</v>
      </c>
      <c r="B921" t="s">
        <v>7029</v>
      </c>
      <c r="C921" t="s">
        <v>15263</v>
      </c>
      <c r="D921">
        <v>920</v>
      </c>
      <c r="E921" t="str">
        <f t="shared" si="42"/>
        <v>E4_4_1_13</v>
      </c>
      <c r="F921" s="9" t="s">
        <v>17445</v>
      </c>
      <c r="G921" s="9" t="s">
        <v>17446</v>
      </c>
      <c r="H921" s="9" t="s">
        <v>17449</v>
      </c>
      <c r="I921" s="9" t="s">
        <v>17450</v>
      </c>
      <c r="J921" s="9" t="str">
        <f t="shared" si="43"/>
        <v>(${Variables:E4_4_1_13_kcat} * E4_4_1_13 * C02882 * C00001)/(${Variables:E4_4_1_13_km} + (E4_4_1_13 * C02882 * C00001))</v>
      </c>
      <c r="K921" s="38" t="str">
        <f t="shared" si="44"/>
        <v>r920: C02882 + C00001 -&gt; C01336 + C00014 + C00022 | (${Variables:E4_4_1_13_kcat} * E4_4_1_13 * C02882 * C00001)/(${Variables:E4_4_1_13_km} + (E4_4_1_13 * C02882 * C00001))</v>
      </c>
    </row>
    <row r="922" spans="1:11" ht="42.75" x14ac:dyDescent="0.45">
      <c r="A922" t="s">
        <v>7028</v>
      </c>
      <c r="B922" t="s">
        <v>7029</v>
      </c>
      <c r="C922" t="s">
        <v>15263</v>
      </c>
      <c r="D922">
        <v>921</v>
      </c>
      <c r="E922" t="str">
        <f t="shared" si="42"/>
        <v>E4_4_1_13</v>
      </c>
      <c r="F922" s="9" t="s">
        <v>17429</v>
      </c>
      <c r="G922" s="9" t="s">
        <v>17430</v>
      </c>
      <c r="H922" s="9" t="s">
        <v>17431</v>
      </c>
      <c r="I922" s="9" t="s">
        <v>17432</v>
      </c>
      <c r="J922" s="9" t="str">
        <f t="shared" si="43"/>
        <v>(${Variables:E4_4_1_13_kcat} * E4_4_1_13 * C00097 * C00001)/(${Variables:E4_4_1_13_km} + (E4_4_1_13 * C00097 * C00001))</v>
      </c>
      <c r="K922" s="38" t="str">
        <f t="shared" si="44"/>
        <v>r921: C00097 + C00001 -&gt; C00283 + C00022 + C00014 | (${Variables:E4_4_1_13_kcat} * E4_4_1_13 * C00097 * C00001)/(${Variables:E4_4_1_13_km} + (E4_4_1_13 * C00097 * C00001))</v>
      </c>
    </row>
    <row r="923" spans="1:11" ht="42.75" x14ac:dyDescent="0.45">
      <c r="A923" t="s">
        <v>7028</v>
      </c>
      <c r="B923" t="s">
        <v>7029</v>
      </c>
      <c r="C923" t="s">
        <v>15263</v>
      </c>
      <c r="D923">
        <v>922</v>
      </c>
      <c r="E923" t="str">
        <f t="shared" si="42"/>
        <v>E4_4_1_13</v>
      </c>
      <c r="F923" s="9" t="s">
        <v>17455</v>
      </c>
      <c r="G923" s="9" t="s">
        <v>17456</v>
      </c>
      <c r="H923" s="9" t="s">
        <v>17457</v>
      </c>
      <c r="I923" s="9" t="s">
        <v>17458</v>
      </c>
      <c r="J923" s="9" t="str">
        <f t="shared" si="43"/>
        <v>(${Variables:E4_4_1_13_kcat} * E4_4_1_13 * C05699 * C00001)/(${Variables:E4_4_1_13_km} + (E4_4_1_13 * C05699 * C00001))</v>
      </c>
      <c r="K923" s="38" t="str">
        <f t="shared" si="44"/>
        <v>r922: C05699 + C00001 -&gt; C05698 + C00014 + C00022 | (${Variables:E4_4_1_13_kcat} * E4_4_1_13 * C05699 * C00001)/(${Variables:E4_4_1_13_km} + (E4_4_1_13 * C05699 * C00001))</v>
      </c>
    </row>
    <row r="924" spans="1:11" ht="42.75" x14ac:dyDescent="0.45">
      <c r="A924" t="s">
        <v>7028</v>
      </c>
      <c r="B924" t="s">
        <v>7029</v>
      </c>
      <c r="C924" t="s">
        <v>15263</v>
      </c>
      <c r="D924">
        <v>923</v>
      </c>
      <c r="E924" t="str">
        <f t="shared" si="42"/>
        <v>E4_4_1_13</v>
      </c>
      <c r="F924" s="9" t="s">
        <v>17451</v>
      </c>
      <c r="G924" s="9" t="s">
        <v>17452</v>
      </c>
      <c r="H924" s="9" t="s">
        <v>17453</v>
      </c>
      <c r="I924" s="9" t="s">
        <v>17454</v>
      </c>
      <c r="J924" s="9" t="str">
        <f t="shared" si="43"/>
        <v>(${Variables:E4_4_1_13_kcat} * E4_4_1_13 * C05689 * C00001)/(${Variables:E4_4_1_13_km} + (E4_4_1_13 * C05689 * C00001))</v>
      </c>
      <c r="K924" s="38" t="str">
        <f t="shared" si="44"/>
        <v>r923: C05689 + C00001 -&gt; C00022 + C00014 + C05703 | (${Variables:E4_4_1_13_kcat} * E4_4_1_13 * C05689 * C00001)/(${Variables:E4_4_1_13_km} + (E4_4_1_13 * C05689 * C00001))</v>
      </c>
    </row>
    <row r="925" spans="1:11" ht="42.75" x14ac:dyDescent="0.45">
      <c r="A925" t="s">
        <v>7620</v>
      </c>
      <c r="B925" t="s">
        <v>7621</v>
      </c>
      <c r="C925" t="s">
        <v>15263</v>
      </c>
      <c r="D925">
        <v>924</v>
      </c>
      <c r="E925" t="str">
        <f t="shared" si="42"/>
        <v>E4_4_1_13</v>
      </c>
      <c r="F925" s="9" t="s">
        <v>17445</v>
      </c>
      <c r="G925" s="9" t="s">
        <v>17446</v>
      </c>
      <c r="H925" s="9" t="s">
        <v>17447</v>
      </c>
      <c r="I925" s="9" t="s">
        <v>17448</v>
      </c>
      <c r="J925" s="9" t="str">
        <f t="shared" si="43"/>
        <v>(${Variables:E4_4_1_13_kcat} * E4_4_1_13 * C02882 * C00001)/(${Variables:E4_4_1_13_km} + (E4_4_1_13 * C02882 * C00001))</v>
      </c>
      <c r="K925" s="38" t="str">
        <f t="shared" si="44"/>
        <v>r924: C02882 + C00001 -&gt; C00145 + C00014 + C00022 | (${Variables:E4_4_1_13_kcat} * E4_4_1_13 * C02882 * C00001)/(${Variables:E4_4_1_13_km} + (E4_4_1_13 * C02882 * C00001))</v>
      </c>
    </row>
    <row r="926" spans="1:11" ht="42.75" x14ac:dyDescent="0.45">
      <c r="A926" t="s">
        <v>7620</v>
      </c>
      <c r="B926" t="s">
        <v>7621</v>
      </c>
      <c r="C926" t="s">
        <v>15263</v>
      </c>
      <c r="D926">
        <v>925</v>
      </c>
      <c r="E926" t="str">
        <f t="shared" si="42"/>
        <v>E4_4_1_13</v>
      </c>
      <c r="F926" s="9" t="s">
        <v>17437</v>
      </c>
      <c r="G926" s="9" t="s">
        <v>17438</v>
      </c>
      <c r="H926" s="9" t="s">
        <v>17439</v>
      </c>
      <c r="I926" s="9" t="s">
        <v>17440</v>
      </c>
      <c r="J926" s="9" t="str">
        <f t="shared" si="43"/>
        <v>(${Variables:E4_4_1_13_kcat} * E4_4_1_13 * C02291 * C00001)/(${Variables:E4_4_1_13_km} + (E4_4_1_13 * C02291 * C00001))</v>
      </c>
      <c r="K926" s="38" t="str">
        <f t="shared" si="44"/>
        <v>r925: C02291 + C00001 -&gt; C00155 + C00014 + C00022 | (${Variables:E4_4_1_13_kcat} * E4_4_1_13 * C02291 * C00001)/(${Variables:E4_4_1_13_km} + (E4_4_1_13 * C02291 * C00001))</v>
      </c>
    </row>
    <row r="927" spans="1:11" ht="42.75" x14ac:dyDescent="0.45">
      <c r="A927" t="s">
        <v>7620</v>
      </c>
      <c r="B927" t="s">
        <v>7621</v>
      </c>
      <c r="C927" t="s">
        <v>15263</v>
      </c>
      <c r="D927">
        <v>926</v>
      </c>
      <c r="E927" t="str">
        <f t="shared" si="42"/>
        <v>E4_4_1_13</v>
      </c>
      <c r="F927" s="9" t="s">
        <v>17433</v>
      </c>
      <c r="G927" s="9" t="s">
        <v>17434</v>
      </c>
      <c r="H927" s="9" t="s">
        <v>17435</v>
      </c>
      <c r="I927" s="9" t="s">
        <v>17436</v>
      </c>
      <c r="J927" s="9" t="str">
        <f t="shared" si="43"/>
        <v>(${Variables:E4_4_1_13_kcat} * E4_4_1_13 * C00491 * C00001)/(${Variables:E4_4_1_13_km} + (E4_4_1_13 * C00491 * C00001))</v>
      </c>
      <c r="K927" s="38" t="str">
        <f t="shared" si="44"/>
        <v>r926: C00491 + C00001 -&gt; C00022 + C00014 + C01962 | (${Variables:E4_4_1_13_kcat} * E4_4_1_13 * C00491 * C00001)/(${Variables:E4_4_1_13_km} + (E4_4_1_13 * C00491 * C00001))</v>
      </c>
    </row>
    <row r="928" spans="1:11" ht="42.75" x14ac:dyDescent="0.45">
      <c r="A928" t="s">
        <v>7620</v>
      </c>
      <c r="B928" t="s">
        <v>7621</v>
      </c>
      <c r="C928" t="s">
        <v>15263</v>
      </c>
      <c r="D928">
        <v>927</v>
      </c>
      <c r="E928" t="str">
        <f t="shared" si="42"/>
        <v>E4_4_1_13</v>
      </c>
      <c r="F928" s="9" t="s">
        <v>17441</v>
      </c>
      <c r="G928" s="9" t="s">
        <v>17442</v>
      </c>
      <c r="H928" s="9" t="s">
        <v>17443</v>
      </c>
      <c r="I928" s="9" t="s">
        <v>17444</v>
      </c>
      <c r="J928" s="9" t="str">
        <f t="shared" si="43"/>
        <v>(${Variables:E4_4_1_13_kcat} * E4_4_1_13 * C02749 * C00001)/(${Variables:E4_4_1_13_km} + (E4_4_1_13 * C02749 * C00001))</v>
      </c>
      <c r="K928" s="38" t="str">
        <f t="shared" si="44"/>
        <v>r927: C02749 + C00001 -&gt; C00812 + C00014 + C00022 | (${Variables:E4_4_1_13_kcat} * E4_4_1_13 * C02749 * C00001)/(${Variables:E4_4_1_13_km} + (E4_4_1_13 * C02749 * C00001))</v>
      </c>
    </row>
    <row r="929" spans="1:11" ht="42.75" x14ac:dyDescent="0.45">
      <c r="A929" t="s">
        <v>7620</v>
      </c>
      <c r="B929" t="s">
        <v>7621</v>
      </c>
      <c r="C929" t="s">
        <v>15263</v>
      </c>
      <c r="D929">
        <v>928</v>
      </c>
      <c r="E929" t="str">
        <f t="shared" si="42"/>
        <v>E4_4_1_13</v>
      </c>
      <c r="F929" s="9" t="s">
        <v>17445</v>
      </c>
      <c r="G929" s="9" t="s">
        <v>17446</v>
      </c>
      <c r="H929" s="9" t="s">
        <v>17449</v>
      </c>
      <c r="I929" s="9" t="s">
        <v>17450</v>
      </c>
      <c r="J929" s="9" t="str">
        <f t="shared" si="43"/>
        <v>(${Variables:E4_4_1_13_kcat} * E4_4_1_13 * C02882 * C00001)/(${Variables:E4_4_1_13_km} + (E4_4_1_13 * C02882 * C00001))</v>
      </c>
      <c r="K929" s="38" t="str">
        <f t="shared" si="44"/>
        <v>r928: C02882 + C00001 -&gt; C01336 + C00014 + C00022 | (${Variables:E4_4_1_13_kcat} * E4_4_1_13 * C02882 * C00001)/(${Variables:E4_4_1_13_km} + (E4_4_1_13 * C02882 * C00001))</v>
      </c>
    </row>
    <row r="930" spans="1:11" ht="42.75" x14ac:dyDescent="0.45">
      <c r="A930" t="s">
        <v>7620</v>
      </c>
      <c r="B930" t="s">
        <v>7621</v>
      </c>
      <c r="C930" t="s">
        <v>15263</v>
      </c>
      <c r="D930">
        <v>929</v>
      </c>
      <c r="E930" t="str">
        <f t="shared" si="42"/>
        <v>E4_4_1_13</v>
      </c>
      <c r="F930" s="9" t="s">
        <v>17429</v>
      </c>
      <c r="G930" s="9" t="s">
        <v>17430</v>
      </c>
      <c r="H930" s="9" t="s">
        <v>17431</v>
      </c>
      <c r="I930" s="9" t="s">
        <v>17432</v>
      </c>
      <c r="J930" s="9" t="str">
        <f t="shared" si="43"/>
        <v>(${Variables:E4_4_1_13_kcat} * E4_4_1_13 * C00097 * C00001)/(${Variables:E4_4_1_13_km} + (E4_4_1_13 * C00097 * C00001))</v>
      </c>
      <c r="K930" s="38" t="str">
        <f t="shared" si="44"/>
        <v>r929: C00097 + C00001 -&gt; C00283 + C00022 + C00014 | (${Variables:E4_4_1_13_kcat} * E4_4_1_13 * C00097 * C00001)/(${Variables:E4_4_1_13_km} + (E4_4_1_13 * C00097 * C00001))</v>
      </c>
    </row>
    <row r="931" spans="1:11" ht="42.75" x14ac:dyDescent="0.45">
      <c r="A931" t="s">
        <v>7620</v>
      </c>
      <c r="B931" t="s">
        <v>7621</v>
      </c>
      <c r="C931" t="s">
        <v>15263</v>
      </c>
      <c r="D931">
        <v>930</v>
      </c>
      <c r="E931" t="str">
        <f t="shared" si="42"/>
        <v>E4_4_1_13</v>
      </c>
      <c r="F931" s="9" t="s">
        <v>17455</v>
      </c>
      <c r="G931" s="9" t="s">
        <v>17456</v>
      </c>
      <c r="H931" s="9" t="s">
        <v>17457</v>
      </c>
      <c r="I931" s="9" t="s">
        <v>17458</v>
      </c>
      <c r="J931" s="9" t="str">
        <f t="shared" si="43"/>
        <v>(${Variables:E4_4_1_13_kcat} * E4_4_1_13 * C05699 * C00001)/(${Variables:E4_4_1_13_km} + (E4_4_1_13 * C05699 * C00001))</v>
      </c>
      <c r="K931" s="38" t="str">
        <f t="shared" si="44"/>
        <v>r930: C05699 + C00001 -&gt; C05698 + C00014 + C00022 | (${Variables:E4_4_1_13_kcat} * E4_4_1_13 * C05699 * C00001)/(${Variables:E4_4_1_13_km} + (E4_4_1_13 * C05699 * C00001))</v>
      </c>
    </row>
    <row r="932" spans="1:11" ht="42.75" x14ac:dyDescent="0.45">
      <c r="A932" t="s">
        <v>7620</v>
      </c>
      <c r="B932" t="s">
        <v>7621</v>
      </c>
      <c r="C932" t="s">
        <v>15263</v>
      </c>
      <c r="D932">
        <v>931</v>
      </c>
      <c r="E932" t="str">
        <f t="shared" si="42"/>
        <v>E4_4_1_13</v>
      </c>
      <c r="F932" s="9" t="s">
        <v>17451</v>
      </c>
      <c r="G932" s="9" t="s">
        <v>17452</v>
      </c>
      <c r="H932" s="9" t="s">
        <v>17453</v>
      </c>
      <c r="I932" s="9" t="s">
        <v>17454</v>
      </c>
      <c r="J932" s="9" t="str">
        <f t="shared" si="43"/>
        <v>(${Variables:E4_4_1_13_kcat} * E4_4_1_13 * C05689 * C00001)/(${Variables:E4_4_1_13_km} + (E4_4_1_13 * C05689 * C00001))</v>
      </c>
      <c r="K932" s="38" t="str">
        <f t="shared" si="44"/>
        <v>r931: C05689 + C00001 -&gt; C00022 + C00014 + C05703 | (${Variables:E4_4_1_13_kcat} * E4_4_1_13 * C05689 * C00001)/(${Variables:E4_4_1_13_km} + (E4_4_1_13 * C05689 * C00001))</v>
      </c>
    </row>
    <row r="933" spans="1:11" ht="42.75" x14ac:dyDescent="0.45">
      <c r="A933" t="s">
        <v>7721</v>
      </c>
      <c r="B933" t="s">
        <v>7722</v>
      </c>
      <c r="C933" t="s">
        <v>15263</v>
      </c>
      <c r="D933">
        <v>932</v>
      </c>
      <c r="E933" t="str">
        <f t="shared" si="42"/>
        <v>E4_4_1_13</v>
      </c>
      <c r="F933" s="9" t="s">
        <v>17445</v>
      </c>
      <c r="G933" s="9" t="s">
        <v>17446</v>
      </c>
      <c r="H933" s="9" t="s">
        <v>17447</v>
      </c>
      <c r="I933" s="9" t="s">
        <v>17448</v>
      </c>
      <c r="J933" s="9" t="str">
        <f t="shared" si="43"/>
        <v>(${Variables:E4_4_1_13_kcat} * E4_4_1_13 * C02882 * C00001)/(${Variables:E4_4_1_13_km} + (E4_4_1_13 * C02882 * C00001))</v>
      </c>
      <c r="K933" s="38" t="str">
        <f t="shared" si="44"/>
        <v>r932: C02882 + C00001 -&gt; C00145 + C00014 + C00022 | (${Variables:E4_4_1_13_kcat} * E4_4_1_13 * C02882 * C00001)/(${Variables:E4_4_1_13_km} + (E4_4_1_13 * C02882 * C00001))</v>
      </c>
    </row>
    <row r="934" spans="1:11" ht="42.75" x14ac:dyDescent="0.45">
      <c r="A934" t="s">
        <v>7721</v>
      </c>
      <c r="B934" t="s">
        <v>7722</v>
      </c>
      <c r="C934" t="s">
        <v>15263</v>
      </c>
      <c r="D934">
        <v>933</v>
      </c>
      <c r="E934" t="str">
        <f t="shared" si="42"/>
        <v>E4_4_1_13</v>
      </c>
      <c r="F934" s="9" t="s">
        <v>17437</v>
      </c>
      <c r="G934" s="9" t="s">
        <v>17438</v>
      </c>
      <c r="H934" s="9" t="s">
        <v>17439</v>
      </c>
      <c r="I934" s="9" t="s">
        <v>17440</v>
      </c>
      <c r="J934" s="9" t="str">
        <f t="shared" si="43"/>
        <v>(${Variables:E4_4_1_13_kcat} * E4_4_1_13 * C02291 * C00001)/(${Variables:E4_4_1_13_km} + (E4_4_1_13 * C02291 * C00001))</v>
      </c>
      <c r="K934" s="38" t="str">
        <f t="shared" si="44"/>
        <v>r933: C02291 + C00001 -&gt; C00155 + C00014 + C00022 | (${Variables:E4_4_1_13_kcat} * E4_4_1_13 * C02291 * C00001)/(${Variables:E4_4_1_13_km} + (E4_4_1_13 * C02291 * C00001))</v>
      </c>
    </row>
    <row r="935" spans="1:11" ht="42.75" x14ac:dyDescent="0.45">
      <c r="A935" t="s">
        <v>7721</v>
      </c>
      <c r="B935" t="s">
        <v>7722</v>
      </c>
      <c r="C935" t="s">
        <v>15263</v>
      </c>
      <c r="D935">
        <v>934</v>
      </c>
      <c r="E935" t="str">
        <f t="shared" si="42"/>
        <v>E4_4_1_13</v>
      </c>
      <c r="F935" s="9" t="s">
        <v>17433</v>
      </c>
      <c r="G935" s="9" t="s">
        <v>17434</v>
      </c>
      <c r="H935" s="9" t="s">
        <v>17435</v>
      </c>
      <c r="I935" s="9" t="s">
        <v>17436</v>
      </c>
      <c r="J935" s="9" t="str">
        <f t="shared" si="43"/>
        <v>(${Variables:E4_4_1_13_kcat} * E4_4_1_13 * C00491 * C00001)/(${Variables:E4_4_1_13_km} + (E4_4_1_13 * C00491 * C00001))</v>
      </c>
      <c r="K935" s="38" t="str">
        <f t="shared" si="44"/>
        <v>r934: C00491 + C00001 -&gt; C00022 + C00014 + C01962 | (${Variables:E4_4_1_13_kcat} * E4_4_1_13 * C00491 * C00001)/(${Variables:E4_4_1_13_km} + (E4_4_1_13 * C00491 * C00001))</v>
      </c>
    </row>
    <row r="936" spans="1:11" ht="42.75" x14ac:dyDescent="0.45">
      <c r="A936" t="s">
        <v>7721</v>
      </c>
      <c r="B936" t="s">
        <v>7722</v>
      </c>
      <c r="C936" t="s">
        <v>15263</v>
      </c>
      <c r="D936">
        <v>935</v>
      </c>
      <c r="E936" t="str">
        <f t="shared" si="42"/>
        <v>E4_4_1_13</v>
      </c>
      <c r="F936" s="9" t="s">
        <v>17441</v>
      </c>
      <c r="G936" s="9" t="s">
        <v>17442</v>
      </c>
      <c r="H936" s="9" t="s">
        <v>17443</v>
      </c>
      <c r="I936" s="9" t="s">
        <v>17444</v>
      </c>
      <c r="J936" s="9" t="str">
        <f t="shared" si="43"/>
        <v>(${Variables:E4_4_1_13_kcat} * E4_4_1_13 * C02749 * C00001)/(${Variables:E4_4_1_13_km} + (E4_4_1_13 * C02749 * C00001))</v>
      </c>
      <c r="K936" s="38" t="str">
        <f t="shared" si="44"/>
        <v>r935: C02749 + C00001 -&gt; C00812 + C00014 + C00022 | (${Variables:E4_4_1_13_kcat} * E4_4_1_13 * C02749 * C00001)/(${Variables:E4_4_1_13_km} + (E4_4_1_13 * C02749 * C00001))</v>
      </c>
    </row>
    <row r="937" spans="1:11" ht="42.75" x14ac:dyDescent="0.45">
      <c r="A937" t="s">
        <v>7721</v>
      </c>
      <c r="B937" t="s">
        <v>7722</v>
      </c>
      <c r="C937" t="s">
        <v>15263</v>
      </c>
      <c r="D937">
        <v>936</v>
      </c>
      <c r="E937" t="str">
        <f t="shared" si="42"/>
        <v>E4_4_1_13</v>
      </c>
      <c r="F937" s="9" t="s">
        <v>17445</v>
      </c>
      <c r="G937" s="9" t="s">
        <v>17446</v>
      </c>
      <c r="H937" s="9" t="s">
        <v>17449</v>
      </c>
      <c r="I937" s="9" t="s">
        <v>17450</v>
      </c>
      <c r="J937" s="9" t="str">
        <f t="shared" si="43"/>
        <v>(${Variables:E4_4_1_13_kcat} * E4_4_1_13 * C02882 * C00001)/(${Variables:E4_4_1_13_km} + (E4_4_1_13 * C02882 * C00001))</v>
      </c>
      <c r="K937" s="38" t="str">
        <f t="shared" si="44"/>
        <v>r936: C02882 + C00001 -&gt; C01336 + C00014 + C00022 | (${Variables:E4_4_1_13_kcat} * E4_4_1_13 * C02882 * C00001)/(${Variables:E4_4_1_13_km} + (E4_4_1_13 * C02882 * C00001))</v>
      </c>
    </row>
    <row r="938" spans="1:11" ht="42.75" x14ac:dyDescent="0.45">
      <c r="A938" t="s">
        <v>7721</v>
      </c>
      <c r="B938" t="s">
        <v>7722</v>
      </c>
      <c r="C938" t="s">
        <v>15263</v>
      </c>
      <c r="D938">
        <v>937</v>
      </c>
      <c r="E938" t="str">
        <f t="shared" si="42"/>
        <v>E4_4_1_13</v>
      </c>
      <c r="F938" s="9" t="s">
        <v>17429</v>
      </c>
      <c r="G938" s="9" t="s">
        <v>17430</v>
      </c>
      <c r="H938" s="9" t="s">
        <v>17431</v>
      </c>
      <c r="I938" s="9" t="s">
        <v>17432</v>
      </c>
      <c r="J938" s="9" t="str">
        <f t="shared" si="43"/>
        <v>(${Variables:E4_4_1_13_kcat} * E4_4_1_13 * C00097 * C00001)/(${Variables:E4_4_1_13_km} + (E4_4_1_13 * C00097 * C00001))</v>
      </c>
      <c r="K938" s="38" t="str">
        <f t="shared" si="44"/>
        <v>r937: C00097 + C00001 -&gt; C00283 + C00022 + C00014 | (${Variables:E4_4_1_13_kcat} * E4_4_1_13 * C00097 * C00001)/(${Variables:E4_4_1_13_km} + (E4_4_1_13 * C00097 * C00001))</v>
      </c>
    </row>
    <row r="939" spans="1:11" ht="42.75" x14ac:dyDescent="0.45">
      <c r="A939" t="s">
        <v>7721</v>
      </c>
      <c r="B939" t="s">
        <v>7722</v>
      </c>
      <c r="C939" t="s">
        <v>15263</v>
      </c>
      <c r="D939">
        <v>938</v>
      </c>
      <c r="E939" t="str">
        <f t="shared" si="42"/>
        <v>E4_4_1_13</v>
      </c>
      <c r="F939" s="9" t="s">
        <v>17455</v>
      </c>
      <c r="G939" s="9" t="s">
        <v>17456</v>
      </c>
      <c r="H939" s="9" t="s">
        <v>17457</v>
      </c>
      <c r="I939" s="9" t="s">
        <v>17458</v>
      </c>
      <c r="J939" s="9" t="str">
        <f t="shared" si="43"/>
        <v>(${Variables:E4_4_1_13_kcat} * E4_4_1_13 * C05699 * C00001)/(${Variables:E4_4_1_13_km} + (E4_4_1_13 * C05699 * C00001))</v>
      </c>
      <c r="K939" s="38" t="str">
        <f t="shared" si="44"/>
        <v>r938: C05699 + C00001 -&gt; C05698 + C00014 + C00022 | (${Variables:E4_4_1_13_kcat} * E4_4_1_13 * C05699 * C00001)/(${Variables:E4_4_1_13_km} + (E4_4_1_13 * C05699 * C00001))</v>
      </c>
    </row>
    <row r="940" spans="1:11" ht="42.75" x14ac:dyDescent="0.45">
      <c r="A940" t="s">
        <v>7721</v>
      </c>
      <c r="B940" t="s">
        <v>7722</v>
      </c>
      <c r="C940" t="s">
        <v>15263</v>
      </c>
      <c r="D940">
        <v>939</v>
      </c>
      <c r="E940" t="str">
        <f t="shared" si="42"/>
        <v>E4_4_1_13</v>
      </c>
      <c r="F940" s="9" t="s">
        <v>17451</v>
      </c>
      <c r="G940" s="9" t="s">
        <v>17452</v>
      </c>
      <c r="H940" s="9" t="s">
        <v>17453</v>
      </c>
      <c r="I940" s="9" t="s">
        <v>17454</v>
      </c>
      <c r="J940" s="9" t="str">
        <f t="shared" si="43"/>
        <v>(${Variables:E4_4_1_13_kcat} * E4_4_1_13 * C05689 * C00001)/(${Variables:E4_4_1_13_km} + (E4_4_1_13 * C05689 * C00001))</v>
      </c>
      <c r="K940" s="38" t="str">
        <f t="shared" si="44"/>
        <v>r939: C05689 + C00001 -&gt; C00022 + C00014 + C05703 | (${Variables:E4_4_1_13_kcat} * E4_4_1_13 * C05689 * C00001)/(${Variables:E4_4_1_13_km} + (E4_4_1_13 * C05689 * C00001))</v>
      </c>
    </row>
    <row r="941" spans="1:11" ht="42.75" x14ac:dyDescent="0.45">
      <c r="A941" t="s">
        <v>8364</v>
      </c>
      <c r="B941" t="s">
        <v>8365</v>
      </c>
      <c r="C941" t="s">
        <v>15263</v>
      </c>
      <c r="D941">
        <v>940</v>
      </c>
      <c r="E941" t="str">
        <f t="shared" si="42"/>
        <v>E4_4_1_13</v>
      </c>
      <c r="F941" s="9" t="s">
        <v>17445</v>
      </c>
      <c r="G941" s="9" t="s">
        <v>17446</v>
      </c>
      <c r="H941" s="9" t="s">
        <v>17447</v>
      </c>
      <c r="I941" s="9" t="s">
        <v>17448</v>
      </c>
      <c r="J941" s="9" t="str">
        <f t="shared" si="43"/>
        <v>(${Variables:E4_4_1_13_kcat} * E4_4_1_13 * C02882 * C00001)/(${Variables:E4_4_1_13_km} + (E4_4_1_13 * C02882 * C00001))</v>
      </c>
      <c r="K941" s="38" t="str">
        <f t="shared" si="44"/>
        <v>r940: C02882 + C00001 -&gt; C00145 + C00014 + C00022 | (${Variables:E4_4_1_13_kcat} * E4_4_1_13 * C02882 * C00001)/(${Variables:E4_4_1_13_km} + (E4_4_1_13 * C02882 * C00001))</v>
      </c>
    </row>
    <row r="942" spans="1:11" ht="42.75" x14ac:dyDescent="0.45">
      <c r="A942" t="s">
        <v>8364</v>
      </c>
      <c r="B942" t="s">
        <v>8365</v>
      </c>
      <c r="C942" t="s">
        <v>15263</v>
      </c>
      <c r="D942">
        <v>941</v>
      </c>
      <c r="E942" t="str">
        <f t="shared" si="42"/>
        <v>E4_4_1_13</v>
      </c>
      <c r="F942" s="9" t="s">
        <v>17437</v>
      </c>
      <c r="G942" s="9" t="s">
        <v>17438</v>
      </c>
      <c r="H942" s="9" t="s">
        <v>17439</v>
      </c>
      <c r="I942" s="9" t="s">
        <v>17440</v>
      </c>
      <c r="J942" s="9" t="str">
        <f t="shared" si="43"/>
        <v>(${Variables:E4_4_1_13_kcat} * E4_4_1_13 * C02291 * C00001)/(${Variables:E4_4_1_13_km} + (E4_4_1_13 * C02291 * C00001))</v>
      </c>
      <c r="K942" s="38" t="str">
        <f t="shared" si="44"/>
        <v>r941: C02291 + C00001 -&gt; C00155 + C00014 + C00022 | (${Variables:E4_4_1_13_kcat} * E4_4_1_13 * C02291 * C00001)/(${Variables:E4_4_1_13_km} + (E4_4_1_13 * C02291 * C00001))</v>
      </c>
    </row>
    <row r="943" spans="1:11" ht="42.75" x14ac:dyDescent="0.45">
      <c r="A943" t="s">
        <v>8364</v>
      </c>
      <c r="B943" t="s">
        <v>8365</v>
      </c>
      <c r="C943" t="s">
        <v>15263</v>
      </c>
      <c r="D943">
        <v>942</v>
      </c>
      <c r="E943" t="str">
        <f t="shared" si="42"/>
        <v>E4_4_1_13</v>
      </c>
      <c r="F943" s="9" t="s">
        <v>17433</v>
      </c>
      <c r="G943" s="9" t="s">
        <v>17434</v>
      </c>
      <c r="H943" s="9" t="s">
        <v>17435</v>
      </c>
      <c r="I943" s="9" t="s">
        <v>17436</v>
      </c>
      <c r="J943" s="9" t="str">
        <f t="shared" si="43"/>
        <v>(${Variables:E4_4_1_13_kcat} * E4_4_1_13 * C00491 * C00001)/(${Variables:E4_4_1_13_km} + (E4_4_1_13 * C00491 * C00001))</v>
      </c>
      <c r="K943" s="38" t="str">
        <f t="shared" si="44"/>
        <v>r942: C00491 + C00001 -&gt; C00022 + C00014 + C01962 | (${Variables:E4_4_1_13_kcat} * E4_4_1_13 * C00491 * C00001)/(${Variables:E4_4_1_13_km} + (E4_4_1_13 * C00491 * C00001))</v>
      </c>
    </row>
    <row r="944" spans="1:11" ht="42.75" x14ac:dyDescent="0.45">
      <c r="A944" t="s">
        <v>8364</v>
      </c>
      <c r="B944" t="s">
        <v>8365</v>
      </c>
      <c r="C944" t="s">
        <v>15263</v>
      </c>
      <c r="D944">
        <v>943</v>
      </c>
      <c r="E944" t="str">
        <f t="shared" si="42"/>
        <v>E4_4_1_13</v>
      </c>
      <c r="F944" s="9" t="s">
        <v>17441</v>
      </c>
      <c r="G944" s="9" t="s">
        <v>17442</v>
      </c>
      <c r="H944" s="9" t="s">
        <v>17443</v>
      </c>
      <c r="I944" s="9" t="s">
        <v>17444</v>
      </c>
      <c r="J944" s="9" t="str">
        <f t="shared" si="43"/>
        <v>(${Variables:E4_4_1_13_kcat} * E4_4_1_13 * C02749 * C00001)/(${Variables:E4_4_1_13_km} + (E4_4_1_13 * C02749 * C00001))</v>
      </c>
      <c r="K944" s="38" t="str">
        <f t="shared" si="44"/>
        <v>r943: C02749 + C00001 -&gt; C00812 + C00014 + C00022 | (${Variables:E4_4_1_13_kcat} * E4_4_1_13 * C02749 * C00001)/(${Variables:E4_4_1_13_km} + (E4_4_1_13 * C02749 * C00001))</v>
      </c>
    </row>
    <row r="945" spans="1:11" ht="42.75" x14ac:dyDescent="0.45">
      <c r="A945" t="s">
        <v>8364</v>
      </c>
      <c r="B945" t="s">
        <v>8365</v>
      </c>
      <c r="C945" t="s">
        <v>15263</v>
      </c>
      <c r="D945">
        <v>944</v>
      </c>
      <c r="E945" t="str">
        <f t="shared" si="42"/>
        <v>E4_4_1_13</v>
      </c>
      <c r="F945" s="9" t="s">
        <v>17445</v>
      </c>
      <c r="G945" s="9" t="s">
        <v>17446</v>
      </c>
      <c r="H945" s="9" t="s">
        <v>17449</v>
      </c>
      <c r="I945" s="9" t="s">
        <v>17450</v>
      </c>
      <c r="J945" s="9" t="str">
        <f t="shared" si="43"/>
        <v>(${Variables:E4_4_1_13_kcat} * E4_4_1_13 * C02882 * C00001)/(${Variables:E4_4_1_13_km} + (E4_4_1_13 * C02882 * C00001))</v>
      </c>
      <c r="K945" s="38" t="str">
        <f t="shared" si="44"/>
        <v>r944: C02882 + C00001 -&gt; C01336 + C00014 + C00022 | (${Variables:E4_4_1_13_kcat} * E4_4_1_13 * C02882 * C00001)/(${Variables:E4_4_1_13_km} + (E4_4_1_13 * C02882 * C00001))</v>
      </c>
    </row>
    <row r="946" spans="1:11" ht="42.75" x14ac:dyDescent="0.45">
      <c r="A946" t="s">
        <v>8364</v>
      </c>
      <c r="B946" t="s">
        <v>8365</v>
      </c>
      <c r="C946" t="s">
        <v>15263</v>
      </c>
      <c r="D946">
        <v>945</v>
      </c>
      <c r="E946" t="str">
        <f t="shared" si="42"/>
        <v>E4_4_1_13</v>
      </c>
      <c r="F946" s="9" t="s">
        <v>17429</v>
      </c>
      <c r="G946" s="9" t="s">
        <v>17430</v>
      </c>
      <c r="H946" s="9" t="s">
        <v>17431</v>
      </c>
      <c r="I946" s="9" t="s">
        <v>17432</v>
      </c>
      <c r="J946" s="9" t="str">
        <f t="shared" si="43"/>
        <v>(${Variables:E4_4_1_13_kcat} * E4_4_1_13 * C00097 * C00001)/(${Variables:E4_4_1_13_km} + (E4_4_1_13 * C00097 * C00001))</v>
      </c>
      <c r="K946" s="38" t="str">
        <f t="shared" si="44"/>
        <v>r945: C00097 + C00001 -&gt; C00283 + C00022 + C00014 | (${Variables:E4_4_1_13_kcat} * E4_4_1_13 * C00097 * C00001)/(${Variables:E4_4_1_13_km} + (E4_4_1_13 * C00097 * C00001))</v>
      </c>
    </row>
    <row r="947" spans="1:11" ht="42.75" x14ac:dyDescent="0.45">
      <c r="A947" t="s">
        <v>8364</v>
      </c>
      <c r="B947" t="s">
        <v>8365</v>
      </c>
      <c r="C947" t="s">
        <v>15263</v>
      </c>
      <c r="D947">
        <v>946</v>
      </c>
      <c r="E947" t="str">
        <f t="shared" si="42"/>
        <v>E4_4_1_13</v>
      </c>
      <c r="F947" s="9" t="s">
        <v>17455</v>
      </c>
      <c r="G947" s="9" t="s">
        <v>17456</v>
      </c>
      <c r="H947" s="9" t="s">
        <v>17457</v>
      </c>
      <c r="I947" s="9" t="s">
        <v>17458</v>
      </c>
      <c r="J947" s="9" t="str">
        <f t="shared" si="43"/>
        <v>(${Variables:E4_4_1_13_kcat} * E4_4_1_13 * C05699 * C00001)/(${Variables:E4_4_1_13_km} + (E4_4_1_13 * C05699 * C00001))</v>
      </c>
      <c r="K947" s="38" t="str">
        <f t="shared" si="44"/>
        <v>r946: C05699 + C00001 -&gt; C05698 + C00014 + C00022 | (${Variables:E4_4_1_13_kcat} * E4_4_1_13 * C05699 * C00001)/(${Variables:E4_4_1_13_km} + (E4_4_1_13 * C05699 * C00001))</v>
      </c>
    </row>
    <row r="948" spans="1:11" ht="42.75" x14ac:dyDescent="0.45">
      <c r="A948" t="s">
        <v>8364</v>
      </c>
      <c r="B948" t="s">
        <v>8365</v>
      </c>
      <c r="C948" t="s">
        <v>15263</v>
      </c>
      <c r="D948">
        <v>947</v>
      </c>
      <c r="E948" t="str">
        <f t="shared" si="42"/>
        <v>E4_4_1_13</v>
      </c>
      <c r="F948" s="9" t="s">
        <v>17451</v>
      </c>
      <c r="G948" s="9" t="s">
        <v>17452</v>
      </c>
      <c r="H948" s="9" t="s">
        <v>17453</v>
      </c>
      <c r="I948" s="9" t="s">
        <v>17454</v>
      </c>
      <c r="J948" s="9" t="str">
        <f t="shared" si="43"/>
        <v>(${Variables:E4_4_1_13_kcat} * E4_4_1_13 * C05689 * C00001)/(${Variables:E4_4_1_13_km} + (E4_4_1_13 * C05689 * C00001))</v>
      </c>
      <c r="K948" s="38" t="str">
        <f t="shared" si="44"/>
        <v>r947: C05689 + C00001 -&gt; C00022 + C00014 + C05703 | (${Variables:E4_4_1_13_kcat} * E4_4_1_13 * C05689 * C00001)/(${Variables:E4_4_1_13_km} + (E4_4_1_13 * C05689 * C00001))</v>
      </c>
    </row>
    <row r="949" spans="1:11" ht="42.75" x14ac:dyDescent="0.45">
      <c r="A949" t="s">
        <v>9451</v>
      </c>
      <c r="B949" t="s">
        <v>9452</v>
      </c>
      <c r="C949" t="s">
        <v>15263</v>
      </c>
      <c r="D949">
        <v>948</v>
      </c>
      <c r="E949" t="str">
        <f t="shared" si="42"/>
        <v>E4_4_1_13</v>
      </c>
      <c r="F949" s="9" t="s">
        <v>17445</v>
      </c>
      <c r="G949" s="9" t="s">
        <v>17446</v>
      </c>
      <c r="H949" s="9" t="s">
        <v>17447</v>
      </c>
      <c r="I949" s="9" t="s">
        <v>17448</v>
      </c>
      <c r="J949" s="9" t="str">
        <f t="shared" si="43"/>
        <v>(${Variables:E4_4_1_13_kcat} * E4_4_1_13 * C02882 * C00001)/(${Variables:E4_4_1_13_km} + (E4_4_1_13 * C02882 * C00001))</v>
      </c>
      <c r="K949" s="38" t="str">
        <f t="shared" si="44"/>
        <v>r948: C02882 + C00001 -&gt; C00145 + C00014 + C00022 | (${Variables:E4_4_1_13_kcat} * E4_4_1_13 * C02882 * C00001)/(${Variables:E4_4_1_13_km} + (E4_4_1_13 * C02882 * C00001))</v>
      </c>
    </row>
    <row r="950" spans="1:11" ht="42.75" x14ac:dyDescent="0.45">
      <c r="A950" t="s">
        <v>9451</v>
      </c>
      <c r="B950" t="s">
        <v>9452</v>
      </c>
      <c r="C950" t="s">
        <v>15263</v>
      </c>
      <c r="D950">
        <v>949</v>
      </c>
      <c r="E950" t="str">
        <f t="shared" si="42"/>
        <v>E4_4_1_13</v>
      </c>
      <c r="F950" s="9" t="s">
        <v>17437</v>
      </c>
      <c r="G950" s="9" t="s">
        <v>17438</v>
      </c>
      <c r="H950" s="9" t="s">
        <v>17439</v>
      </c>
      <c r="I950" s="9" t="s">
        <v>17440</v>
      </c>
      <c r="J950" s="9" t="str">
        <f t="shared" si="43"/>
        <v>(${Variables:E4_4_1_13_kcat} * E4_4_1_13 * C02291 * C00001)/(${Variables:E4_4_1_13_km} + (E4_4_1_13 * C02291 * C00001))</v>
      </c>
      <c r="K950" s="38" t="str">
        <f t="shared" si="44"/>
        <v>r949: C02291 + C00001 -&gt; C00155 + C00014 + C00022 | (${Variables:E4_4_1_13_kcat} * E4_4_1_13 * C02291 * C00001)/(${Variables:E4_4_1_13_km} + (E4_4_1_13 * C02291 * C00001))</v>
      </c>
    </row>
    <row r="951" spans="1:11" ht="42.75" x14ac:dyDescent="0.45">
      <c r="A951" t="s">
        <v>9451</v>
      </c>
      <c r="B951" t="s">
        <v>9452</v>
      </c>
      <c r="C951" t="s">
        <v>15263</v>
      </c>
      <c r="D951">
        <v>950</v>
      </c>
      <c r="E951" t="str">
        <f t="shared" si="42"/>
        <v>E4_4_1_13</v>
      </c>
      <c r="F951" s="9" t="s">
        <v>17433</v>
      </c>
      <c r="G951" s="9" t="s">
        <v>17434</v>
      </c>
      <c r="H951" s="9" t="s">
        <v>17435</v>
      </c>
      <c r="I951" s="9" t="s">
        <v>17436</v>
      </c>
      <c r="J951" s="9" t="str">
        <f t="shared" si="43"/>
        <v>(${Variables:E4_4_1_13_kcat} * E4_4_1_13 * C00491 * C00001)/(${Variables:E4_4_1_13_km} + (E4_4_1_13 * C00491 * C00001))</v>
      </c>
      <c r="K951" s="38" t="str">
        <f t="shared" si="44"/>
        <v>r950: C00491 + C00001 -&gt; C00022 + C00014 + C01962 | (${Variables:E4_4_1_13_kcat} * E4_4_1_13 * C00491 * C00001)/(${Variables:E4_4_1_13_km} + (E4_4_1_13 * C00491 * C00001))</v>
      </c>
    </row>
    <row r="952" spans="1:11" ht="42.75" x14ac:dyDescent="0.45">
      <c r="A952" t="s">
        <v>9451</v>
      </c>
      <c r="B952" t="s">
        <v>9452</v>
      </c>
      <c r="C952" t="s">
        <v>15263</v>
      </c>
      <c r="D952">
        <v>951</v>
      </c>
      <c r="E952" t="str">
        <f t="shared" si="42"/>
        <v>E4_4_1_13</v>
      </c>
      <c r="F952" s="9" t="s">
        <v>17441</v>
      </c>
      <c r="G952" s="9" t="s">
        <v>17442</v>
      </c>
      <c r="H952" s="9" t="s">
        <v>17443</v>
      </c>
      <c r="I952" s="9" t="s">
        <v>17444</v>
      </c>
      <c r="J952" s="9" t="str">
        <f t="shared" si="43"/>
        <v>(${Variables:E4_4_1_13_kcat} * E4_4_1_13 * C02749 * C00001)/(${Variables:E4_4_1_13_km} + (E4_4_1_13 * C02749 * C00001))</v>
      </c>
      <c r="K952" s="38" t="str">
        <f t="shared" si="44"/>
        <v>r951: C02749 + C00001 -&gt; C00812 + C00014 + C00022 | (${Variables:E4_4_1_13_kcat} * E4_4_1_13 * C02749 * C00001)/(${Variables:E4_4_1_13_km} + (E4_4_1_13 * C02749 * C00001))</v>
      </c>
    </row>
    <row r="953" spans="1:11" ht="42.75" x14ac:dyDescent="0.45">
      <c r="A953" t="s">
        <v>9451</v>
      </c>
      <c r="B953" t="s">
        <v>9452</v>
      </c>
      <c r="C953" t="s">
        <v>15263</v>
      </c>
      <c r="D953">
        <v>952</v>
      </c>
      <c r="E953" t="str">
        <f t="shared" si="42"/>
        <v>E4_4_1_13</v>
      </c>
      <c r="F953" s="9" t="s">
        <v>17445</v>
      </c>
      <c r="G953" s="9" t="s">
        <v>17446</v>
      </c>
      <c r="H953" s="9" t="s">
        <v>17449</v>
      </c>
      <c r="I953" s="9" t="s">
        <v>17450</v>
      </c>
      <c r="J953" s="9" t="str">
        <f t="shared" si="43"/>
        <v>(${Variables:E4_4_1_13_kcat} * E4_4_1_13 * C02882 * C00001)/(${Variables:E4_4_1_13_km} + (E4_4_1_13 * C02882 * C00001))</v>
      </c>
      <c r="K953" s="38" t="str">
        <f t="shared" si="44"/>
        <v>r952: C02882 + C00001 -&gt; C01336 + C00014 + C00022 | (${Variables:E4_4_1_13_kcat} * E4_4_1_13 * C02882 * C00001)/(${Variables:E4_4_1_13_km} + (E4_4_1_13 * C02882 * C00001))</v>
      </c>
    </row>
    <row r="954" spans="1:11" ht="42.75" x14ac:dyDescent="0.45">
      <c r="A954" t="s">
        <v>9451</v>
      </c>
      <c r="B954" t="s">
        <v>9452</v>
      </c>
      <c r="C954" t="s">
        <v>15263</v>
      </c>
      <c r="D954">
        <v>953</v>
      </c>
      <c r="E954" t="str">
        <f t="shared" si="42"/>
        <v>E4_4_1_13</v>
      </c>
      <c r="F954" s="9" t="s">
        <v>17429</v>
      </c>
      <c r="G954" s="9" t="s">
        <v>17430</v>
      </c>
      <c r="H954" s="9" t="s">
        <v>17431</v>
      </c>
      <c r="I954" s="9" t="s">
        <v>17432</v>
      </c>
      <c r="J954" s="9" t="str">
        <f t="shared" si="43"/>
        <v>(${Variables:E4_4_1_13_kcat} * E4_4_1_13 * C00097 * C00001)/(${Variables:E4_4_1_13_km} + (E4_4_1_13 * C00097 * C00001))</v>
      </c>
      <c r="K954" s="38" t="str">
        <f t="shared" si="44"/>
        <v>r953: C00097 + C00001 -&gt; C00283 + C00022 + C00014 | (${Variables:E4_4_1_13_kcat} * E4_4_1_13 * C00097 * C00001)/(${Variables:E4_4_1_13_km} + (E4_4_1_13 * C00097 * C00001))</v>
      </c>
    </row>
    <row r="955" spans="1:11" ht="42.75" x14ac:dyDescent="0.45">
      <c r="A955" t="s">
        <v>9451</v>
      </c>
      <c r="B955" t="s">
        <v>9452</v>
      </c>
      <c r="C955" t="s">
        <v>15263</v>
      </c>
      <c r="D955">
        <v>954</v>
      </c>
      <c r="E955" t="str">
        <f t="shared" si="42"/>
        <v>E4_4_1_13</v>
      </c>
      <c r="F955" s="9" t="s">
        <v>17455</v>
      </c>
      <c r="G955" s="9" t="s">
        <v>17456</v>
      </c>
      <c r="H955" s="9" t="s">
        <v>17457</v>
      </c>
      <c r="I955" s="9" t="s">
        <v>17458</v>
      </c>
      <c r="J955" s="9" t="str">
        <f t="shared" si="43"/>
        <v>(${Variables:E4_4_1_13_kcat} * E4_4_1_13 * C05699 * C00001)/(${Variables:E4_4_1_13_km} + (E4_4_1_13 * C05699 * C00001))</v>
      </c>
      <c r="K955" s="38" t="str">
        <f t="shared" si="44"/>
        <v>r954: C05699 + C00001 -&gt; C05698 + C00014 + C00022 | (${Variables:E4_4_1_13_kcat} * E4_4_1_13 * C05699 * C00001)/(${Variables:E4_4_1_13_km} + (E4_4_1_13 * C05699 * C00001))</v>
      </c>
    </row>
    <row r="956" spans="1:11" ht="42.75" x14ac:dyDescent="0.45">
      <c r="A956" t="s">
        <v>9451</v>
      </c>
      <c r="B956" t="s">
        <v>9452</v>
      </c>
      <c r="C956" t="s">
        <v>15263</v>
      </c>
      <c r="D956">
        <v>955</v>
      </c>
      <c r="E956" t="str">
        <f t="shared" si="42"/>
        <v>E4_4_1_13</v>
      </c>
      <c r="F956" s="9" t="s">
        <v>17451</v>
      </c>
      <c r="G956" s="9" t="s">
        <v>17452</v>
      </c>
      <c r="H956" s="9" t="s">
        <v>17453</v>
      </c>
      <c r="I956" s="9" t="s">
        <v>17454</v>
      </c>
      <c r="J956" s="9" t="str">
        <f t="shared" si="43"/>
        <v>(${Variables:E4_4_1_13_kcat} * E4_4_1_13 * C05689 * C00001)/(${Variables:E4_4_1_13_km} + (E4_4_1_13 * C05689 * C00001))</v>
      </c>
      <c r="K956" s="38" t="str">
        <f t="shared" si="44"/>
        <v>r955: C05689 + C00001 -&gt; C00022 + C00014 + C05703 | (${Variables:E4_4_1_13_kcat} * E4_4_1_13 * C05689 * C00001)/(${Variables:E4_4_1_13_km} + (E4_4_1_13 * C05689 * C00001))</v>
      </c>
    </row>
    <row r="957" spans="1:11" ht="28.5" x14ac:dyDescent="0.45">
      <c r="A957" t="s">
        <v>9951</v>
      </c>
      <c r="B957" t="s">
        <v>9952</v>
      </c>
      <c r="C957" t="s">
        <v>15264</v>
      </c>
      <c r="D957">
        <v>956</v>
      </c>
      <c r="E957" t="str">
        <f t="shared" si="42"/>
        <v>E4_4_1_21</v>
      </c>
      <c r="F957" s="9" t="s">
        <v>12863</v>
      </c>
      <c r="G957" s="9" t="s">
        <v>12863</v>
      </c>
      <c r="H957" s="9" t="s">
        <v>17459</v>
      </c>
      <c r="I957" s="9" t="s">
        <v>17460</v>
      </c>
      <c r="J957" s="9" t="str">
        <f t="shared" si="43"/>
        <v>(${Variables:E4_4_1_21_kcat} * E4_4_1_21 * C03539)/(${Variables:E4_4_1_21_km} + (E4_4_1_21 * C03539))</v>
      </c>
      <c r="K957" s="38" t="str">
        <f t="shared" si="44"/>
        <v>r956: C03539 -&gt; C11838 + C00155 | (${Variables:E4_4_1_21_kcat} * E4_4_1_21 * C03539)/(${Variables:E4_4_1_21_km} + (E4_4_1_21 * C03539))</v>
      </c>
    </row>
    <row r="958" spans="1:11" ht="42.75" x14ac:dyDescent="0.45">
      <c r="A958" t="s">
        <v>8963</v>
      </c>
      <c r="B958" t="s">
        <v>8964</v>
      </c>
      <c r="C958" t="s">
        <v>15265</v>
      </c>
      <c r="D958">
        <v>957</v>
      </c>
      <c r="E958" t="str">
        <f t="shared" si="42"/>
        <v>E4_4_1_28</v>
      </c>
      <c r="F958" s="9" t="s">
        <v>17429</v>
      </c>
      <c r="G958" s="9" t="s">
        <v>17430</v>
      </c>
      <c r="H958" s="9" t="s">
        <v>17431</v>
      </c>
      <c r="I958" s="9" t="s">
        <v>17432</v>
      </c>
      <c r="J958" s="9" t="str">
        <f t="shared" si="43"/>
        <v>(${Variables:E4_4_1_28_kcat} * E4_4_1_28 * C00097 * C00001)/(${Variables:E4_4_1_28_km} + (E4_4_1_28 * C00097 * C00001))</v>
      </c>
      <c r="K958" s="38" t="str">
        <f t="shared" si="44"/>
        <v>r957: C00097 + C00001 -&gt; C00283 + C00022 + C00014 | (${Variables:E4_4_1_28_kcat} * E4_4_1_28 * C00097 * C00001)/(${Variables:E4_4_1_28_km} + (E4_4_1_28 * C00097 * C00001))</v>
      </c>
    </row>
    <row r="959" spans="1:11" ht="28.5" x14ac:dyDescent="0.45">
      <c r="A959" t="s">
        <v>250</v>
      </c>
      <c r="B959" t="s">
        <v>251</v>
      </c>
      <c r="C959" t="s">
        <v>15266</v>
      </c>
      <c r="D959">
        <v>958</v>
      </c>
      <c r="E959" t="str">
        <f t="shared" si="42"/>
        <v>E4_6_1_12</v>
      </c>
      <c r="F959" s="9" t="s">
        <v>12870</v>
      </c>
      <c r="G959" s="9" t="s">
        <v>12870</v>
      </c>
      <c r="H959" s="9" t="s">
        <v>17461</v>
      </c>
      <c r="I959" s="9" t="s">
        <v>17462</v>
      </c>
      <c r="J959" s="9" t="str">
        <f t="shared" si="43"/>
        <v>(${Variables:E4_6_1_12_kcat} * E4_6_1_12 * C11436)/(${Variables:E4_6_1_12_km} + (E4_6_1_12 * C11436))</v>
      </c>
      <c r="K959" s="38" t="str">
        <f t="shared" si="44"/>
        <v>r958: C11436 -&gt; C11453 + C00055 | (${Variables:E4_6_1_12_kcat} * E4_6_1_12 * C11436)/(${Variables:E4_6_1_12_km} + (E4_6_1_12 * C11436))</v>
      </c>
    </row>
    <row r="960" spans="1:11" ht="42.75" x14ac:dyDescent="0.45">
      <c r="A960" t="s">
        <v>4907</v>
      </c>
      <c r="B960" t="s">
        <v>4908</v>
      </c>
      <c r="C960" t="s">
        <v>15267</v>
      </c>
      <c r="D960">
        <v>959</v>
      </c>
      <c r="E960" t="str">
        <f t="shared" si="42"/>
        <v>E4_6_1_17</v>
      </c>
      <c r="F960" s="9" t="s">
        <v>17463</v>
      </c>
      <c r="G960" s="9" t="s">
        <v>17464</v>
      </c>
      <c r="H960" s="9" t="s">
        <v>17465</v>
      </c>
      <c r="I960" s="9" t="s">
        <v>17466</v>
      </c>
      <c r="J960" s="9" t="str">
        <f t="shared" si="43"/>
        <v>(${Variables:E4_6_1_17_kcat} * E4_6_1_17 * C21310 * C00001)/(${Variables:E4_6_1_17_km} + (E4_6_1_17 * C21310 * C00001))</v>
      </c>
      <c r="K960" s="38" t="str">
        <f t="shared" si="44"/>
        <v>r959: C21310 + C00001 -&gt; C18239 + C00013 | (${Variables:E4_6_1_17_kcat} * E4_6_1_17 * C21310 * C00001)/(${Variables:E4_6_1_17_km} + (E4_6_1_17 * C21310 * C00001))</v>
      </c>
    </row>
    <row r="961" spans="1:11" ht="28.5" x14ac:dyDescent="0.45">
      <c r="A961" t="s">
        <v>7967</v>
      </c>
      <c r="B961" t="s">
        <v>7968</v>
      </c>
      <c r="C961" t="s">
        <v>15268</v>
      </c>
      <c r="D961">
        <v>960</v>
      </c>
      <c r="E961" t="str">
        <f t="shared" si="42"/>
        <v>E5_1_1_1</v>
      </c>
      <c r="F961" s="9" t="s">
        <v>12881</v>
      </c>
      <c r="G961" s="9" t="s">
        <v>12881</v>
      </c>
      <c r="H961" s="9" t="s">
        <v>12882</v>
      </c>
      <c r="I961" s="9" t="s">
        <v>12882</v>
      </c>
      <c r="J961" s="9" t="str">
        <f t="shared" si="43"/>
        <v>(${Variables:E5_1_1_1_kcat} * E5_1_1_1 * C00041)/(${Variables:E5_1_1_1_km} + (E5_1_1_1 * C00041))</v>
      </c>
      <c r="K961" s="38" t="str">
        <f t="shared" si="44"/>
        <v>r960: C00041 -&gt; C00133 | (${Variables:E5_1_1_1_kcat} * E5_1_1_1 * C00041)/(${Variables:E5_1_1_1_km} + (E5_1_1_1 * C00041))</v>
      </c>
    </row>
    <row r="962" spans="1:11" ht="28.5" x14ac:dyDescent="0.45">
      <c r="A962" t="s">
        <v>9539</v>
      </c>
      <c r="B962" t="s">
        <v>9540</v>
      </c>
      <c r="C962" t="s">
        <v>15268</v>
      </c>
      <c r="D962">
        <v>961</v>
      </c>
      <c r="E962" t="str">
        <f t="shared" si="42"/>
        <v>E5_1_1_1</v>
      </c>
      <c r="F962" s="9" t="s">
        <v>12881</v>
      </c>
      <c r="G962" s="9" t="s">
        <v>12881</v>
      </c>
      <c r="H962" s="9" t="s">
        <v>12882</v>
      </c>
      <c r="I962" s="9" t="s">
        <v>12882</v>
      </c>
      <c r="J962" s="9" t="str">
        <f t="shared" si="43"/>
        <v>(${Variables:E5_1_1_1_kcat} * E5_1_1_1 * C00041)/(${Variables:E5_1_1_1_km} + (E5_1_1_1 * C00041))</v>
      </c>
      <c r="K962" s="38" t="str">
        <f t="shared" si="44"/>
        <v>r961: C00041 -&gt; C00133 | (${Variables:E5_1_1_1_kcat} * E5_1_1_1 * C00041)/(${Variables:E5_1_1_1_km} + (E5_1_1_1 * C00041))</v>
      </c>
    </row>
    <row r="963" spans="1:11" ht="28.5" x14ac:dyDescent="0.45">
      <c r="A963" t="s">
        <v>1421</v>
      </c>
      <c r="B963" t="s">
        <v>1422</v>
      </c>
      <c r="C963" t="s">
        <v>15269</v>
      </c>
      <c r="D963">
        <v>962</v>
      </c>
      <c r="E963" t="str">
        <f t="shared" ref="E963:E1026" si="45">CONCATENATE("E",C963)</f>
        <v>E5_1_1_12</v>
      </c>
      <c r="F963" s="9" t="s">
        <v>12886</v>
      </c>
      <c r="G963" s="9" t="s">
        <v>12886</v>
      </c>
      <c r="H963" s="9" t="s">
        <v>12887</v>
      </c>
      <c r="I963" s="9" t="s">
        <v>12887</v>
      </c>
      <c r="J963" s="9" t="str">
        <f t="shared" ref="J963:J1026" si="46">CONCATENATE("(${Variables:",E963,"_kcat","} * ",E963," * ",G963,")","/(${Variables:",E963,"_km","} + (",E963," * ",G963,"))")</f>
        <v>(${Variables:E5_1_1_12_kcat} * E5_1_1_12 * C00077)/(${Variables:E5_1_1_12_km} + (E5_1_1_12 * C00077))</v>
      </c>
      <c r="K963" s="38" t="str">
        <f t="shared" ref="K963:K1026" si="47">CONCATENATE("r",D963,": ",F963," -&gt; ",H963," | ",J963)</f>
        <v>r962: C00077 -&gt; C00515 | (${Variables:E5_1_1_12_kcat} * E5_1_1_12 * C00077)/(${Variables:E5_1_1_12_km} + (E5_1_1_12 * C00077))</v>
      </c>
    </row>
    <row r="964" spans="1:11" ht="28.5" x14ac:dyDescent="0.45">
      <c r="A964" t="s">
        <v>9853</v>
      </c>
      <c r="B964" t="s">
        <v>9854</v>
      </c>
      <c r="C964" t="s">
        <v>15270</v>
      </c>
      <c r="D964">
        <v>963</v>
      </c>
      <c r="E964" t="str">
        <f t="shared" si="45"/>
        <v>E5_1_1_3</v>
      </c>
      <c r="F964" s="9" t="s">
        <v>12891</v>
      </c>
      <c r="G964" s="9" t="s">
        <v>12891</v>
      </c>
      <c r="H964" s="9" t="s">
        <v>12892</v>
      </c>
      <c r="I964" s="9" t="s">
        <v>12892</v>
      </c>
      <c r="J964" s="9" t="str">
        <f t="shared" si="46"/>
        <v>(${Variables:E5_1_1_3_kcat} * E5_1_1_3 * C00025)/(${Variables:E5_1_1_3_km} + (E5_1_1_3 * C00025))</v>
      </c>
      <c r="K964" s="38" t="str">
        <f t="shared" si="47"/>
        <v>r963: C00025 -&gt; C00217 | (${Variables:E5_1_1_3_kcat} * E5_1_1_3 * C00025)/(${Variables:E5_1_1_3_km} + (E5_1_1_3 * C00025))</v>
      </c>
    </row>
    <row r="965" spans="1:11" ht="28.5" x14ac:dyDescent="0.45">
      <c r="A965" t="s">
        <v>8977</v>
      </c>
      <c r="B965" t="s">
        <v>8978</v>
      </c>
      <c r="C965" t="s">
        <v>15271</v>
      </c>
      <c r="D965">
        <v>964</v>
      </c>
      <c r="E965" t="str">
        <f t="shared" si="45"/>
        <v>E5_1_1_4</v>
      </c>
      <c r="F965" s="9" t="s">
        <v>12896</v>
      </c>
      <c r="G965" s="9" t="s">
        <v>12896</v>
      </c>
      <c r="H965" s="9" t="s">
        <v>10721</v>
      </c>
      <c r="I965" s="9" t="s">
        <v>10721</v>
      </c>
      <c r="J965" s="9" t="str">
        <f t="shared" si="46"/>
        <v>(${Variables:E5_1_1_4_kcat} * E5_1_1_4 * C00148)/(${Variables:E5_1_1_4_km} + (E5_1_1_4 * C00148))</v>
      </c>
      <c r="K965" s="38" t="str">
        <f t="shared" si="47"/>
        <v>r964: C00148 -&gt; C00763 | (${Variables:E5_1_1_4_kcat} * E5_1_1_4 * C00148)/(${Variables:E5_1_1_4_km} + (E5_1_1_4 * C00148))</v>
      </c>
    </row>
    <row r="966" spans="1:11" ht="28.5" x14ac:dyDescent="0.45">
      <c r="A966" t="s">
        <v>7312</v>
      </c>
      <c r="B966" t="s">
        <v>7313</v>
      </c>
      <c r="C966" t="s">
        <v>15272</v>
      </c>
      <c r="D966">
        <v>965</v>
      </c>
      <c r="E966" t="str">
        <f t="shared" si="45"/>
        <v>E5_1_1_7</v>
      </c>
      <c r="F966" s="9" t="s">
        <v>12900</v>
      </c>
      <c r="G966" s="9" t="s">
        <v>12900</v>
      </c>
      <c r="H966" s="9" t="s">
        <v>12533</v>
      </c>
      <c r="I966" s="9" t="s">
        <v>12533</v>
      </c>
      <c r="J966" s="9" t="str">
        <f t="shared" si="46"/>
        <v>(${Variables:E5_1_1_7_kcat} * E5_1_1_7 * C00666)/(${Variables:E5_1_1_7_km} + (E5_1_1_7 * C00666))</v>
      </c>
      <c r="K966" s="38" t="str">
        <f t="shared" si="47"/>
        <v>r965: C00666 -&gt; C00680 | (${Variables:E5_1_1_7_kcat} * E5_1_1_7 * C00666)/(${Variables:E5_1_1_7_km} + (E5_1_1_7 * C00666))</v>
      </c>
    </row>
    <row r="967" spans="1:11" ht="28.5" x14ac:dyDescent="0.45">
      <c r="A967" t="s">
        <v>7256</v>
      </c>
      <c r="B967" t="s">
        <v>7257</v>
      </c>
      <c r="C967" t="s">
        <v>15273</v>
      </c>
      <c r="D967">
        <v>966</v>
      </c>
      <c r="E967" t="str">
        <f t="shared" si="45"/>
        <v>E5_1_3_1</v>
      </c>
      <c r="F967" s="9" t="s">
        <v>12615</v>
      </c>
      <c r="G967" s="9" t="s">
        <v>12615</v>
      </c>
      <c r="H967" s="9" t="s">
        <v>12904</v>
      </c>
      <c r="I967" s="9" t="s">
        <v>12904</v>
      </c>
      <c r="J967" s="9" t="str">
        <f t="shared" si="46"/>
        <v>(${Variables:E5_1_3_1_kcat} * E5_1_3_1 * C00199)/(${Variables:E5_1_3_1_km} + (E5_1_3_1 * C00199))</v>
      </c>
      <c r="K967" s="38" t="str">
        <f t="shared" si="47"/>
        <v>r966: C00199 -&gt; C00231 | (${Variables:E5_1_3_1_kcat} * E5_1_3_1 * C00199)/(${Variables:E5_1_3_1_km} + (E5_1_3_1 * C00199))</v>
      </c>
    </row>
    <row r="968" spans="1:11" ht="28.5" x14ac:dyDescent="0.45">
      <c r="A968" t="s">
        <v>906</v>
      </c>
      <c r="B968" t="s">
        <v>907</v>
      </c>
      <c r="C968" t="s">
        <v>15274</v>
      </c>
      <c r="D968">
        <v>967</v>
      </c>
      <c r="E968" t="str">
        <f t="shared" si="45"/>
        <v>E5_1_3_13</v>
      </c>
      <c r="F968" s="9" t="s">
        <v>12908</v>
      </c>
      <c r="G968" s="9" t="s">
        <v>12908</v>
      </c>
      <c r="H968" s="9" t="s">
        <v>12909</v>
      </c>
      <c r="I968" s="9" t="s">
        <v>12909</v>
      </c>
      <c r="J968" s="9" t="str">
        <f t="shared" si="46"/>
        <v>(${Variables:E5_1_3_13_kcat} * E5_1_3_13 * C11907)/(${Variables:E5_1_3_13_km} + (E5_1_3_13 * C11907))</v>
      </c>
      <c r="K968" s="38" t="str">
        <f t="shared" si="47"/>
        <v>r967: C11907 -&gt; C00688 | (${Variables:E5_1_3_13_kcat} * E5_1_3_13 * C11907)/(${Variables:E5_1_3_13_km} + (E5_1_3_13 * C11907))</v>
      </c>
    </row>
    <row r="969" spans="1:11" ht="28.5" x14ac:dyDescent="0.45">
      <c r="A969" t="s">
        <v>2798</v>
      </c>
      <c r="B969" t="s">
        <v>2799</v>
      </c>
      <c r="C969" t="s">
        <v>15275</v>
      </c>
      <c r="D969">
        <v>968</v>
      </c>
      <c r="E969" t="str">
        <f t="shared" si="45"/>
        <v>E5_1_3_14</v>
      </c>
      <c r="F969" s="9" t="s">
        <v>12913</v>
      </c>
      <c r="G969" s="9" t="s">
        <v>12913</v>
      </c>
      <c r="H969" s="9" t="s">
        <v>12914</v>
      </c>
      <c r="I969" s="9" t="s">
        <v>12914</v>
      </c>
      <c r="J969" s="9" t="str">
        <f t="shared" si="46"/>
        <v>(${Variables:E5_1_3_14_kcat} * E5_1_3_14 * C00043)/(${Variables:E5_1_3_14_km} + (E5_1_3_14 * C00043))</v>
      </c>
      <c r="K969" s="38" t="str">
        <f t="shared" si="47"/>
        <v>r968: C00043 -&gt; C01170 | (${Variables:E5_1_3_14_kcat} * E5_1_3_14 * C00043)/(${Variables:E5_1_3_14_km} + (E5_1_3_14 * C00043))</v>
      </c>
    </row>
    <row r="970" spans="1:11" ht="42.75" x14ac:dyDescent="0.45">
      <c r="A970" t="s">
        <v>2798</v>
      </c>
      <c r="B970" t="s">
        <v>2799</v>
      </c>
      <c r="C970" t="s">
        <v>15275</v>
      </c>
      <c r="D970">
        <v>969</v>
      </c>
      <c r="E970" t="str">
        <f t="shared" si="45"/>
        <v>E5_1_3_14</v>
      </c>
      <c r="F970" s="9" t="s">
        <v>17467</v>
      </c>
      <c r="G970" s="9" t="s">
        <v>17468</v>
      </c>
      <c r="H970" s="9" t="s">
        <v>17469</v>
      </c>
      <c r="I970" s="9" t="s">
        <v>17470</v>
      </c>
      <c r="J970" s="9" t="str">
        <f t="shared" si="46"/>
        <v>(${Variables:E5_1_3_14_kcat} * E5_1_3_14 * C00043 * C00001)/(${Variables:E5_1_3_14_km} + (E5_1_3_14 * C00043 * C00001))</v>
      </c>
      <c r="K970" s="38" t="str">
        <f t="shared" si="47"/>
        <v>r969: C00043 + C00001 -&gt; C00645 + C00015 | (${Variables:E5_1_3_14_kcat} * E5_1_3_14 * C00043 * C00001)/(${Variables:E5_1_3_14_km} + (E5_1_3_14 * C00043 * C00001))</v>
      </c>
    </row>
    <row r="971" spans="1:11" ht="42.75" x14ac:dyDescent="0.45">
      <c r="A971" t="s">
        <v>2798</v>
      </c>
      <c r="B971" t="s">
        <v>2799</v>
      </c>
      <c r="C971" t="s">
        <v>15275</v>
      </c>
      <c r="D971">
        <v>970</v>
      </c>
      <c r="E971" t="str">
        <f t="shared" si="45"/>
        <v>E5_1_3_14</v>
      </c>
      <c r="F971" s="9" t="s">
        <v>17469</v>
      </c>
      <c r="G971" s="9" t="s">
        <v>17470</v>
      </c>
      <c r="H971" s="9" t="s">
        <v>17471</v>
      </c>
      <c r="I971" s="9" t="s">
        <v>17472</v>
      </c>
      <c r="J971" s="9" t="str">
        <f t="shared" si="46"/>
        <v>(${Variables:E5_1_3_14_kcat} * E5_1_3_14 * C00645 * C00015)/(${Variables:E5_1_3_14_km} + (E5_1_3_14 * C00645 * C00015))</v>
      </c>
      <c r="K971" s="38" t="str">
        <f t="shared" si="47"/>
        <v>r970: C00645 + C00015 -&gt; C01170 + C00001 | (${Variables:E5_1_3_14_kcat} * E5_1_3_14 * C00645 * C00015)/(${Variables:E5_1_3_14_km} + (E5_1_3_14 * C00645 * C00015))</v>
      </c>
    </row>
    <row r="972" spans="1:11" ht="28.5" x14ac:dyDescent="0.45">
      <c r="A972" t="s">
        <v>7665</v>
      </c>
      <c r="B972" t="s">
        <v>7666</v>
      </c>
      <c r="C972" t="s">
        <v>15276</v>
      </c>
      <c r="D972">
        <v>971</v>
      </c>
      <c r="E972" t="str">
        <f t="shared" si="45"/>
        <v>E5_1_3_2</v>
      </c>
      <c r="F972" s="9" t="s">
        <v>12923</v>
      </c>
      <c r="G972" s="9" t="s">
        <v>12923</v>
      </c>
      <c r="H972" s="9" t="s">
        <v>12924</v>
      </c>
      <c r="I972" s="9" t="s">
        <v>12924</v>
      </c>
      <c r="J972" s="9" t="str">
        <f t="shared" si="46"/>
        <v>(${Variables:E5_1_3_2_kcat} * E5_1_3_2 * C00029)/(${Variables:E5_1_3_2_km} + (E5_1_3_2 * C00029))</v>
      </c>
      <c r="K972" s="38" t="str">
        <f t="shared" si="47"/>
        <v>r971: C00029 -&gt; C00052 | (${Variables:E5_1_3_2_kcat} * E5_1_3_2 * C00029)/(${Variables:E5_1_3_2_km} + (E5_1_3_2 * C00029))</v>
      </c>
    </row>
    <row r="973" spans="1:11" ht="28.5" x14ac:dyDescent="0.45">
      <c r="A973" t="s">
        <v>7665</v>
      </c>
      <c r="B973" t="s">
        <v>7666</v>
      </c>
      <c r="C973" t="s">
        <v>15276</v>
      </c>
      <c r="D973">
        <v>972</v>
      </c>
      <c r="E973" t="str">
        <f t="shared" si="45"/>
        <v>E5_1_3_2</v>
      </c>
      <c r="F973" s="9" t="s">
        <v>12913</v>
      </c>
      <c r="G973" s="9" t="s">
        <v>12913</v>
      </c>
      <c r="H973" s="9" t="s">
        <v>12926</v>
      </c>
      <c r="I973" s="9" t="s">
        <v>12926</v>
      </c>
      <c r="J973" s="9" t="str">
        <f t="shared" si="46"/>
        <v>(${Variables:E5_1_3_2_kcat} * E5_1_3_2 * C00043)/(${Variables:E5_1_3_2_km} + (E5_1_3_2 * C00043))</v>
      </c>
      <c r="K973" s="38" t="str">
        <f t="shared" si="47"/>
        <v>r972: C00043 -&gt; C00203 | (${Variables:E5_1_3_2_kcat} * E5_1_3_2 * C00043)/(${Variables:E5_1_3_2_km} + (E5_1_3_2 * C00043))</v>
      </c>
    </row>
    <row r="974" spans="1:11" ht="28.5" x14ac:dyDescent="0.45">
      <c r="A974" t="s">
        <v>7665</v>
      </c>
      <c r="B974" t="s">
        <v>7666</v>
      </c>
      <c r="C974" t="s">
        <v>15276</v>
      </c>
      <c r="D974">
        <v>973</v>
      </c>
      <c r="E974" t="str">
        <f t="shared" si="45"/>
        <v>E5_1_3_2</v>
      </c>
      <c r="F974" s="9" t="s">
        <v>12691</v>
      </c>
      <c r="G974" s="9" t="s">
        <v>12691</v>
      </c>
      <c r="H974" s="9" t="s">
        <v>12928</v>
      </c>
      <c r="I974" s="9" t="s">
        <v>12928</v>
      </c>
      <c r="J974" s="9" t="str">
        <f t="shared" si="46"/>
        <v>(${Variables:E5_1_3_2_kcat} * E5_1_3_2 * C00842)/(${Variables:E5_1_3_2_km} + (E5_1_3_2 * C00842))</v>
      </c>
      <c r="K974" s="38" t="str">
        <f t="shared" si="47"/>
        <v>r973: C00842 -&gt; C02097 | (${Variables:E5_1_3_2_kcat} * E5_1_3_2 * C00842)/(${Variables:E5_1_3_2_km} + (E5_1_3_2 * C00842))</v>
      </c>
    </row>
    <row r="975" spans="1:11" ht="28.5" x14ac:dyDescent="0.45">
      <c r="A975" t="s">
        <v>6470</v>
      </c>
      <c r="B975" t="s">
        <v>6471</v>
      </c>
      <c r="C975" t="s">
        <v>15277</v>
      </c>
      <c r="D975">
        <v>974</v>
      </c>
      <c r="E975" t="str">
        <f t="shared" si="45"/>
        <v>E5_1_3_4</v>
      </c>
      <c r="F975" s="9" t="s">
        <v>12932</v>
      </c>
      <c r="G975" s="9" t="s">
        <v>12932</v>
      </c>
      <c r="H975" s="9" t="s">
        <v>12904</v>
      </c>
      <c r="I975" s="9" t="s">
        <v>12904</v>
      </c>
      <c r="J975" s="9" t="str">
        <f t="shared" si="46"/>
        <v>(${Variables:E5_1_3_4_kcat} * E5_1_3_4 * C01101)/(${Variables:E5_1_3_4_km} + (E5_1_3_4 * C01101))</v>
      </c>
      <c r="K975" s="38" t="str">
        <f t="shared" si="47"/>
        <v>r974: C01101 -&gt; C00231 | (${Variables:E5_1_3_4_kcat} * E5_1_3_4 * C01101)/(${Variables:E5_1_3_4_km} + (E5_1_3_4 * C01101))</v>
      </c>
    </row>
    <row r="976" spans="1:11" ht="28.5" x14ac:dyDescent="0.45">
      <c r="A976" t="s">
        <v>6375</v>
      </c>
      <c r="B976" t="s">
        <v>6376</v>
      </c>
      <c r="C976" t="s">
        <v>15278</v>
      </c>
      <c r="D976">
        <v>975</v>
      </c>
      <c r="E976" t="str">
        <f t="shared" si="45"/>
        <v>E5_1_3_9</v>
      </c>
      <c r="F976" s="9" t="s">
        <v>12936</v>
      </c>
      <c r="G976" s="9" t="s">
        <v>12936</v>
      </c>
      <c r="H976" s="9" t="s">
        <v>12937</v>
      </c>
      <c r="I976" s="9" t="s">
        <v>12937</v>
      </c>
      <c r="J976" s="9" t="str">
        <f t="shared" si="46"/>
        <v>(${Variables:E5_1_3_9_kcat} * E5_1_3_9 * C00686)/(${Variables:E5_1_3_9_km} + (E5_1_3_9 * C00686))</v>
      </c>
      <c r="K976" s="38" t="str">
        <f t="shared" si="47"/>
        <v>r975: C00686 -&gt; C04136 | (${Variables:E5_1_3_9_kcat} * E5_1_3_9 * C00686)/(${Variables:E5_1_3_9_km} + (E5_1_3_9 * C00686))</v>
      </c>
    </row>
    <row r="977" spans="1:11" ht="28.5" x14ac:dyDescent="0.45">
      <c r="A977" t="s">
        <v>6375</v>
      </c>
      <c r="B977" t="s">
        <v>6376</v>
      </c>
      <c r="C977" t="s">
        <v>15278</v>
      </c>
      <c r="D977">
        <v>976</v>
      </c>
      <c r="E977" t="str">
        <f t="shared" si="45"/>
        <v>E5_1_3_9</v>
      </c>
      <c r="F977" s="9" t="s">
        <v>12939</v>
      </c>
      <c r="G977" s="9" t="s">
        <v>12939</v>
      </c>
      <c r="H977" s="9" t="s">
        <v>12940</v>
      </c>
      <c r="I977" s="9" t="s">
        <v>12940</v>
      </c>
      <c r="J977" s="9" t="str">
        <f t="shared" si="46"/>
        <v>(${Variables:E5_1_3_9_kcat} * E5_1_3_9 * C00357)/(${Variables:E5_1_3_9_km} + (E5_1_3_9 * C00357))</v>
      </c>
      <c r="K977" s="38" t="str">
        <f t="shared" si="47"/>
        <v>r976: C00357 -&gt; C04257 | (${Variables:E5_1_3_9_kcat} * E5_1_3_9 * C00357)/(${Variables:E5_1_3_9_km} + (E5_1_3_9 * C00357))</v>
      </c>
    </row>
    <row r="978" spans="1:11" ht="28.5" x14ac:dyDescent="0.45">
      <c r="A978" t="s">
        <v>1255</v>
      </c>
      <c r="B978" t="s">
        <v>1256</v>
      </c>
      <c r="C978" t="s">
        <v>15279</v>
      </c>
      <c r="D978">
        <v>977</v>
      </c>
      <c r="E978" t="str">
        <f t="shared" si="45"/>
        <v>E5_2_1_8</v>
      </c>
      <c r="F978" s="9" t="s">
        <v>12944</v>
      </c>
      <c r="G978" s="9" t="s">
        <v>12944</v>
      </c>
      <c r="H978" s="9" t="s">
        <v>12945</v>
      </c>
      <c r="I978" s="9" t="s">
        <v>12945</v>
      </c>
      <c r="J978" s="9" t="str">
        <f t="shared" si="46"/>
        <v>(${Variables:E5_2_1_8_kcat} * E5_2_1_8 * C03798)/(${Variables:E5_2_1_8_km} + (E5_2_1_8 * C03798))</v>
      </c>
      <c r="K978" s="38" t="str">
        <f t="shared" si="47"/>
        <v>r977: C03798 -&gt; C03633 | (${Variables:E5_2_1_8_kcat} * E5_2_1_8 * C03798)/(${Variables:E5_2_1_8_km} + (E5_2_1_8 * C03798))</v>
      </c>
    </row>
    <row r="979" spans="1:11" ht="28.5" x14ac:dyDescent="0.45">
      <c r="A979" t="s">
        <v>3718</v>
      </c>
      <c r="B979" t="s">
        <v>3719</v>
      </c>
      <c r="C979" t="s">
        <v>15279</v>
      </c>
      <c r="D979">
        <v>978</v>
      </c>
      <c r="E979" t="str">
        <f t="shared" si="45"/>
        <v>E5_2_1_8</v>
      </c>
      <c r="F979" s="9" t="s">
        <v>12944</v>
      </c>
      <c r="G979" s="9" t="s">
        <v>12944</v>
      </c>
      <c r="H979" s="9" t="s">
        <v>12945</v>
      </c>
      <c r="I979" s="9" t="s">
        <v>12945</v>
      </c>
      <c r="J979" s="9" t="str">
        <f t="shared" si="46"/>
        <v>(${Variables:E5_2_1_8_kcat} * E5_2_1_8 * C03798)/(${Variables:E5_2_1_8_km} + (E5_2_1_8 * C03798))</v>
      </c>
      <c r="K979" s="38" t="str">
        <f t="shared" si="47"/>
        <v>r978: C03798 -&gt; C03633 | (${Variables:E5_2_1_8_kcat} * E5_2_1_8 * C03798)/(${Variables:E5_2_1_8_km} + (E5_2_1_8 * C03798))</v>
      </c>
    </row>
    <row r="980" spans="1:11" ht="28.5" x14ac:dyDescent="0.45">
      <c r="A980" t="s">
        <v>4294</v>
      </c>
      <c r="B980" t="s">
        <v>4295</v>
      </c>
      <c r="C980" t="s">
        <v>15279</v>
      </c>
      <c r="D980">
        <v>979</v>
      </c>
      <c r="E980" t="str">
        <f t="shared" si="45"/>
        <v>E5_2_1_8</v>
      </c>
      <c r="F980" s="9" t="s">
        <v>12944</v>
      </c>
      <c r="G980" s="9" t="s">
        <v>12944</v>
      </c>
      <c r="H980" s="9" t="s">
        <v>12945</v>
      </c>
      <c r="I980" s="9" t="s">
        <v>12945</v>
      </c>
      <c r="J980" s="9" t="str">
        <f t="shared" si="46"/>
        <v>(${Variables:E5_2_1_8_kcat} * E5_2_1_8 * C03798)/(${Variables:E5_2_1_8_km} + (E5_2_1_8 * C03798))</v>
      </c>
      <c r="K980" s="38" t="str">
        <f t="shared" si="47"/>
        <v>r979: C03798 -&gt; C03633 | (${Variables:E5_2_1_8_kcat} * E5_2_1_8 * C03798)/(${Variables:E5_2_1_8_km} + (E5_2_1_8 * C03798))</v>
      </c>
    </row>
    <row r="981" spans="1:11" ht="28.5" x14ac:dyDescent="0.45">
      <c r="A981" t="s">
        <v>6433</v>
      </c>
      <c r="B981" t="s">
        <v>6434</v>
      </c>
      <c r="C981" t="s">
        <v>15279</v>
      </c>
      <c r="D981">
        <v>980</v>
      </c>
      <c r="E981" t="str">
        <f t="shared" si="45"/>
        <v>E5_2_1_8</v>
      </c>
      <c r="F981" s="9" t="s">
        <v>12944</v>
      </c>
      <c r="G981" s="9" t="s">
        <v>12944</v>
      </c>
      <c r="H981" s="9" t="s">
        <v>12945</v>
      </c>
      <c r="I981" s="9" t="s">
        <v>12945</v>
      </c>
      <c r="J981" s="9" t="str">
        <f t="shared" si="46"/>
        <v>(${Variables:E5_2_1_8_kcat} * E5_2_1_8 * C03798)/(${Variables:E5_2_1_8_km} + (E5_2_1_8 * C03798))</v>
      </c>
      <c r="K981" s="38" t="str">
        <f t="shared" si="47"/>
        <v>r980: C03798 -&gt; C03633 | (${Variables:E5_2_1_8_kcat} * E5_2_1_8 * C03798)/(${Variables:E5_2_1_8_km} + (E5_2_1_8 * C03798))</v>
      </c>
    </row>
    <row r="982" spans="1:11" ht="28.5" x14ac:dyDescent="0.45">
      <c r="A982" t="s">
        <v>9170</v>
      </c>
      <c r="B982" t="s">
        <v>9171</v>
      </c>
      <c r="C982" t="s">
        <v>15279</v>
      </c>
      <c r="D982">
        <v>981</v>
      </c>
      <c r="E982" t="str">
        <f t="shared" si="45"/>
        <v>E5_2_1_8</v>
      </c>
      <c r="F982" s="9" t="s">
        <v>12944</v>
      </c>
      <c r="G982" s="9" t="s">
        <v>12944</v>
      </c>
      <c r="H982" s="9" t="s">
        <v>12945</v>
      </c>
      <c r="I982" s="9" t="s">
        <v>12945</v>
      </c>
      <c r="J982" s="9" t="str">
        <f t="shared" si="46"/>
        <v>(${Variables:E5_2_1_8_kcat} * E5_2_1_8 * C03798)/(${Variables:E5_2_1_8_km} + (E5_2_1_8 * C03798))</v>
      </c>
      <c r="K982" s="38" t="str">
        <f t="shared" si="47"/>
        <v>r981: C03798 -&gt; C03633 | (${Variables:E5_2_1_8_kcat} * E5_2_1_8 * C03798)/(${Variables:E5_2_1_8_km} + (E5_2_1_8 * C03798))</v>
      </c>
    </row>
    <row r="983" spans="1:11" ht="28.5" x14ac:dyDescent="0.45">
      <c r="A983" t="s">
        <v>9665</v>
      </c>
      <c r="B983" t="s">
        <v>9666</v>
      </c>
      <c r="C983" t="s">
        <v>15279</v>
      </c>
      <c r="D983">
        <v>982</v>
      </c>
      <c r="E983" t="str">
        <f t="shared" si="45"/>
        <v>E5_2_1_8</v>
      </c>
      <c r="F983" s="9" t="s">
        <v>12944</v>
      </c>
      <c r="G983" s="9" t="s">
        <v>12944</v>
      </c>
      <c r="H983" s="9" t="s">
        <v>12945</v>
      </c>
      <c r="I983" s="9" t="s">
        <v>12945</v>
      </c>
      <c r="J983" s="9" t="str">
        <f t="shared" si="46"/>
        <v>(${Variables:E5_2_1_8_kcat} * E5_2_1_8 * C03798)/(${Variables:E5_2_1_8_km} + (E5_2_1_8 * C03798))</v>
      </c>
      <c r="K983" s="38" t="str">
        <f t="shared" si="47"/>
        <v>r982: C03798 -&gt; C03633 | (${Variables:E5_2_1_8_kcat} * E5_2_1_8 * C03798)/(${Variables:E5_2_1_8_km} + (E5_2_1_8 * C03798))</v>
      </c>
    </row>
    <row r="984" spans="1:11" ht="28.5" x14ac:dyDescent="0.45">
      <c r="A984" t="s">
        <v>8798</v>
      </c>
      <c r="B984" t="s">
        <v>8799</v>
      </c>
      <c r="C984" t="s">
        <v>15280</v>
      </c>
      <c r="D984">
        <v>983</v>
      </c>
      <c r="E984" t="str">
        <f t="shared" si="45"/>
        <v>E5_3_1_1</v>
      </c>
      <c r="F984" s="9" t="s">
        <v>12950</v>
      </c>
      <c r="G984" s="9" t="s">
        <v>12950</v>
      </c>
      <c r="H984" s="9" t="s">
        <v>12754</v>
      </c>
      <c r="I984" s="9" t="s">
        <v>12754</v>
      </c>
      <c r="J984" s="9" t="str">
        <f t="shared" si="46"/>
        <v>(${Variables:E5_3_1_1_kcat} * E5_3_1_1 * C00118)/(${Variables:E5_3_1_1_km} + (E5_3_1_1 * C00118))</v>
      </c>
      <c r="K984" s="38" t="str">
        <f t="shared" si="47"/>
        <v>r983: C00118 -&gt; C00111 | (${Variables:E5_3_1_1_kcat} * E5_3_1_1 * C00118)/(${Variables:E5_3_1_1_km} + (E5_3_1_1 * C00118))</v>
      </c>
    </row>
    <row r="985" spans="1:11" ht="28.5" x14ac:dyDescent="0.45">
      <c r="A985" t="s">
        <v>4280</v>
      </c>
      <c r="B985" t="s">
        <v>4281</v>
      </c>
      <c r="C985" t="s">
        <v>15281</v>
      </c>
      <c r="D985">
        <v>984</v>
      </c>
      <c r="E985" t="str">
        <f t="shared" si="45"/>
        <v>E5_3_1_16</v>
      </c>
      <c r="F985" s="9" t="s">
        <v>12427</v>
      </c>
      <c r="G985" s="9" t="s">
        <v>12427</v>
      </c>
      <c r="H985" s="9" t="s">
        <v>12954</v>
      </c>
      <c r="I985" s="9" t="s">
        <v>12954</v>
      </c>
      <c r="J985" s="9" t="str">
        <f t="shared" si="46"/>
        <v>(${Variables:E5_3_1_16_kcat} * E5_3_1_16 * C04896)/(${Variables:E5_3_1_16_km} + (E5_3_1_16 * C04896))</v>
      </c>
      <c r="K985" s="38" t="str">
        <f t="shared" si="47"/>
        <v>r984: C04896 -&gt; C04916 | (${Variables:E5_3_1_16_kcat} * E5_3_1_16 * C04896)/(${Variables:E5_3_1_16_km} + (E5_3_1_16 * C04896))</v>
      </c>
    </row>
    <row r="986" spans="1:11" ht="28.5" x14ac:dyDescent="0.45">
      <c r="A986" t="s">
        <v>8449</v>
      </c>
      <c r="B986" t="s">
        <v>8450</v>
      </c>
      <c r="C986" t="s">
        <v>15282</v>
      </c>
      <c r="D986">
        <v>985</v>
      </c>
      <c r="E986" t="str">
        <f t="shared" si="45"/>
        <v>E5_3_1_5</v>
      </c>
      <c r="F986" s="9" t="s">
        <v>12958</v>
      </c>
      <c r="G986" s="9" t="s">
        <v>12958</v>
      </c>
      <c r="H986" s="9" t="s">
        <v>12959</v>
      </c>
      <c r="I986" s="9" t="s">
        <v>12959</v>
      </c>
      <c r="J986" s="9" t="str">
        <f t="shared" si="46"/>
        <v>(${Variables:E5_3_1_5_kcat} * E5_3_1_5 * C02205)/(${Variables:E5_3_1_5_km} + (E5_3_1_5 * C02205))</v>
      </c>
      <c r="K986" s="38" t="str">
        <f t="shared" si="47"/>
        <v>r985: C02205 -&gt; C22501 | (${Variables:E5_3_1_5_kcat} * E5_3_1_5 * C02205)/(${Variables:E5_3_1_5_km} + (E5_3_1_5 * C02205))</v>
      </c>
    </row>
    <row r="987" spans="1:11" ht="28.5" x14ac:dyDescent="0.45">
      <c r="A987" t="s">
        <v>8449</v>
      </c>
      <c r="B987" t="s">
        <v>8450</v>
      </c>
      <c r="C987" t="s">
        <v>15282</v>
      </c>
      <c r="D987">
        <v>986</v>
      </c>
      <c r="E987" t="str">
        <f t="shared" si="45"/>
        <v>E5_3_1_5</v>
      </c>
      <c r="F987" s="9" t="s">
        <v>12242</v>
      </c>
      <c r="G987" s="9" t="s">
        <v>12242</v>
      </c>
      <c r="H987" s="9" t="s">
        <v>12961</v>
      </c>
      <c r="I987" s="9" t="s">
        <v>12961</v>
      </c>
      <c r="J987" s="9" t="str">
        <f t="shared" si="46"/>
        <v>(${Variables:E5_3_1_5_kcat} * E5_3_1_5 * C00267)/(${Variables:E5_3_1_5_km} + (E5_3_1_5 * C00267))</v>
      </c>
      <c r="K987" s="38" t="str">
        <f t="shared" si="47"/>
        <v>r986: C00267 -&gt; C22502 | (${Variables:E5_3_1_5_kcat} * E5_3_1_5 * C00267)/(${Variables:E5_3_1_5_km} + (E5_3_1_5 * C00267))</v>
      </c>
    </row>
    <row r="988" spans="1:11" ht="28.5" x14ac:dyDescent="0.45">
      <c r="A988" t="s">
        <v>8449</v>
      </c>
      <c r="B988" t="s">
        <v>8450</v>
      </c>
      <c r="C988" t="s">
        <v>15282</v>
      </c>
      <c r="D988">
        <v>987</v>
      </c>
      <c r="E988" t="str">
        <f t="shared" si="45"/>
        <v>E5_3_1_5</v>
      </c>
      <c r="F988" s="9" t="s">
        <v>12242</v>
      </c>
      <c r="G988" s="9" t="s">
        <v>12242</v>
      </c>
      <c r="H988" s="9" t="s">
        <v>12963</v>
      </c>
      <c r="I988" s="9" t="s">
        <v>12963</v>
      </c>
      <c r="J988" s="9" t="str">
        <f t="shared" si="46"/>
        <v>(${Variables:E5_3_1_5_kcat} * E5_3_1_5 * C00267)/(${Variables:E5_3_1_5_km} + (E5_3_1_5 * C00267))</v>
      </c>
      <c r="K988" s="38" t="str">
        <f t="shared" si="47"/>
        <v>r987: C00267 -&gt; C00095 | (${Variables:E5_3_1_5_kcat} * E5_3_1_5 * C00267)/(${Variables:E5_3_1_5_km} + (E5_3_1_5 * C00267))</v>
      </c>
    </row>
    <row r="989" spans="1:11" ht="28.5" x14ac:dyDescent="0.45">
      <c r="A989" t="s">
        <v>8449</v>
      </c>
      <c r="B989" t="s">
        <v>8450</v>
      </c>
      <c r="C989" t="s">
        <v>15282</v>
      </c>
      <c r="D989">
        <v>988</v>
      </c>
      <c r="E989" t="str">
        <f t="shared" si="45"/>
        <v>E5_3_1_5</v>
      </c>
      <c r="F989" s="9" t="s">
        <v>12965</v>
      </c>
      <c r="G989" s="9" t="s">
        <v>12965</v>
      </c>
      <c r="H989" s="9" t="s">
        <v>12966</v>
      </c>
      <c r="I989" s="9" t="s">
        <v>12966</v>
      </c>
      <c r="J989" s="9" t="str">
        <f t="shared" si="46"/>
        <v>(${Variables:E5_3_1_5_kcat} * E5_3_1_5 * C00181)/(${Variables:E5_3_1_5_km} + (E5_3_1_5 * C00181))</v>
      </c>
      <c r="K989" s="38" t="str">
        <f t="shared" si="47"/>
        <v>r988: C00181 -&gt; C00310 | (${Variables:E5_3_1_5_kcat} * E5_3_1_5 * C00181)/(${Variables:E5_3_1_5_km} + (E5_3_1_5 * C00181))</v>
      </c>
    </row>
    <row r="990" spans="1:11" ht="28.5" x14ac:dyDescent="0.45">
      <c r="A990" t="s">
        <v>6547</v>
      </c>
      <c r="B990" t="s">
        <v>6548</v>
      </c>
      <c r="C990" t="s">
        <v>15283</v>
      </c>
      <c r="D990">
        <v>989</v>
      </c>
      <c r="E990" t="str">
        <f t="shared" si="45"/>
        <v>E5_3_1_6</v>
      </c>
      <c r="F990" s="9" t="s">
        <v>12970</v>
      </c>
      <c r="G990" s="9" t="s">
        <v>12970</v>
      </c>
      <c r="H990" s="9" t="s">
        <v>12615</v>
      </c>
      <c r="I990" s="9" t="s">
        <v>12615</v>
      </c>
      <c r="J990" s="9" t="str">
        <f t="shared" si="46"/>
        <v>(${Variables:E5_3_1_6_kcat} * E5_3_1_6 * C00117)/(${Variables:E5_3_1_6_km} + (E5_3_1_6 * C00117))</v>
      </c>
      <c r="K990" s="38" t="str">
        <f t="shared" si="47"/>
        <v>r989: C00117 -&gt; C00199 | (${Variables:E5_3_1_6_kcat} * E5_3_1_6 * C00117)/(${Variables:E5_3_1_6_km} + (E5_3_1_6 * C00117))</v>
      </c>
    </row>
    <row r="991" spans="1:11" ht="28.5" x14ac:dyDescent="0.45">
      <c r="A991" t="s">
        <v>6547</v>
      </c>
      <c r="B991" t="s">
        <v>6548</v>
      </c>
      <c r="C991" t="s">
        <v>15283</v>
      </c>
      <c r="D991">
        <v>990</v>
      </c>
      <c r="E991" t="str">
        <f t="shared" si="45"/>
        <v>E5_3_1_6</v>
      </c>
      <c r="F991" s="9" t="s">
        <v>12972</v>
      </c>
      <c r="G991" s="9" t="s">
        <v>12972</v>
      </c>
      <c r="H991" s="9" t="s">
        <v>12973</v>
      </c>
      <c r="I991" s="9" t="s">
        <v>12973</v>
      </c>
      <c r="J991" s="9" t="str">
        <f t="shared" si="46"/>
        <v>(${Variables:E5_3_1_6_kcat} * E5_3_1_6 * C02962)/(${Variables:E5_3_1_6_km} + (E5_3_1_6 * C02962))</v>
      </c>
      <c r="K991" s="38" t="str">
        <f t="shared" si="47"/>
        <v>r990: C02962 -&gt; C18096 | (${Variables:E5_3_1_6_kcat} * E5_3_1_6 * C02962)/(${Variables:E5_3_1_6_km} + (E5_3_1_6 * C02962))</v>
      </c>
    </row>
    <row r="992" spans="1:11" ht="28.5" x14ac:dyDescent="0.45">
      <c r="A992" t="s">
        <v>9598</v>
      </c>
      <c r="B992" t="s">
        <v>9599</v>
      </c>
      <c r="C992" t="s">
        <v>15283</v>
      </c>
      <c r="D992">
        <v>991</v>
      </c>
      <c r="E992" t="str">
        <f t="shared" si="45"/>
        <v>E5_3_1_6</v>
      </c>
      <c r="F992" s="9" t="s">
        <v>12970</v>
      </c>
      <c r="G992" s="9" t="s">
        <v>12970</v>
      </c>
      <c r="H992" s="9" t="s">
        <v>12615</v>
      </c>
      <c r="I992" s="9" t="s">
        <v>12615</v>
      </c>
      <c r="J992" s="9" t="str">
        <f t="shared" si="46"/>
        <v>(${Variables:E5_3_1_6_kcat} * E5_3_1_6 * C00117)/(${Variables:E5_3_1_6_km} + (E5_3_1_6 * C00117))</v>
      </c>
      <c r="K992" s="38" t="str">
        <f t="shared" si="47"/>
        <v>r991: C00117 -&gt; C00199 | (${Variables:E5_3_1_6_kcat} * E5_3_1_6 * C00117)/(${Variables:E5_3_1_6_km} + (E5_3_1_6 * C00117))</v>
      </c>
    </row>
    <row r="993" spans="1:11" ht="28.5" x14ac:dyDescent="0.45">
      <c r="A993" t="s">
        <v>9598</v>
      </c>
      <c r="B993" t="s">
        <v>9599</v>
      </c>
      <c r="C993" t="s">
        <v>15283</v>
      </c>
      <c r="D993">
        <v>992</v>
      </c>
      <c r="E993" t="str">
        <f t="shared" si="45"/>
        <v>E5_3_1_6</v>
      </c>
      <c r="F993" s="9" t="s">
        <v>12972</v>
      </c>
      <c r="G993" s="9" t="s">
        <v>12972</v>
      </c>
      <c r="H993" s="9" t="s">
        <v>12973</v>
      </c>
      <c r="I993" s="9" t="s">
        <v>12973</v>
      </c>
      <c r="J993" s="9" t="str">
        <f t="shared" si="46"/>
        <v>(${Variables:E5_3_1_6_kcat} * E5_3_1_6 * C02962)/(${Variables:E5_3_1_6_km} + (E5_3_1_6 * C02962))</v>
      </c>
      <c r="K993" s="38" t="str">
        <f t="shared" si="47"/>
        <v>r992: C02962 -&gt; C18096 | (${Variables:E5_3_1_6_kcat} * E5_3_1_6 * C02962)/(${Variables:E5_3_1_6_km} + (E5_3_1_6 * C02962))</v>
      </c>
    </row>
    <row r="994" spans="1:11" ht="28.5" x14ac:dyDescent="0.45">
      <c r="A994" t="s">
        <v>7046</v>
      </c>
      <c r="B994" t="s">
        <v>7047</v>
      </c>
      <c r="C994" t="s">
        <v>15284</v>
      </c>
      <c r="D994">
        <v>993</v>
      </c>
      <c r="E994" t="str">
        <f t="shared" si="45"/>
        <v>E5_3_1_8</v>
      </c>
      <c r="F994" s="9" t="s">
        <v>12977</v>
      </c>
      <c r="G994" s="9" t="s">
        <v>12977</v>
      </c>
      <c r="H994" s="9" t="s">
        <v>12978</v>
      </c>
      <c r="I994" s="9" t="s">
        <v>12978</v>
      </c>
      <c r="J994" s="9" t="str">
        <f t="shared" si="46"/>
        <v>(${Variables:E5_3_1_8_kcat} * E5_3_1_8 * C00275)/(${Variables:E5_3_1_8_km} + (E5_3_1_8 * C00275))</v>
      </c>
      <c r="K994" s="38" t="str">
        <f t="shared" si="47"/>
        <v>r993: C00275 -&gt; C00085 | (${Variables:E5_3_1_8_kcat} * E5_3_1_8 * C00275)/(${Variables:E5_3_1_8_km} + (E5_3_1_8 * C00275))</v>
      </c>
    </row>
    <row r="995" spans="1:11" ht="28.5" x14ac:dyDescent="0.45">
      <c r="A995" t="s">
        <v>7046</v>
      </c>
      <c r="B995" t="s">
        <v>7047</v>
      </c>
      <c r="C995" t="s">
        <v>15284</v>
      </c>
      <c r="D995">
        <v>994</v>
      </c>
      <c r="E995" t="str">
        <f t="shared" si="45"/>
        <v>E5_3_1_8</v>
      </c>
      <c r="F995" s="9" t="s">
        <v>12977</v>
      </c>
      <c r="G995" s="9" t="s">
        <v>12977</v>
      </c>
      <c r="H995" s="9" t="s">
        <v>12980</v>
      </c>
      <c r="I995" s="9" t="s">
        <v>12980</v>
      </c>
      <c r="J995" s="9" t="str">
        <f t="shared" si="46"/>
        <v>(${Variables:E5_3_1_8_kcat} * E5_3_1_8 * C00275)/(${Variables:E5_3_1_8_km} + (E5_3_1_8 * C00275))</v>
      </c>
      <c r="K995" s="38" t="str">
        <f t="shared" si="47"/>
        <v>r994: C00275 -&gt; C05345 | (${Variables:E5_3_1_8_kcat} * E5_3_1_8 * C00275)/(${Variables:E5_3_1_8_km} + (E5_3_1_8 * C00275))</v>
      </c>
    </row>
    <row r="996" spans="1:11" ht="28.5" x14ac:dyDescent="0.45">
      <c r="A996" t="s">
        <v>9114</v>
      </c>
      <c r="B996" t="s">
        <v>9115</v>
      </c>
      <c r="C996" t="s">
        <v>15285</v>
      </c>
      <c r="D996">
        <v>995</v>
      </c>
      <c r="E996" t="str">
        <f t="shared" si="45"/>
        <v>E5_3_1_9</v>
      </c>
      <c r="F996" s="9" t="s">
        <v>12984</v>
      </c>
      <c r="G996" s="9" t="s">
        <v>12984</v>
      </c>
      <c r="H996" s="9" t="s">
        <v>12980</v>
      </c>
      <c r="I996" s="9" t="s">
        <v>12980</v>
      </c>
      <c r="J996" s="9" t="str">
        <f t="shared" si="46"/>
        <v>(${Variables:E5_3_1_9_kcat} * E5_3_1_9 * C00668)/(${Variables:E5_3_1_9_km} + (E5_3_1_9 * C00668))</v>
      </c>
      <c r="K996" s="38" t="str">
        <f t="shared" si="47"/>
        <v>r995: C00668 -&gt; C05345 | (${Variables:E5_3_1_9_kcat} * E5_3_1_9 * C00668)/(${Variables:E5_3_1_9_km} + (E5_3_1_9 * C00668))</v>
      </c>
    </row>
    <row r="997" spans="1:11" ht="28.5" x14ac:dyDescent="0.45">
      <c r="A997" t="s">
        <v>9114</v>
      </c>
      <c r="B997" t="s">
        <v>9115</v>
      </c>
      <c r="C997" t="s">
        <v>15285</v>
      </c>
      <c r="D997">
        <v>996</v>
      </c>
      <c r="E997" t="str">
        <f t="shared" si="45"/>
        <v>E5_3_1_9</v>
      </c>
      <c r="F997" s="9" t="s">
        <v>12986</v>
      </c>
      <c r="G997" s="9" t="s">
        <v>12986</v>
      </c>
      <c r="H997" s="9" t="s">
        <v>12978</v>
      </c>
      <c r="I997" s="9" t="s">
        <v>12978</v>
      </c>
      <c r="J997" s="9" t="str">
        <f t="shared" si="46"/>
        <v>(${Variables:E5_3_1_9_kcat} * E5_3_1_9 * C00092)/(${Variables:E5_3_1_9_km} + (E5_3_1_9 * C00092))</v>
      </c>
      <c r="K997" s="38" t="str">
        <f t="shared" si="47"/>
        <v>r996: C00092 -&gt; C00085 | (${Variables:E5_3_1_9_kcat} * E5_3_1_9 * C00092)/(${Variables:E5_3_1_9_km} + (E5_3_1_9 * C00092))</v>
      </c>
    </row>
    <row r="998" spans="1:11" ht="28.5" x14ac:dyDescent="0.45">
      <c r="A998" t="s">
        <v>9114</v>
      </c>
      <c r="B998" t="s">
        <v>9115</v>
      </c>
      <c r="C998" t="s">
        <v>15285</v>
      </c>
      <c r="D998">
        <v>997</v>
      </c>
      <c r="E998" t="str">
        <f t="shared" si="45"/>
        <v>E5_3_1_9</v>
      </c>
      <c r="F998" s="9" t="s">
        <v>12984</v>
      </c>
      <c r="G998" s="9" t="s">
        <v>12984</v>
      </c>
      <c r="H998" s="9" t="s">
        <v>12988</v>
      </c>
      <c r="I998" s="9" t="s">
        <v>12988</v>
      </c>
      <c r="J998" s="9" t="str">
        <f t="shared" si="46"/>
        <v>(${Variables:E5_3_1_9_kcat} * E5_3_1_9 * C00668)/(${Variables:E5_3_1_9_km} + (E5_3_1_9 * C00668))</v>
      </c>
      <c r="K998" s="38" t="str">
        <f t="shared" si="47"/>
        <v>r997: C00668 -&gt; C01172 | (${Variables:E5_3_1_9_kcat} * E5_3_1_9 * C00668)/(${Variables:E5_3_1_9_km} + (E5_3_1_9 * C00668))</v>
      </c>
    </row>
    <row r="999" spans="1:11" ht="28.5" x14ac:dyDescent="0.45">
      <c r="A999" t="s">
        <v>9114</v>
      </c>
      <c r="B999" t="s">
        <v>9115</v>
      </c>
      <c r="C999" t="s">
        <v>15285</v>
      </c>
      <c r="D999">
        <v>998</v>
      </c>
      <c r="E999" t="str">
        <f t="shared" si="45"/>
        <v>E5_3_1_9</v>
      </c>
      <c r="F999" s="9" t="s">
        <v>12988</v>
      </c>
      <c r="G999" s="9" t="s">
        <v>12988</v>
      </c>
      <c r="H999" s="9" t="s">
        <v>12980</v>
      </c>
      <c r="I999" s="9" t="s">
        <v>12980</v>
      </c>
      <c r="J999" s="9" t="str">
        <f t="shared" si="46"/>
        <v>(${Variables:E5_3_1_9_kcat} * E5_3_1_9 * C01172)/(${Variables:E5_3_1_9_km} + (E5_3_1_9 * C01172))</v>
      </c>
      <c r="K999" s="38" t="str">
        <f t="shared" si="47"/>
        <v>r998: C01172 -&gt; C05345 | (${Variables:E5_3_1_9_kcat} * E5_3_1_9 * C01172)/(${Variables:E5_3_1_9_km} + (E5_3_1_9 * C01172))</v>
      </c>
    </row>
    <row r="1000" spans="1:11" ht="28.5" x14ac:dyDescent="0.45">
      <c r="A1000" t="s">
        <v>9114</v>
      </c>
      <c r="B1000" t="s">
        <v>9115</v>
      </c>
      <c r="C1000" t="s">
        <v>15285</v>
      </c>
      <c r="D1000">
        <v>999</v>
      </c>
      <c r="E1000" t="str">
        <f t="shared" si="45"/>
        <v>E5_3_1_9</v>
      </c>
      <c r="F1000" s="9" t="s">
        <v>12984</v>
      </c>
      <c r="G1000" s="9" t="s">
        <v>12984</v>
      </c>
      <c r="H1000" s="9" t="s">
        <v>12978</v>
      </c>
      <c r="I1000" s="9" t="s">
        <v>12978</v>
      </c>
      <c r="J1000" s="9" t="str">
        <f t="shared" si="46"/>
        <v>(${Variables:E5_3_1_9_kcat} * E5_3_1_9 * C00668)/(${Variables:E5_3_1_9_km} + (E5_3_1_9 * C00668))</v>
      </c>
      <c r="K1000" s="38" t="str">
        <f t="shared" si="47"/>
        <v>r999: C00668 -&gt; C00085 | (${Variables:E5_3_1_9_kcat} * E5_3_1_9 * C00668)/(${Variables:E5_3_1_9_km} + (E5_3_1_9 * C00668))</v>
      </c>
    </row>
    <row r="1001" spans="1:11" ht="28.5" x14ac:dyDescent="0.45">
      <c r="A1001" t="s">
        <v>562</v>
      </c>
      <c r="B1001" t="s">
        <v>563</v>
      </c>
      <c r="C1001" t="s">
        <v>15286</v>
      </c>
      <c r="D1001">
        <v>1000</v>
      </c>
      <c r="E1001" t="str">
        <f t="shared" si="45"/>
        <v>E5_4_2_10</v>
      </c>
      <c r="F1001" s="9" t="s">
        <v>12996</v>
      </c>
      <c r="G1001" s="9" t="s">
        <v>12996</v>
      </c>
      <c r="H1001" s="9" t="s">
        <v>12997</v>
      </c>
      <c r="I1001" s="9" t="s">
        <v>12997</v>
      </c>
      <c r="J1001" s="9" t="str">
        <f t="shared" si="46"/>
        <v>(${Variables:E5_4_2_10_kcat} * E5_4_2_10 * C06156)/(${Variables:E5_4_2_10_km} + (E5_4_2_10 * C06156))</v>
      </c>
      <c r="K1001" s="38" t="str">
        <f t="shared" si="47"/>
        <v>r1000: C06156 -&gt; C00352 | (${Variables:E5_4_2_10_kcat} * E5_4_2_10 * C06156)/(${Variables:E5_4_2_10_km} + (E5_4_2_10 * C06156))</v>
      </c>
    </row>
    <row r="1002" spans="1:11" ht="28.5" x14ac:dyDescent="0.45">
      <c r="A1002" t="s">
        <v>8794</v>
      </c>
      <c r="B1002" t="s">
        <v>8795</v>
      </c>
      <c r="C1002" t="s">
        <v>15287</v>
      </c>
      <c r="D1002">
        <v>1001</v>
      </c>
      <c r="E1002" t="str">
        <f t="shared" si="45"/>
        <v>E5_4_2_12</v>
      </c>
      <c r="F1002" s="9" t="s">
        <v>12638</v>
      </c>
      <c r="G1002" s="9" t="s">
        <v>12638</v>
      </c>
      <c r="H1002" s="9" t="s">
        <v>13001</v>
      </c>
      <c r="I1002" s="9" t="s">
        <v>13001</v>
      </c>
      <c r="J1002" s="9" t="str">
        <f t="shared" si="46"/>
        <v>(${Variables:E5_4_2_12_kcat} * E5_4_2_12 * C00631)/(${Variables:E5_4_2_12_km} + (E5_4_2_12 * C00631))</v>
      </c>
      <c r="K1002" s="38" t="str">
        <f t="shared" si="47"/>
        <v>r1001: C00631 -&gt; C00197 | (${Variables:E5_4_2_12_kcat} * E5_4_2_12 * C00631)/(${Variables:E5_4_2_12_km} + (E5_4_2_12 * C00631))</v>
      </c>
    </row>
    <row r="1003" spans="1:11" ht="28.5" x14ac:dyDescent="0.45">
      <c r="A1003" t="s">
        <v>6262</v>
      </c>
      <c r="B1003" t="s">
        <v>6263</v>
      </c>
      <c r="C1003" t="s">
        <v>15288</v>
      </c>
      <c r="D1003">
        <v>1002</v>
      </c>
      <c r="E1003" t="str">
        <f t="shared" si="45"/>
        <v>E5_4_2_6</v>
      </c>
      <c r="F1003" s="9" t="s">
        <v>13005</v>
      </c>
      <c r="G1003" s="9" t="s">
        <v>13005</v>
      </c>
      <c r="H1003" s="9" t="s">
        <v>12988</v>
      </c>
      <c r="I1003" s="9" t="s">
        <v>12988</v>
      </c>
      <c r="J1003" s="9" t="str">
        <f t="shared" si="46"/>
        <v>(${Variables:E5_4_2_6_kcat} * E5_4_2_6 * C00663)/(${Variables:E5_4_2_6_km} + (E5_4_2_6 * C00663))</v>
      </c>
      <c r="K1003" s="38" t="str">
        <f t="shared" si="47"/>
        <v>r1002: C00663 -&gt; C01172 | (${Variables:E5_4_2_6_kcat} * E5_4_2_6 * C00663)/(${Variables:E5_4_2_6_km} + (E5_4_2_6 * C00663))</v>
      </c>
    </row>
    <row r="1004" spans="1:11" ht="28.5" x14ac:dyDescent="0.45">
      <c r="A1004" t="s">
        <v>6262</v>
      </c>
      <c r="B1004" t="s">
        <v>6263</v>
      </c>
      <c r="C1004" t="s">
        <v>15288</v>
      </c>
      <c r="D1004">
        <v>1003</v>
      </c>
      <c r="E1004" t="str">
        <f t="shared" si="45"/>
        <v>E5_4_2_6</v>
      </c>
      <c r="F1004" s="9" t="s">
        <v>13005</v>
      </c>
      <c r="G1004" s="9" t="s">
        <v>13005</v>
      </c>
      <c r="H1004" s="9" t="s">
        <v>12986</v>
      </c>
      <c r="I1004" s="9" t="s">
        <v>12986</v>
      </c>
      <c r="J1004" s="9" t="str">
        <f t="shared" si="46"/>
        <v>(${Variables:E5_4_2_6_kcat} * E5_4_2_6 * C00663)/(${Variables:E5_4_2_6_km} + (E5_4_2_6 * C00663))</v>
      </c>
      <c r="K1004" s="38" t="str">
        <f t="shared" si="47"/>
        <v>r1003: C00663 -&gt; C00092 | (${Variables:E5_4_2_6_kcat} * E5_4_2_6 * C00663)/(${Variables:E5_4_2_6_km} + (E5_4_2_6 * C00663))</v>
      </c>
    </row>
    <row r="1005" spans="1:11" ht="28.5" x14ac:dyDescent="0.45">
      <c r="A1005" t="s">
        <v>8635</v>
      </c>
      <c r="B1005" t="s">
        <v>8636</v>
      </c>
      <c r="C1005" t="s">
        <v>15288</v>
      </c>
      <c r="D1005">
        <v>1004</v>
      </c>
      <c r="E1005" t="str">
        <f t="shared" si="45"/>
        <v>E5_4_2_6</v>
      </c>
      <c r="F1005" s="9" t="s">
        <v>13005</v>
      </c>
      <c r="G1005" s="9" t="s">
        <v>13005</v>
      </c>
      <c r="H1005" s="9" t="s">
        <v>12988</v>
      </c>
      <c r="I1005" s="9" t="s">
        <v>12988</v>
      </c>
      <c r="J1005" s="9" t="str">
        <f t="shared" si="46"/>
        <v>(${Variables:E5_4_2_6_kcat} * E5_4_2_6 * C00663)/(${Variables:E5_4_2_6_km} + (E5_4_2_6 * C00663))</v>
      </c>
      <c r="K1005" s="38" t="str">
        <f t="shared" si="47"/>
        <v>r1004: C00663 -&gt; C01172 | (${Variables:E5_4_2_6_kcat} * E5_4_2_6 * C00663)/(${Variables:E5_4_2_6_km} + (E5_4_2_6 * C00663))</v>
      </c>
    </row>
    <row r="1006" spans="1:11" ht="28.5" x14ac:dyDescent="0.45">
      <c r="A1006" t="s">
        <v>8635</v>
      </c>
      <c r="B1006" t="s">
        <v>8636</v>
      </c>
      <c r="C1006" t="s">
        <v>15288</v>
      </c>
      <c r="D1006">
        <v>1005</v>
      </c>
      <c r="E1006" t="str">
        <f t="shared" si="45"/>
        <v>E5_4_2_6</v>
      </c>
      <c r="F1006" s="9" t="s">
        <v>13005</v>
      </c>
      <c r="G1006" s="9" t="s">
        <v>13005</v>
      </c>
      <c r="H1006" s="9" t="s">
        <v>12986</v>
      </c>
      <c r="I1006" s="9" t="s">
        <v>12986</v>
      </c>
      <c r="J1006" s="9" t="str">
        <f t="shared" si="46"/>
        <v>(${Variables:E5_4_2_6_kcat} * E5_4_2_6 * C00663)/(${Variables:E5_4_2_6_km} + (E5_4_2_6 * C00663))</v>
      </c>
      <c r="K1006" s="38" t="str">
        <f t="shared" si="47"/>
        <v>r1005: C00663 -&gt; C00092 | (${Variables:E5_4_2_6_kcat} * E5_4_2_6 * C00663)/(${Variables:E5_4_2_6_km} + (E5_4_2_6 * C00663))</v>
      </c>
    </row>
    <row r="1007" spans="1:11" ht="28.5" x14ac:dyDescent="0.45">
      <c r="A1007" t="s">
        <v>3307</v>
      </c>
      <c r="B1007" t="s">
        <v>3308</v>
      </c>
      <c r="C1007" t="s">
        <v>15289</v>
      </c>
      <c r="D1007">
        <v>1006</v>
      </c>
      <c r="E1007" t="str">
        <f t="shared" si="45"/>
        <v>E5_4_2_7</v>
      </c>
      <c r="F1007" s="9" t="s">
        <v>13010</v>
      </c>
      <c r="G1007" s="9" t="s">
        <v>13010</v>
      </c>
      <c r="H1007" s="9" t="s">
        <v>12970</v>
      </c>
      <c r="I1007" s="9" t="s">
        <v>12970</v>
      </c>
      <c r="J1007" s="9" t="str">
        <f t="shared" si="46"/>
        <v>(${Variables:E5_4_2_7_kcat} * E5_4_2_7 * C00620)/(${Variables:E5_4_2_7_km} + (E5_4_2_7 * C00620))</v>
      </c>
      <c r="K1007" s="38" t="str">
        <f t="shared" si="47"/>
        <v>r1006: C00620 -&gt; C00117 | (${Variables:E5_4_2_7_kcat} * E5_4_2_7 * C00620)/(${Variables:E5_4_2_7_km} + (E5_4_2_7 * C00620))</v>
      </c>
    </row>
    <row r="1008" spans="1:11" ht="28.5" x14ac:dyDescent="0.45">
      <c r="A1008" t="s">
        <v>3307</v>
      </c>
      <c r="B1008" t="s">
        <v>3308</v>
      </c>
      <c r="C1008" t="s">
        <v>15289</v>
      </c>
      <c r="D1008">
        <v>1007</v>
      </c>
      <c r="E1008" t="str">
        <f t="shared" si="45"/>
        <v>E5_4_2_7</v>
      </c>
      <c r="F1008" s="9" t="s">
        <v>13012</v>
      </c>
      <c r="G1008" s="9" t="s">
        <v>13012</v>
      </c>
      <c r="H1008" s="9" t="s">
        <v>12586</v>
      </c>
      <c r="I1008" s="9" t="s">
        <v>12586</v>
      </c>
      <c r="J1008" s="9" t="str">
        <f t="shared" si="46"/>
        <v>(${Variables:E5_4_2_7_kcat} * E5_4_2_7 * C00672)/(${Variables:E5_4_2_7_km} + (E5_4_2_7 * C00672))</v>
      </c>
      <c r="K1008" s="38" t="str">
        <f t="shared" si="47"/>
        <v>r1007: C00672 -&gt; C00673 | (${Variables:E5_4_2_7_kcat} * E5_4_2_7 * C00672)/(${Variables:E5_4_2_7_km} + (E5_4_2_7 * C00672))</v>
      </c>
    </row>
    <row r="1009" spans="1:11" ht="28.5" x14ac:dyDescent="0.45">
      <c r="A1009" t="s">
        <v>1414</v>
      </c>
      <c r="B1009" t="s">
        <v>1415</v>
      </c>
      <c r="C1009" t="s">
        <v>15290</v>
      </c>
      <c r="D1009">
        <v>1008</v>
      </c>
      <c r="E1009" t="str">
        <f t="shared" si="45"/>
        <v>E5_4_3_5</v>
      </c>
      <c r="F1009" s="9" t="s">
        <v>12887</v>
      </c>
      <c r="G1009" s="9" t="s">
        <v>12887</v>
      </c>
      <c r="H1009" s="9" t="s">
        <v>13016</v>
      </c>
      <c r="I1009" s="9" t="s">
        <v>13016</v>
      </c>
      <c r="J1009" s="9" t="str">
        <f t="shared" si="46"/>
        <v>(${Variables:E5_4_3_5_kcat} * E5_4_3_5 * C00515)/(${Variables:E5_4_3_5_km} + (E5_4_3_5 * C00515))</v>
      </c>
      <c r="K1009" s="38" t="str">
        <f t="shared" si="47"/>
        <v>r1008: C00515 -&gt; C03943 | (${Variables:E5_4_3_5_kcat} * E5_4_3_5 * C00515)/(${Variables:E5_4_3_5_km} + (E5_4_3_5 * C00515))</v>
      </c>
    </row>
    <row r="1010" spans="1:11" ht="28.5" x14ac:dyDescent="0.45">
      <c r="A1010" t="s">
        <v>6409</v>
      </c>
      <c r="B1010" t="s">
        <v>6410</v>
      </c>
      <c r="C1010" t="s">
        <v>15291</v>
      </c>
      <c r="D1010">
        <v>1009</v>
      </c>
      <c r="E1010" t="str">
        <f t="shared" si="45"/>
        <v>E5_4_3_9</v>
      </c>
      <c r="F1010" s="9" t="s">
        <v>12891</v>
      </c>
      <c r="G1010" s="9" t="s">
        <v>12891</v>
      </c>
      <c r="H1010" s="9" t="s">
        <v>13020</v>
      </c>
      <c r="I1010" s="9" t="s">
        <v>13020</v>
      </c>
      <c r="J1010" s="9" t="str">
        <f t="shared" si="46"/>
        <v>(${Variables:E5_4_3_9_kcat} * E5_4_3_9 * C00025)/(${Variables:E5_4_3_9_km} + (E5_4_3_9 * C00025))</v>
      </c>
      <c r="K1010" s="38" t="str">
        <f t="shared" si="47"/>
        <v>r1009: C00025 -&gt; C05574 | (${Variables:E5_4_3_9_kcat} * E5_4_3_9 * C00025)/(${Variables:E5_4_3_9_km} + (E5_4_3_9 * C00025))</v>
      </c>
    </row>
    <row r="1011" spans="1:11" ht="28.5" x14ac:dyDescent="0.45">
      <c r="A1011" t="s">
        <v>487</v>
      </c>
      <c r="B1011" t="s">
        <v>488</v>
      </c>
      <c r="C1011" t="s">
        <v>15292</v>
      </c>
      <c r="D1011">
        <v>1010</v>
      </c>
      <c r="E1011" t="str">
        <f t="shared" si="45"/>
        <v>E5_4_99_12</v>
      </c>
      <c r="F1011" s="9" t="s">
        <v>13025</v>
      </c>
      <c r="G1011" s="9" t="s">
        <v>13025</v>
      </c>
      <c r="H1011" s="9" t="s">
        <v>13026</v>
      </c>
      <c r="I1011" s="9" t="s">
        <v>13026</v>
      </c>
      <c r="J1011" s="9" t="str">
        <f t="shared" si="46"/>
        <v>(${Variables:E5_4_99_12_kcat} * E5_4_99_12 * C00868)/(${Variables:E5_4_99_12_km} + (E5_4_99_12 * C00868))</v>
      </c>
      <c r="K1011" s="38" t="str">
        <f t="shared" si="47"/>
        <v>r1010: C00868 -&gt; C02764 | (${Variables:E5_4_99_12_kcat} * E5_4_99_12 * C00868)/(${Variables:E5_4_99_12_km} + (E5_4_99_12 * C00868))</v>
      </c>
    </row>
    <row r="1012" spans="1:11" ht="28.5" x14ac:dyDescent="0.45">
      <c r="A1012" t="s">
        <v>5092</v>
      </c>
      <c r="B1012" t="s">
        <v>5093</v>
      </c>
      <c r="C1012" t="s">
        <v>15292</v>
      </c>
      <c r="D1012">
        <v>1011</v>
      </c>
      <c r="E1012" t="str">
        <f t="shared" si="45"/>
        <v>E5_4_99_12</v>
      </c>
      <c r="F1012" s="9" t="s">
        <v>13025</v>
      </c>
      <c r="G1012" s="9" t="s">
        <v>13025</v>
      </c>
      <c r="H1012" s="9" t="s">
        <v>13026</v>
      </c>
      <c r="I1012" s="9" t="s">
        <v>13026</v>
      </c>
      <c r="J1012" s="9" t="str">
        <f t="shared" si="46"/>
        <v>(${Variables:E5_4_99_12_kcat} * E5_4_99_12 * C00868)/(${Variables:E5_4_99_12_km} + (E5_4_99_12 * C00868))</v>
      </c>
      <c r="K1012" s="38" t="str">
        <f t="shared" si="47"/>
        <v>r1011: C00868 -&gt; C02764 | (${Variables:E5_4_99_12_kcat} * E5_4_99_12 * C00868)/(${Variables:E5_4_99_12_km} + (E5_4_99_12 * C00868))</v>
      </c>
    </row>
    <row r="1013" spans="1:11" ht="28.5" x14ac:dyDescent="0.45">
      <c r="A1013" t="s">
        <v>867</v>
      </c>
      <c r="B1013" t="s">
        <v>868</v>
      </c>
      <c r="C1013" t="s">
        <v>15293</v>
      </c>
      <c r="D1013">
        <v>1012</v>
      </c>
      <c r="E1013" t="str">
        <f t="shared" si="45"/>
        <v>E5_4_99_18</v>
      </c>
      <c r="F1013" s="9" t="s">
        <v>13030</v>
      </c>
      <c r="G1013" s="9" t="s">
        <v>13030</v>
      </c>
      <c r="H1013" s="9" t="s">
        <v>12538</v>
      </c>
      <c r="I1013" s="9" t="s">
        <v>12538</v>
      </c>
      <c r="J1013" s="9" t="str">
        <f t="shared" si="46"/>
        <v>(${Variables:E5_4_99_18_kcat} * E5_4_99_18 * C15667)/(${Variables:E5_4_99_18_km} + (E5_4_99_18 * C15667))</v>
      </c>
      <c r="K1013" s="38" t="str">
        <f t="shared" si="47"/>
        <v>r1012: C15667 -&gt; C04751 | (${Variables:E5_4_99_18_kcat} * E5_4_99_18 * C15667)/(${Variables:E5_4_99_18_km} + (E5_4_99_18 * C15667))</v>
      </c>
    </row>
    <row r="1014" spans="1:11" ht="28.5" x14ac:dyDescent="0.45">
      <c r="A1014" t="s">
        <v>9415</v>
      </c>
      <c r="B1014" t="s">
        <v>9416</v>
      </c>
      <c r="C1014" t="s">
        <v>15294</v>
      </c>
      <c r="D1014">
        <v>1013</v>
      </c>
      <c r="E1014" t="str">
        <f t="shared" si="45"/>
        <v>E5_4_99_60</v>
      </c>
      <c r="F1014" s="9" t="s">
        <v>13036</v>
      </c>
      <c r="G1014" s="9" t="s">
        <v>13036</v>
      </c>
      <c r="H1014" s="9" t="s">
        <v>13037</v>
      </c>
      <c r="I1014" s="9" t="s">
        <v>13037</v>
      </c>
      <c r="J1014" s="9" t="str">
        <f t="shared" si="46"/>
        <v>(${Variables:E5_4_99_60_kcat} * E5_4_99_60 * C11545)/(${Variables:E5_4_99_60_km} + (E5_4_99_60 * C11545))</v>
      </c>
      <c r="K1014" s="38" t="str">
        <f t="shared" si="47"/>
        <v>r1013: C11545 -&gt; C05773 | (${Variables:E5_4_99_60_kcat} * E5_4_99_60 * C11545)/(${Variables:E5_4_99_60_km} + (E5_4_99_60 * C11545))</v>
      </c>
    </row>
    <row r="1015" spans="1:11" ht="42.75" x14ac:dyDescent="0.45">
      <c r="A1015" t="s">
        <v>4193</v>
      </c>
      <c r="B1015" t="s">
        <v>4194</v>
      </c>
      <c r="C1015" t="s">
        <v>15295</v>
      </c>
      <c r="D1015">
        <v>1014</v>
      </c>
      <c r="E1015" t="str">
        <f t="shared" si="45"/>
        <v>E6_1_1_1</v>
      </c>
      <c r="F1015" s="9" t="s">
        <v>17473</v>
      </c>
      <c r="G1015" s="9" t="s">
        <v>17474</v>
      </c>
      <c r="H1015" s="9" t="s">
        <v>17475</v>
      </c>
      <c r="I1015" s="9" t="s">
        <v>17476</v>
      </c>
      <c r="J1015" s="9" t="str">
        <f t="shared" si="46"/>
        <v>(${Variables:E6_1_1_1_kcat} * E6_1_1_1 * C00002 * C00082 * C00787)/(${Variables:E6_1_1_1_km} + (E6_1_1_1 * C00002 * C00082 * C00787))</v>
      </c>
      <c r="K1015" s="38" t="str">
        <f t="shared" si="47"/>
        <v>r1014: C00002 + C00082 + C00787 -&gt; C00020 + C00013 + C02839 | (${Variables:E6_1_1_1_kcat} * E6_1_1_1 * C00002 * C00082 * C00787)/(${Variables:E6_1_1_1_km} + (E6_1_1_1 * C00002 * C00082 * C00787))</v>
      </c>
    </row>
    <row r="1016" spans="1:11" ht="42.75" x14ac:dyDescent="0.45">
      <c r="A1016" t="s">
        <v>9777</v>
      </c>
      <c r="B1016" t="s">
        <v>9778</v>
      </c>
      <c r="C1016" t="s">
        <v>15296</v>
      </c>
      <c r="D1016">
        <v>1015</v>
      </c>
      <c r="E1016" t="str">
        <f t="shared" si="45"/>
        <v>E6_1_1_10</v>
      </c>
      <c r="F1016" s="9" t="s">
        <v>17477</v>
      </c>
      <c r="G1016" s="9" t="s">
        <v>17478</v>
      </c>
      <c r="H1016" s="9" t="s">
        <v>17479</v>
      </c>
      <c r="I1016" s="9" t="s">
        <v>17480</v>
      </c>
      <c r="J1016" s="9" t="str">
        <f t="shared" si="46"/>
        <v>(${Variables:E6_1_1_10_kcat} * E6_1_1_10 * C00002 * C00073 * C01647)/(${Variables:E6_1_1_10_km} + (E6_1_1_10 * C00002 * C00073 * C01647))</v>
      </c>
      <c r="K1016" s="38" t="str">
        <f t="shared" si="47"/>
        <v>r1015: C00002 + C00073 + C01647 -&gt; C00020 + C00013 + C02430 | (${Variables:E6_1_1_10_kcat} * E6_1_1_10 * C00002 * C00073 * C01647)/(${Variables:E6_1_1_10_km} + (E6_1_1_10 * C00002 * C00073 * C01647))</v>
      </c>
    </row>
    <row r="1017" spans="1:11" ht="42.75" x14ac:dyDescent="0.45">
      <c r="A1017" t="s">
        <v>9777</v>
      </c>
      <c r="B1017" t="s">
        <v>9778</v>
      </c>
      <c r="C1017" t="s">
        <v>15296</v>
      </c>
      <c r="D1017">
        <v>1016</v>
      </c>
      <c r="E1017" t="str">
        <f t="shared" si="45"/>
        <v>E6_1_1_10</v>
      </c>
      <c r="F1017" s="9" t="s">
        <v>17481</v>
      </c>
      <c r="G1017" s="9" t="s">
        <v>17482</v>
      </c>
      <c r="H1017" s="9" t="s">
        <v>17483</v>
      </c>
      <c r="I1017" s="9" t="s">
        <v>17484</v>
      </c>
      <c r="J1017" s="9" t="str">
        <f t="shared" si="46"/>
        <v>(${Variables:E6_1_1_10_kcat} * E6_1_1_10 * C00002 * C05335 * C01647)/(${Variables:E6_1_1_10_km} + (E6_1_1_10 * C00002 * C05335 * C01647))</v>
      </c>
      <c r="K1017" s="38" t="str">
        <f t="shared" si="47"/>
        <v>r1016: C00002 + C05335 + C01647 -&gt; C00020 + C00013 + C05336 | (${Variables:E6_1_1_10_kcat} * E6_1_1_10 * C00002 * C05335 * C01647)/(${Variables:E6_1_1_10_km} + (E6_1_1_10 * C00002 * C05335 * C01647))</v>
      </c>
    </row>
    <row r="1018" spans="1:11" ht="42.75" x14ac:dyDescent="0.45">
      <c r="A1018" t="s">
        <v>71</v>
      </c>
      <c r="B1018" t="s">
        <v>72</v>
      </c>
      <c r="C1018" t="s">
        <v>15297</v>
      </c>
      <c r="D1018">
        <v>1017</v>
      </c>
      <c r="E1018" t="str">
        <f t="shared" si="45"/>
        <v>E6_1_1_11</v>
      </c>
      <c r="F1018" s="9" t="s">
        <v>17485</v>
      </c>
      <c r="G1018" s="9" t="s">
        <v>17486</v>
      </c>
      <c r="H1018" s="9" t="s">
        <v>17487</v>
      </c>
      <c r="I1018" s="9" t="s">
        <v>17488</v>
      </c>
      <c r="J1018" s="9" t="str">
        <f t="shared" si="46"/>
        <v>(${Variables:E6_1_1_11_kcat} * E6_1_1_11 * C00002 * C00065 * C01650)/(${Variables:E6_1_1_11_km} + (E6_1_1_11 * C00002 * C00065 * C01650))</v>
      </c>
      <c r="K1018" s="38" t="str">
        <f t="shared" si="47"/>
        <v>r1017: C00002 + C00065 + C01650 -&gt; C00020 + C00013 + C02553 | (${Variables:E6_1_1_11_kcat} * E6_1_1_11 * C00002 * C00065 * C01650)/(${Variables:E6_1_1_11_km} + (E6_1_1_11 * C00002 * C00065 * C01650))</v>
      </c>
    </row>
    <row r="1019" spans="1:11" ht="42.75" x14ac:dyDescent="0.45">
      <c r="A1019" t="s">
        <v>71</v>
      </c>
      <c r="B1019" t="s">
        <v>72</v>
      </c>
      <c r="C1019" t="s">
        <v>15297</v>
      </c>
      <c r="D1019">
        <v>1018</v>
      </c>
      <c r="E1019" t="str">
        <f t="shared" si="45"/>
        <v>E6_1_1_11</v>
      </c>
      <c r="F1019" s="9" t="s">
        <v>17489</v>
      </c>
      <c r="G1019" s="9" t="s">
        <v>17490</v>
      </c>
      <c r="H1019" s="9" t="s">
        <v>17491</v>
      </c>
      <c r="I1019" s="9" t="s">
        <v>17492</v>
      </c>
      <c r="J1019" s="9" t="str">
        <f t="shared" si="46"/>
        <v>(${Variables:E6_1_1_11_kcat} * E6_1_1_11 * C00002 * C00065 * C16636)/(${Variables:E6_1_1_11_km} + (E6_1_1_11 * C00002 * C00065 * C16636))</v>
      </c>
      <c r="K1019" s="38" t="str">
        <f t="shared" si="47"/>
        <v>r1018: C00002 + C00065 + C16636 -&gt; C00020 + C00013 + C06481 | (${Variables:E6_1_1_11_kcat} * E6_1_1_11 * C00002 * C00065 * C16636)/(${Variables:E6_1_1_11_km} + (E6_1_1_11 * C00002 * C00065 * C16636))</v>
      </c>
    </row>
    <row r="1020" spans="1:11" ht="42.75" x14ac:dyDescent="0.45">
      <c r="A1020" t="s">
        <v>8027</v>
      </c>
      <c r="B1020" t="s">
        <v>8028</v>
      </c>
      <c r="C1020" t="s">
        <v>15297</v>
      </c>
      <c r="D1020">
        <v>1019</v>
      </c>
      <c r="E1020" t="str">
        <f t="shared" si="45"/>
        <v>E6_1_1_11</v>
      </c>
      <c r="F1020" s="9" t="s">
        <v>17485</v>
      </c>
      <c r="G1020" s="9" t="s">
        <v>17486</v>
      </c>
      <c r="H1020" s="9" t="s">
        <v>17487</v>
      </c>
      <c r="I1020" s="9" t="s">
        <v>17488</v>
      </c>
      <c r="J1020" s="9" t="str">
        <f t="shared" si="46"/>
        <v>(${Variables:E6_1_1_11_kcat} * E6_1_1_11 * C00002 * C00065 * C01650)/(${Variables:E6_1_1_11_km} + (E6_1_1_11 * C00002 * C00065 * C01650))</v>
      </c>
      <c r="K1020" s="38" t="str">
        <f t="shared" si="47"/>
        <v>r1019: C00002 + C00065 + C01650 -&gt; C00020 + C00013 + C02553 | (${Variables:E6_1_1_11_kcat} * E6_1_1_11 * C00002 * C00065 * C01650)/(${Variables:E6_1_1_11_km} + (E6_1_1_11 * C00002 * C00065 * C01650))</v>
      </c>
    </row>
    <row r="1021" spans="1:11" ht="42.75" x14ac:dyDescent="0.45">
      <c r="A1021" t="s">
        <v>8027</v>
      </c>
      <c r="B1021" t="s">
        <v>8028</v>
      </c>
      <c r="C1021" t="s">
        <v>15297</v>
      </c>
      <c r="D1021">
        <v>1020</v>
      </c>
      <c r="E1021" t="str">
        <f t="shared" si="45"/>
        <v>E6_1_1_11</v>
      </c>
      <c r="F1021" s="9" t="s">
        <v>17489</v>
      </c>
      <c r="G1021" s="9" t="s">
        <v>17490</v>
      </c>
      <c r="H1021" s="9" t="s">
        <v>17491</v>
      </c>
      <c r="I1021" s="9" t="s">
        <v>17492</v>
      </c>
      <c r="J1021" s="9" t="str">
        <f t="shared" si="46"/>
        <v>(${Variables:E6_1_1_11_kcat} * E6_1_1_11 * C00002 * C00065 * C16636)/(${Variables:E6_1_1_11_km} + (E6_1_1_11 * C00002 * C00065 * C16636))</v>
      </c>
      <c r="K1021" s="38" t="str">
        <f t="shared" si="47"/>
        <v>r1020: C00002 + C00065 + C16636 -&gt; C00020 + C00013 + C06481 | (${Variables:E6_1_1_11_kcat} * E6_1_1_11 * C00002 * C00065 * C16636)/(${Variables:E6_1_1_11_km} + (E6_1_1_11 * C00002 * C00065 * C16636))</v>
      </c>
    </row>
    <row r="1022" spans="1:11" ht="42.75" x14ac:dyDescent="0.45">
      <c r="A1022" t="s">
        <v>7739</v>
      </c>
      <c r="B1022" t="s">
        <v>7740</v>
      </c>
      <c r="C1022" t="s">
        <v>15298</v>
      </c>
      <c r="D1022">
        <v>1021</v>
      </c>
      <c r="E1022" t="str">
        <f t="shared" si="45"/>
        <v>E6_1_1_12</v>
      </c>
      <c r="F1022" s="9" t="s">
        <v>17493</v>
      </c>
      <c r="G1022" s="9" t="s">
        <v>17494</v>
      </c>
      <c r="H1022" s="9" t="s">
        <v>17495</v>
      </c>
      <c r="I1022" s="9" t="s">
        <v>17496</v>
      </c>
      <c r="J1022" s="9" t="str">
        <f t="shared" si="46"/>
        <v>(${Variables:E6_1_1_12_kcat} * E6_1_1_12 * C01638 * C00049 * C00002)/(${Variables:E6_1_1_12_km} + (E6_1_1_12 * C01638 * C00049 * C00002))</v>
      </c>
      <c r="K1022" s="38" t="str">
        <f t="shared" si="47"/>
        <v>r1021: C01638 + C00049 + C00002 -&gt; C02984 + C00013 + C00020 | (${Variables:E6_1_1_12_kcat} * E6_1_1_12 * C01638 * C00049 * C00002)/(${Variables:E6_1_1_12_km} + (E6_1_1_12 * C01638 * C00049 * C00002))</v>
      </c>
    </row>
    <row r="1023" spans="1:11" ht="42.75" x14ac:dyDescent="0.45">
      <c r="A1023" t="s">
        <v>8056</v>
      </c>
      <c r="B1023" t="s">
        <v>8057</v>
      </c>
      <c r="C1023" t="s">
        <v>15299</v>
      </c>
      <c r="D1023">
        <v>1022</v>
      </c>
      <c r="E1023" t="str">
        <f t="shared" si="45"/>
        <v>E6_1_1_13</v>
      </c>
      <c r="F1023" s="9" t="s">
        <v>17497</v>
      </c>
      <c r="G1023" s="9" t="s">
        <v>17498</v>
      </c>
      <c r="H1023" s="9" t="s">
        <v>17499</v>
      </c>
      <c r="I1023" s="9" t="s">
        <v>17500</v>
      </c>
      <c r="J1023" s="9" t="str">
        <f t="shared" si="46"/>
        <v>(${Variables:E6_1_1_13_kcat} * E6_1_1_13 * C00002 * C00133 * C00653)/(${Variables:E6_1_1_13_km} + (E6_1_1_13 * C00002 * C00133 * C00653))</v>
      </c>
      <c r="K1023" s="38" t="str">
        <f t="shared" si="47"/>
        <v>r1022: C00002 + C00133 + C00653 -&gt; C00020 + C00013 + C04260 | (${Variables:E6_1_1_13_kcat} * E6_1_1_13 * C00002 * C00133 * C00653)/(${Variables:E6_1_1_13_km} + (E6_1_1_13 * C00002 * C00133 * C00653))</v>
      </c>
    </row>
    <row r="1024" spans="1:11" ht="42.75" x14ac:dyDescent="0.45">
      <c r="A1024" t="s">
        <v>8056</v>
      </c>
      <c r="B1024" t="s">
        <v>8057</v>
      </c>
      <c r="C1024" t="s">
        <v>15299</v>
      </c>
      <c r="D1024">
        <v>1023</v>
      </c>
      <c r="E1024" t="str">
        <f t="shared" si="45"/>
        <v>E6_1_1_13</v>
      </c>
      <c r="F1024" s="9" t="s">
        <v>17521</v>
      </c>
      <c r="G1024" s="9" t="s">
        <v>17522</v>
      </c>
      <c r="H1024" s="9" t="s">
        <v>17523</v>
      </c>
      <c r="I1024" s="9" t="s">
        <v>17524</v>
      </c>
      <c r="J1024" s="9" t="str">
        <f t="shared" si="46"/>
        <v>(${Variables:E6_1_1_13_kcat} * E6_1_1_13 * C00002 * C00133 * G13185)/(${Variables:E6_1_1_13_km} + (E6_1_1_13 * C00002 * C00133 * G13185))</v>
      </c>
      <c r="K1024" s="38" t="str">
        <f t="shared" si="47"/>
        <v>r1023: C00002 + C00133 + G13185 -&gt; C00020 + C00013 + G13186 | (${Variables:E6_1_1_13_kcat} * E6_1_1_13 * C00002 * C00133 * G13185)/(${Variables:E6_1_1_13_km} + (E6_1_1_13 * C00002 * C00133 * G13185))</v>
      </c>
    </row>
    <row r="1025" spans="1:11" ht="42.75" x14ac:dyDescent="0.45">
      <c r="A1025" t="s">
        <v>8056</v>
      </c>
      <c r="B1025" t="s">
        <v>8057</v>
      </c>
      <c r="C1025" t="s">
        <v>15299</v>
      </c>
      <c r="D1025">
        <v>1024</v>
      </c>
      <c r="E1025" t="str">
        <f t="shared" si="45"/>
        <v>E6_1_1_13</v>
      </c>
      <c r="F1025" s="9" t="s">
        <v>17501</v>
      </c>
      <c r="G1025" s="9" t="s">
        <v>17502</v>
      </c>
      <c r="H1025" s="9" t="s">
        <v>17503</v>
      </c>
      <c r="I1025" s="9" t="s">
        <v>17504</v>
      </c>
      <c r="J1025" s="9" t="str">
        <f t="shared" si="46"/>
        <v>(${Variables:E6_1_1_13_kcat} * E6_1_1_13 * C00002 * C00133 * G13167)/(${Variables:E6_1_1_13_km} + (E6_1_1_13 * C00002 * C00133 * G13167))</v>
      </c>
      <c r="K1025" s="38" t="str">
        <f t="shared" si="47"/>
        <v>r1024: C00002 + C00133 + G13167 -&gt; C00020 + C00013 + G13180 | (${Variables:E6_1_1_13_kcat} * E6_1_1_13 * C00002 * C00133 * G13167)/(${Variables:E6_1_1_13_km} + (E6_1_1_13 * C00002 * C00133 * G13167))</v>
      </c>
    </row>
    <row r="1026" spans="1:11" ht="42.75" x14ac:dyDescent="0.45">
      <c r="A1026" t="s">
        <v>8056</v>
      </c>
      <c r="B1026" t="s">
        <v>8057</v>
      </c>
      <c r="C1026" t="s">
        <v>15299</v>
      </c>
      <c r="D1026">
        <v>1025</v>
      </c>
      <c r="E1026" t="str">
        <f t="shared" si="45"/>
        <v>E6_1_1_13</v>
      </c>
      <c r="F1026" s="9" t="s">
        <v>17505</v>
      </c>
      <c r="G1026" s="9" t="s">
        <v>17506</v>
      </c>
      <c r="H1026" s="9" t="s">
        <v>17507</v>
      </c>
      <c r="I1026" s="9" t="s">
        <v>17508</v>
      </c>
      <c r="J1026" s="9" t="str">
        <f t="shared" si="46"/>
        <v>(${Variables:E6_1_1_13_kcat} * E6_1_1_13 * C00002 * C00133 * G13170)/(${Variables:E6_1_1_13_km} + (E6_1_1_13 * C00002 * C00133 * G13170))</v>
      </c>
      <c r="K1026" s="38" t="str">
        <f t="shared" si="47"/>
        <v>r1025: C00002 + C00133 + G13170 -&gt; C00020 + C00013 + G13171 | (${Variables:E6_1_1_13_kcat} * E6_1_1_13 * C00002 * C00133 * G13170)/(${Variables:E6_1_1_13_km} + (E6_1_1_13 * C00002 * C00133 * G13170))</v>
      </c>
    </row>
    <row r="1027" spans="1:11" ht="42.75" x14ac:dyDescent="0.45">
      <c r="A1027" t="s">
        <v>8056</v>
      </c>
      <c r="B1027" t="s">
        <v>8057</v>
      </c>
      <c r="C1027" t="s">
        <v>15299</v>
      </c>
      <c r="D1027">
        <v>1026</v>
      </c>
      <c r="E1027" t="str">
        <f t="shared" ref="E1027:E1090" si="48">CONCATENATE("E",C1027)</f>
        <v>E6_1_1_13</v>
      </c>
      <c r="F1027" s="9" t="s">
        <v>17509</v>
      </c>
      <c r="G1027" s="9" t="s">
        <v>17510</v>
      </c>
      <c r="H1027" s="9" t="s">
        <v>17511</v>
      </c>
      <c r="I1027" s="9" t="s">
        <v>17512</v>
      </c>
      <c r="J1027" s="9" t="str">
        <f t="shared" ref="J1027:J1090" si="49">CONCATENATE("(${Variables:",E1027,"_kcat","} * ",E1027," * ",G1027,")","/(${Variables:",E1027,"_km","} + (",E1027," * ",G1027,"))")</f>
        <v>(${Variables:E6_1_1_13_kcat} * E6_1_1_13 * C00002 * C00133 * G13174)/(${Variables:E6_1_1_13_km} + (E6_1_1_13 * C00002 * C00133 * G13174))</v>
      </c>
      <c r="K1027" s="38" t="str">
        <f t="shared" ref="K1027:K1090" si="50">CONCATENATE("r",D1027,": ",F1027," -&gt; ",H1027," | ",J1027)</f>
        <v>r1026: C00002 + C00133 + G13174 -&gt; C00020 + C00013 + G13175 | (${Variables:E6_1_1_13_kcat} * E6_1_1_13 * C00002 * C00133 * G13174)/(${Variables:E6_1_1_13_km} + (E6_1_1_13 * C00002 * C00133 * G13174))</v>
      </c>
    </row>
    <row r="1028" spans="1:11" ht="42.75" x14ac:dyDescent="0.45">
      <c r="A1028" t="s">
        <v>8056</v>
      </c>
      <c r="B1028" t="s">
        <v>8057</v>
      </c>
      <c r="C1028" t="s">
        <v>15299</v>
      </c>
      <c r="D1028">
        <v>1027</v>
      </c>
      <c r="E1028" t="str">
        <f t="shared" si="48"/>
        <v>E6_1_1_13</v>
      </c>
      <c r="F1028" s="9" t="s">
        <v>17513</v>
      </c>
      <c r="G1028" s="9" t="s">
        <v>17514</v>
      </c>
      <c r="H1028" s="9" t="s">
        <v>17515</v>
      </c>
      <c r="I1028" s="9" t="s">
        <v>17516</v>
      </c>
      <c r="J1028" s="9" t="str">
        <f t="shared" si="49"/>
        <v>(${Variables:E6_1_1_13_kcat} * E6_1_1_13 * C00002 * C00133 * G13176)/(${Variables:E6_1_1_13_km} + (E6_1_1_13 * C00002 * C00133 * G13176))</v>
      </c>
      <c r="K1028" s="38" t="str">
        <f t="shared" si="50"/>
        <v>r1027: C00002 + C00133 + G13176 -&gt; C00020 + C00013 + G13177 | (${Variables:E6_1_1_13_kcat} * E6_1_1_13 * C00002 * C00133 * G13176)/(${Variables:E6_1_1_13_km} + (E6_1_1_13 * C00002 * C00133 * G13176))</v>
      </c>
    </row>
    <row r="1029" spans="1:11" ht="42.75" x14ac:dyDescent="0.45">
      <c r="A1029" t="s">
        <v>8056</v>
      </c>
      <c r="B1029" t="s">
        <v>8057</v>
      </c>
      <c r="C1029" t="s">
        <v>15299</v>
      </c>
      <c r="D1029">
        <v>1028</v>
      </c>
      <c r="E1029" t="str">
        <f t="shared" si="48"/>
        <v>E6_1_1_13</v>
      </c>
      <c r="F1029" s="9" t="s">
        <v>17517</v>
      </c>
      <c r="G1029" s="9" t="s">
        <v>17518</v>
      </c>
      <c r="H1029" s="9" t="s">
        <v>17519</v>
      </c>
      <c r="I1029" s="9" t="s">
        <v>17520</v>
      </c>
      <c r="J1029" s="9" t="str">
        <f t="shared" si="49"/>
        <v>(${Variables:E6_1_1_13_kcat} * E6_1_1_13 * C00002 * C00133 * G13178)/(${Variables:E6_1_1_13_km} + (E6_1_1_13 * C00002 * C00133 * G13178))</v>
      </c>
      <c r="K1029" s="38" t="str">
        <f t="shared" si="50"/>
        <v>r1028: C00002 + C00133 + G13178 -&gt; C00020 + C00013 + G13179 | (${Variables:E6_1_1_13_kcat} * E6_1_1_13 * C00002 * C00133 * G13178)/(${Variables:E6_1_1_13_km} + (E6_1_1_13 * C00002 * C00133 * G13178))</v>
      </c>
    </row>
    <row r="1030" spans="1:11" ht="42.75" x14ac:dyDescent="0.45">
      <c r="A1030" t="s">
        <v>8056</v>
      </c>
      <c r="B1030" t="s">
        <v>8057</v>
      </c>
      <c r="C1030" t="s">
        <v>15299</v>
      </c>
      <c r="D1030">
        <v>1029</v>
      </c>
      <c r="E1030" t="str">
        <f t="shared" si="48"/>
        <v>E6_1_1_13</v>
      </c>
      <c r="F1030" s="9" t="s">
        <v>17525</v>
      </c>
      <c r="G1030" s="9" t="s">
        <v>17526</v>
      </c>
      <c r="H1030" s="9" t="s">
        <v>17527</v>
      </c>
      <c r="I1030" s="9" t="s">
        <v>17528</v>
      </c>
      <c r="J1030" s="9" t="str">
        <f t="shared" si="49"/>
        <v>(${Variables:E6_1_1_13_kcat} * E6_1_1_13 * C00002 * C00133 * G13192)/(${Variables:E6_1_1_13_km} + (E6_1_1_13 * C00002 * C00133 * G13192))</v>
      </c>
      <c r="K1030" s="38" t="str">
        <f t="shared" si="50"/>
        <v>r1029: C00002 + C00133 + G13192 -&gt; C00020 + C00013 + G13193 | (${Variables:E6_1_1_13_kcat} * E6_1_1_13 * C00002 * C00133 * G13192)/(${Variables:E6_1_1_13_km} + (E6_1_1_13 * C00002 * C00133 * G13192))</v>
      </c>
    </row>
    <row r="1031" spans="1:11" ht="42.75" x14ac:dyDescent="0.45">
      <c r="A1031" t="s">
        <v>6858</v>
      </c>
      <c r="B1031" t="s">
        <v>6859</v>
      </c>
      <c r="C1031" t="s">
        <v>15300</v>
      </c>
      <c r="D1031">
        <v>1030</v>
      </c>
      <c r="E1031" t="str">
        <f t="shared" si="48"/>
        <v>E6_1_1_14</v>
      </c>
      <c r="F1031" s="9" t="s">
        <v>17529</v>
      </c>
      <c r="G1031" s="9" t="s">
        <v>17530</v>
      </c>
      <c r="H1031" s="9" t="s">
        <v>17531</v>
      </c>
      <c r="I1031" s="9" t="s">
        <v>17532</v>
      </c>
      <c r="J1031" s="9" t="str">
        <f t="shared" si="49"/>
        <v>(${Variables:E6_1_1_14_kcat} * E6_1_1_14 * C00002 * C00037 * C01642)/(${Variables:E6_1_1_14_km} + (E6_1_1_14 * C00002 * C00037 * C01642))</v>
      </c>
      <c r="K1031" s="38" t="str">
        <f t="shared" si="50"/>
        <v>r1030: C00002 + C00037 + C01642 -&gt; C00020 + C00013 + C02412 | (${Variables:E6_1_1_14_kcat} * E6_1_1_14 * C00002 * C00037 * C01642)/(${Variables:E6_1_1_14_km} + (E6_1_1_14 * C00002 * C00037 * C01642))</v>
      </c>
    </row>
    <row r="1032" spans="1:11" ht="42.75" x14ac:dyDescent="0.45">
      <c r="A1032" t="s">
        <v>6862</v>
      </c>
      <c r="B1032" t="s">
        <v>6863</v>
      </c>
      <c r="C1032" t="s">
        <v>15300</v>
      </c>
      <c r="D1032">
        <v>1031</v>
      </c>
      <c r="E1032" t="str">
        <f t="shared" si="48"/>
        <v>E6_1_1_14</v>
      </c>
      <c r="F1032" s="9" t="s">
        <v>17529</v>
      </c>
      <c r="G1032" s="9" t="s">
        <v>17530</v>
      </c>
      <c r="H1032" s="9" t="s">
        <v>17531</v>
      </c>
      <c r="I1032" s="9" t="s">
        <v>17532</v>
      </c>
      <c r="J1032" s="9" t="str">
        <f t="shared" si="49"/>
        <v>(${Variables:E6_1_1_14_kcat} * E6_1_1_14 * C00002 * C00037 * C01642)/(${Variables:E6_1_1_14_km} + (E6_1_1_14 * C00002 * C00037 * C01642))</v>
      </c>
      <c r="K1032" s="38" t="str">
        <f t="shared" si="50"/>
        <v>r1031: C00002 + C00037 + C01642 -&gt; C00020 + C00013 + C02412 | (${Variables:E6_1_1_14_kcat} * E6_1_1_14 * C00002 * C00037 * C01642)/(${Variables:E6_1_1_14_km} + (E6_1_1_14 * C00002 * C00037 * C01642))</v>
      </c>
    </row>
    <row r="1033" spans="1:11" ht="42.75" x14ac:dyDescent="0.45">
      <c r="A1033" t="s">
        <v>253</v>
      </c>
      <c r="B1033" t="s">
        <v>254</v>
      </c>
      <c r="C1033" t="s">
        <v>15301</v>
      </c>
      <c r="D1033">
        <v>1032</v>
      </c>
      <c r="E1033" t="str">
        <f t="shared" si="48"/>
        <v>E6_1_1_15</v>
      </c>
      <c r="F1033" s="9" t="s">
        <v>17533</v>
      </c>
      <c r="G1033" s="9" t="s">
        <v>17534</v>
      </c>
      <c r="H1033" s="9" t="s">
        <v>17535</v>
      </c>
      <c r="I1033" s="9" t="s">
        <v>17536</v>
      </c>
      <c r="J1033" s="9" t="str">
        <f t="shared" si="49"/>
        <v>(${Variables:E6_1_1_15_kcat} * E6_1_1_15 * C00002 * C00148 * C01649)/(${Variables:E6_1_1_15_km} + (E6_1_1_15 * C00002 * C00148 * C01649))</v>
      </c>
      <c r="K1033" s="38" t="str">
        <f t="shared" si="50"/>
        <v>r1032: C00002 + C00148 + C01649 -&gt; C00020 + C00013 + C02702 | (${Variables:E6_1_1_15_kcat} * E6_1_1_15 * C00002 * C00148 * C01649)/(${Variables:E6_1_1_15_km} + (E6_1_1_15 * C00002 * C00148 * C01649))</v>
      </c>
    </row>
    <row r="1034" spans="1:11" ht="42.75" x14ac:dyDescent="0.45">
      <c r="A1034" t="s">
        <v>256</v>
      </c>
      <c r="B1034" t="s">
        <v>257</v>
      </c>
      <c r="C1034" t="s">
        <v>15301</v>
      </c>
      <c r="D1034">
        <v>1033</v>
      </c>
      <c r="E1034" t="str">
        <f t="shared" si="48"/>
        <v>E6_1_1_15</v>
      </c>
      <c r="F1034" s="9" t="s">
        <v>17533</v>
      </c>
      <c r="G1034" s="9" t="s">
        <v>17534</v>
      </c>
      <c r="H1034" s="9" t="s">
        <v>17535</v>
      </c>
      <c r="I1034" s="9" t="s">
        <v>17536</v>
      </c>
      <c r="J1034" s="9" t="str">
        <f t="shared" si="49"/>
        <v>(${Variables:E6_1_1_15_kcat} * E6_1_1_15 * C00002 * C00148 * C01649)/(${Variables:E6_1_1_15_km} + (E6_1_1_15 * C00002 * C00148 * C01649))</v>
      </c>
      <c r="K1034" s="38" t="str">
        <f t="shared" si="50"/>
        <v>r1033: C00002 + C00148 + C01649 -&gt; C00020 + C00013 + C02702 | (${Variables:E6_1_1_15_kcat} * E6_1_1_15 * C00002 * C00148 * C01649)/(${Variables:E6_1_1_15_km} + (E6_1_1_15 * C00002 * C00148 * C01649))</v>
      </c>
    </row>
    <row r="1035" spans="1:11" ht="42.75" x14ac:dyDescent="0.45">
      <c r="A1035" t="s">
        <v>266</v>
      </c>
      <c r="B1035" t="s">
        <v>267</v>
      </c>
      <c r="C1035" t="s">
        <v>15302</v>
      </c>
      <c r="D1035">
        <v>1034</v>
      </c>
      <c r="E1035" t="str">
        <f t="shared" si="48"/>
        <v>E6_1_1_16</v>
      </c>
      <c r="F1035" s="9" t="s">
        <v>17537</v>
      </c>
      <c r="G1035" s="9" t="s">
        <v>17538</v>
      </c>
      <c r="H1035" s="9" t="s">
        <v>17539</v>
      </c>
      <c r="I1035" s="9" t="s">
        <v>17540</v>
      </c>
      <c r="J1035" s="9" t="str">
        <f t="shared" si="49"/>
        <v>(${Variables:E6_1_1_16_kcat} * E6_1_1_16 * C00002 * C00097 * C01639)/(${Variables:E6_1_1_16_km} + (E6_1_1_16 * C00002 * C00097 * C01639))</v>
      </c>
      <c r="K1035" s="38" t="str">
        <f t="shared" si="50"/>
        <v>r1034: C00002 + C00097 + C01639 -&gt; C00020 + C00013 + C03125 | (${Variables:E6_1_1_16_kcat} * E6_1_1_16 * C00002 * C00097 * C01639)/(${Variables:E6_1_1_16_km} + (E6_1_1_16 * C00002 * C00097 * C01639))</v>
      </c>
    </row>
    <row r="1036" spans="1:11" ht="42.75" x14ac:dyDescent="0.45">
      <c r="A1036" t="s">
        <v>260</v>
      </c>
      <c r="B1036" t="s">
        <v>261</v>
      </c>
      <c r="C1036" t="s">
        <v>15303</v>
      </c>
      <c r="D1036">
        <v>1035</v>
      </c>
      <c r="E1036" t="str">
        <f t="shared" si="48"/>
        <v>E6_1_1_17</v>
      </c>
      <c r="F1036" s="9" t="s">
        <v>17541</v>
      </c>
      <c r="G1036" s="9" t="s">
        <v>17542</v>
      </c>
      <c r="H1036" s="9" t="s">
        <v>17543</v>
      </c>
      <c r="I1036" s="9" t="s">
        <v>17544</v>
      </c>
      <c r="J1036" s="9" t="str">
        <f t="shared" si="49"/>
        <v>(${Variables:E6_1_1_17_kcat} * E6_1_1_17 * C01641 * C00025 * C00002)/(${Variables:E6_1_1_17_km} + (E6_1_1_17 * C01641 * C00025 * C00002))</v>
      </c>
      <c r="K1036" s="38" t="str">
        <f t="shared" si="50"/>
        <v>r1035: C01641 + C00025 + C00002 -&gt; C02987 + C00013 + C00020 | (${Variables:E6_1_1_17_kcat} * E6_1_1_17 * C01641 * C00025 * C00002)/(${Variables:E6_1_1_17_km} + (E6_1_1_17 * C01641 * C00025 * C00002))</v>
      </c>
    </row>
    <row r="1037" spans="1:11" ht="42.75" x14ac:dyDescent="0.45">
      <c r="A1037" t="s">
        <v>2103</v>
      </c>
      <c r="B1037" t="s">
        <v>2104</v>
      </c>
      <c r="C1037" t="s">
        <v>15304</v>
      </c>
      <c r="D1037">
        <v>1036</v>
      </c>
      <c r="E1037" t="str">
        <f t="shared" si="48"/>
        <v>E6_1_1_19</v>
      </c>
      <c r="F1037" s="9" t="s">
        <v>17545</v>
      </c>
      <c r="G1037" s="9" t="s">
        <v>17546</v>
      </c>
      <c r="H1037" s="9" t="s">
        <v>17547</v>
      </c>
      <c r="I1037" s="9" t="s">
        <v>17548</v>
      </c>
      <c r="J1037" s="9" t="str">
        <f t="shared" si="49"/>
        <v>(${Variables:E6_1_1_19_kcat} * E6_1_1_19 * C00002 * C00062 * C01636)/(${Variables:E6_1_1_19_km} + (E6_1_1_19 * C00002 * C00062 * C01636))</v>
      </c>
      <c r="K1037" s="38" t="str">
        <f t="shared" si="50"/>
        <v>r1036: C00002 + C00062 + C01636 -&gt; C00020 + C00013 + C02163 | (${Variables:E6_1_1_19_kcat} * E6_1_1_19 * C00002 * C00062 * C01636)/(${Variables:E6_1_1_19_km} + (E6_1_1_19 * C00002 * C00062 * C01636))</v>
      </c>
    </row>
    <row r="1038" spans="1:11" ht="42.75" x14ac:dyDescent="0.45">
      <c r="A1038" t="s">
        <v>7362</v>
      </c>
      <c r="B1038" t="s">
        <v>7363</v>
      </c>
      <c r="C1038" t="s">
        <v>15305</v>
      </c>
      <c r="D1038">
        <v>1037</v>
      </c>
      <c r="E1038" t="str">
        <f t="shared" si="48"/>
        <v>E6_1_1_2</v>
      </c>
      <c r="F1038" s="9" t="s">
        <v>17549</v>
      </c>
      <c r="G1038" s="9" t="s">
        <v>17550</v>
      </c>
      <c r="H1038" s="9" t="s">
        <v>17551</v>
      </c>
      <c r="I1038" s="9" t="s">
        <v>17552</v>
      </c>
      <c r="J1038" s="9" t="str">
        <f t="shared" si="49"/>
        <v>(${Variables:E6_1_1_2_kcat} * E6_1_1_2 * C00002 * C00078 * C01652)/(${Variables:E6_1_1_2_km} + (E6_1_1_2 * C00002 * C00078 * C01652))</v>
      </c>
      <c r="K1038" s="38" t="str">
        <f t="shared" si="50"/>
        <v>r1037: C00002 + C00078 + C01652 -&gt; C00020 + C00013 + C03512 | (${Variables:E6_1_1_2_kcat} * E6_1_1_2 * C00002 * C00078 * C01652)/(${Variables:E6_1_1_2_km} + (E6_1_1_2 * C00002 * C00078 * C01652))</v>
      </c>
    </row>
    <row r="1039" spans="1:11" ht="42.75" x14ac:dyDescent="0.45">
      <c r="A1039" t="s">
        <v>2065</v>
      </c>
      <c r="B1039" t="s">
        <v>2066</v>
      </c>
      <c r="C1039" t="s">
        <v>15306</v>
      </c>
      <c r="D1039">
        <v>1038</v>
      </c>
      <c r="E1039" t="str">
        <f t="shared" si="48"/>
        <v>E6_1_1_20</v>
      </c>
      <c r="F1039" s="9" t="s">
        <v>17553</v>
      </c>
      <c r="G1039" s="9" t="s">
        <v>17554</v>
      </c>
      <c r="H1039" s="9" t="s">
        <v>17555</v>
      </c>
      <c r="I1039" s="9" t="s">
        <v>17556</v>
      </c>
      <c r="J1039" s="9" t="str">
        <f t="shared" si="49"/>
        <v>(${Variables:E6_1_1_20_kcat} * E6_1_1_20 * C00002 * C00079 * C01648)/(${Variables:E6_1_1_20_km} + (E6_1_1_20 * C00002 * C00079 * C01648))</v>
      </c>
      <c r="K1039" s="38" t="str">
        <f t="shared" si="50"/>
        <v>r1038: C00002 + C00079 + C01648 -&gt; C00020 + C00013 + C03511 | (${Variables:E6_1_1_20_kcat} * E6_1_1_20 * C00002 * C00079 * C01648)/(${Variables:E6_1_1_20_km} + (E6_1_1_20 * C00002 * C00079 * C01648))</v>
      </c>
    </row>
    <row r="1040" spans="1:11" ht="42.75" x14ac:dyDescent="0.45">
      <c r="A1040" t="s">
        <v>2069</v>
      </c>
      <c r="B1040" t="s">
        <v>2070</v>
      </c>
      <c r="C1040" t="s">
        <v>15306</v>
      </c>
      <c r="D1040">
        <v>1039</v>
      </c>
      <c r="E1040" t="str">
        <f t="shared" si="48"/>
        <v>E6_1_1_20</v>
      </c>
      <c r="F1040" s="9" t="s">
        <v>17553</v>
      </c>
      <c r="G1040" s="9" t="s">
        <v>17554</v>
      </c>
      <c r="H1040" s="9" t="s">
        <v>17555</v>
      </c>
      <c r="I1040" s="9" t="s">
        <v>17556</v>
      </c>
      <c r="J1040" s="9" t="str">
        <f t="shared" si="49"/>
        <v>(${Variables:E6_1_1_20_kcat} * E6_1_1_20 * C00002 * C00079 * C01648)/(${Variables:E6_1_1_20_km} + (E6_1_1_20 * C00002 * C00079 * C01648))</v>
      </c>
      <c r="K1040" s="38" t="str">
        <f t="shared" si="50"/>
        <v>r1039: C00002 + C00079 + C01648 -&gt; C00020 + C00013 + C03511 | (${Variables:E6_1_1_20_kcat} * E6_1_1_20 * C00002 * C00079 * C01648)/(${Variables:E6_1_1_20_km} + (E6_1_1_20 * C00002 * C00079 * C01648))</v>
      </c>
    </row>
    <row r="1041" spans="1:11" ht="42.75" x14ac:dyDescent="0.45">
      <c r="A1041" t="s">
        <v>7743</v>
      </c>
      <c r="B1041" t="s">
        <v>7744</v>
      </c>
      <c r="C1041" t="s">
        <v>15307</v>
      </c>
      <c r="D1041">
        <v>1040</v>
      </c>
      <c r="E1041" t="str">
        <f t="shared" si="48"/>
        <v>E6_1_1_21</v>
      </c>
      <c r="F1041" s="9" t="s">
        <v>17557</v>
      </c>
      <c r="G1041" s="9" t="s">
        <v>17558</v>
      </c>
      <c r="H1041" s="9" t="s">
        <v>17559</v>
      </c>
      <c r="I1041" s="9" t="s">
        <v>17560</v>
      </c>
      <c r="J1041" s="9" t="str">
        <f t="shared" si="49"/>
        <v>(${Variables:E6_1_1_21_kcat} * E6_1_1_21 * C00002 * C00135 * C01643)/(${Variables:E6_1_1_21_km} + (E6_1_1_21 * C00002 * C00135 * C01643))</v>
      </c>
      <c r="K1041" s="38" t="str">
        <f t="shared" si="50"/>
        <v>r1040: C00002 + C00135 + C01643 -&gt; C00020 + C00013 + C02988 | (${Variables:E6_1_1_21_kcat} * E6_1_1_21 * C00002 * C00135 * C01643)/(${Variables:E6_1_1_21_km} + (E6_1_1_21 * C00002 * C00135 * C01643))</v>
      </c>
    </row>
    <row r="1042" spans="1:11" ht="42.75" x14ac:dyDescent="0.45">
      <c r="A1042" t="s">
        <v>6385</v>
      </c>
      <c r="B1042" t="s">
        <v>6386</v>
      </c>
      <c r="C1042" t="s">
        <v>15308</v>
      </c>
      <c r="D1042">
        <v>1041</v>
      </c>
      <c r="E1042" t="str">
        <f t="shared" si="48"/>
        <v>E6_1_1_22</v>
      </c>
      <c r="F1042" s="9" t="s">
        <v>17561</v>
      </c>
      <c r="G1042" s="9" t="s">
        <v>17562</v>
      </c>
      <c r="H1042" s="9" t="s">
        <v>17563</v>
      </c>
      <c r="I1042" s="9" t="s">
        <v>17564</v>
      </c>
      <c r="J1042" s="9" t="str">
        <f t="shared" si="49"/>
        <v>(${Variables:E6_1_1_22_kcat} * E6_1_1_22 * C00002 * C00152 * C01637)/(${Variables:E6_1_1_22_km} + (E6_1_1_22 * C00002 * C00152 * C01637))</v>
      </c>
      <c r="K1042" s="38" t="str">
        <f t="shared" si="50"/>
        <v>r1041: C00002 + C00152 + C01637 -&gt; C00020 + C00013 + C03402 | (${Variables:E6_1_1_22_kcat} * E6_1_1_22 * C00002 * C00152 * C01637)/(${Variables:E6_1_1_22_km} + (E6_1_1_22 * C00002 * C00152 * C01637))</v>
      </c>
    </row>
    <row r="1043" spans="1:11" ht="42.75" x14ac:dyDescent="0.45">
      <c r="A1043" t="s">
        <v>1713</v>
      </c>
      <c r="B1043" t="s">
        <v>1714</v>
      </c>
      <c r="C1043" t="s">
        <v>15309</v>
      </c>
      <c r="D1043">
        <v>1042</v>
      </c>
      <c r="E1043" t="str">
        <f t="shared" si="48"/>
        <v>E6_1_1_3</v>
      </c>
      <c r="F1043" s="9" t="s">
        <v>17565</v>
      </c>
      <c r="G1043" s="9" t="s">
        <v>17566</v>
      </c>
      <c r="H1043" s="9" t="s">
        <v>17567</v>
      </c>
      <c r="I1043" s="9" t="s">
        <v>17568</v>
      </c>
      <c r="J1043" s="9" t="str">
        <f t="shared" si="49"/>
        <v>(${Variables:E6_1_1_3_kcat} * E6_1_1_3 * C00002 * C00188 * C01651)/(${Variables:E6_1_1_3_km} + (E6_1_1_3 * C00002 * C00188 * C01651))</v>
      </c>
      <c r="K1043" s="38" t="str">
        <f t="shared" si="50"/>
        <v>r1042: C00002 + C00188 + C01651 -&gt; C00020 + C00013 + C02992 | (${Variables:E6_1_1_3_kcat} * E6_1_1_3 * C00002 * C00188 * C01651)/(${Variables:E6_1_1_3_km} + (E6_1_1_3 * C00002 * C00188 * C01651))</v>
      </c>
    </row>
    <row r="1044" spans="1:11" ht="42.75" x14ac:dyDescent="0.45">
      <c r="A1044" t="s">
        <v>7118</v>
      </c>
      <c r="B1044" t="s">
        <v>7119</v>
      </c>
      <c r="C1044" t="s">
        <v>15310</v>
      </c>
      <c r="D1044">
        <v>1043</v>
      </c>
      <c r="E1044" t="str">
        <f t="shared" si="48"/>
        <v>E6_1_1_4</v>
      </c>
      <c r="F1044" s="9" t="s">
        <v>17569</v>
      </c>
      <c r="G1044" s="9" t="s">
        <v>17570</v>
      </c>
      <c r="H1044" s="9" t="s">
        <v>17571</v>
      </c>
      <c r="I1044" s="9" t="s">
        <v>17572</v>
      </c>
      <c r="J1044" s="9" t="str">
        <f t="shared" si="49"/>
        <v>(${Variables:E6_1_1_4_kcat} * E6_1_1_4 * C00002 * C00123 * C01645)/(${Variables:E6_1_1_4_km} + (E6_1_1_4 * C00002 * C00123 * C01645))</v>
      </c>
      <c r="K1044" s="38" t="str">
        <f t="shared" si="50"/>
        <v>r1043: C00002 + C00123 + C01645 -&gt; C00020 + C00013 + C02047 | (${Variables:E6_1_1_4_kcat} * E6_1_1_4 * C00002 * C00123 * C01645)/(${Variables:E6_1_1_4_km} + (E6_1_1_4 * C00002 * C00123 * C01645))</v>
      </c>
    </row>
    <row r="1045" spans="1:11" ht="42.75" x14ac:dyDescent="0.45">
      <c r="A1045" t="s">
        <v>7383</v>
      </c>
      <c r="B1045" t="s">
        <v>7384</v>
      </c>
      <c r="C1045" t="s">
        <v>15311</v>
      </c>
      <c r="D1045">
        <v>1044</v>
      </c>
      <c r="E1045" t="str">
        <f t="shared" si="48"/>
        <v>E6_1_1_5</v>
      </c>
      <c r="F1045" s="9" t="s">
        <v>17573</v>
      </c>
      <c r="G1045" s="9" t="s">
        <v>17574</v>
      </c>
      <c r="H1045" s="9" t="s">
        <v>17575</v>
      </c>
      <c r="I1045" s="9" t="s">
        <v>17576</v>
      </c>
      <c r="J1045" s="9" t="str">
        <f t="shared" si="49"/>
        <v>(${Variables:E6_1_1_5_kcat} * E6_1_1_5 * C00002 * C00407 * C01644)/(${Variables:E6_1_1_5_km} + (E6_1_1_5 * C00002 * C00407 * C01644))</v>
      </c>
      <c r="K1045" s="38" t="str">
        <f t="shared" si="50"/>
        <v>r1044: C00002 + C00407 + C01644 -&gt; C00020 + C00013 + C03127 | (${Variables:E6_1_1_5_kcat} * E6_1_1_5 * C00002 * C00407 * C01644)/(${Variables:E6_1_1_5_km} + (E6_1_1_5 * C00002 * C00407 * C01644))</v>
      </c>
    </row>
    <row r="1046" spans="1:11" ht="42.75" x14ac:dyDescent="0.45">
      <c r="A1046" t="s">
        <v>9821</v>
      </c>
      <c r="B1046" t="s">
        <v>9822</v>
      </c>
      <c r="C1046" t="s">
        <v>15312</v>
      </c>
      <c r="D1046">
        <v>1045</v>
      </c>
      <c r="E1046" t="str">
        <f t="shared" si="48"/>
        <v>E6_1_1_6</v>
      </c>
      <c r="F1046" s="9" t="s">
        <v>17577</v>
      </c>
      <c r="G1046" s="9" t="s">
        <v>17578</v>
      </c>
      <c r="H1046" s="9" t="s">
        <v>17579</v>
      </c>
      <c r="I1046" s="9" t="s">
        <v>17580</v>
      </c>
      <c r="J1046" s="9" t="str">
        <f t="shared" si="49"/>
        <v>(${Variables:E6_1_1_6_kcat} * E6_1_1_6 * C00002 * C00047 * C01646)/(${Variables:E6_1_1_6_km} + (E6_1_1_6 * C00002 * C00047 * C01646))</v>
      </c>
      <c r="K1046" s="38" t="str">
        <f t="shared" si="50"/>
        <v>r1045: C00002 + C00047 + C01646 -&gt; C00020 + C00013 + C01931 | (${Variables:E6_1_1_6_kcat} * E6_1_1_6 * C00002 * C00047 * C01646)/(${Variables:E6_1_1_6_km} + (E6_1_1_6 * C00002 * C00047 * C01646))</v>
      </c>
    </row>
    <row r="1047" spans="1:11" ht="42.75" x14ac:dyDescent="0.45">
      <c r="A1047" t="s">
        <v>3496</v>
      </c>
      <c r="B1047" t="s">
        <v>3497</v>
      </c>
      <c r="C1047" t="s">
        <v>15313</v>
      </c>
      <c r="D1047">
        <v>1046</v>
      </c>
      <c r="E1047" t="str">
        <f t="shared" si="48"/>
        <v>E6_1_1_7</v>
      </c>
      <c r="F1047" s="9" t="s">
        <v>17581</v>
      </c>
      <c r="G1047" s="9" t="s">
        <v>17582</v>
      </c>
      <c r="H1047" s="9" t="s">
        <v>17583</v>
      </c>
      <c r="I1047" s="9" t="s">
        <v>17584</v>
      </c>
      <c r="J1047" s="9" t="str">
        <f t="shared" si="49"/>
        <v>(${Variables:E6_1_1_7_kcat} * E6_1_1_7 * C00002 * C00041 * C01635)/(${Variables:E6_1_1_7_km} + (E6_1_1_7 * C00002 * C00041 * C01635))</v>
      </c>
      <c r="K1047" s="38" t="str">
        <f t="shared" si="50"/>
        <v>r1046: C00002 + C00041 + C01635 -&gt; C00020 + C00013 + C00886 | (${Variables:E6_1_1_7_kcat} * E6_1_1_7 * C00002 * C00041 * C01635)/(${Variables:E6_1_1_7_km} + (E6_1_1_7 * C00002 * C00041 * C01635))</v>
      </c>
    </row>
    <row r="1048" spans="1:11" ht="42.75" x14ac:dyDescent="0.45">
      <c r="A1048" t="s">
        <v>9030</v>
      </c>
      <c r="B1048" t="s">
        <v>9031</v>
      </c>
      <c r="C1048" t="s">
        <v>15314</v>
      </c>
      <c r="D1048">
        <v>1047</v>
      </c>
      <c r="E1048" t="str">
        <f t="shared" si="48"/>
        <v>E6_1_1_9</v>
      </c>
      <c r="F1048" s="9" t="s">
        <v>17585</v>
      </c>
      <c r="G1048" s="9" t="s">
        <v>17586</v>
      </c>
      <c r="H1048" s="9" t="s">
        <v>17587</v>
      </c>
      <c r="I1048" s="9" t="s">
        <v>17588</v>
      </c>
      <c r="J1048" s="9" t="str">
        <f t="shared" si="49"/>
        <v>(${Variables:E6_1_1_9_kcat} * E6_1_1_9 * C00002 * C00183 * C01653)/(${Variables:E6_1_1_9_km} + (E6_1_1_9 * C00002 * C00183 * C01653))</v>
      </c>
      <c r="K1048" s="38" t="str">
        <f t="shared" si="50"/>
        <v>r1047: C00002 + C00183 + C01653 -&gt; C00020 + C00013 + C02554 | (${Variables:E6_1_1_9_kcat} * E6_1_1_9 * C00002 * C00183 * C01653)/(${Variables:E6_1_1_9_km} + (E6_1_1_9 * C00002 * C00183 * C01653))</v>
      </c>
    </row>
    <row r="1049" spans="1:11" ht="42.75" x14ac:dyDescent="0.45">
      <c r="A1049" t="s">
        <v>7618</v>
      </c>
      <c r="B1049" t="s">
        <v>7619</v>
      </c>
      <c r="C1049" t="s">
        <v>15315</v>
      </c>
      <c r="D1049">
        <v>1048</v>
      </c>
      <c r="E1049" t="str">
        <f t="shared" si="48"/>
        <v>E6_3_1_1</v>
      </c>
      <c r="F1049" s="9" t="s">
        <v>17589</v>
      </c>
      <c r="G1049" s="9" t="s">
        <v>17590</v>
      </c>
      <c r="H1049" s="9" t="s">
        <v>17591</v>
      </c>
      <c r="I1049" s="9" t="s">
        <v>17592</v>
      </c>
      <c r="J1049" s="9" t="str">
        <f t="shared" si="49"/>
        <v>(${Variables:E6_3_1_1_kcat} * E6_3_1_1 * C00002 * C00049 * C00014)/(${Variables:E6_3_1_1_km} + (E6_3_1_1 * C00002 * C00049 * C00014))</v>
      </c>
      <c r="K1049" s="38" t="str">
        <f t="shared" si="50"/>
        <v>r1048: C00002 + C00049 + C00014 -&gt; C00020 + C00013 + C00152 | (${Variables:E6_3_1_1_kcat} * E6_3_1_1 * C00002 * C00049 * C00014)/(${Variables:E6_3_1_1_km} + (E6_3_1_1 * C00002 * C00049 * C00014))</v>
      </c>
    </row>
    <row r="1050" spans="1:11" ht="42.75" x14ac:dyDescent="0.45">
      <c r="A1050" t="s">
        <v>3685</v>
      </c>
      <c r="B1050" t="s">
        <v>3686</v>
      </c>
      <c r="C1050" t="s">
        <v>15316</v>
      </c>
      <c r="D1050">
        <v>1049</v>
      </c>
      <c r="E1050" t="str">
        <f t="shared" si="48"/>
        <v>E6_3_1_2</v>
      </c>
      <c r="F1050" s="9" t="s">
        <v>17593</v>
      </c>
      <c r="G1050" s="9" t="s">
        <v>17594</v>
      </c>
      <c r="H1050" s="9" t="s">
        <v>17595</v>
      </c>
      <c r="I1050" s="9" t="s">
        <v>17596</v>
      </c>
      <c r="J1050" s="9" t="str">
        <f t="shared" si="49"/>
        <v>(${Variables:E6_3_1_2_kcat} * E6_3_1_2 * C00002 * C00025 * C00014)/(${Variables:E6_3_1_2_km} + (E6_3_1_2 * C00002 * C00025 * C00014))</v>
      </c>
      <c r="K1050" s="38" t="str">
        <f t="shared" si="50"/>
        <v>r1049: C00002 + C00025 + C00014 -&gt; C00008 + C00009 + C00064 | (${Variables:E6_3_1_2_kcat} * E6_3_1_2 * C00002 * C00025 * C00014)/(${Variables:E6_3_1_2_km} + (E6_3_1_2 * C00002 * C00025 * C00014))</v>
      </c>
    </row>
    <row r="1051" spans="1:11" ht="42.75" x14ac:dyDescent="0.45">
      <c r="A1051" t="s">
        <v>2362</v>
      </c>
      <c r="B1051" t="s">
        <v>2363</v>
      </c>
      <c r="C1051" t="s">
        <v>15317</v>
      </c>
      <c r="D1051">
        <v>1050</v>
      </c>
      <c r="E1051" t="str">
        <f t="shared" si="48"/>
        <v>E6_3_1_5</v>
      </c>
      <c r="F1051" s="9" t="s">
        <v>17597</v>
      </c>
      <c r="G1051" s="9" t="s">
        <v>17598</v>
      </c>
      <c r="H1051" s="9" t="s">
        <v>17599</v>
      </c>
      <c r="I1051" s="9" t="s">
        <v>17600</v>
      </c>
      <c r="J1051" s="9" t="str">
        <f t="shared" si="49"/>
        <v>(${Variables:E6_3_1_5_kcat} * E6_3_1_5 * C00002 * C00857 * C00014)/(${Variables:E6_3_1_5_km} + (E6_3_1_5 * C00002 * C00857 * C00014))</v>
      </c>
      <c r="K1051" s="38" t="str">
        <f t="shared" si="50"/>
        <v>r1050: C00002 + C00857 + C00014 -&gt; C00020 + C00013 + C00003 | (${Variables:E6_3_1_5_kcat} * E6_3_1_5 * C00002 * C00857 * C00014)/(${Variables:E6_3_1_5_km} + (E6_3_1_5 * C00002 * C00857 * C00014))</v>
      </c>
    </row>
    <row r="1052" spans="1:11" ht="42.75" x14ac:dyDescent="0.45">
      <c r="A1052" t="s">
        <v>4165</v>
      </c>
      <c r="B1052" t="s">
        <v>4166</v>
      </c>
      <c r="C1052" t="s">
        <v>15318</v>
      </c>
      <c r="D1052">
        <v>1051</v>
      </c>
      <c r="E1052" t="str">
        <f t="shared" si="48"/>
        <v>E6_3_2_1</v>
      </c>
      <c r="F1052" s="9" t="s">
        <v>17601</v>
      </c>
      <c r="G1052" s="9" t="s">
        <v>17602</v>
      </c>
      <c r="H1052" s="9" t="s">
        <v>17603</v>
      </c>
      <c r="I1052" s="9" t="s">
        <v>17604</v>
      </c>
      <c r="J1052" s="9" t="str">
        <f t="shared" si="49"/>
        <v>(${Variables:E6_3_2_1_kcat} * E6_3_2_1 * C00002 * C00522 * C00099)/(${Variables:E6_3_2_1_km} + (E6_3_2_1 * C00002 * C00522 * C00099))</v>
      </c>
      <c r="K1052" s="38" t="str">
        <f t="shared" si="50"/>
        <v>r1051: C00002 + C00522 + C00099 -&gt; C00020 + C00013 + C00864 | (${Variables:E6_3_2_1_kcat} * E6_3_2_1 * C00002 * C00522 * C00099)/(${Variables:E6_3_2_1_km} + (E6_3_2_1 * C00002 * C00522 * C00099))</v>
      </c>
    </row>
    <row r="1053" spans="1:11" ht="42.75" x14ac:dyDescent="0.45">
      <c r="A1053" t="s">
        <v>7506</v>
      </c>
      <c r="B1053" t="s">
        <v>7507</v>
      </c>
      <c r="C1053" t="s">
        <v>15319</v>
      </c>
      <c r="D1053">
        <v>1052</v>
      </c>
      <c r="E1053" t="str">
        <f t="shared" si="48"/>
        <v>E6_3_2_10</v>
      </c>
      <c r="F1053" s="9" t="s">
        <v>17609</v>
      </c>
      <c r="G1053" s="9" t="s">
        <v>17610</v>
      </c>
      <c r="H1053" s="9" t="s">
        <v>17611</v>
      </c>
      <c r="I1053" s="9" t="s">
        <v>17612</v>
      </c>
      <c r="J1053" s="9" t="str">
        <f t="shared" si="49"/>
        <v>(${Variables:E6_3_2_10_kcat} * E6_3_2_10 * C00002 * C05892 * C00993)/(${Variables:E6_3_2_10_km} + (E6_3_2_10 * C00002 * C05892 * C00993))</v>
      </c>
      <c r="K1053" s="38" t="str">
        <f t="shared" si="50"/>
        <v>r1052: C00002 + C05892 + C00993 -&gt; C00008 + C00009 + C04702 | (${Variables:E6_3_2_10_kcat} * E6_3_2_10 * C00002 * C05892 * C00993)/(${Variables:E6_3_2_10_km} + (E6_3_2_10 * C00002 * C05892 * C00993))</v>
      </c>
    </row>
    <row r="1054" spans="1:11" ht="42.75" x14ac:dyDescent="0.45">
      <c r="A1054" t="s">
        <v>7506</v>
      </c>
      <c r="B1054" t="s">
        <v>7507</v>
      </c>
      <c r="C1054" t="s">
        <v>15319</v>
      </c>
      <c r="D1054">
        <v>1053</v>
      </c>
      <c r="E1054" t="str">
        <f t="shared" si="48"/>
        <v>E6_3_2_10</v>
      </c>
      <c r="F1054" s="9" t="s">
        <v>17605</v>
      </c>
      <c r="G1054" s="9" t="s">
        <v>17606</v>
      </c>
      <c r="H1054" s="9" t="s">
        <v>17607</v>
      </c>
      <c r="I1054" s="9" t="s">
        <v>17608</v>
      </c>
      <c r="J1054" s="9" t="str">
        <f t="shared" si="49"/>
        <v>(${Variables:E6_3_2_10_kcat} * E6_3_2_10 * C00002 * C04877 * C00993)/(${Variables:E6_3_2_10_km} + (E6_3_2_10 * C00002 * C04877 * C00993))</v>
      </c>
      <c r="K1054" s="38" t="str">
        <f t="shared" si="50"/>
        <v>r1053: C00002 + C04877 + C00993 -&gt; C00008 + C00009 + C04882 | (${Variables:E6_3_2_10_kcat} * E6_3_2_10 * C00002 * C04877 * C00993)/(${Variables:E6_3_2_10_km} + (E6_3_2_10 * C00002 * C04877 * C00993))</v>
      </c>
    </row>
    <row r="1055" spans="1:11" ht="42.75" x14ac:dyDescent="0.45">
      <c r="A1055" t="s">
        <v>7536</v>
      </c>
      <c r="B1055" t="s">
        <v>7537</v>
      </c>
      <c r="C1055" t="s">
        <v>15320</v>
      </c>
      <c r="D1055">
        <v>1054</v>
      </c>
      <c r="E1055" t="str">
        <f t="shared" si="48"/>
        <v>E6_3_2_13</v>
      </c>
      <c r="F1055" s="9" t="s">
        <v>17613</v>
      </c>
      <c r="G1055" s="9" t="s">
        <v>17614</v>
      </c>
      <c r="H1055" s="9" t="s">
        <v>17615</v>
      </c>
      <c r="I1055" s="9" t="s">
        <v>17616</v>
      </c>
      <c r="J1055" s="9" t="str">
        <f t="shared" si="49"/>
        <v>(${Variables:E6_3_2_13_kcat} * E6_3_2_13 * C00002 * C00692 * C00680)/(${Variables:E6_3_2_13_km} + (E6_3_2_13 * C00002 * C00692 * C00680))</v>
      </c>
      <c r="K1055" s="38" t="str">
        <f t="shared" si="50"/>
        <v>r1054: C00002 + C00692 + C00680 -&gt; C00008 + C00009 + C04877 | (${Variables:E6_3_2_13_kcat} * E6_3_2_13 * C00002 * C00692 * C00680)/(${Variables:E6_3_2_13_km} + (E6_3_2_13 * C00002 * C00692 * C00680))</v>
      </c>
    </row>
    <row r="1056" spans="1:11" ht="42.75" x14ac:dyDescent="0.45">
      <c r="A1056" t="s">
        <v>4659</v>
      </c>
      <c r="B1056" t="s">
        <v>4660</v>
      </c>
      <c r="C1056" t="s">
        <v>15321</v>
      </c>
      <c r="D1056">
        <v>1055</v>
      </c>
      <c r="E1056" t="str">
        <f t="shared" si="48"/>
        <v>E6_3_2_35</v>
      </c>
      <c r="F1056" s="9" t="s">
        <v>17617</v>
      </c>
      <c r="G1056" s="9" t="s">
        <v>17618</v>
      </c>
      <c r="H1056" s="9" t="s">
        <v>17619</v>
      </c>
      <c r="I1056" s="9" t="s">
        <v>17620</v>
      </c>
      <c r="J1056" s="9" t="str">
        <f t="shared" si="49"/>
        <v>(${Variables:E6_3_2_35_kcat} * E6_3_2_35 * C00133 * C00740 * C00002)/(${Variables:E6_3_2_35_km} + (E6_3_2_35 * C00133 * C00740 * C00002))</v>
      </c>
      <c r="K1056" s="38" t="str">
        <f t="shared" si="50"/>
        <v>r1055: C00133 + C00740 + C00002 -&gt; C19719 + C00008 + C00009 | (${Variables:E6_3_2_35_kcat} * E6_3_2_35 * C00133 * C00740 * C00002)/(${Variables:E6_3_2_35_km} + (E6_3_2_35 * C00133 * C00740 * C00002))</v>
      </c>
    </row>
    <row r="1057" spans="1:11" ht="42.75" x14ac:dyDescent="0.45">
      <c r="A1057" t="s">
        <v>3869</v>
      </c>
      <c r="B1057" t="s">
        <v>3870</v>
      </c>
      <c r="C1057" t="s">
        <v>15322</v>
      </c>
      <c r="D1057">
        <v>1056</v>
      </c>
      <c r="E1057" t="str">
        <f t="shared" si="48"/>
        <v>E6_3_2_4</v>
      </c>
      <c r="F1057" s="9" t="s">
        <v>17621</v>
      </c>
      <c r="G1057" s="9" t="s">
        <v>17622</v>
      </c>
      <c r="H1057" s="9" t="s">
        <v>17623</v>
      </c>
      <c r="I1057" s="9" t="s">
        <v>17624</v>
      </c>
      <c r="J1057" s="9" t="str">
        <f t="shared" si="49"/>
        <v>(${Variables:E6_3_2_4_kcat} * E6_3_2_4 * C00002 * C00133)/(${Variables:E6_3_2_4_km} + (E6_3_2_4 * C00002 * C00133))</v>
      </c>
      <c r="K1057" s="38" t="str">
        <f t="shared" si="50"/>
        <v>r1056: C00002 + C00133 -&gt; C00008 + C00009 + C00993 | (${Variables:E6_3_2_4_kcat} * E6_3_2_4 * C00002 * C00133)/(${Variables:E6_3_2_4_km} + (E6_3_2_4 * C00002 * C00133))</v>
      </c>
    </row>
    <row r="1058" spans="1:11" ht="42.75" x14ac:dyDescent="0.45">
      <c r="A1058" t="s">
        <v>7297</v>
      </c>
      <c r="B1058" t="s">
        <v>7298</v>
      </c>
      <c r="C1058" t="s">
        <v>15323</v>
      </c>
      <c r="D1058">
        <v>1057</v>
      </c>
      <c r="E1058" t="str">
        <f t="shared" si="48"/>
        <v>E6_3_2_5</v>
      </c>
      <c r="F1058" s="9" t="s">
        <v>17625</v>
      </c>
      <c r="G1058" s="9" t="s">
        <v>17626</v>
      </c>
      <c r="H1058" s="9" t="s">
        <v>17627</v>
      </c>
      <c r="I1058" s="9" t="s">
        <v>17628</v>
      </c>
      <c r="J1058" s="9" t="str">
        <f t="shared" si="49"/>
        <v>(${Variables:E6_3_2_5_kcat} * E6_3_2_5 * C00063 * C03492 * C00097)/(${Variables:E6_3_2_5_km} + (E6_3_2_5 * C00063 * C03492 * C00097))</v>
      </c>
      <c r="K1058" s="38" t="str">
        <f t="shared" si="50"/>
        <v>r1057: C00063 + C03492 + C00097 -&gt; C00055 + C00013 + C04352 | (${Variables:E6_3_2_5_kcat} * E6_3_2_5 * C00063 * C03492 * C00097)/(${Variables:E6_3_2_5_km} + (E6_3_2_5 * C00063 * C03492 * C00097))</v>
      </c>
    </row>
    <row r="1059" spans="1:11" ht="42.75" x14ac:dyDescent="0.45">
      <c r="A1059" t="s">
        <v>871</v>
      </c>
      <c r="B1059" t="s">
        <v>872</v>
      </c>
      <c r="C1059" t="s">
        <v>15324</v>
      </c>
      <c r="D1059">
        <v>1058</v>
      </c>
      <c r="E1059" t="str">
        <f t="shared" si="48"/>
        <v>E6_3_2_6</v>
      </c>
      <c r="F1059" s="9" t="s">
        <v>17629</v>
      </c>
      <c r="G1059" s="9" t="s">
        <v>17630</v>
      </c>
      <c r="H1059" s="9" t="s">
        <v>17631</v>
      </c>
      <c r="I1059" s="9" t="s">
        <v>17632</v>
      </c>
      <c r="J1059" s="9" t="str">
        <f t="shared" si="49"/>
        <v>(${Variables:E6_3_2_6_kcat} * E6_3_2_6 * C00002 * C04751 * C00049)/(${Variables:E6_3_2_6_km} + (E6_3_2_6 * C00002 * C04751 * C00049))</v>
      </c>
      <c r="K1059" s="38" t="str">
        <f t="shared" si="50"/>
        <v>r1058: C00002 + C04751 + C00049 -&gt; C00008 + C00009 + C04823 | (${Variables:E6_3_2_6_kcat} * E6_3_2_6 * C00002 * C04751 * C00049)/(${Variables:E6_3_2_6_km} + (E6_3_2_6 * C00002 * C04751 * C00049))</v>
      </c>
    </row>
    <row r="1060" spans="1:11" ht="42.75" x14ac:dyDescent="0.45">
      <c r="A1060" t="s">
        <v>9720</v>
      </c>
      <c r="B1060" t="s">
        <v>9721</v>
      </c>
      <c r="C1060" t="s">
        <v>15325</v>
      </c>
      <c r="D1060">
        <v>1059</v>
      </c>
      <c r="E1060" t="str">
        <f t="shared" si="48"/>
        <v>E6_3_2_8</v>
      </c>
      <c r="F1060" s="9" t="s">
        <v>17633</v>
      </c>
      <c r="G1060" s="9" t="s">
        <v>17634</v>
      </c>
      <c r="H1060" s="9" t="s">
        <v>17635</v>
      </c>
      <c r="I1060" s="9" t="s">
        <v>17636</v>
      </c>
      <c r="J1060" s="9" t="str">
        <f t="shared" si="49"/>
        <v>(${Variables:E6_3_2_8_kcat} * E6_3_2_8 * C00002 * C01050 * C00041)/(${Variables:E6_3_2_8_km} + (E6_3_2_8 * C00002 * C01050 * C00041))</v>
      </c>
      <c r="K1060" s="38" t="str">
        <f t="shared" si="50"/>
        <v>r1059: C00002 + C01050 + C00041 -&gt; C00008 + C00009 + C01212 | (${Variables:E6_3_2_8_kcat} * E6_3_2_8 * C00002 * C01050 * C00041)/(${Variables:E6_3_2_8_km} + (E6_3_2_8 * C00002 * C01050 * C00041))</v>
      </c>
    </row>
    <row r="1061" spans="1:11" ht="42.75" x14ac:dyDescent="0.45">
      <c r="A1061" t="s">
        <v>7499</v>
      </c>
      <c r="B1061" t="s">
        <v>7500</v>
      </c>
      <c r="C1061" t="s">
        <v>15326</v>
      </c>
      <c r="D1061">
        <v>1060</v>
      </c>
      <c r="E1061" t="str">
        <f t="shared" si="48"/>
        <v>E6_3_2_9</v>
      </c>
      <c r="F1061" s="9" t="s">
        <v>17637</v>
      </c>
      <c r="G1061" s="9" t="s">
        <v>17638</v>
      </c>
      <c r="H1061" s="9" t="s">
        <v>17639</v>
      </c>
      <c r="I1061" s="9" t="s">
        <v>17640</v>
      </c>
      <c r="J1061" s="9" t="str">
        <f t="shared" si="49"/>
        <v>(${Variables:E6_3_2_9_kcat} * E6_3_2_9 * C00002 * C01212 * C00217)/(${Variables:E6_3_2_9_km} + (E6_3_2_9 * C00002 * C01212 * C00217))</v>
      </c>
      <c r="K1061" s="38" t="str">
        <f t="shared" si="50"/>
        <v>r1060: C00002 + C01212 + C00217 -&gt; C00008 + C00009 + C00692 | (${Variables:E6_3_2_9_kcat} * E6_3_2_9 * C00002 * C01212 * C00217)/(${Variables:E6_3_2_9_km} + (E6_3_2_9 * C00002 * C01212 * C00217))</v>
      </c>
    </row>
    <row r="1062" spans="1:11" ht="42.75" x14ac:dyDescent="0.45">
      <c r="A1062" t="s">
        <v>879</v>
      </c>
      <c r="B1062" t="s">
        <v>880</v>
      </c>
      <c r="C1062" t="s">
        <v>15327</v>
      </c>
      <c r="D1062">
        <v>1061</v>
      </c>
      <c r="E1062" t="str">
        <f t="shared" si="48"/>
        <v>E6_3_3_1</v>
      </c>
      <c r="F1062" s="9" t="s">
        <v>17641</v>
      </c>
      <c r="G1062" s="9" t="s">
        <v>17642</v>
      </c>
      <c r="H1062" s="9" t="s">
        <v>17643</v>
      </c>
      <c r="I1062" s="9" t="s">
        <v>17644</v>
      </c>
      <c r="J1062" s="9" t="str">
        <f t="shared" si="49"/>
        <v>(${Variables:E6_3_3_1_kcat} * E6_3_3_1 * C00002 * C04640)/(${Variables:E6_3_3_1_km} + (E6_3_3_1 * C00002 * C04640))</v>
      </c>
      <c r="K1062" s="38" t="str">
        <f t="shared" si="50"/>
        <v>r1061: C00002 + C04640 -&gt; C00008 + C00009 + C03373 | (${Variables:E6_3_3_1_kcat} * E6_3_3_1 * C00002 * C04640)/(${Variables:E6_3_3_1_km} + (E6_3_3_1 * C00002 * C04640))</v>
      </c>
    </row>
    <row r="1063" spans="1:11" ht="42.75" x14ac:dyDescent="0.45">
      <c r="A1063" t="s">
        <v>9522</v>
      </c>
      <c r="B1063" t="s">
        <v>9523</v>
      </c>
      <c r="C1063" t="s">
        <v>15328</v>
      </c>
      <c r="D1063">
        <v>1062</v>
      </c>
      <c r="E1063" t="str">
        <f t="shared" si="48"/>
        <v>E6_3_3_2</v>
      </c>
      <c r="F1063" s="9" t="s">
        <v>17645</v>
      </c>
      <c r="G1063" s="9" t="s">
        <v>17646</v>
      </c>
      <c r="H1063" s="9" t="s">
        <v>17647</v>
      </c>
      <c r="I1063" s="9" t="s">
        <v>17648</v>
      </c>
      <c r="J1063" s="9" t="str">
        <f t="shared" si="49"/>
        <v>(${Variables:E6_3_3_2_kcat} * E6_3_3_2 * C00002 * C03479 * C00080)/(${Variables:E6_3_3_2_km} + (E6_3_3_2 * C00002 * C03479 * C00080))</v>
      </c>
      <c r="K1063" s="38" t="str">
        <f t="shared" si="50"/>
        <v>r1062: C00002 + C03479 + C00080 -&gt; C00008 + C00009 + C00445 | (${Variables:E6_3_3_2_kcat} * E6_3_3_2 * C00002 * C03479 * C00080)/(${Variables:E6_3_3_2_km} + (E6_3_3_2 * C00002 * C03479 * C00080))</v>
      </c>
    </row>
    <row r="1064" spans="1:11" ht="42.75" x14ac:dyDescent="0.45">
      <c r="A1064" t="s">
        <v>891</v>
      </c>
      <c r="B1064" t="s">
        <v>892</v>
      </c>
      <c r="C1064" t="s">
        <v>15329</v>
      </c>
      <c r="D1064">
        <v>1063</v>
      </c>
      <c r="E1064" t="str">
        <f t="shared" si="48"/>
        <v>E6_3_4_13</v>
      </c>
      <c r="F1064" s="9" t="s">
        <v>17649</v>
      </c>
      <c r="G1064" s="9" t="s">
        <v>17650</v>
      </c>
      <c r="H1064" s="9" t="s">
        <v>17651</v>
      </c>
      <c r="I1064" s="9" t="s">
        <v>17652</v>
      </c>
      <c r="J1064" s="9" t="str">
        <f t="shared" si="49"/>
        <v>(${Variables:E6_3_4_13_kcat} * E6_3_4_13 * C00002 * C03090 * C00037)/(${Variables:E6_3_4_13_km} + (E6_3_4_13 * C00002 * C03090 * C00037))</v>
      </c>
      <c r="K1064" s="38" t="str">
        <f t="shared" si="50"/>
        <v>r1063: C00002 + C03090 + C00037 -&gt; C00008 + C00009 + C03838 | (${Variables:E6_3_4_13_kcat} * E6_3_4_13 * C00002 * C03090 * C00037)/(${Variables:E6_3_4_13_km} + (E6_3_4_13 * C00002 * C03090 * C00037))</v>
      </c>
    </row>
    <row r="1065" spans="1:11" ht="42.75" x14ac:dyDescent="0.45">
      <c r="A1065" t="s">
        <v>5612</v>
      </c>
      <c r="B1065" t="s">
        <v>5613</v>
      </c>
      <c r="C1065" t="s">
        <v>15330</v>
      </c>
      <c r="D1065">
        <v>1064</v>
      </c>
      <c r="E1065" t="str">
        <f t="shared" si="48"/>
        <v>E6_3_4_14</v>
      </c>
      <c r="F1065" s="9" t="s">
        <v>17653</v>
      </c>
      <c r="G1065" s="9" t="s">
        <v>17654</v>
      </c>
      <c r="H1065" s="9" t="s">
        <v>17655</v>
      </c>
      <c r="I1065" s="9" t="s">
        <v>17656</v>
      </c>
      <c r="J1065" s="9" t="str">
        <f t="shared" si="49"/>
        <v>(${Variables:E6_3_4_14_kcat} * E6_3_4_14 * C00002 * C06250 * C00288)/(${Variables:E6_3_4_14_km} + (E6_3_4_14 * C00002 * C06250 * C00288))</v>
      </c>
      <c r="K1065" s="38" t="str">
        <f t="shared" si="50"/>
        <v>r1064: C00002 + C06250 + C00288 -&gt; C00008 + C00009 + C04419 | (${Variables:E6_3_4_14_kcat} * E6_3_4_14 * C00002 * C06250 * C00288)/(${Variables:E6_3_4_14_km} + (E6_3_4_14 * C00002 * C06250 * C00288))</v>
      </c>
    </row>
    <row r="1066" spans="1:11" ht="42.75" x14ac:dyDescent="0.45">
      <c r="A1066" t="s">
        <v>9840</v>
      </c>
      <c r="B1066" t="s">
        <v>9841</v>
      </c>
      <c r="C1066" t="s">
        <v>15331</v>
      </c>
      <c r="D1066">
        <v>1065</v>
      </c>
      <c r="E1066" t="str">
        <f t="shared" si="48"/>
        <v>E6_3_4_15</v>
      </c>
      <c r="F1066" s="9" t="s">
        <v>17661</v>
      </c>
      <c r="G1066" s="9" t="s">
        <v>17662</v>
      </c>
      <c r="H1066" s="9" t="s">
        <v>17663</v>
      </c>
      <c r="I1066" s="9" t="s">
        <v>17664</v>
      </c>
      <c r="J1066" s="9" t="str">
        <f t="shared" si="49"/>
        <v>(${Variables:E6_3_4_15_kcat} * E6_3_4_15 * C00002 * C00120 * C04735)/(${Variables:E6_3_4_15_km} + (E6_3_4_15 * C00002 * C00120 * C04735))</v>
      </c>
      <c r="K1066" s="38" t="str">
        <f t="shared" si="50"/>
        <v>r1065: C00002 + C00120 + C04735 -&gt; C00020 + C00013 + C04681 | (${Variables:E6_3_4_15_kcat} * E6_3_4_15 * C00002 * C00120 * C04735)/(${Variables:E6_3_4_15_km} + (E6_3_4_15 * C00002 * C00120 * C04735))</v>
      </c>
    </row>
    <row r="1067" spans="1:11" ht="42.75" x14ac:dyDescent="0.45">
      <c r="A1067" t="s">
        <v>9840</v>
      </c>
      <c r="B1067" t="s">
        <v>9841</v>
      </c>
      <c r="C1067" t="s">
        <v>15331</v>
      </c>
      <c r="D1067">
        <v>1066</v>
      </c>
      <c r="E1067" t="str">
        <f t="shared" si="48"/>
        <v>E6_3_4_15</v>
      </c>
      <c r="F1067" s="9" t="s">
        <v>17657</v>
      </c>
      <c r="G1067" s="9" t="s">
        <v>17658</v>
      </c>
      <c r="H1067" s="9" t="s">
        <v>17659</v>
      </c>
      <c r="I1067" s="9" t="s">
        <v>17660</v>
      </c>
      <c r="J1067" s="9" t="str">
        <f t="shared" si="49"/>
        <v>(${Variables:E6_3_4_15_kcat} * E6_3_4_15 * C00002 * C00120)/(${Variables:E6_3_4_15_km} + (E6_3_4_15 * C00002 * C00120))</v>
      </c>
      <c r="K1067" s="38" t="str">
        <f t="shared" si="50"/>
        <v>r1066: C00002 + C00120 -&gt; C00013 + C05921 | (${Variables:E6_3_4_15_kcat} * E6_3_4_15 * C00002 * C00120)/(${Variables:E6_3_4_15_km} + (E6_3_4_15 * C00002 * C00120))</v>
      </c>
    </row>
    <row r="1068" spans="1:11" ht="42.75" x14ac:dyDescent="0.45">
      <c r="A1068" t="s">
        <v>9840</v>
      </c>
      <c r="B1068" t="s">
        <v>9841</v>
      </c>
      <c r="C1068" t="s">
        <v>15331</v>
      </c>
      <c r="D1068">
        <v>1067</v>
      </c>
      <c r="E1068" t="str">
        <f t="shared" si="48"/>
        <v>E6_3_4_15</v>
      </c>
      <c r="F1068" s="9" t="s">
        <v>17665</v>
      </c>
      <c r="G1068" s="9" t="s">
        <v>17666</v>
      </c>
      <c r="H1068" s="9" t="s">
        <v>17667</v>
      </c>
      <c r="I1068" s="9" t="s">
        <v>17668</v>
      </c>
      <c r="J1068" s="9" t="str">
        <f t="shared" si="49"/>
        <v>(${Variables:E6_3_4_15_kcat} * E6_3_4_15 * C05921 * C06249)/(${Variables:E6_3_4_15_km} + (E6_3_4_15 * C05921 * C06249))</v>
      </c>
      <c r="K1068" s="38" t="str">
        <f t="shared" si="50"/>
        <v>r1067: C05921 + C06249 -&gt; C00020 + C06250 | (${Variables:E6_3_4_15_kcat} * E6_3_4_15 * C05921 * C06249)/(${Variables:E6_3_4_15_km} + (E6_3_4_15 * C05921 * C06249))</v>
      </c>
    </row>
    <row r="1069" spans="1:11" ht="42.75" x14ac:dyDescent="0.45">
      <c r="A1069" t="s">
        <v>9846</v>
      </c>
      <c r="B1069" t="s">
        <v>9847</v>
      </c>
      <c r="C1069" t="s">
        <v>15332</v>
      </c>
      <c r="D1069">
        <v>1068</v>
      </c>
      <c r="E1069" t="str">
        <f t="shared" si="48"/>
        <v>E6_3_4_19</v>
      </c>
      <c r="F1069" s="9" t="s">
        <v>17669</v>
      </c>
      <c r="G1069" s="9" t="s">
        <v>17670</v>
      </c>
      <c r="H1069" s="9" t="s">
        <v>17671</v>
      </c>
      <c r="I1069" s="9" t="s">
        <v>17672</v>
      </c>
      <c r="J1069" s="9" t="str">
        <f t="shared" si="49"/>
        <v>(${Variables:E6_3_4_19_kcat} * E6_3_4_19 * C19722 * C00047 * C00002)/(${Variables:E6_3_4_19_km} + (E6_3_4_19 * C19722 * C00047 * C00002))</v>
      </c>
      <c r="K1069" s="38" t="str">
        <f t="shared" si="50"/>
        <v>r1068: C19722 + C00047 + C00002 -&gt; C19723 + C00020 + C00013 + C00001 | (${Variables:E6_3_4_19_kcat} * E6_3_4_19 * C19722 * C00047 * C00002)/(${Variables:E6_3_4_19_km} + (E6_3_4_19 * C19722 * C00047 * C00002))</v>
      </c>
    </row>
    <row r="1070" spans="1:11" ht="57" x14ac:dyDescent="0.45">
      <c r="A1070" t="s">
        <v>9786</v>
      </c>
      <c r="B1070" t="s">
        <v>9787</v>
      </c>
      <c r="C1070" t="s">
        <v>15333</v>
      </c>
      <c r="D1070">
        <v>1069</v>
      </c>
      <c r="E1070" t="str">
        <f t="shared" si="48"/>
        <v>E6_3_4_21</v>
      </c>
      <c r="F1070" s="9" t="s">
        <v>17673</v>
      </c>
      <c r="G1070" s="9" t="s">
        <v>17674</v>
      </c>
      <c r="H1070" s="9" t="s">
        <v>17675</v>
      </c>
      <c r="I1070" s="9" t="s">
        <v>17676</v>
      </c>
      <c r="J1070" s="9" t="str">
        <f t="shared" si="49"/>
        <v>(${Variables:E6_3_4_21_kcat} * E6_3_4_21 * C01185 * C00013 * C00008 * C00009)/(${Variables:E6_3_4_21_km} + (E6_3_4_21 * C01185 * C00013 * C00008 * C00009))</v>
      </c>
      <c r="K1070" s="38" t="str">
        <f t="shared" si="50"/>
        <v>r1069: C01185 + C00013 + C00008 + C00009 -&gt; C00253 + C00119 + C00002 + C00001 + C00080 | (${Variables:E6_3_4_21_kcat} * E6_3_4_21 * C01185 * C00013 * C00008 * C00009)/(${Variables:E6_3_4_21_km} + (E6_3_4_21 * C01185 * C00013 * C00008 * C00009))</v>
      </c>
    </row>
    <row r="1071" spans="1:11" ht="42.75" x14ac:dyDescent="0.45">
      <c r="A1071" t="s">
        <v>2123</v>
      </c>
      <c r="B1071" t="s">
        <v>2124</v>
      </c>
      <c r="C1071" t="s">
        <v>15334</v>
      </c>
      <c r="D1071">
        <v>1070</v>
      </c>
      <c r="E1071" t="str">
        <f t="shared" si="48"/>
        <v>E6_3_4_3</v>
      </c>
      <c r="F1071" s="9" t="s">
        <v>17677</v>
      </c>
      <c r="G1071" s="9" t="s">
        <v>17678</v>
      </c>
      <c r="H1071" s="9" t="s">
        <v>17679</v>
      </c>
      <c r="I1071" s="9" t="s">
        <v>17680</v>
      </c>
      <c r="J1071" s="9" t="str">
        <f t="shared" si="49"/>
        <v>(${Variables:E6_3_4_3_kcat} * E6_3_4_3 * C00101 * C00058 * C00002)/(${Variables:E6_3_4_3_km} + (E6_3_4_3 * C00101 * C00058 * C00002))</v>
      </c>
      <c r="K1071" s="38" t="str">
        <f t="shared" si="50"/>
        <v>r1070: C00101 + C00058 + C00002 -&gt; C00008 + C00009 + C00234 | (${Variables:E6_3_4_3_kcat} * E6_3_4_3 * C00101 * C00058 * C00002)/(${Variables:E6_3_4_3_km} + (E6_3_4_3 * C00101 * C00058 * C00002))</v>
      </c>
    </row>
    <row r="1072" spans="1:11" ht="42.75" x14ac:dyDescent="0.45">
      <c r="A1072" t="s">
        <v>10165</v>
      </c>
      <c r="B1072" t="s">
        <v>10166</v>
      </c>
      <c r="C1072" t="s">
        <v>15335</v>
      </c>
      <c r="D1072">
        <v>1071</v>
      </c>
      <c r="E1072" t="str">
        <f t="shared" si="48"/>
        <v>E6_3_4_4</v>
      </c>
      <c r="F1072" s="9" t="s">
        <v>17681</v>
      </c>
      <c r="G1072" s="9" t="s">
        <v>17682</v>
      </c>
      <c r="H1072" s="9" t="s">
        <v>17683</v>
      </c>
      <c r="I1072" s="9" t="s">
        <v>17684</v>
      </c>
      <c r="J1072" s="9" t="str">
        <f t="shared" si="49"/>
        <v>(${Variables:E6_3_4_4_kcat} * E6_3_4_4 * C00044 * C00130 * C00049)/(${Variables:E6_3_4_4_km} + (E6_3_4_4 * C00044 * C00130 * C00049))</v>
      </c>
      <c r="K1072" s="38" t="str">
        <f t="shared" si="50"/>
        <v>r1071: C00044 + C00130 + C00049 -&gt; C00035 + C00009 + C03794 | (${Variables:E6_3_4_4_kcat} * E6_3_4_4 * C00044 * C00130 * C00049)/(${Variables:E6_3_4_4_km} + (E6_3_4_4 * C00044 * C00130 * C00049))</v>
      </c>
    </row>
    <row r="1073" spans="1:11" ht="42.75" x14ac:dyDescent="0.45">
      <c r="A1073" t="s">
        <v>5095</v>
      </c>
      <c r="B1073" t="s">
        <v>5096</v>
      </c>
      <c r="C1073" t="s">
        <v>15336</v>
      </c>
      <c r="D1073">
        <v>1072</v>
      </c>
      <c r="E1073" t="str">
        <f t="shared" si="48"/>
        <v>E6_3_4_5</v>
      </c>
      <c r="F1073" s="9" t="s">
        <v>17685</v>
      </c>
      <c r="G1073" s="9" t="s">
        <v>17686</v>
      </c>
      <c r="H1073" s="9" t="s">
        <v>17687</v>
      </c>
      <c r="I1073" s="9" t="s">
        <v>17688</v>
      </c>
      <c r="J1073" s="9" t="str">
        <f t="shared" si="49"/>
        <v>(${Variables:E6_3_4_5_kcat} * E6_3_4_5 * C00002 * C00327 * C00049)/(${Variables:E6_3_4_5_km} + (E6_3_4_5 * C00002 * C00327 * C00049))</v>
      </c>
      <c r="K1073" s="38" t="str">
        <f t="shared" si="50"/>
        <v>r1072: C00002 + C00327 + C00049 -&gt; C00020 + C00013 + C03406 | (${Variables:E6_3_4_5_kcat} * E6_3_4_5 * C00002 * C00327 * C00049)/(${Variables:E6_3_4_5_km} + (E6_3_4_5 * C00002 * C00327 * C00049))</v>
      </c>
    </row>
    <row r="1074" spans="1:11" ht="57" x14ac:dyDescent="0.45">
      <c r="A1074" t="s">
        <v>820</v>
      </c>
      <c r="B1074" t="s">
        <v>821</v>
      </c>
      <c r="C1074" t="s">
        <v>15337</v>
      </c>
      <c r="D1074">
        <v>1073</v>
      </c>
      <c r="E1074" t="str">
        <f t="shared" si="48"/>
        <v>E6_3_5_2</v>
      </c>
      <c r="F1074" s="9" t="s">
        <v>17693</v>
      </c>
      <c r="G1074" s="9" t="s">
        <v>17694</v>
      </c>
      <c r="H1074" s="9" t="s">
        <v>17695</v>
      </c>
      <c r="I1074" s="9" t="s">
        <v>17696</v>
      </c>
      <c r="J1074" s="9" t="str">
        <f t="shared" si="49"/>
        <v>(${Variables:E6_3_5_2_kcat} * E6_3_5_2 * C00002 * C00655 * C00064 * C00001)/(${Variables:E6_3_5_2_km} + (E6_3_5_2 * C00002 * C00655 * C00064 * C00001))</v>
      </c>
      <c r="K1074" s="38" t="str">
        <f t="shared" si="50"/>
        <v>r1073: C00002 + C00655 + C00064 + C00001 -&gt; C00020 + C00013 + C00144 + C00025 | (${Variables:E6_3_5_2_kcat} * E6_3_5_2 * C00002 * C00655 * C00064 * C00001)/(${Variables:E6_3_5_2_km} + (E6_3_5_2 * C00002 * C00655 * C00064 * C00001))</v>
      </c>
    </row>
    <row r="1075" spans="1:11" ht="42.75" x14ac:dyDescent="0.45">
      <c r="A1075" t="s">
        <v>820</v>
      </c>
      <c r="B1075" t="s">
        <v>821</v>
      </c>
      <c r="C1075" t="s">
        <v>15337</v>
      </c>
      <c r="D1075">
        <v>1074</v>
      </c>
      <c r="E1075" t="str">
        <f t="shared" si="48"/>
        <v>E6_3_5_2</v>
      </c>
      <c r="F1075" s="9" t="s">
        <v>15787</v>
      </c>
      <c r="G1075" s="9" t="s">
        <v>15788</v>
      </c>
      <c r="H1075" s="9" t="s">
        <v>15789</v>
      </c>
      <c r="I1075" s="9" t="s">
        <v>15790</v>
      </c>
      <c r="J1075" s="9" t="str">
        <f t="shared" si="49"/>
        <v>(${Variables:E6_3_5_2_kcat} * E6_3_5_2 * C00064 * C00001)/(${Variables:E6_3_5_2_km} + (E6_3_5_2 * C00064 * C00001))</v>
      </c>
      <c r="K1075" s="38" t="str">
        <f t="shared" si="50"/>
        <v>r1074: C00064 + C00001 -&gt; C00025 + C00014 | (${Variables:E6_3_5_2_kcat} * E6_3_5_2 * C00064 * C00001)/(${Variables:E6_3_5_2_km} + (E6_3_5_2 * C00064 * C00001))</v>
      </c>
    </row>
    <row r="1076" spans="1:11" ht="42.75" x14ac:dyDescent="0.45">
      <c r="A1076" t="s">
        <v>820</v>
      </c>
      <c r="B1076" t="s">
        <v>821</v>
      </c>
      <c r="C1076" t="s">
        <v>15337</v>
      </c>
      <c r="D1076">
        <v>1075</v>
      </c>
      <c r="E1076" t="str">
        <f t="shared" si="48"/>
        <v>E6_3_5_2</v>
      </c>
      <c r="F1076" s="9" t="s">
        <v>17689</v>
      </c>
      <c r="G1076" s="9" t="s">
        <v>17690</v>
      </c>
      <c r="H1076" s="9" t="s">
        <v>17691</v>
      </c>
      <c r="I1076" s="9" t="s">
        <v>17692</v>
      </c>
      <c r="J1076" s="9" t="str">
        <f t="shared" si="49"/>
        <v>(${Variables:E6_3_5_2_kcat} * E6_3_5_2 * C00002 * C00655 * C00014)/(${Variables:E6_3_5_2_km} + (E6_3_5_2 * C00002 * C00655 * C00014))</v>
      </c>
      <c r="K1076" s="38" t="str">
        <f t="shared" si="50"/>
        <v>r1075: C00002 + C00655 + C00014 -&gt; C00020 + C00013 + C00144 | (${Variables:E6_3_5_2_kcat} * E6_3_5_2 * C00002 * C00655 * C00014)/(${Variables:E6_3_5_2_km} + (E6_3_5_2 * C00002 * C00655 * C00014))</v>
      </c>
    </row>
    <row r="1077" spans="1:11" ht="57" x14ac:dyDescent="0.45">
      <c r="A1077" t="s">
        <v>820</v>
      </c>
      <c r="B1077" t="s">
        <v>821</v>
      </c>
      <c r="C1077" t="s">
        <v>15337</v>
      </c>
      <c r="D1077">
        <v>1076</v>
      </c>
      <c r="E1077" t="str">
        <f t="shared" si="48"/>
        <v>E6_3_5_2</v>
      </c>
      <c r="F1077" s="9" t="s">
        <v>17697</v>
      </c>
      <c r="G1077" s="9" t="s">
        <v>17698</v>
      </c>
      <c r="H1077" s="9" t="s">
        <v>17699</v>
      </c>
      <c r="I1077" s="9" t="s">
        <v>17700</v>
      </c>
      <c r="J1077" s="9" t="str">
        <f t="shared" si="49"/>
        <v>(${Variables:E6_3_5_2_kcat} * E6_3_5_2 * C16618 * C00002 * C00064 * C00001)/(${Variables:E6_3_5_2_km} + (E6_3_5_2 * C16618 * C00002 * C00064 * C00001))</v>
      </c>
      <c r="K1077" s="38" t="str">
        <f t="shared" si="50"/>
        <v>r1076: C16618 + C00002 + C00064 + C00001 -&gt; C16619 + C00020 + C00013 + C00025 | (${Variables:E6_3_5_2_kcat} * E6_3_5_2 * C16618 * C00002 * C00064 * C00001)/(${Variables:E6_3_5_2_km} + (E6_3_5_2 * C16618 * C00002 * C00064 * C00001))</v>
      </c>
    </row>
    <row r="1078" spans="1:11" ht="57" x14ac:dyDescent="0.45">
      <c r="A1078" t="s">
        <v>894</v>
      </c>
      <c r="B1078" t="s">
        <v>895</v>
      </c>
      <c r="C1078" t="s">
        <v>15338</v>
      </c>
      <c r="D1078">
        <v>1077</v>
      </c>
      <c r="E1078" t="str">
        <f t="shared" si="48"/>
        <v>E6_3_5_3</v>
      </c>
      <c r="F1078" s="9" t="s">
        <v>17701</v>
      </c>
      <c r="G1078" s="9" t="s">
        <v>17702</v>
      </c>
      <c r="H1078" s="9" t="s">
        <v>17703</v>
      </c>
      <c r="I1078" s="9" t="s">
        <v>17704</v>
      </c>
      <c r="J1078" s="9" t="str">
        <f t="shared" si="49"/>
        <v>(${Variables:E6_3_5_3_kcat} * E6_3_5_3 * C00002 * C04376 * C00064 * C00001)/(${Variables:E6_3_5_3_km} + (E6_3_5_3 * C00002 * C04376 * C00064 * C00001))</v>
      </c>
      <c r="K1078" s="38" t="str">
        <f t="shared" si="50"/>
        <v>r1077: C00002 + C04376 + C00064 + C00001 -&gt; C00008 + C00009 + C04640 + C00025 | (${Variables:E6_3_5_3_kcat} * E6_3_5_3 * C00002 * C04376 * C00064 * C00001)/(${Variables:E6_3_5_3_km} + (E6_3_5_3 * C00002 * C04376 * C00064 * C00001))</v>
      </c>
    </row>
    <row r="1079" spans="1:11" ht="57" x14ac:dyDescent="0.45">
      <c r="A1079" t="s">
        <v>1322</v>
      </c>
      <c r="B1079" t="s">
        <v>1323</v>
      </c>
      <c r="C1079" t="s">
        <v>15339</v>
      </c>
      <c r="D1079">
        <v>1078</v>
      </c>
      <c r="E1079" t="str">
        <f t="shared" si="48"/>
        <v>E6_3_5_4</v>
      </c>
      <c r="F1079" s="9" t="s">
        <v>17705</v>
      </c>
      <c r="G1079" s="9" t="s">
        <v>17706</v>
      </c>
      <c r="H1079" s="9" t="s">
        <v>17707</v>
      </c>
      <c r="I1079" s="9" t="s">
        <v>17708</v>
      </c>
      <c r="J1079" s="9" t="str">
        <f t="shared" si="49"/>
        <v>(${Variables:E6_3_5_4_kcat} * E6_3_5_4 * C00002 * C00049 * C00064 * C00001)/(${Variables:E6_3_5_4_km} + (E6_3_5_4 * C00002 * C00049 * C00064 * C00001))</v>
      </c>
      <c r="K1079" s="38" t="str">
        <f t="shared" si="50"/>
        <v>r1078: C00002 + C00049 + C00064 + C00001 -&gt; C00020 + C00013 + C00152 + C00025 | (${Variables:E6_3_5_4_kcat} * E6_3_5_4 * C00002 * C00049 * C00064 * C00001)/(${Variables:E6_3_5_4_km} + (E6_3_5_4 * C00002 * C00049 * C00064 * C00001))</v>
      </c>
    </row>
    <row r="1080" spans="1:11" ht="42.75" x14ac:dyDescent="0.45">
      <c r="A1080" t="s">
        <v>1322</v>
      </c>
      <c r="B1080" t="s">
        <v>1323</v>
      </c>
      <c r="C1080" t="s">
        <v>15339</v>
      </c>
      <c r="D1080">
        <v>1079</v>
      </c>
      <c r="E1080" t="str">
        <f t="shared" si="48"/>
        <v>E6_3_5_4</v>
      </c>
      <c r="F1080" s="9" t="s">
        <v>15787</v>
      </c>
      <c r="G1080" s="9" t="s">
        <v>15788</v>
      </c>
      <c r="H1080" s="9" t="s">
        <v>15789</v>
      </c>
      <c r="I1080" s="9" t="s">
        <v>15790</v>
      </c>
      <c r="J1080" s="9" t="str">
        <f t="shared" si="49"/>
        <v>(${Variables:E6_3_5_4_kcat} * E6_3_5_4 * C00064 * C00001)/(${Variables:E6_3_5_4_km} + (E6_3_5_4 * C00064 * C00001))</v>
      </c>
      <c r="K1080" s="38" t="str">
        <f t="shared" si="50"/>
        <v>r1079: C00064 + C00001 -&gt; C00025 + C00014 | (${Variables:E6_3_5_4_kcat} * E6_3_5_4 * C00064 * C00001)/(${Variables:E6_3_5_4_km} + (E6_3_5_4 * C00064 * C00001))</v>
      </c>
    </row>
    <row r="1081" spans="1:11" ht="42.75" x14ac:dyDescent="0.45">
      <c r="A1081" t="s">
        <v>1322</v>
      </c>
      <c r="B1081" t="s">
        <v>1323</v>
      </c>
      <c r="C1081" t="s">
        <v>15339</v>
      </c>
      <c r="D1081">
        <v>1080</v>
      </c>
      <c r="E1081" t="str">
        <f t="shared" si="48"/>
        <v>E6_3_5_4</v>
      </c>
      <c r="F1081" s="9" t="s">
        <v>17589</v>
      </c>
      <c r="G1081" s="9" t="s">
        <v>17590</v>
      </c>
      <c r="H1081" s="9" t="s">
        <v>17591</v>
      </c>
      <c r="I1081" s="9" t="s">
        <v>17592</v>
      </c>
      <c r="J1081" s="9" t="str">
        <f t="shared" si="49"/>
        <v>(${Variables:E6_3_5_4_kcat} * E6_3_5_4 * C00002 * C00049 * C00014)/(${Variables:E6_3_5_4_km} + (E6_3_5_4 * C00002 * C00049 * C00014))</v>
      </c>
      <c r="K1081" s="38" t="str">
        <f t="shared" si="50"/>
        <v>r1080: C00002 + C00049 + C00014 -&gt; C00020 + C00013 + C00152 | (${Variables:E6_3_5_4_kcat} * E6_3_5_4 * C00002 * C00049 * C00014)/(${Variables:E6_3_5_4_km} + (E6_3_5_4 * C00002 * C00049 * C00014))</v>
      </c>
    </row>
    <row r="1082" spans="1:11" ht="57" x14ac:dyDescent="0.45">
      <c r="A1082" t="s">
        <v>4675</v>
      </c>
      <c r="B1082" t="s">
        <v>4676</v>
      </c>
      <c r="C1082" t="s">
        <v>15339</v>
      </c>
      <c r="D1082">
        <v>1081</v>
      </c>
      <c r="E1082" t="str">
        <f t="shared" si="48"/>
        <v>E6_3_5_4</v>
      </c>
      <c r="F1082" s="9" t="s">
        <v>17705</v>
      </c>
      <c r="G1082" s="9" t="s">
        <v>17706</v>
      </c>
      <c r="H1082" s="9" t="s">
        <v>17707</v>
      </c>
      <c r="I1082" s="9" t="s">
        <v>17708</v>
      </c>
      <c r="J1082" s="9" t="str">
        <f t="shared" si="49"/>
        <v>(${Variables:E6_3_5_4_kcat} * E6_3_5_4 * C00002 * C00049 * C00064 * C00001)/(${Variables:E6_3_5_4_km} + (E6_3_5_4 * C00002 * C00049 * C00064 * C00001))</v>
      </c>
      <c r="K1082" s="38" t="str">
        <f t="shared" si="50"/>
        <v>r1081: C00002 + C00049 + C00064 + C00001 -&gt; C00020 + C00013 + C00152 + C00025 | (${Variables:E6_3_5_4_kcat} * E6_3_5_4 * C00002 * C00049 * C00064 * C00001)/(${Variables:E6_3_5_4_km} + (E6_3_5_4 * C00002 * C00049 * C00064 * C00001))</v>
      </c>
    </row>
    <row r="1083" spans="1:11" ht="42.75" x14ac:dyDescent="0.45">
      <c r="A1083" t="s">
        <v>4675</v>
      </c>
      <c r="B1083" t="s">
        <v>4676</v>
      </c>
      <c r="C1083" t="s">
        <v>15339</v>
      </c>
      <c r="D1083">
        <v>1082</v>
      </c>
      <c r="E1083" t="str">
        <f t="shared" si="48"/>
        <v>E6_3_5_4</v>
      </c>
      <c r="F1083" s="9" t="s">
        <v>15787</v>
      </c>
      <c r="G1083" s="9" t="s">
        <v>15788</v>
      </c>
      <c r="H1083" s="9" t="s">
        <v>15789</v>
      </c>
      <c r="I1083" s="9" t="s">
        <v>15790</v>
      </c>
      <c r="J1083" s="9" t="str">
        <f t="shared" si="49"/>
        <v>(${Variables:E6_3_5_4_kcat} * E6_3_5_4 * C00064 * C00001)/(${Variables:E6_3_5_4_km} + (E6_3_5_4 * C00064 * C00001))</v>
      </c>
      <c r="K1083" s="38" t="str">
        <f t="shared" si="50"/>
        <v>r1082: C00064 + C00001 -&gt; C00025 + C00014 | (${Variables:E6_3_5_4_kcat} * E6_3_5_4 * C00064 * C00001)/(${Variables:E6_3_5_4_km} + (E6_3_5_4 * C00064 * C00001))</v>
      </c>
    </row>
    <row r="1084" spans="1:11" ht="42.75" x14ac:dyDescent="0.45">
      <c r="A1084" t="s">
        <v>4675</v>
      </c>
      <c r="B1084" t="s">
        <v>4676</v>
      </c>
      <c r="C1084" t="s">
        <v>15339</v>
      </c>
      <c r="D1084">
        <v>1083</v>
      </c>
      <c r="E1084" t="str">
        <f t="shared" si="48"/>
        <v>E6_3_5_4</v>
      </c>
      <c r="F1084" s="9" t="s">
        <v>17589</v>
      </c>
      <c r="G1084" s="9" t="s">
        <v>17590</v>
      </c>
      <c r="H1084" s="9" t="s">
        <v>17591</v>
      </c>
      <c r="I1084" s="9" t="s">
        <v>17592</v>
      </c>
      <c r="J1084" s="9" t="str">
        <f t="shared" si="49"/>
        <v>(${Variables:E6_3_5_4_kcat} * E6_3_5_4 * C00002 * C00049 * C00014)/(${Variables:E6_3_5_4_km} + (E6_3_5_4 * C00002 * C00049 * C00014))</v>
      </c>
      <c r="K1084" s="38" t="str">
        <f t="shared" si="50"/>
        <v>r1083: C00002 + C00049 + C00014 -&gt; C00020 + C00013 + C00152 | (${Variables:E6_3_5_4_kcat} * E6_3_5_4 * C00002 * C00049 * C00014)/(${Variables:E6_3_5_4_km} + (E6_3_5_4 * C00002 * C00049 * C00014))</v>
      </c>
    </row>
    <row r="1085" spans="1:11" ht="57" x14ac:dyDescent="0.45">
      <c r="A1085" t="s">
        <v>9923</v>
      </c>
      <c r="B1085" t="s">
        <v>9924</v>
      </c>
      <c r="C1085" t="s">
        <v>15340</v>
      </c>
      <c r="D1085">
        <v>1084</v>
      </c>
      <c r="E1085" t="str">
        <f t="shared" si="48"/>
        <v>E6_3_5_5</v>
      </c>
      <c r="F1085" s="9" t="s">
        <v>17709</v>
      </c>
      <c r="G1085" s="9" t="s">
        <v>17710</v>
      </c>
      <c r="H1085" s="9" t="s">
        <v>17711</v>
      </c>
      <c r="I1085" s="9" t="s">
        <v>17712</v>
      </c>
      <c r="J1085" s="9" t="str">
        <f t="shared" si="49"/>
        <v>(${Variables:E6_3_5_5_kcat} * E6_3_5_5 * C00002 * C00064 * C00288 * C00001)/(${Variables:E6_3_5_5_km} + (E6_3_5_5 * C00002 * C00064 * C00288 * C00001))</v>
      </c>
      <c r="K1085" s="38" t="str">
        <f t="shared" si="50"/>
        <v>r1084: C00002 + C00064 + C00288 + C00001 -&gt; C00008 + C00009 + C00025 + C00169 | (${Variables:E6_3_5_5_kcat} * E6_3_5_5 * C00002 * C00064 * C00288 * C00001)/(${Variables:E6_3_5_5_km} + (E6_3_5_5 * C00002 * C00064 * C00288 * C00001))</v>
      </c>
    </row>
    <row r="1086" spans="1:11" ht="42.75" x14ac:dyDescent="0.45">
      <c r="A1086" t="s">
        <v>9923</v>
      </c>
      <c r="B1086" t="s">
        <v>9924</v>
      </c>
      <c r="C1086" t="s">
        <v>15340</v>
      </c>
      <c r="D1086">
        <v>1085</v>
      </c>
      <c r="E1086" t="str">
        <f t="shared" si="48"/>
        <v>E6_3_5_5</v>
      </c>
      <c r="F1086" s="9" t="s">
        <v>15787</v>
      </c>
      <c r="G1086" s="9" t="s">
        <v>15788</v>
      </c>
      <c r="H1086" s="9" t="s">
        <v>15789</v>
      </c>
      <c r="I1086" s="9" t="s">
        <v>15790</v>
      </c>
      <c r="J1086" s="9" t="str">
        <f t="shared" si="49"/>
        <v>(${Variables:E6_3_5_5_kcat} * E6_3_5_5 * C00064 * C00001)/(${Variables:E6_3_5_5_km} + (E6_3_5_5 * C00064 * C00001))</v>
      </c>
      <c r="K1086" s="38" t="str">
        <f t="shared" si="50"/>
        <v>r1085: C00064 + C00001 -&gt; C00025 + C00014 | (${Variables:E6_3_5_5_kcat} * E6_3_5_5 * C00064 * C00001)/(${Variables:E6_3_5_5_km} + (E6_3_5_5 * C00064 * C00001))</v>
      </c>
    </row>
    <row r="1087" spans="1:11" ht="42.75" x14ac:dyDescent="0.45">
      <c r="A1087" t="s">
        <v>9923</v>
      </c>
      <c r="B1087" t="s">
        <v>9924</v>
      </c>
      <c r="C1087" t="s">
        <v>15340</v>
      </c>
      <c r="D1087">
        <v>1086</v>
      </c>
      <c r="E1087" t="str">
        <f t="shared" si="48"/>
        <v>E6_3_5_5</v>
      </c>
      <c r="F1087" s="9" t="s">
        <v>17713</v>
      </c>
      <c r="G1087" s="9" t="s">
        <v>17714</v>
      </c>
      <c r="H1087" s="9" t="s">
        <v>17715</v>
      </c>
      <c r="I1087" s="9" t="s">
        <v>17716</v>
      </c>
      <c r="J1087" s="9" t="str">
        <f t="shared" si="49"/>
        <v>(${Variables:E6_3_5_5_kcat} * E6_3_5_5 * C00002 * C00288)/(${Variables:E6_3_5_5_km} + (E6_3_5_5 * C00002 * C00288))</v>
      </c>
      <c r="K1087" s="38" t="str">
        <f t="shared" si="50"/>
        <v>r1086: C00002 + C00288 -&gt; C00008 + C20969 | (${Variables:E6_3_5_5_kcat} * E6_3_5_5 * C00002 * C00288)/(${Variables:E6_3_5_5_km} + (E6_3_5_5 * C00002 * C00288))</v>
      </c>
    </row>
    <row r="1088" spans="1:11" ht="42.75" x14ac:dyDescent="0.45">
      <c r="A1088" t="s">
        <v>9923</v>
      </c>
      <c r="B1088" t="s">
        <v>9924</v>
      </c>
      <c r="C1088" t="s">
        <v>15340</v>
      </c>
      <c r="D1088">
        <v>1087</v>
      </c>
      <c r="E1088" t="str">
        <f t="shared" si="48"/>
        <v>E6_3_5_5</v>
      </c>
      <c r="F1088" s="9" t="s">
        <v>17725</v>
      </c>
      <c r="G1088" s="9" t="s">
        <v>17726</v>
      </c>
      <c r="H1088" s="9" t="s">
        <v>17727</v>
      </c>
      <c r="I1088" s="9" t="s">
        <v>17728</v>
      </c>
      <c r="J1088" s="9" t="str">
        <f t="shared" si="49"/>
        <v>(${Variables:E6_3_5_5_kcat} * E6_3_5_5 * C00014 * C20969)/(${Variables:E6_3_5_5_km} + (E6_3_5_5 * C00014 * C20969))</v>
      </c>
      <c r="K1088" s="38" t="str">
        <f t="shared" si="50"/>
        <v>r1087: C00014 + C20969 -&gt; C01563 + C00009 | (${Variables:E6_3_5_5_kcat} * E6_3_5_5 * C00014 * C20969)/(${Variables:E6_3_5_5_km} + (E6_3_5_5 * C00014 * C20969))</v>
      </c>
    </row>
    <row r="1089" spans="1:11" ht="42.75" x14ac:dyDescent="0.45">
      <c r="A1089" t="s">
        <v>9923</v>
      </c>
      <c r="B1089" t="s">
        <v>9924</v>
      </c>
      <c r="C1089" t="s">
        <v>15340</v>
      </c>
      <c r="D1089">
        <v>1088</v>
      </c>
      <c r="E1089" t="str">
        <f t="shared" si="48"/>
        <v>E6_3_5_5</v>
      </c>
      <c r="F1089" s="9" t="s">
        <v>17721</v>
      </c>
      <c r="G1089" s="9" t="s">
        <v>17722</v>
      </c>
      <c r="H1089" s="9" t="s">
        <v>17723</v>
      </c>
      <c r="I1089" s="9" t="s">
        <v>17724</v>
      </c>
      <c r="J1089" s="9" t="str">
        <f t="shared" si="49"/>
        <v>(${Variables:E6_3_5_5_kcat} * E6_3_5_5 * C00002 * C01563)/(${Variables:E6_3_5_5_km} + (E6_3_5_5 * C00002 * C01563))</v>
      </c>
      <c r="K1089" s="38" t="str">
        <f t="shared" si="50"/>
        <v>r1088: C00002 + C01563 -&gt; C00008 + C00169 | (${Variables:E6_3_5_5_kcat} * E6_3_5_5 * C00002 * C01563)/(${Variables:E6_3_5_5_km} + (E6_3_5_5 * C00002 * C01563))</v>
      </c>
    </row>
    <row r="1090" spans="1:11" ht="42.75" x14ac:dyDescent="0.45">
      <c r="A1090" t="s">
        <v>9923</v>
      </c>
      <c r="B1090" t="s">
        <v>9924</v>
      </c>
      <c r="C1090" t="s">
        <v>15340</v>
      </c>
      <c r="D1090">
        <v>1089</v>
      </c>
      <c r="E1090" t="str">
        <f t="shared" si="48"/>
        <v>E6_3_5_5</v>
      </c>
      <c r="F1090" s="9" t="s">
        <v>17717</v>
      </c>
      <c r="G1090" s="9" t="s">
        <v>17718</v>
      </c>
      <c r="H1090" s="9" t="s">
        <v>17719</v>
      </c>
      <c r="I1090" s="9" t="s">
        <v>17720</v>
      </c>
      <c r="J1090" s="9" t="str">
        <f t="shared" si="49"/>
        <v>(${Variables:E6_3_5_5_kcat} * E6_3_5_5 * C00002 * C00288 * C00014)/(${Variables:E6_3_5_5_km} + (E6_3_5_5 * C00002 * C00288 * C00014))</v>
      </c>
      <c r="K1090" s="38" t="str">
        <f t="shared" si="50"/>
        <v>r1089: C00002 + C00288 + C00014 -&gt; C00008 + C00009 + C00169 | (${Variables:E6_3_5_5_kcat} * E6_3_5_5 * C00002 * C00288 * C00014)/(${Variables:E6_3_5_5_km} + (E6_3_5_5 * C00002 * C00288 * C00014))</v>
      </c>
    </row>
    <row r="1091" spans="1:11" ht="57" x14ac:dyDescent="0.45">
      <c r="A1091" t="s">
        <v>9927</v>
      </c>
      <c r="B1091" t="s">
        <v>9928</v>
      </c>
      <c r="C1091" t="s">
        <v>15340</v>
      </c>
      <c r="D1091">
        <v>1090</v>
      </c>
      <c r="E1091" t="str">
        <f t="shared" ref="E1091:E1127" si="51">CONCATENATE("E",C1091)</f>
        <v>E6_3_5_5</v>
      </c>
      <c r="F1091" s="9" t="s">
        <v>17709</v>
      </c>
      <c r="G1091" s="9" t="s">
        <v>17710</v>
      </c>
      <c r="H1091" s="9" t="s">
        <v>17711</v>
      </c>
      <c r="I1091" s="9" t="s">
        <v>17712</v>
      </c>
      <c r="J1091" s="9" t="str">
        <f t="shared" ref="J1091:J1127" si="52">CONCATENATE("(${Variables:",E1091,"_kcat","} * ",E1091," * ",G1091,")","/(${Variables:",E1091,"_km","} + (",E1091," * ",G1091,"))")</f>
        <v>(${Variables:E6_3_5_5_kcat} * E6_3_5_5 * C00002 * C00064 * C00288 * C00001)/(${Variables:E6_3_5_5_km} + (E6_3_5_5 * C00002 * C00064 * C00288 * C00001))</v>
      </c>
      <c r="K1091" s="38" t="str">
        <f t="shared" ref="K1091:K1127" si="53">CONCATENATE("r",D1091,": ",F1091," -&gt; ",H1091," | ",J1091)</f>
        <v>r1090: C00002 + C00064 + C00288 + C00001 -&gt; C00008 + C00009 + C00025 + C00169 | (${Variables:E6_3_5_5_kcat} * E6_3_5_5 * C00002 * C00064 * C00288 * C00001)/(${Variables:E6_3_5_5_km} + (E6_3_5_5 * C00002 * C00064 * C00288 * C00001))</v>
      </c>
    </row>
    <row r="1092" spans="1:11" ht="42.75" x14ac:dyDescent="0.45">
      <c r="A1092" t="s">
        <v>9927</v>
      </c>
      <c r="B1092" t="s">
        <v>9928</v>
      </c>
      <c r="C1092" t="s">
        <v>15340</v>
      </c>
      <c r="D1092">
        <v>1091</v>
      </c>
      <c r="E1092" t="str">
        <f t="shared" si="51"/>
        <v>E6_3_5_5</v>
      </c>
      <c r="F1092" s="9" t="s">
        <v>15787</v>
      </c>
      <c r="G1092" s="9" t="s">
        <v>15788</v>
      </c>
      <c r="H1092" s="9" t="s">
        <v>15789</v>
      </c>
      <c r="I1092" s="9" t="s">
        <v>15790</v>
      </c>
      <c r="J1092" s="9" t="str">
        <f t="shared" si="52"/>
        <v>(${Variables:E6_3_5_5_kcat} * E6_3_5_5 * C00064 * C00001)/(${Variables:E6_3_5_5_km} + (E6_3_5_5 * C00064 * C00001))</v>
      </c>
      <c r="K1092" s="38" t="str">
        <f t="shared" si="53"/>
        <v>r1091: C00064 + C00001 -&gt; C00025 + C00014 | (${Variables:E6_3_5_5_kcat} * E6_3_5_5 * C00064 * C00001)/(${Variables:E6_3_5_5_km} + (E6_3_5_5 * C00064 * C00001))</v>
      </c>
    </row>
    <row r="1093" spans="1:11" ht="42.75" x14ac:dyDescent="0.45">
      <c r="A1093" t="s">
        <v>9927</v>
      </c>
      <c r="B1093" t="s">
        <v>9928</v>
      </c>
      <c r="C1093" t="s">
        <v>15340</v>
      </c>
      <c r="D1093">
        <v>1092</v>
      </c>
      <c r="E1093" t="str">
        <f t="shared" si="51"/>
        <v>E6_3_5_5</v>
      </c>
      <c r="F1093" s="9" t="s">
        <v>17713</v>
      </c>
      <c r="G1093" s="9" t="s">
        <v>17714</v>
      </c>
      <c r="H1093" s="9" t="s">
        <v>17715</v>
      </c>
      <c r="I1093" s="9" t="s">
        <v>17716</v>
      </c>
      <c r="J1093" s="9" t="str">
        <f t="shared" si="52"/>
        <v>(${Variables:E6_3_5_5_kcat} * E6_3_5_5 * C00002 * C00288)/(${Variables:E6_3_5_5_km} + (E6_3_5_5 * C00002 * C00288))</v>
      </c>
      <c r="K1093" s="38" t="str">
        <f t="shared" si="53"/>
        <v>r1092: C00002 + C00288 -&gt; C00008 + C20969 | (${Variables:E6_3_5_5_kcat} * E6_3_5_5 * C00002 * C00288)/(${Variables:E6_3_5_5_km} + (E6_3_5_5 * C00002 * C00288))</v>
      </c>
    </row>
    <row r="1094" spans="1:11" ht="42.75" x14ac:dyDescent="0.45">
      <c r="A1094" t="s">
        <v>9927</v>
      </c>
      <c r="B1094" t="s">
        <v>9928</v>
      </c>
      <c r="C1094" t="s">
        <v>15340</v>
      </c>
      <c r="D1094">
        <v>1093</v>
      </c>
      <c r="E1094" t="str">
        <f t="shared" si="51"/>
        <v>E6_3_5_5</v>
      </c>
      <c r="F1094" s="9" t="s">
        <v>17725</v>
      </c>
      <c r="G1094" s="9" t="s">
        <v>17726</v>
      </c>
      <c r="H1094" s="9" t="s">
        <v>17727</v>
      </c>
      <c r="I1094" s="9" t="s">
        <v>17728</v>
      </c>
      <c r="J1094" s="9" t="str">
        <f t="shared" si="52"/>
        <v>(${Variables:E6_3_5_5_kcat} * E6_3_5_5 * C00014 * C20969)/(${Variables:E6_3_5_5_km} + (E6_3_5_5 * C00014 * C20969))</v>
      </c>
      <c r="K1094" s="38" t="str">
        <f t="shared" si="53"/>
        <v>r1093: C00014 + C20969 -&gt; C01563 + C00009 | (${Variables:E6_3_5_5_kcat} * E6_3_5_5 * C00014 * C20969)/(${Variables:E6_3_5_5_km} + (E6_3_5_5 * C00014 * C20969))</v>
      </c>
    </row>
    <row r="1095" spans="1:11" ht="42.75" x14ac:dyDescent="0.45">
      <c r="A1095" t="s">
        <v>9927</v>
      </c>
      <c r="B1095" t="s">
        <v>9928</v>
      </c>
      <c r="C1095" t="s">
        <v>15340</v>
      </c>
      <c r="D1095">
        <v>1094</v>
      </c>
      <c r="E1095" t="str">
        <f t="shared" si="51"/>
        <v>E6_3_5_5</v>
      </c>
      <c r="F1095" s="9" t="s">
        <v>17721</v>
      </c>
      <c r="G1095" s="9" t="s">
        <v>17722</v>
      </c>
      <c r="H1095" s="9" t="s">
        <v>17723</v>
      </c>
      <c r="I1095" s="9" t="s">
        <v>17724</v>
      </c>
      <c r="J1095" s="9" t="str">
        <f t="shared" si="52"/>
        <v>(${Variables:E6_3_5_5_kcat} * E6_3_5_5 * C00002 * C01563)/(${Variables:E6_3_5_5_km} + (E6_3_5_5 * C00002 * C01563))</v>
      </c>
      <c r="K1095" s="38" t="str">
        <f t="shared" si="53"/>
        <v>r1094: C00002 + C01563 -&gt; C00008 + C00169 | (${Variables:E6_3_5_5_kcat} * E6_3_5_5 * C00002 * C01563)/(${Variables:E6_3_5_5_km} + (E6_3_5_5 * C00002 * C01563))</v>
      </c>
    </row>
    <row r="1096" spans="1:11" ht="42.75" x14ac:dyDescent="0.45">
      <c r="A1096" t="s">
        <v>9927</v>
      </c>
      <c r="B1096" t="s">
        <v>9928</v>
      </c>
      <c r="C1096" t="s">
        <v>15340</v>
      </c>
      <c r="D1096">
        <v>1095</v>
      </c>
      <c r="E1096" t="str">
        <f t="shared" si="51"/>
        <v>E6_3_5_5</v>
      </c>
      <c r="F1096" s="9" t="s">
        <v>17717</v>
      </c>
      <c r="G1096" s="9" t="s">
        <v>17718</v>
      </c>
      <c r="H1096" s="9" t="s">
        <v>17719</v>
      </c>
      <c r="I1096" s="9" t="s">
        <v>17720</v>
      </c>
      <c r="J1096" s="9" t="str">
        <f t="shared" si="52"/>
        <v>(${Variables:E6_3_5_5_kcat} * E6_3_5_5 * C00002 * C00288 * C00014)/(${Variables:E6_3_5_5_km} + (E6_3_5_5 * C00002 * C00288 * C00014))</v>
      </c>
      <c r="K1096" s="38" t="str">
        <f t="shared" si="53"/>
        <v>r1095: C00002 + C00288 + C00014 -&gt; C00008 + C00009 + C00169 | (${Variables:E6_3_5_5_kcat} * E6_3_5_5 * C00002 * C00288 * C00014)/(${Variables:E6_3_5_5_km} + (E6_3_5_5 * C00002 * C00288 * C00014))</v>
      </c>
    </row>
    <row r="1097" spans="1:11" ht="57" x14ac:dyDescent="0.45">
      <c r="A1097" t="s">
        <v>9929</v>
      </c>
      <c r="B1097" t="s">
        <v>9930</v>
      </c>
      <c r="C1097" t="s">
        <v>15340</v>
      </c>
      <c r="D1097">
        <v>1096</v>
      </c>
      <c r="E1097" t="str">
        <f t="shared" si="51"/>
        <v>E6_3_5_5</v>
      </c>
      <c r="F1097" s="9" t="s">
        <v>17709</v>
      </c>
      <c r="G1097" s="9" t="s">
        <v>17710</v>
      </c>
      <c r="H1097" s="9" t="s">
        <v>17711</v>
      </c>
      <c r="I1097" s="9" t="s">
        <v>17712</v>
      </c>
      <c r="J1097" s="9" t="str">
        <f t="shared" si="52"/>
        <v>(${Variables:E6_3_5_5_kcat} * E6_3_5_5 * C00002 * C00064 * C00288 * C00001)/(${Variables:E6_3_5_5_km} + (E6_3_5_5 * C00002 * C00064 * C00288 * C00001))</v>
      </c>
      <c r="K1097" s="38" t="str">
        <f t="shared" si="53"/>
        <v>r1096: C00002 + C00064 + C00288 + C00001 -&gt; C00008 + C00009 + C00025 + C00169 | (${Variables:E6_3_5_5_kcat} * E6_3_5_5 * C00002 * C00064 * C00288 * C00001)/(${Variables:E6_3_5_5_km} + (E6_3_5_5 * C00002 * C00064 * C00288 * C00001))</v>
      </c>
    </row>
    <row r="1098" spans="1:11" ht="42.75" x14ac:dyDescent="0.45">
      <c r="A1098" t="s">
        <v>9929</v>
      </c>
      <c r="B1098" t="s">
        <v>9930</v>
      </c>
      <c r="C1098" t="s">
        <v>15340</v>
      </c>
      <c r="D1098">
        <v>1097</v>
      </c>
      <c r="E1098" t="str">
        <f t="shared" si="51"/>
        <v>E6_3_5_5</v>
      </c>
      <c r="F1098" s="9" t="s">
        <v>15787</v>
      </c>
      <c r="G1098" s="9" t="s">
        <v>15788</v>
      </c>
      <c r="H1098" s="9" t="s">
        <v>15789</v>
      </c>
      <c r="I1098" s="9" t="s">
        <v>15790</v>
      </c>
      <c r="J1098" s="9" t="str">
        <f t="shared" si="52"/>
        <v>(${Variables:E6_3_5_5_kcat} * E6_3_5_5 * C00064 * C00001)/(${Variables:E6_3_5_5_km} + (E6_3_5_5 * C00064 * C00001))</v>
      </c>
      <c r="K1098" s="38" t="str">
        <f t="shared" si="53"/>
        <v>r1097: C00064 + C00001 -&gt; C00025 + C00014 | (${Variables:E6_3_5_5_kcat} * E6_3_5_5 * C00064 * C00001)/(${Variables:E6_3_5_5_km} + (E6_3_5_5 * C00064 * C00001))</v>
      </c>
    </row>
    <row r="1099" spans="1:11" ht="42.75" x14ac:dyDescent="0.45">
      <c r="A1099" t="s">
        <v>9929</v>
      </c>
      <c r="B1099" t="s">
        <v>9930</v>
      </c>
      <c r="C1099" t="s">
        <v>15340</v>
      </c>
      <c r="D1099">
        <v>1098</v>
      </c>
      <c r="E1099" t="str">
        <f t="shared" si="51"/>
        <v>E6_3_5_5</v>
      </c>
      <c r="F1099" s="9" t="s">
        <v>17713</v>
      </c>
      <c r="G1099" s="9" t="s">
        <v>17714</v>
      </c>
      <c r="H1099" s="9" t="s">
        <v>17715</v>
      </c>
      <c r="I1099" s="9" t="s">
        <v>17716</v>
      </c>
      <c r="J1099" s="9" t="str">
        <f t="shared" si="52"/>
        <v>(${Variables:E6_3_5_5_kcat} * E6_3_5_5 * C00002 * C00288)/(${Variables:E6_3_5_5_km} + (E6_3_5_5 * C00002 * C00288))</v>
      </c>
      <c r="K1099" s="38" t="str">
        <f t="shared" si="53"/>
        <v>r1098: C00002 + C00288 -&gt; C00008 + C20969 | (${Variables:E6_3_5_5_kcat} * E6_3_5_5 * C00002 * C00288)/(${Variables:E6_3_5_5_km} + (E6_3_5_5 * C00002 * C00288))</v>
      </c>
    </row>
    <row r="1100" spans="1:11" ht="42.75" x14ac:dyDescent="0.45">
      <c r="A1100" t="s">
        <v>9929</v>
      </c>
      <c r="B1100" t="s">
        <v>9930</v>
      </c>
      <c r="C1100" t="s">
        <v>15340</v>
      </c>
      <c r="D1100">
        <v>1099</v>
      </c>
      <c r="E1100" t="str">
        <f t="shared" si="51"/>
        <v>E6_3_5_5</v>
      </c>
      <c r="F1100" s="9" t="s">
        <v>17725</v>
      </c>
      <c r="G1100" s="9" t="s">
        <v>17726</v>
      </c>
      <c r="H1100" s="9" t="s">
        <v>17727</v>
      </c>
      <c r="I1100" s="9" t="s">
        <v>17728</v>
      </c>
      <c r="J1100" s="9" t="str">
        <f t="shared" si="52"/>
        <v>(${Variables:E6_3_5_5_kcat} * E6_3_5_5 * C00014 * C20969)/(${Variables:E6_3_5_5_km} + (E6_3_5_5 * C00014 * C20969))</v>
      </c>
      <c r="K1100" s="38" t="str">
        <f t="shared" si="53"/>
        <v>r1099: C00014 + C20969 -&gt; C01563 + C00009 | (${Variables:E6_3_5_5_kcat} * E6_3_5_5 * C00014 * C20969)/(${Variables:E6_3_5_5_km} + (E6_3_5_5 * C00014 * C20969))</v>
      </c>
    </row>
    <row r="1101" spans="1:11" ht="42.75" x14ac:dyDescent="0.45">
      <c r="A1101" t="s">
        <v>9929</v>
      </c>
      <c r="B1101" t="s">
        <v>9930</v>
      </c>
      <c r="C1101" t="s">
        <v>15340</v>
      </c>
      <c r="D1101">
        <v>1100</v>
      </c>
      <c r="E1101" t="str">
        <f t="shared" si="51"/>
        <v>E6_3_5_5</v>
      </c>
      <c r="F1101" s="9" t="s">
        <v>17721</v>
      </c>
      <c r="G1101" s="9" t="s">
        <v>17722</v>
      </c>
      <c r="H1101" s="9" t="s">
        <v>17723</v>
      </c>
      <c r="I1101" s="9" t="s">
        <v>17724</v>
      </c>
      <c r="J1101" s="9" t="str">
        <f t="shared" si="52"/>
        <v>(${Variables:E6_3_5_5_kcat} * E6_3_5_5 * C00002 * C01563)/(${Variables:E6_3_5_5_km} + (E6_3_5_5 * C00002 * C01563))</v>
      </c>
      <c r="K1101" s="38" t="str">
        <f t="shared" si="53"/>
        <v>r1100: C00002 + C01563 -&gt; C00008 + C00169 | (${Variables:E6_3_5_5_kcat} * E6_3_5_5 * C00002 * C01563)/(${Variables:E6_3_5_5_km} + (E6_3_5_5 * C00002 * C01563))</v>
      </c>
    </row>
    <row r="1102" spans="1:11" ht="42.75" x14ac:dyDescent="0.45">
      <c r="A1102" t="s">
        <v>9929</v>
      </c>
      <c r="B1102" t="s">
        <v>9930</v>
      </c>
      <c r="C1102" t="s">
        <v>15340</v>
      </c>
      <c r="D1102">
        <v>1101</v>
      </c>
      <c r="E1102" t="str">
        <f t="shared" si="51"/>
        <v>E6_3_5_5</v>
      </c>
      <c r="F1102" s="9" t="s">
        <v>17717</v>
      </c>
      <c r="G1102" s="9" t="s">
        <v>17718</v>
      </c>
      <c r="H1102" s="9" t="s">
        <v>17719</v>
      </c>
      <c r="I1102" s="9" t="s">
        <v>17720</v>
      </c>
      <c r="J1102" s="9" t="str">
        <f t="shared" si="52"/>
        <v>(${Variables:E6_3_5_5_kcat} * E6_3_5_5 * C00002 * C00288 * C00014)/(${Variables:E6_3_5_5_km} + (E6_3_5_5 * C00002 * C00288 * C00014))</v>
      </c>
      <c r="K1102" s="38" t="str">
        <f t="shared" si="53"/>
        <v>r1101: C00002 + C00288 + C00014 -&gt; C00008 + C00009 + C00169 | (${Variables:E6_3_5_5_kcat} * E6_3_5_5 * C00002 * C00288 * C00014)/(${Variables:E6_3_5_5_km} + (E6_3_5_5 * C00002 * C00288 * C00014))</v>
      </c>
    </row>
    <row r="1103" spans="1:11" ht="57" x14ac:dyDescent="0.45">
      <c r="A1103" t="s">
        <v>9931</v>
      </c>
      <c r="B1103" t="s">
        <v>9932</v>
      </c>
      <c r="C1103" t="s">
        <v>15340</v>
      </c>
      <c r="D1103">
        <v>1102</v>
      </c>
      <c r="E1103" t="str">
        <f t="shared" si="51"/>
        <v>E6_3_5_5</v>
      </c>
      <c r="F1103" s="9" t="s">
        <v>17709</v>
      </c>
      <c r="G1103" s="9" t="s">
        <v>17710</v>
      </c>
      <c r="H1103" s="9" t="s">
        <v>17711</v>
      </c>
      <c r="I1103" s="9" t="s">
        <v>17712</v>
      </c>
      <c r="J1103" s="9" t="str">
        <f t="shared" si="52"/>
        <v>(${Variables:E6_3_5_5_kcat} * E6_3_5_5 * C00002 * C00064 * C00288 * C00001)/(${Variables:E6_3_5_5_km} + (E6_3_5_5 * C00002 * C00064 * C00288 * C00001))</v>
      </c>
      <c r="K1103" s="38" t="str">
        <f t="shared" si="53"/>
        <v>r1102: C00002 + C00064 + C00288 + C00001 -&gt; C00008 + C00009 + C00025 + C00169 | (${Variables:E6_3_5_5_kcat} * E6_3_5_5 * C00002 * C00064 * C00288 * C00001)/(${Variables:E6_3_5_5_km} + (E6_3_5_5 * C00002 * C00064 * C00288 * C00001))</v>
      </c>
    </row>
    <row r="1104" spans="1:11" ht="42.75" x14ac:dyDescent="0.45">
      <c r="A1104" t="s">
        <v>9931</v>
      </c>
      <c r="B1104" t="s">
        <v>9932</v>
      </c>
      <c r="C1104" t="s">
        <v>15340</v>
      </c>
      <c r="D1104">
        <v>1103</v>
      </c>
      <c r="E1104" t="str">
        <f t="shared" si="51"/>
        <v>E6_3_5_5</v>
      </c>
      <c r="F1104" s="9" t="s">
        <v>15787</v>
      </c>
      <c r="G1104" s="9" t="s">
        <v>15788</v>
      </c>
      <c r="H1104" s="9" t="s">
        <v>15789</v>
      </c>
      <c r="I1104" s="9" t="s">
        <v>15790</v>
      </c>
      <c r="J1104" s="9" t="str">
        <f t="shared" si="52"/>
        <v>(${Variables:E6_3_5_5_kcat} * E6_3_5_5 * C00064 * C00001)/(${Variables:E6_3_5_5_km} + (E6_3_5_5 * C00064 * C00001))</v>
      </c>
      <c r="K1104" s="38" t="str">
        <f t="shared" si="53"/>
        <v>r1103: C00064 + C00001 -&gt; C00025 + C00014 | (${Variables:E6_3_5_5_kcat} * E6_3_5_5 * C00064 * C00001)/(${Variables:E6_3_5_5_km} + (E6_3_5_5 * C00064 * C00001))</v>
      </c>
    </row>
    <row r="1105" spans="1:11" ht="42.75" x14ac:dyDescent="0.45">
      <c r="A1105" t="s">
        <v>9931</v>
      </c>
      <c r="B1105" t="s">
        <v>9932</v>
      </c>
      <c r="C1105" t="s">
        <v>15340</v>
      </c>
      <c r="D1105">
        <v>1104</v>
      </c>
      <c r="E1105" t="str">
        <f t="shared" si="51"/>
        <v>E6_3_5_5</v>
      </c>
      <c r="F1105" s="9" t="s">
        <v>17713</v>
      </c>
      <c r="G1105" s="9" t="s">
        <v>17714</v>
      </c>
      <c r="H1105" s="9" t="s">
        <v>17715</v>
      </c>
      <c r="I1105" s="9" t="s">
        <v>17716</v>
      </c>
      <c r="J1105" s="9" t="str">
        <f t="shared" si="52"/>
        <v>(${Variables:E6_3_5_5_kcat} * E6_3_5_5 * C00002 * C00288)/(${Variables:E6_3_5_5_km} + (E6_3_5_5 * C00002 * C00288))</v>
      </c>
      <c r="K1105" s="38" t="str">
        <f t="shared" si="53"/>
        <v>r1104: C00002 + C00288 -&gt; C00008 + C20969 | (${Variables:E6_3_5_5_kcat} * E6_3_5_5 * C00002 * C00288)/(${Variables:E6_3_5_5_km} + (E6_3_5_5 * C00002 * C00288))</v>
      </c>
    </row>
    <row r="1106" spans="1:11" ht="42.75" x14ac:dyDescent="0.45">
      <c r="A1106" t="s">
        <v>9931</v>
      </c>
      <c r="B1106" t="s">
        <v>9932</v>
      </c>
      <c r="C1106" t="s">
        <v>15340</v>
      </c>
      <c r="D1106">
        <v>1105</v>
      </c>
      <c r="E1106" t="str">
        <f t="shared" si="51"/>
        <v>E6_3_5_5</v>
      </c>
      <c r="F1106" s="9" t="s">
        <v>17725</v>
      </c>
      <c r="G1106" s="9" t="s">
        <v>17726</v>
      </c>
      <c r="H1106" s="9" t="s">
        <v>17727</v>
      </c>
      <c r="I1106" s="9" t="s">
        <v>17728</v>
      </c>
      <c r="J1106" s="9" t="str">
        <f t="shared" si="52"/>
        <v>(${Variables:E6_3_5_5_kcat} * E6_3_5_5 * C00014 * C20969)/(${Variables:E6_3_5_5_km} + (E6_3_5_5 * C00014 * C20969))</v>
      </c>
      <c r="K1106" s="38" t="str">
        <f t="shared" si="53"/>
        <v>r1105: C00014 + C20969 -&gt; C01563 + C00009 | (${Variables:E6_3_5_5_kcat} * E6_3_5_5 * C00014 * C20969)/(${Variables:E6_3_5_5_km} + (E6_3_5_5 * C00014 * C20969))</v>
      </c>
    </row>
    <row r="1107" spans="1:11" ht="42.75" x14ac:dyDescent="0.45">
      <c r="A1107" t="s">
        <v>9931</v>
      </c>
      <c r="B1107" t="s">
        <v>9932</v>
      </c>
      <c r="C1107" t="s">
        <v>15340</v>
      </c>
      <c r="D1107">
        <v>1106</v>
      </c>
      <c r="E1107" t="str">
        <f t="shared" si="51"/>
        <v>E6_3_5_5</v>
      </c>
      <c r="F1107" s="9" t="s">
        <v>17721</v>
      </c>
      <c r="G1107" s="9" t="s">
        <v>17722</v>
      </c>
      <c r="H1107" s="9" t="s">
        <v>17723</v>
      </c>
      <c r="I1107" s="9" t="s">
        <v>17724</v>
      </c>
      <c r="J1107" s="9" t="str">
        <f t="shared" si="52"/>
        <v>(${Variables:E6_3_5_5_kcat} * E6_3_5_5 * C00002 * C01563)/(${Variables:E6_3_5_5_km} + (E6_3_5_5 * C00002 * C01563))</v>
      </c>
      <c r="K1107" s="38" t="str">
        <f t="shared" si="53"/>
        <v>r1106: C00002 + C01563 -&gt; C00008 + C00169 | (${Variables:E6_3_5_5_kcat} * E6_3_5_5 * C00002 * C01563)/(${Variables:E6_3_5_5_km} + (E6_3_5_5 * C00002 * C01563))</v>
      </c>
    </row>
    <row r="1108" spans="1:11" ht="42.75" x14ac:dyDescent="0.45">
      <c r="A1108" t="s">
        <v>9931</v>
      </c>
      <c r="B1108" t="s">
        <v>9932</v>
      </c>
      <c r="C1108" t="s">
        <v>15340</v>
      </c>
      <c r="D1108">
        <v>1107</v>
      </c>
      <c r="E1108" t="str">
        <f t="shared" si="51"/>
        <v>E6_3_5_5</v>
      </c>
      <c r="F1108" s="9" t="s">
        <v>17717</v>
      </c>
      <c r="G1108" s="9" t="s">
        <v>17718</v>
      </c>
      <c r="H1108" s="9" t="s">
        <v>17719</v>
      </c>
      <c r="I1108" s="9" t="s">
        <v>17720</v>
      </c>
      <c r="J1108" s="9" t="str">
        <f t="shared" si="52"/>
        <v>(${Variables:E6_3_5_5_kcat} * E6_3_5_5 * C00002 * C00288 * C00014)/(${Variables:E6_3_5_5_km} + (E6_3_5_5 * C00002 * C00288 * C00014))</v>
      </c>
      <c r="K1108" s="38" t="str">
        <f t="shared" si="53"/>
        <v>r1107: C00002 + C00288 + C00014 -&gt; C00008 + C00009 + C00169 | (${Variables:E6_3_5_5_kcat} * E6_3_5_5 * C00002 * C00288 * C00014)/(${Variables:E6_3_5_5_km} + (E6_3_5_5 * C00002 * C00288 * C00014))</v>
      </c>
    </row>
    <row r="1109" spans="1:11" ht="42.75" x14ac:dyDescent="0.45">
      <c r="A1109" t="s">
        <v>166</v>
      </c>
      <c r="B1109" t="s">
        <v>167</v>
      </c>
      <c r="C1109" t="s">
        <v>15341</v>
      </c>
      <c r="D1109">
        <v>1108</v>
      </c>
      <c r="E1109" t="str">
        <f t="shared" si="51"/>
        <v>E6_4_1_1</v>
      </c>
      <c r="F1109" s="9" t="s">
        <v>17729</v>
      </c>
      <c r="G1109" s="9" t="s">
        <v>17730</v>
      </c>
      <c r="H1109" s="9" t="s">
        <v>17731</v>
      </c>
      <c r="I1109" s="9" t="s">
        <v>17732</v>
      </c>
      <c r="J1109" s="9" t="str">
        <f t="shared" si="52"/>
        <v>(${Variables:E6_4_1_1_kcat} * E6_4_1_1 * C00002 * C00022 * C00288)/(${Variables:E6_4_1_1_km} + (E6_4_1_1 * C00002 * C00022 * C00288))</v>
      </c>
      <c r="K1109" s="38" t="str">
        <f t="shared" si="53"/>
        <v>r1108: C00002 + C00022 + C00288 -&gt; C00008 + C00009 + C00036 | (${Variables:E6_4_1_1_kcat} * E6_4_1_1 * C00002 * C00022 * C00288)/(${Variables:E6_4_1_1_km} + (E6_4_1_1 * C00002 * C00022 * C00288))</v>
      </c>
    </row>
    <row r="1110" spans="1:11" ht="42.75" x14ac:dyDescent="0.45">
      <c r="A1110" t="s">
        <v>5604</v>
      </c>
      <c r="B1110" t="s">
        <v>5605</v>
      </c>
      <c r="C1110" t="s">
        <v>15342</v>
      </c>
      <c r="D1110">
        <v>1109</v>
      </c>
      <c r="E1110" t="str">
        <f t="shared" si="51"/>
        <v>E6_4_1_2</v>
      </c>
      <c r="F1110" s="9" t="s">
        <v>17733</v>
      </c>
      <c r="G1110" s="9" t="s">
        <v>17734</v>
      </c>
      <c r="H1110" s="9" t="s">
        <v>17735</v>
      </c>
      <c r="I1110" s="9" t="s">
        <v>17736</v>
      </c>
      <c r="J1110" s="9" t="str">
        <f t="shared" si="52"/>
        <v>(${Variables:E6_4_1_2_kcat} * E6_4_1_2 * C00002 * C00024 * C00288)/(${Variables:E6_4_1_2_km} + (E6_4_1_2 * C00002 * C00024 * C00288))</v>
      </c>
      <c r="K1110" s="38" t="str">
        <f t="shared" si="53"/>
        <v>r1109: C00002 + C00024 + C00288 -&gt; C00008 + C00009 + C00083 | (${Variables:E6_4_1_2_kcat} * E6_4_1_2 * C00002 * C00024 * C00288)/(${Variables:E6_4_1_2_km} + (E6_4_1_2 * C00002 * C00024 * C00288))</v>
      </c>
    </row>
    <row r="1111" spans="1:11" ht="42.75" x14ac:dyDescent="0.45">
      <c r="A1111" t="s">
        <v>5608</v>
      </c>
      <c r="B1111" t="s">
        <v>5609</v>
      </c>
      <c r="C1111" t="s">
        <v>15342</v>
      </c>
      <c r="D1111">
        <v>1110</v>
      </c>
      <c r="E1111" t="str">
        <f t="shared" si="51"/>
        <v>E6_4_1_2</v>
      </c>
      <c r="F1111" s="9" t="s">
        <v>17733</v>
      </c>
      <c r="G1111" s="9" t="s">
        <v>17734</v>
      </c>
      <c r="H1111" s="9" t="s">
        <v>17735</v>
      </c>
      <c r="I1111" s="9" t="s">
        <v>17736</v>
      </c>
      <c r="J1111" s="9" t="str">
        <f t="shared" si="52"/>
        <v>(${Variables:E6_4_1_2_kcat} * E6_4_1_2 * C00002 * C00024 * C00288)/(${Variables:E6_4_1_2_km} + (E6_4_1_2 * C00002 * C00024 * C00288))</v>
      </c>
      <c r="K1111" s="38" t="str">
        <f t="shared" si="53"/>
        <v>r1110: C00002 + C00024 + C00288 -&gt; C00008 + C00009 + C00083 | (${Variables:E6_4_1_2_kcat} * E6_4_1_2 * C00002 * C00024 * C00288)/(${Variables:E6_4_1_2_km} + (E6_4_1_2 * C00002 * C00024 * C00288))</v>
      </c>
    </row>
    <row r="1112" spans="1:11" ht="42.75" x14ac:dyDescent="0.45">
      <c r="A1112" t="s">
        <v>5616</v>
      </c>
      <c r="B1112" t="s">
        <v>5617</v>
      </c>
      <c r="C1112" t="s">
        <v>15342</v>
      </c>
      <c r="D1112">
        <v>1111</v>
      </c>
      <c r="E1112" t="str">
        <f t="shared" si="51"/>
        <v>E6_4_1_2</v>
      </c>
      <c r="F1112" s="9" t="s">
        <v>17733</v>
      </c>
      <c r="G1112" s="9" t="s">
        <v>17734</v>
      </c>
      <c r="H1112" s="9" t="s">
        <v>17735</v>
      </c>
      <c r="I1112" s="9" t="s">
        <v>17736</v>
      </c>
      <c r="J1112" s="9" t="str">
        <f t="shared" si="52"/>
        <v>(${Variables:E6_4_1_2_kcat} * E6_4_1_2 * C00002 * C00024 * C00288)/(${Variables:E6_4_1_2_km} + (E6_4_1_2 * C00002 * C00024 * C00288))</v>
      </c>
      <c r="K1112" s="38" t="str">
        <f t="shared" si="53"/>
        <v>r1111: C00002 + C00024 + C00288 -&gt; C00008 + C00009 + C00083 | (${Variables:E6_4_1_2_kcat} * E6_4_1_2 * C00002 * C00024 * C00288)/(${Variables:E6_4_1_2_km} + (E6_4_1_2 * C00002 * C00024 * C00288))</v>
      </c>
    </row>
    <row r="1113" spans="1:11" ht="42.75" x14ac:dyDescent="0.45">
      <c r="A1113" t="s">
        <v>9181</v>
      </c>
      <c r="B1113" t="s">
        <v>9182</v>
      </c>
      <c r="C1113" t="s">
        <v>15343</v>
      </c>
      <c r="D1113">
        <v>1112</v>
      </c>
      <c r="E1113" t="str">
        <f t="shared" si="51"/>
        <v>E6_5_1_2</v>
      </c>
      <c r="F1113" s="9" t="s">
        <v>17737</v>
      </c>
      <c r="G1113" s="9" t="s">
        <v>17738</v>
      </c>
      <c r="H1113" s="9" t="s">
        <v>17739</v>
      </c>
      <c r="I1113" s="9" t="s">
        <v>17740</v>
      </c>
      <c r="J1113" s="9" t="str">
        <f t="shared" si="52"/>
        <v>(${Variables:E6_5_1_2_kcat} * E6_5_1_2 * C00003 * C00039 * C02128)/(${Variables:E6_5_1_2_km} + (E6_5_1_2 * C00003 * C00039 * C02128))</v>
      </c>
      <c r="K1113" s="38" t="str">
        <f t="shared" si="53"/>
        <v>r1112: C00003 + C00039 + C02128 -&gt; C00020 + C00455 + C00039 | (${Variables:E6_5_1_2_kcat} * E6_5_1_2 * C00003 * C00039 * C02128)/(${Variables:E6_5_1_2_km} + (E6_5_1_2 * C00003 * C00039 * C02128))</v>
      </c>
    </row>
    <row r="1114" spans="1:11" ht="42.75" x14ac:dyDescent="0.45">
      <c r="A1114" t="s">
        <v>8165</v>
      </c>
      <c r="B1114" t="s">
        <v>8166</v>
      </c>
      <c r="C1114" t="s">
        <v>15344</v>
      </c>
      <c r="D1114">
        <v>1113</v>
      </c>
      <c r="E1114" t="str">
        <f t="shared" si="51"/>
        <v>E7_1_2_2</v>
      </c>
      <c r="F1114" s="9" t="s">
        <v>17741</v>
      </c>
      <c r="G1114" s="9" t="s">
        <v>17742</v>
      </c>
      <c r="H1114" s="9" t="s">
        <v>17743</v>
      </c>
      <c r="I1114" s="9" t="s">
        <v>17744</v>
      </c>
      <c r="J1114" s="9" t="str">
        <f t="shared" si="52"/>
        <v>(${Variables:E7_1_2_2_kcat} * E7_1_2_2 * C00002 * C00001)/(${Variables:E7_1_2_2_km} + (E7_1_2_2 * C00002 * C00001))</v>
      </c>
      <c r="K1114" s="38" t="str">
        <f t="shared" si="53"/>
        <v>r1113: C00002 + C00001 -&gt; C00008 + C00009 | (${Variables:E7_1_2_2_kcat} * E7_1_2_2 * C00002 * C00001)/(${Variables:E7_1_2_2_km} + (E7_1_2_2 * C00002 * C00001))</v>
      </c>
    </row>
    <row r="1115" spans="1:11" ht="42.75" x14ac:dyDescent="0.45">
      <c r="A1115" t="s">
        <v>8171</v>
      </c>
      <c r="B1115" t="s">
        <v>8172</v>
      </c>
      <c r="C1115" t="s">
        <v>15344</v>
      </c>
      <c r="D1115">
        <v>1114</v>
      </c>
      <c r="E1115" t="str">
        <f t="shared" si="51"/>
        <v>E7_1_2_2</v>
      </c>
      <c r="F1115" s="9" t="s">
        <v>17741</v>
      </c>
      <c r="G1115" s="9" t="s">
        <v>17742</v>
      </c>
      <c r="H1115" s="9" t="s">
        <v>17743</v>
      </c>
      <c r="I1115" s="9" t="s">
        <v>17744</v>
      </c>
      <c r="J1115" s="9" t="str">
        <f t="shared" si="52"/>
        <v>(${Variables:E7_1_2_2_kcat} * E7_1_2_2 * C00002 * C00001)/(${Variables:E7_1_2_2_km} + (E7_1_2_2 * C00002 * C00001))</v>
      </c>
      <c r="K1115" s="38" t="str">
        <f t="shared" si="53"/>
        <v>r1114: C00002 + C00001 -&gt; C00008 + C00009 | (${Variables:E7_1_2_2_kcat} * E7_1_2_2 * C00002 * C00001)/(${Variables:E7_1_2_2_km} + (E7_1_2_2 * C00002 * C00001))</v>
      </c>
    </row>
    <row r="1116" spans="1:11" ht="42.75" x14ac:dyDescent="0.45">
      <c r="A1116" t="s">
        <v>8174</v>
      </c>
      <c r="B1116" t="s">
        <v>8175</v>
      </c>
      <c r="C1116" t="s">
        <v>15344</v>
      </c>
      <c r="D1116">
        <v>1115</v>
      </c>
      <c r="E1116" t="str">
        <f t="shared" si="51"/>
        <v>E7_1_2_2</v>
      </c>
      <c r="F1116" s="9" t="s">
        <v>17741</v>
      </c>
      <c r="G1116" s="9" t="s">
        <v>17742</v>
      </c>
      <c r="H1116" s="9" t="s">
        <v>17743</v>
      </c>
      <c r="I1116" s="9" t="s">
        <v>17744</v>
      </c>
      <c r="J1116" s="9" t="str">
        <f t="shared" si="52"/>
        <v>(${Variables:E7_1_2_2_kcat} * E7_1_2_2 * C00002 * C00001)/(${Variables:E7_1_2_2_km} + (E7_1_2_2 * C00002 * C00001))</v>
      </c>
      <c r="K1116" s="38" t="str">
        <f t="shared" si="53"/>
        <v>r1115: C00002 + C00001 -&gt; C00008 + C00009 | (${Variables:E7_1_2_2_kcat} * E7_1_2_2 * C00002 * C00001)/(${Variables:E7_1_2_2_km} + (E7_1_2_2 * C00002 * C00001))</v>
      </c>
    </row>
    <row r="1117" spans="1:11" ht="42.75" x14ac:dyDescent="0.45">
      <c r="A1117" t="s">
        <v>8177</v>
      </c>
      <c r="B1117" t="s">
        <v>8178</v>
      </c>
      <c r="C1117" t="s">
        <v>15344</v>
      </c>
      <c r="D1117">
        <v>1116</v>
      </c>
      <c r="E1117" t="str">
        <f t="shared" si="51"/>
        <v>E7_1_2_2</v>
      </c>
      <c r="F1117" s="9" t="s">
        <v>17741</v>
      </c>
      <c r="G1117" s="9" t="s">
        <v>17742</v>
      </c>
      <c r="H1117" s="9" t="s">
        <v>17743</v>
      </c>
      <c r="I1117" s="9" t="s">
        <v>17744</v>
      </c>
      <c r="J1117" s="9" t="str">
        <f t="shared" si="52"/>
        <v>(${Variables:E7_1_2_2_kcat} * E7_1_2_2 * C00002 * C00001)/(${Variables:E7_1_2_2_km} + (E7_1_2_2 * C00002 * C00001))</v>
      </c>
      <c r="K1117" s="38" t="str">
        <f t="shared" si="53"/>
        <v>r1116: C00002 + C00001 -&gt; C00008 + C00009 | (${Variables:E7_1_2_2_kcat} * E7_1_2_2 * C00002 * C00001)/(${Variables:E7_1_2_2_km} + (E7_1_2_2 * C00002 * C00001))</v>
      </c>
    </row>
    <row r="1118" spans="1:11" ht="42.75" x14ac:dyDescent="0.45">
      <c r="A1118" t="s">
        <v>8183</v>
      </c>
      <c r="B1118" t="s">
        <v>8184</v>
      </c>
      <c r="C1118" t="s">
        <v>15344</v>
      </c>
      <c r="D1118">
        <v>1117</v>
      </c>
      <c r="E1118" t="str">
        <f t="shared" si="51"/>
        <v>E7_1_2_2</v>
      </c>
      <c r="F1118" s="9" t="s">
        <v>17741</v>
      </c>
      <c r="G1118" s="9" t="s">
        <v>17742</v>
      </c>
      <c r="H1118" s="9" t="s">
        <v>17743</v>
      </c>
      <c r="I1118" s="9" t="s">
        <v>17744</v>
      </c>
      <c r="J1118" s="9" t="str">
        <f t="shared" si="52"/>
        <v>(${Variables:E7_1_2_2_kcat} * E7_1_2_2 * C00002 * C00001)/(${Variables:E7_1_2_2_km} + (E7_1_2_2 * C00002 * C00001))</v>
      </c>
      <c r="K1118" s="38" t="str">
        <f t="shared" si="53"/>
        <v>r1117: C00002 + C00001 -&gt; C00008 + C00009 | (${Variables:E7_1_2_2_kcat} * E7_1_2_2 * C00002 * C00001)/(${Variables:E7_1_2_2_km} + (E7_1_2_2 * C00002 * C00001))</v>
      </c>
    </row>
    <row r="1119" spans="1:11" ht="42.75" x14ac:dyDescent="0.45">
      <c r="A1119" t="s">
        <v>9553</v>
      </c>
      <c r="B1119" t="s">
        <v>9554</v>
      </c>
      <c r="C1119" t="s">
        <v>15344</v>
      </c>
      <c r="D1119">
        <v>1118</v>
      </c>
      <c r="E1119" t="str">
        <f t="shared" si="51"/>
        <v>E7_1_2_2</v>
      </c>
      <c r="F1119" s="9" t="s">
        <v>17741</v>
      </c>
      <c r="G1119" s="9" t="s">
        <v>17742</v>
      </c>
      <c r="H1119" s="9" t="s">
        <v>17743</v>
      </c>
      <c r="I1119" s="9" t="s">
        <v>17744</v>
      </c>
      <c r="J1119" s="9" t="str">
        <f t="shared" si="52"/>
        <v>(${Variables:E7_1_2_2_kcat} * E7_1_2_2 * C00002 * C00001)/(${Variables:E7_1_2_2_km} + (E7_1_2_2 * C00002 * C00001))</v>
      </c>
      <c r="K1119" s="38" t="str">
        <f t="shared" si="53"/>
        <v>r1118: C00002 + C00001 -&gt; C00008 + C00009 | (${Variables:E7_1_2_2_kcat} * E7_1_2_2 * C00002 * C00001)/(${Variables:E7_1_2_2_km} + (E7_1_2_2 * C00002 * C00001))</v>
      </c>
    </row>
    <row r="1120" spans="1:11" ht="42.75" x14ac:dyDescent="0.45">
      <c r="A1120" t="s">
        <v>9557</v>
      </c>
      <c r="B1120" t="s">
        <v>9558</v>
      </c>
      <c r="C1120" t="s">
        <v>15344</v>
      </c>
      <c r="D1120">
        <v>1119</v>
      </c>
      <c r="E1120" t="str">
        <f t="shared" si="51"/>
        <v>E7_1_2_2</v>
      </c>
      <c r="F1120" s="9" t="s">
        <v>17741</v>
      </c>
      <c r="G1120" s="9" t="s">
        <v>17742</v>
      </c>
      <c r="H1120" s="9" t="s">
        <v>17743</v>
      </c>
      <c r="I1120" s="9" t="s">
        <v>17744</v>
      </c>
      <c r="J1120" s="9" t="str">
        <f t="shared" si="52"/>
        <v>(${Variables:E7_1_2_2_kcat} * E7_1_2_2 * C00002 * C00001)/(${Variables:E7_1_2_2_km} + (E7_1_2_2 * C00002 * C00001))</v>
      </c>
      <c r="K1120" s="38" t="str">
        <f t="shared" si="53"/>
        <v>r1119: C00002 + C00001 -&gt; C00008 + C00009 | (${Variables:E7_1_2_2_kcat} * E7_1_2_2 * C00002 * C00001)/(${Variables:E7_1_2_2_km} + (E7_1_2_2 * C00002 * C00001))</v>
      </c>
    </row>
    <row r="1121" spans="1:11" ht="42.75" x14ac:dyDescent="0.45">
      <c r="A1121" t="s">
        <v>9561</v>
      </c>
      <c r="B1121" t="s">
        <v>9562</v>
      </c>
      <c r="C1121" t="s">
        <v>15344</v>
      </c>
      <c r="D1121">
        <v>1120</v>
      </c>
      <c r="E1121" t="str">
        <f t="shared" si="51"/>
        <v>E7_1_2_2</v>
      </c>
      <c r="F1121" s="9" t="s">
        <v>17741</v>
      </c>
      <c r="G1121" s="9" t="s">
        <v>17742</v>
      </c>
      <c r="H1121" s="9" t="s">
        <v>17743</v>
      </c>
      <c r="I1121" s="9" t="s">
        <v>17744</v>
      </c>
      <c r="J1121" s="9" t="str">
        <f t="shared" si="52"/>
        <v>(${Variables:E7_1_2_2_kcat} * E7_1_2_2 * C00002 * C00001)/(${Variables:E7_1_2_2_km} + (E7_1_2_2 * C00002 * C00001))</v>
      </c>
      <c r="K1121" s="38" t="str">
        <f t="shared" si="53"/>
        <v>r1120: C00002 + C00001 -&gt; C00008 + C00009 | (${Variables:E7_1_2_2_kcat} * E7_1_2_2 * C00002 * C00001)/(${Variables:E7_1_2_2_km} + (E7_1_2_2 * C00002 * C00001))</v>
      </c>
    </row>
    <row r="1122" spans="1:11" ht="42.75" x14ac:dyDescent="0.45">
      <c r="A1122" t="s">
        <v>9565</v>
      </c>
      <c r="B1122" t="s">
        <v>9566</v>
      </c>
      <c r="C1122" t="s">
        <v>15344</v>
      </c>
      <c r="D1122">
        <v>1121</v>
      </c>
      <c r="E1122" t="str">
        <f t="shared" si="51"/>
        <v>E7_1_2_2</v>
      </c>
      <c r="F1122" s="9" t="s">
        <v>17741</v>
      </c>
      <c r="G1122" s="9" t="s">
        <v>17742</v>
      </c>
      <c r="H1122" s="9" t="s">
        <v>17743</v>
      </c>
      <c r="I1122" s="9" t="s">
        <v>17744</v>
      </c>
      <c r="J1122" s="9" t="str">
        <f t="shared" si="52"/>
        <v>(${Variables:E7_1_2_2_kcat} * E7_1_2_2 * C00002 * C00001)/(${Variables:E7_1_2_2_km} + (E7_1_2_2 * C00002 * C00001))</v>
      </c>
      <c r="K1122" s="38" t="str">
        <f t="shared" si="53"/>
        <v>r1121: C00002 + C00001 -&gt; C00008 + C00009 | (${Variables:E7_1_2_2_kcat} * E7_1_2_2 * C00002 * C00001)/(${Variables:E7_1_2_2_km} + (E7_1_2_2 * C00002 * C00001))</v>
      </c>
    </row>
    <row r="1123" spans="1:11" ht="42.75" x14ac:dyDescent="0.45">
      <c r="A1123" t="s">
        <v>9568</v>
      </c>
      <c r="B1123" t="s">
        <v>9569</v>
      </c>
      <c r="C1123" t="s">
        <v>15344</v>
      </c>
      <c r="D1123">
        <v>1122</v>
      </c>
      <c r="E1123" t="str">
        <f t="shared" si="51"/>
        <v>E7_1_2_2</v>
      </c>
      <c r="F1123" s="9" t="s">
        <v>17741</v>
      </c>
      <c r="G1123" s="9" t="s">
        <v>17742</v>
      </c>
      <c r="H1123" s="9" t="s">
        <v>17743</v>
      </c>
      <c r="I1123" s="9" t="s">
        <v>17744</v>
      </c>
      <c r="J1123" s="9" t="str">
        <f t="shared" si="52"/>
        <v>(${Variables:E7_1_2_2_kcat} * E7_1_2_2 * C00002 * C00001)/(${Variables:E7_1_2_2_km} + (E7_1_2_2 * C00002 * C00001))</v>
      </c>
      <c r="K1123" s="38" t="str">
        <f t="shared" si="53"/>
        <v>r1122: C00002 + C00001 -&gt; C00008 + C00009 | (${Variables:E7_1_2_2_kcat} * E7_1_2_2 * C00002 * C00001)/(${Variables:E7_1_2_2_km} + (E7_1_2_2 * C00002 * C00001))</v>
      </c>
    </row>
    <row r="1124" spans="1:11" ht="42.75" x14ac:dyDescent="0.45">
      <c r="A1124" t="s">
        <v>9572</v>
      </c>
      <c r="B1124" t="s">
        <v>9573</v>
      </c>
      <c r="C1124" t="s">
        <v>15344</v>
      </c>
      <c r="D1124">
        <v>1123</v>
      </c>
      <c r="E1124" t="str">
        <f t="shared" si="51"/>
        <v>E7_1_2_2</v>
      </c>
      <c r="F1124" s="9" t="s">
        <v>17741</v>
      </c>
      <c r="G1124" s="9" t="s">
        <v>17742</v>
      </c>
      <c r="H1124" s="9" t="s">
        <v>17743</v>
      </c>
      <c r="I1124" s="9" t="s">
        <v>17744</v>
      </c>
      <c r="J1124" s="9" t="str">
        <f t="shared" si="52"/>
        <v>(${Variables:E7_1_2_2_kcat} * E7_1_2_2 * C00002 * C00001)/(${Variables:E7_1_2_2_km} + (E7_1_2_2 * C00002 * C00001))</v>
      </c>
      <c r="K1124" s="38" t="str">
        <f t="shared" si="53"/>
        <v>r1123: C00002 + C00001 -&gt; C00008 + C00009 | (${Variables:E7_1_2_2_kcat} * E7_1_2_2 * C00002 * C00001)/(${Variables:E7_1_2_2_km} + (E7_1_2_2 * C00002 * C00001))</v>
      </c>
    </row>
    <row r="1125" spans="1:11" ht="42.75" x14ac:dyDescent="0.45">
      <c r="A1125" t="s">
        <v>9576</v>
      </c>
      <c r="B1125" t="s">
        <v>9577</v>
      </c>
      <c r="C1125" t="s">
        <v>15344</v>
      </c>
      <c r="D1125">
        <v>1124</v>
      </c>
      <c r="E1125" t="str">
        <f t="shared" si="51"/>
        <v>E7_1_2_2</v>
      </c>
      <c r="F1125" s="9" t="s">
        <v>17741</v>
      </c>
      <c r="G1125" s="9" t="s">
        <v>17742</v>
      </c>
      <c r="H1125" s="9" t="s">
        <v>17743</v>
      </c>
      <c r="I1125" s="9" t="s">
        <v>17744</v>
      </c>
      <c r="J1125" s="9" t="str">
        <f t="shared" si="52"/>
        <v>(${Variables:E7_1_2_2_kcat} * E7_1_2_2 * C00002 * C00001)/(${Variables:E7_1_2_2_km} + (E7_1_2_2 * C00002 * C00001))</v>
      </c>
      <c r="K1125" s="38" t="str">
        <f t="shared" si="53"/>
        <v>r1124: C00002 + C00001 -&gt; C00008 + C00009 | (${Variables:E7_1_2_2_kcat} * E7_1_2_2 * C00002 * C00001)/(${Variables:E7_1_2_2_km} + (E7_1_2_2 * C00002 * C00001))</v>
      </c>
    </row>
    <row r="1126" spans="1:11" ht="42.75" x14ac:dyDescent="0.45">
      <c r="A1126" t="s">
        <v>9580</v>
      </c>
      <c r="B1126" t="s">
        <v>9581</v>
      </c>
      <c r="C1126" t="s">
        <v>15344</v>
      </c>
      <c r="D1126">
        <v>1125</v>
      </c>
      <c r="E1126" t="str">
        <f t="shared" si="51"/>
        <v>E7_1_2_2</v>
      </c>
      <c r="F1126" s="9" t="s">
        <v>17741</v>
      </c>
      <c r="G1126" s="9" t="s">
        <v>17742</v>
      </c>
      <c r="H1126" s="9" t="s">
        <v>17743</v>
      </c>
      <c r="I1126" s="9" t="s">
        <v>17744</v>
      </c>
      <c r="J1126" s="9" t="str">
        <f t="shared" si="52"/>
        <v>(${Variables:E7_1_2_2_kcat} * E7_1_2_2 * C00002 * C00001)/(${Variables:E7_1_2_2_km} + (E7_1_2_2 * C00002 * C00001))</v>
      </c>
      <c r="K1126" s="38" t="str">
        <f t="shared" si="53"/>
        <v>r1125: C00002 + C00001 -&gt; C00008 + C00009 | (${Variables:E7_1_2_2_kcat} * E7_1_2_2 * C00002 * C00001)/(${Variables:E7_1_2_2_km} + (E7_1_2_2 * C00002 * C00001))</v>
      </c>
    </row>
    <row r="1127" spans="1:11" ht="42.75" x14ac:dyDescent="0.45">
      <c r="A1127" t="s">
        <v>9586</v>
      </c>
      <c r="B1127" t="s">
        <v>9587</v>
      </c>
      <c r="C1127" t="s">
        <v>15344</v>
      </c>
      <c r="D1127">
        <v>1126</v>
      </c>
      <c r="E1127" t="str">
        <f t="shared" si="51"/>
        <v>E7_1_2_2</v>
      </c>
      <c r="F1127" s="9" t="s">
        <v>17741</v>
      </c>
      <c r="G1127" s="9" t="s">
        <v>17742</v>
      </c>
      <c r="H1127" s="9" t="s">
        <v>17743</v>
      </c>
      <c r="I1127" s="9" t="s">
        <v>17744</v>
      </c>
      <c r="J1127" s="9" t="str">
        <f t="shared" si="52"/>
        <v>(${Variables:E7_1_2_2_kcat} * E7_1_2_2 * C00002 * C00001)/(${Variables:E7_1_2_2_km} + (E7_1_2_2 * C00002 * C00001))</v>
      </c>
      <c r="K1127" s="38" t="str">
        <f t="shared" si="53"/>
        <v>r1126: C00002 + C00001 -&gt; C00008 + C00009 | (${Variables:E7_1_2_2_kcat} * E7_1_2_2 * C00002 * C00001)/(${Variables:E7_1_2_2_km} + (E7_1_2_2 * C00002 * C00001))</v>
      </c>
    </row>
    <row r="1774" spans="2:2" x14ac:dyDescent="0.45">
      <c r="B1774" s="12"/>
    </row>
    <row r="1775" spans="2:2" x14ac:dyDescent="0.45">
      <c r="B1775" s="12"/>
    </row>
    <row r="1912" spans="2:2" x14ac:dyDescent="0.45">
      <c r="B1912" s="12"/>
    </row>
    <row r="1986" spans="2:2" x14ac:dyDescent="0.45">
      <c r="B1986" s="12"/>
    </row>
    <row r="1987" spans="2:2" x14ac:dyDescent="0.45">
      <c r="B1987" s="12"/>
    </row>
    <row r="2092" spans="2:2" x14ac:dyDescent="0.45">
      <c r="B2092" s="1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Information</vt:lpstr>
      <vt:lpstr>Peptides</vt:lpstr>
      <vt:lpstr>EC number</vt:lpstr>
      <vt:lpstr>Metabolites</vt:lpstr>
      <vt:lpstr>Enzymes</vt:lpstr>
      <vt:lpstr>Reactions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felice ng</cp:lastModifiedBy>
  <dcterms:created xsi:type="dcterms:W3CDTF">2025-11-19T08:24:52Z</dcterms:created>
  <dcterms:modified xsi:type="dcterms:W3CDTF">2026-04-23T15:07:09Z</dcterms:modified>
</cp:coreProperties>
</file>